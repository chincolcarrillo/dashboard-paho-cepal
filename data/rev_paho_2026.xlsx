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uario\Desktop\dashboard-paho-cepal\data\"/>
    </mc:Choice>
  </mc:AlternateContent>
  <xr:revisionPtr revIDLastSave="0" documentId="13_ncr:1_{7B901DF7-9BCA-471A-AA5A-8E71BF1D35C5}" xr6:coauthVersionLast="47" xr6:coauthVersionMax="47" xr10:uidLastSave="{00000000-0000-0000-0000-000000000000}"/>
  <bookViews>
    <workbookView xWindow="-120" yWindow="-120" windowWidth="20730" windowHeight="11040" activeTab="1" xr2:uid="{00000000-000D-0000-FFFF-FFFF00000000}"/>
  </bookViews>
  <sheets>
    <sheet name="product_codes_HS07_V202501" sheetId="1" r:id="rId1"/>
    <sheet name="exportable" sheetId="2" r:id="rId2"/>
    <sheet name="rev_caro_hs07" sheetId="3" r:id="rId3"/>
    <sheet name="Hoja 1" sheetId="4" r:id="rId4"/>
  </sheets>
  <definedNames>
    <definedName name="_xlnm._FilterDatabase" localSheetId="1" hidden="1">exportable!$A$1:$F$5051</definedName>
    <definedName name="_xlnm._FilterDatabase" localSheetId="0" hidden="1">product_codes_HS07_V202501!$A$1:$Q$5051</definedName>
    <definedName name="_xlnm._FilterDatabase" localSheetId="2" hidden="1">rev_caro_hs07!$A$1:$F$5056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amOAihguob0uHbaoFQBi3rnC3YaXKR6Ws+ZPoFcGvA="/>
    </ext>
  </extLst>
</workbook>
</file>

<file path=xl/calcChain.xml><?xml version="1.0" encoding="utf-8"?>
<calcChain xmlns="http://schemas.openxmlformats.org/spreadsheetml/2006/main">
  <c r="C5056" i="3" l="1"/>
  <c r="C5055" i="3"/>
  <c r="C5054" i="3"/>
  <c r="C5053" i="3"/>
  <c r="C5052" i="3"/>
  <c r="C5051" i="3"/>
  <c r="C5050" i="3"/>
  <c r="C5049" i="3"/>
  <c r="C5048" i="3"/>
  <c r="C5047" i="3"/>
  <c r="C5046" i="3"/>
  <c r="C5045" i="3"/>
  <c r="C5044" i="3"/>
  <c r="C5043" i="3"/>
  <c r="C5042" i="3"/>
  <c r="C5041" i="3"/>
  <c r="C5040" i="3"/>
  <c r="C5039" i="3"/>
  <c r="C5038" i="3"/>
  <c r="C5037" i="3"/>
  <c r="C5036" i="3"/>
  <c r="C5035" i="3"/>
  <c r="C5034" i="3"/>
  <c r="C5033" i="3"/>
  <c r="C5032" i="3"/>
  <c r="C5031" i="3"/>
  <c r="C5030" i="3"/>
  <c r="C5029" i="3"/>
  <c r="C5028" i="3"/>
  <c r="C5027" i="3"/>
  <c r="C5026" i="3"/>
  <c r="C5025" i="3"/>
  <c r="C5024" i="3"/>
  <c r="C5023" i="3"/>
  <c r="C5022" i="3"/>
  <c r="C5021" i="3"/>
  <c r="C5020" i="3"/>
  <c r="C5019" i="3"/>
  <c r="C5018" i="3"/>
  <c r="C5017" i="3"/>
  <c r="C5016" i="3"/>
  <c r="C5015" i="3"/>
  <c r="C5014" i="3"/>
  <c r="C5013" i="3"/>
  <c r="C5012" i="3"/>
  <c r="C5011" i="3"/>
  <c r="C5010" i="3"/>
  <c r="C5009" i="3"/>
  <c r="C5008" i="3"/>
  <c r="C5007" i="3"/>
  <c r="C5006" i="3"/>
  <c r="C5005" i="3"/>
  <c r="C5004" i="3"/>
  <c r="C5003" i="3"/>
  <c r="C5002" i="3"/>
  <c r="C5001" i="3"/>
  <c r="C5000" i="3"/>
  <c r="C4999" i="3"/>
  <c r="C4998" i="3"/>
  <c r="C4997" i="3"/>
  <c r="C4996" i="3"/>
  <c r="C4995" i="3"/>
  <c r="C4994" i="3"/>
  <c r="C4993" i="3"/>
  <c r="C4992" i="3"/>
  <c r="C4991" i="3"/>
  <c r="C4990" i="3"/>
  <c r="C4989" i="3"/>
  <c r="C4988" i="3"/>
  <c r="C4987" i="3"/>
  <c r="C4986" i="3"/>
  <c r="C4985" i="3"/>
  <c r="C4984" i="3"/>
  <c r="C4983" i="3"/>
  <c r="C4982" i="3"/>
  <c r="C4981" i="3"/>
  <c r="C4980" i="3"/>
  <c r="C4979" i="3"/>
  <c r="C4978" i="3"/>
  <c r="C4977" i="3"/>
  <c r="C4976" i="3"/>
  <c r="C4975" i="3"/>
  <c r="C4974" i="3"/>
  <c r="C4973" i="3"/>
  <c r="C4972" i="3"/>
  <c r="C4971" i="3"/>
  <c r="C4970" i="3"/>
  <c r="C4969" i="3"/>
  <c r="C4968" i="3"/>
  <c r="C4967" i="3"/>
  <c r="C4966" i="3"/>
  <c r="C4965" i="3"/>
  <c r="C4964" i="3"/>
  <c r="C4963" i="3"/>
  <c r="C4962" i="3"/>
  <c r="C4961" i="3"/>
  <c r="C4960" i="3"/>
  <c r="C4959" i="3"/>
  <c r="C4958" i="3"/>
  <c r="C4957" i="3"/>
  <c r="C4956" i="3"/>
  <c r="C4955" i="3"/>
  <c r="C4954" i="3"/>
  <c r="C4953" i="3"/>
  <c r="C4952" i="3"/>
  <c r="C4951" i="3"/>
  <c r="C4950" i="3"/>
  <c r="C4949" i="3"/>
  <c r="C4948" i="3"/>
  <c r="C4947" i="3"/>
  <c r="C4946" i="3"/>
  <c r="C4945" i="3"/>
  <c r="C4944" i="3"/>
  <c r="C4943" i="3"/>
  <c r="C4942" i="3"/>
  <c r="C4941" i="3"/>
  <c r="C4940" i="3"/>
  <c r="C4939" i="3"/>
  <c r="C4938" i="3"/>
  <c r="C4937" i="3"/>
  <c r="C4936" i="3"/>
  <c r="C4935" i="3"/>
  <c r="C4934" i="3"/>
  <c r="C4933" i="3"/>
  <c r="C4932" i="3"/>
  <c r="C4931" i="3"/>
  <c r="C4930" i="3"/>
  <c r="C4929" i="3"/>
  <c r="C4928" i="3"/>
  <c r="C4927" i="3"/>
  <c r="C4926" i="3"/>
  <c r="C4925" i="3"/>
  <c r="C4924" i="3"/>
  <c r="C4923" i="3"/>
  <c r="C4922" i="3"/>
  <c r="C4921" i="3"/>
  <c r="C4920" i="3"/>
  <c r="C4919" i="3"/>
  <c r="C4918" i="3"/>
  <c r="C4917" i="3"/>
  <c r="C4916" i="3"/>
  <c r="C4915" i="3"/>
  <c r="C4914" i="3"/>
  <c r="C4913" i="3"/>
  <c r="C4912" i="3"/>
  <c r="C4911" i="3"/>
  <c r="C4910" i="3"/>
  <c r="C4909" i="3"/>
  <c r="C4908" i="3"/>
  <c r="C4907" i="3"/>
  <c r="C4906" i="3"/>
  <c r="C4905" i="3"/>
  <c r="C4904" i="3"/>
  <c r="C4903" i="3"/>
  <c r="C4902" i="3"/>
  <c r="C4901" i="3"/>
  <c r="C4900" i="3"/>
  <c r="C4899" i="3"/>
  <c r="C4898" i="3"/>
  <c r="C4897" i="3"/>
  <c r="C4896" i="3"/>
  <c r="C4895" i="3"/>
  <c r="C4894" i="3"/>
  <c r="C4893" i="3"/>
  <c r="C4892" i="3"/>
  <c r="C4891" i="3"/>
  <c r="C4890" i="3"/>
  <c r="C4889" i="3"/>
  <c r="C4888" i="3"/>
  <c r="C4887" i="3"/>
  <c r="C4886" i="3"/>
  <c r="C4885" i="3"/>
  <c r="C4884" i="3"/>
  <c r="C4883" i="3"/>
  <c r="C4882" i="3"/>
  <c r="C4881" i="3"/>
  <c r="C4880" i="3"/>
  <c r="C4879" i="3"/>
  <c r="C4878" i="3"/>
  <c r="C4877" i="3"/>
  <c r="C4876" i="3"/>
  <c r="C4875" i="3"/>
  <c r="C4874" i="3"/>
  <c r="C4873" i="3"/>
  <c r="C4872" i="3"/>
  <c r="C4871" i="3"/>
  <c r="C4870" i="3"/>
  <c r="C4869" i="3"/>
  <c r="C4868" i="3"/>
  <c r="C4867" i="3"/>
  <c r="C4866" i="3"/>
  <c r="C4865" i="3"/>
  <c r="C4864" i="3"/>
  <c r="C4863" i="3"/>
  <c r="C4862" i="3"/>
  <c r="C4861" i="3"/>
  <c r="C4860" i="3"/>
  <c r="C4859" i="3"/>
  <c r="C4858" i="3"/>
  <c r="C4857" i="3"/>
  <c r="C4856" i="3"/>
  <c r="C4855" i="3"/>
  <c r="C4854" i="3"/>
  <c r="C4853" i="3"/>
  <c r="C4852" i="3"/>
  <c r="C4851" i="3"/>
  <c r="C4850" i="3"/>
  <c r="C4849" i="3"/>
  <c r="C4848" i="3"/>
  <c r="C4847" i="3"/>
  <c r="C4846" i="3"/>
  <c r="C4845" i="3"/>
  <c r="C4844" i="3"/>
  <c r="C4843" i="3"/>
  <c r="C4842" i="3"/>
  <c r="C4841" i="3"/>
  <c r="C4840" i="3"/>
  <c r="C4839" i="3"/>
  <c r="C4838" i="3"/>
  <c r="C4837" i="3"/>
  <c r="C4836" i="3"/>
  <c r="C4835" i="3"/>
  <c r="C4834" i="3"/>
  <c r="C4833" i="3"/>
  <c r="C4832" i="3"/>
  <c r="C4831" i="3"/>
  <c r="C4830" i="3"/>
  <c r="C4829" i="3"/>
  <c r="C4828" i="3"/>
  <c r="C4827" i="3"/>
  <c r="C4826" i="3"/>
  <c r="C4825" i="3"/>
  <c r="C4824" i="3"/>
  <c r="C4823" i="3"/>
  <c r="C4822" i="3"/>
  <c r="C4821" i="3"/>
  <c r="C4820" i="3"/>
  <c r="C4819" i="3"/>
  <c r="C4818" i="3"/>
  <c r="C4817" i="3"/>
  <c r="C4816" i="3"/>
  <c r="C4815" i="3"/>
  <c r="C4814" i="3"/>
  <c r="C4813" i="3"/>
  <c r="C4812" i="3"/>
  <c r="C4811" i="3"/>
  <c r="C4810" i="3"/>
  <c r="C4809" i="3"/>
  <c r="C4808" i="3"/>
  <c r="C4807" i="3"/>
  <c r="C4806" i="3"/>
  <c r="C4805" i="3"/>
  <c r="C4804" i="3"/>
  <c r="C4803" i="3"/>
  <c r="C4802" i="3"/>
  <c r="C4801" i="3"/>
  <c r="C4800" i="3"/>
  <c r="C4799" i="3"/>
  <c r="C4798" i="3"/>
  <c r="C4797" i="3"/>
  <c r="C4796" i="3"/>
  <c r="C4795" i="3"/>
  <c r="C4794" i="3"/>
  <c r="C4793" i="3"/>
  <c r="C4792" i="3"/>
  <c r="C4791" i="3"/>
  <c r="C4790" i="3"/>
  <c r="C4789" i="3"/>
  <c r="C4788" i="3"/>
  <c r="C4787" i="3"/>
  <c r="C4786" i="3"/>
  <c r="C4785" i="3"/>
  <c r="C4784" i="3"/>
  <c r="C4783" i="3"/>
  <c r="C4782" i="3"/>
  <c r="C4781" i="3"/>
  <c r="C4780" i="3"/>
  <c r="C4779" i="3"/>
  <c r="C4778" i="3"/>
  <c r="C4777" i="3"/>
  <c r="C4776" i="3"/>
  <c r="C4775" i="3"/>
  <c r="C4774" i="3"/>
  <c r="C4773" i="3"/>
  <c r="C4772" i="3"/>
  <c r="C4771" i="3"/>
  <c r="C4770" i="3"/>
  <c r="C4769" i="3"/>
  <c r="C4768" i="3"/>
  <c r="C4767" i="3"/>
  <c r="C4766" i="3"/>
  <c r="C4765" i="3"/>
  <c r="C4764" i="3"/>
  <c r="C4763" i="3"/>
  <c r="C4762" i="3"/>
  <c r="C4761" i="3"/>
  <c r="C4760" i="3"/>
  <c r="C4759" i="3"/>
  <c r="C4758" i="3"/>
  <c r="C4757" i="3"/>
  <c r="C4756" i="3"/>
  <c r="C4755" i="3"/>
  <c r="C4754" i="3"/>
  <c r="C4753" i="3"/>
  <c r="C4752" i="3"/>
  <c r="C4751" i="3"/>
  <c r="C4750" i="3"/>
  <c r="C4749" i="3"/>
  <c r="C4748" i="3"/>
  <c r="C4747" i="3"/>
  <c r="C4746" i="3"/>
  <c r="C4745" i="3"/>
  <c r="C4744" i="3"/>
  <c r="C4743" i="3"/>
  <c r="C4742" i="3"/>
  <c r="C4741" i="3"/>
  <c r="C4740" i="3"/>
  <c r="C4739" i="3"/>
  <c r="C4738" i="3"/>
  <c r="C4737" i="3"/>
  <c r="C4736" i="3"/>
  <c r="C4735" i="3"/>
  <c r="C4734" i="3"/>
  <c r="C4733" i="3"/>
  <c r="C4732" i="3"/>
  <c r="C4731" i="3"/>
  <c r="C4730" i="3"/>
  <c r="C4729" i="3"/>
  <c r="C4728" i="3"/>
  <c r="C4727" i="3"/>
  <c r="C4726" i="3"/>
  <c r="C4725" i="3"/>
  <c r="C4724" i="3"/>
  <c r="C4723" i="3"/>
  <c r="C4722" i="3"/>
  <c r="C4721" i="3"/>
  <c r="C4720" i="3"/>
  <c r="C4719" i="3"/>
  <c r="C4718" i="3"/>
  <c r="C4717" i="3"/>
  <c r="C4716" i="3"/>
  <c r="C4715" i="3"/>
  <c r="C4714" i="3"/>
  <c r="C4713" i="3"/>
  <c r="C4712" i="3"/>
  <c r="C4711" i="3"/>
  <c r="C4710" i="3"/>
  <c r="C4709" i="3"/>
  <c r="C4708" i="3"/>
  <c r="C4707" i="3"/>
  <c r="C4706" i="3"/>
  <c r="C4705" i="3"/>
  <c r="C4704" i="3"/>
  <c r="C4703" i="3"/>
  <c r="C4702" i="3"/>
  <c r="C4701" i="3"/>
  <c r="C4700" i="3"/>
  <c r="C4699" i="3"/>
  <c r="C4698" i="3"/>
  <c r="C4697" i="3"/>
  <c r="C4696" i="3"/>
  <c r="C4695" i="3"/>
  <c r="C4694" i="3"/>
  <c r="C4693" i="3"/>
  <c r="C4692" i="3"/>
  <c r="C4691" i="3"/>
  <c r="C4690" i="3"/>
  <c r="C4689" i="3"/>
  <c r="C4688" i="3"/>
  <c r="C4687" i="3"/>
  <c r="C4686" i="3"/>
  <c r="C4685" i="3"/>
  <c r="C4684" i="3"/>
  <c r="C4683" i="3"/>
  <c r="C4682" i="3"/>
  <c r="C4681" i="3"/>
  <c r="C4680" i="3"/>
  <c r="C4679" i="3"/>
  <c r="C4678" i="3"/>
  <c r="C4677" i="3"/>
  <c r="C4676" i="3"/>
  <c r="C4675" i="3"/>
  <c r="C4674" i="3"/>
  <c r="C4673" i="3"/>
  <c r="C4672" i="3"/>
  <c r="C4671" i="3"/>
  <c r="C4670" i="3"/>
  <c r="C4669" i="3"/>
  <c r="C4668" i="3"/>
  <c r="C4667" i="3"/>
  <c r="C4666" i="3"/>
  <c r="C4665" i="3"/>
  <c r="C4664" i="3"/>
  <c r="C4663" i="3"/>
  <c r="C4662" i="3"/>
  <c r="C4661" i="3"/>
  <c r="C4660" i="3"/>
  <c r="C4659" i="3"/>
  <c r="C4658" i="3"/>
  <c r="C4657" i="3"/>
  <c r="C4656" i="3"/>
  <c r="C4655" i="3"/>
  <c r="C4654" i="3"/>
  <c r="C4653" i="3"/>
  <c r="C4652" i="3"/>
  <c r="C4651" i="3"/>
  <c r="C4650" i="3"/>
  <c r="C4649" i="3"/>
  <c r="C4648" i="3"/>
  <c r="C4647" i="3"/>
  <c r="C4646" i="3"/>
  <c r="C4645" i="3"/>
  <c r="C4644" i="3"/>
  <c r="C4643" i="3"/>
  <c r="C4642" i="3"/>
  <c r="C4641" i="3"/>
  <c r="C4640" i="3"/>
  <c r="C4639" i="3"/>
  <c r="C4638" i="3"/>
  <c r="C4637" i="3"/>
  <c r="C4636" i="3"/>
  <c r="C4635" i="3"/>
  <c r="C4634" i="3"/>
  <c r="C4633" i="3"/>
  <c r="C4632" i="3"/>
  <c r="C4631" i="3"/>
  <c r="C4630" i="3"/>
  <c r="C4629" i="3"/>
  <c r="C4628" i="3"/>
  <c r="C4627" i="3"/>
  <c r="C4626" i="3"/>
  <c r="C4625" i="3"/>
  <c r="C4624" i="3"/>
  <c r="C4623" i="3"/>
  <c r="C4622" i="3"/>
  <c r="C4621" i="3"/>
  <c r="C4620" i="3"/>
  <c r="C4619" i="3"/>
  <c r="C4618" i="3"/>
  <c r="C4617" i="3"/>
  <c r="C4616" i="3"/>
  <c r="C4615" i="3"/>
  <c r="C4614" i="3"/>
  <c r="C4613" i="3"/>
  <c r="C4612" i="3"/>
  <c r="C4611" i="3"/>
  <c r="C4610" i="3"/>
  <c r="C4609" i="3"/>
  <c r="C4608" i="3"/>
  <c r="C4607" i="3"/>
  <c r="C4606" i="3"/>
  <c r="C4605" i="3"/>
  <c r="C4604" i="3"/>
  <c r="C4603" i="3"/>
  <c r="C4602" i="3"/>
  <c r="C4601" i="3"/>
  <c r="C4600" i="3"/>
  <c r="C4599" i="3"/>
  <c r="C4598" i="3"/>
  <c r="C4597" i="3"/>
  <c r="C4596" i="3"/>
  <c r="C4595" i="3"/>
  <c r="C4594" i="3"/>
  <c r="C4593" i="3"/>
  <c r="C4592" i="3"/>
  <c r="C4591" i="3"/>
  <c r="C4590" i="3"/>
  <c r="C4589" i="3"/>
  <c r="C4588" i="3"/>
  <c r="C4587" i="3"/>
  <c r="C4586" i="3"/>
  <c r="C4585" i="3"/>
  <c r="C4584" i="3"/>
  <c r="C4583" i="3"/>
  <c r="C4582" i="3"/>
  <c r="C4581" i="3"/>
  <c r="C4580" i="3"/>
  <c r="C4579" i="3"/>
  <c r="C4578" i="3"/>
  <c r="C4577" i="3"/>
  <c r="C4576" i="3"/>
  <c r="C4575" i="3"/>
  <c r="C4574" i="3"/>
  <c r="C4573" i="3"/>
  <c r="C4572" i="3"/>
  <c r="C4571" i="3"/>
  <c r="C4570" i="3"/>
  <c r="C4569" i="3"/>
  <c r="C4568" i="3"/>
  <c r="C4567" i="3"/>
  <c r="C4566" i="3"/>
  <c r="C4565" i="3"/>
  <c r="C4564" i="3"/>
  <c r="C4563" i="3"/>
  <c r="C4562" i="3"/>
  <c r="C4561" i="3"/>
  <c r="C4560" i="3"/>
  <c r="C4559" i="3"/>
  <c r="C4558" i="3"/>
  <c r="C4557" i="3"/>
  <c r="C4556" i="3"/>
  <c r="C4555" i="3"/>
  <c r="C4554" i="3"/>
  <c r="C4553" i="3"/>
  <c r="C4552" i="3"/>
  <c r="C4551" i="3"/>
  <c r="C4550" i="3"/>
  <c r="C4549" i="3"/>
  <c r="C4548" i="3"/>
  <c r="C4547" i="3"/>
  <c r="C4546" i="3"/>
  <c r="C4545" i="3"/>
  <c r="C4544" i="3"/>
  <c r="C4543" i="3"/>
  <c r="C4542" i="3"/>
  <c r="C4541" i="3"/>
  <c r="C4540" i="3"/>
  <c r="C4539" i="3"/>
  <c r="C4538" i="3"/>
  <c r="C4537" i="3"/>
  <c r="C4536" i="3"/>
  <c r="C4535" i="3"/>
  <c r="C4534" i="3"/>
  <c r="C4533" i="3"/>
  <c r="C4532" i="3"/>
  <c r="C4531" i="3"/>
  <c r="C4530" i="3"/>
  <c r="C4529" i="3"/>
  <c r="C4528" i="3"/>
  <c r="C4527" i="3"/>
  <c r="C4526" i="3"/>
  <c r="C4525" i="3"/>
  <c r="C4524" i="3"/>
  <c r="C4523" i="3"/>
  <c r="C4522" i="3"/>
  <c r="C4521" i="3"/>
  <c r="C4520" i="3"/>
  <c r="C4519" i="3"/>
  <c r="C4518" i="3"/>
  <c r="C4517" i="3"/>
  <c r="C4516" i="3"/>
  <c r="C4515" i="3"/>
  <c r="C4514" i="3"/>
  <c r="C4513" i="3"/>
  <c r="C4512" i="3"/>
  <c r="C4511" i="3"/>
  <c r="C4510" i="3"/>
  <c r="C4509" i="3"/>
  <c r="C4508" i="3"/>
  <c r="C4507" i="3"/>
  <c r="C4506" i="3"/>
  <c r="C4505" i="3"/>
  <c r="C4504" i="3"/>
  <c r="C4503" i="3"/>
  <c r="C4502" i="3"/>
  <c r="C4501" i="3"/>
  <c r="C4500" i="3"/>
  <c r="C4499" i="3"/>
  <c r="C4498" i="3"/>
  <c r="C4497" i="3"/>
  <c r="C4496" i="3"/>
  <c r="C4495" i="3"/>
  <c r="C4494" i="3"/>
  <c r="C4493" i="3"/>
  <c r="C4492" i="3"/>
  <c r="C4491" i="3"/>
  <c r="C4490" i="3"/>
  <c r="C4489" i="3"/>
  <c r="C4488" i="3"/>
  <c r="C4487" i="3"/>
  <c r="C4486" i="3"/>
  <c r="C4485" i="3"/>
  <c r="C4484" i="3"/>
  <c r="C4483" i="3"/>
  <c r="C4482" i="3"/>
  <c r="C4481" i="3"/>
  <c r="C4480" i="3"/>
  <c r="C4479" i="3"/>
  <c r="C4478" i="3"/>
  <c r="C4477" i="3"/>
  <c r="C4476" i="3"/>
  <c r="C4475" i="3"/>
  <c r="C4474" i="3"/>
  <c r="C4473" i="3"/>
  <c r="C4472" i="3"/>
  <c r="C4471" i="3"/>
  <c r="C4470" i="3"/>
  <c r="C4469" i="3"/>
  <c r="C4468" i="3"/>
  <c r="C4467" i="3"/>
  <c r="C4466" i="3"/>
  <c r="C4465" i="3"/>
  <c r="C4464" i="3"/>
  <c r="C4463" i="3"/>
  <c r="C4462" i="3"/>
  <c r="C4461" i="3"/>
  <c r="C4460" i="3"/>
  <c r="C4459" i="3"/>
  <c r="C4458" i="3"/>
  <c r="C4457" i="3"/>
  <c r="C4456" i="3"/>
  <c r="C4455" i="3"/>
  <c r="C4454" i="3"/>
  <c r="C4453" i="3"/>
  <c r="C4452" i="3"/>
  <c r="C4451" i="3"/>
  <c r="C4450" i="3"/>
  <c r="C4449" i="3"/>
  <c r="C4448" i="3"/>
  <c r="C4447" i="3"/>
  <c r="C4446" i="3"/>
  <c r="C4445" i="3"/>
  <c r="C4444" i="3"/>
  <c r="C4443" i="3"/>
  <c r="C4442" i="3"/>
  <c r="C4441" i="3"/>
  <c r="C4440" i="3"/>
  <c r="C4439" i="3"/>
  <c r="C4438" i="3"/>
  <c r="C4437" i="3"/>
  <c r="C4436" i="3"/>
  <c r="C4435" i="3"/>
  <c r="C4434" i="3"/>
  <c r="C4433" i="3"/>
  <c r="C4432" i="3"/>
  <c r="C4431" i="3"/>
  <c r="C4430" i="3"/>
  <c r="C4429" i="3"/>
  <c r="C4428" i="3"/>
  <c r="C4427" i="3"/>
  <c r="C4426" i="3"/>
  <c r="C4425" i="3"/>
  <c r="C4424" i="3"/>
  <c r="C4423" i="3"/>
  <c r="C4422" i="3"/>
  <c r="C4421" i="3"/>
  <c r="C4420" i="3"/>
  <c r="C4419" i="3"/>
  <c r="C4418" i="3"/>
  <c r="C4417" i="3"/>
  <c r="C4416" i="3"/>
  <c r="C4415" i="3"/>
  <c r="C4414" i="3"/>
  <c r="C4413" i="3"/>
  <c r="C4412" i="3"/>
  <c r="C4411" i="3"/>
  <c r="C4410" i="3"/>
  <c r="C4409" i="3"/>
  <c r="C4408" i="3"/>
  <c r="C4407" i="3"/>
  <c r="C4406" i="3"/>
  <c r="C4405" i="3"/>
  <c r="C4404" i="3"/>
  <c r="C4403" i="3"/>
  <c r="C4402" i="3"/>
  <c r="C4401" i="3"/>
  <c r="C4400" i="3"/>
  <c r="C4399" i="3"/>
  <c r="C4398" i="3"/>
  <c r="C4397" i="3"/>
  <c r="C4396" i="3"/>
  <c r="C4395" i="3"/>
  <c r="C4394" i="3"/>
  <c r="C4393" i="3"/>
  <c r="C4392" i="3"/>
  <c r="C4391" i="3"/>
  <c r="C4390" i="3"/>
  <c r="C4389" i="3"/>
  <c r="C4388" i="3"/>
  <c r="C4387" i="3"/>
  <c r="C4386" i="3"/>
  <c r="C4385" i="3"/>
  <c r="C4384" i="3"/>
  <c r="C4383" i="3"/>
  <c r="C4382" i="3"/>
  <c r="C4381" i="3"/>
  <c r="C4380" i="3"/>
  <c r="C4379" i="3"/>
  <c r="C4378" i="3"/>
  <c r="C4377" i="3"/>
  <c r="C4376" i="3"/>
  <c r="C4375" i="3"/>
  <c r="C4374" i="3"/>
  <c r="C4373" i="3"/>
  <c r="C4372" i="3"/>
  <c r="C4371" i="3"/>
  <c r="C4370" i="3"/>
  <c r="C4369" i="3"/>
  <c r="C4368" i="3"/>
  <c r="C4367" i="3"/>
  <c r="C4366" i="3"/>
  <c r="C4365" i="3"/>
  <c r="C4364" i="3"/>
  <c r="C4363" i="3"/>
  <c r="C4362" i="3"/>
  <c r="C4361" i="3"/>
  <c r="C4360" i="3"/>
  <c r="C4359" i="3"/>
  <c r="C4358" i="3"/>
  <c r="C4357" i="3"/>
  <c r="C4356" i="3"/>
  <c r="C4355" i="3"/>
  <c r="C4354" i="3"/>
  <c r="C4353" i="3"/>
  <c r="C4352" i="3"/>
  <c r="C4351" i="3"/>
  <c r="C4350" i="3"/>
  <c r="C4349" i="3"/>
  <c r="C4348" i="3"/>
  <c r="C4347" i="3"/>
  <c r="C4346" i="3"/>
  <c r="C4345" i="3"/>
  <c r="C4344" i="3"/>
  <c r="C4343" i="3"/>
  <c r="C4342" i="3"/>
  <c r="C4341" i="3"/>
  <c r="C4340" i="3"/>
  <c r="C4339" i="3"/>
  <c r="C4338" i="3"/>
  <c r="C4337" i="3"/>
  <c r="C4336" i="3"/>
  <c r="C4335" i="3"/>
  <c r="C4334" i="3"/>
  <c r="C4333" i="3"/>
  <c r="C4332" i="3"/>
  <c r="C4331" i="3"/>
  <c r="C4330" i="3"/>
  <c r="C4329" i="3"/>
  <c r="C4328" i="3"/>
  <c r="C4327" i="3"/>
  <c r="C4326" i="3"/>
  <c r="C4325" i="3"/>
  <c r="C4324" i="3"/>
  <c r="C4323" i="3"/>
  <c r="C4322" i="3"/>
  <c r="C4321" i="3"/>
  <c r="C4320" i="3"/>
  <c r="C4319" i="3"/>
  <c r="C4318" i="3"/>
  <c r="C4317" i="3"/>
  <c r="C4316" i="3"/>
  <c r="C4315" i="3"/>
  <c r="C4314" i="3"/>
  <c r="C4313" i="3"/>
  <c r="C4312" i="3"/>
  <c r="C4311" i="3"/>
  <c r="C4310" i="3"/>
  <c r="C4309" i="3"/>
  <c r="C4308" i="3"/>
  <c r="C4307" i="3"/>
  <c r="C4306" i="3"/>
  <c r="C4305" i="3"/>
  <c r="C4304" i="3"/>
  <c r="C4303" i="3"/>
  <c r="C4302" i="3"/>
  <c r="C4301" i="3"/>
  <c r="C4300" i="3"/>
  <c r="C4299" i="3"/>
  <c r="C4298" i="3"/>
  <c r="C4297" i="3"/>
  <c r="C4296" i="3"/>
  <c r="C4295" i="3"/>
  <c r="C4294" i="3"/>
  <c r="C4293" i="3"/>
  <c r="C4292" i="3"/>
  <c r="C4291" i="3"/>
  <c r="C4290" i="3"/>
  <c r="C4289" i="3"/>
  <c r="C4288" i="3"/>
  <c r="C4287" i="3"/>
  <c r="C4286" i="3"/>
  <c r="C4285" i="3"/>
  <c r="C4284" i="3"/>
  <c r="C4283" i="3"/>
  <c r="C4282" i="3"/>
  <c r="C4281" i="3"/>
  <c r="C4280" i="3"/>
  <c r="C4279" i="3"/>
  <c r="C4278" i="3"/>
  <c r="C4277" i="3"/>
  <c r="C4276" i="3"/>
  <c r="C4275" i="3"/>
  <c r="C4274" i="3"/>
  <c r="C4273" i="3"/>
  <c r="C4272" i="3"/>
  <c r="C4271" i="3"/>
  <c r="C4270" i="3"/>
  <c r="C4269" i="3"/>
  <c r="C4268" i="3"/>
  <c r="C4267" i="3"/>
  <c r="C4266" i="3"/>
  <c r="C4265" i="3"/>
  <c r="C4264" i="3"/>
  <c r="C4263" i="3"/>
  <c r="C4262" i="3"/>
  <c r="C4261" i="3"/>
  <c r="C4260" i="3"/>
  <c r="C4259" i="3"/>
  <c r="C4258" i="3"/>
  <c r="C4257" i="3"/>
  <c r="C4256" i="3"/>
  <c r="C4255" i="3"/>
  <c r="C4254" i="3"/>
  <c r="C4253" i="3"/>
  <c r="C4252" i="3"/>
  <c r="C4251" i="3"/>
  <c r="C4250" i="3"/>
  <c r="C4249" i="3"/>
  <c r="C4248" i="3"/>
  <c r="C4247" i="3"/>
  <c r="C4246" i="3"/>
  <c r="C4245" i="3"/>
  <c r="C4244" i="3"/>
  <c r="C4243" i="3"/>
  <c r="C4242" i="3"/>
  <c r="C4241" i="3"/>
  <c r="C4240" i="3"/>
  <c r="C4239" i="3"/>
  <c r="C4238" i="3"/>
  <c r="C4237" i="3"/>
  <c r="C4236" i="3"/>
  <c r="C4235" i="3"/>
  <c r="C4234" i="3"/>
  <c r="C4233" i="3"/>
  <c r="C4232" i="3"/>
  <c r="C4231" i="3"/>
  <c r="C4230" i="3"/>
  <c r="C4229" i="3"/>
  <c r="C4228" i="3"/>
  <c r="C4227" i="3"/>
  <c r="C4226" i="3"/>
  <c r="C4225" i="3"/>
  <c r="C4224" i="3"/>
  <c r="C4223" i="3"/>
  <c r="C4222" i="3"/>
  <c r="C4221" i="3"/>
  <c r="C4220" i="3"/>
  <c r="C4219" i="3"/>
  <c r="C4218" i="3"/>
  <c r="C4217" i="3"/>
  <c r="C4216" i="3"/>
  <c r="C4215" i="3"/>
  <c r="C4214" i="3"/>
  <c r="C4213" i="3"/>
  <c r="C4212" i="3"/>
  <c r="C4211" i="3"/>
  <c r="C4210" i="3"/>
  <c r="C4209" i="3"/>
  <c r="C4208" i="3"/>
  <c r="C4207" i="3"/>
  <c r="C4206" i="3"/>
  <c r="C4205" i="3"/>
  <c r="C4204" i="3"/>
  <c r="C4203" i="3"/>
  <c r="C4202" i="3"/>
  <c r="C4201" i="3"/>
  <c r="C4200" i="3"/>
  <c r="C4199" i="3"/>
  <c r="C4198" i="3"/>
  <c r="C4197" i="3"/>
  <c r="C4196" i="3"/>
  <c r="C4195" i="3"/>
  <c r="C4194" i="3"/>
  <c r="C4193" i="3"/>
  <c r="C4192" i="3"/>
  <c r="C4191" i="3"/>
  <c r="C4190" i="3"/>
  <c r="C4189" i="3"/>
  <c r="C4188" i="3"/>
  <c r="C4187" i="3"/>
  <c r="C4186" i="3"/>
  <c r="C4185" i="3"/>
  <c r="C4184" i="3"/>
  <c r="C4183" i="3"/>
  <c r="C4182" i="3"/>
  <c r="C4181" i="3"/>
  <c r="C4180" i="3"/>
  <c r="C4179" i="3"/>
  <c r="C4178" i="3"/>
  <c r="C4177" i="3"/>
  <c r="C4176" i="3"/>
  <c r="C4175" i="3"/>
  <c r="C4174" i="3"/>
  <c r="C4173" i="3"/>
  <c r="C4172" i="3"/>
  <c r="C4171" i="3"/>
  <c r="C4170" i="3"/>
  <c r="C4169" i="3"/>
  <c r="C4168" i="3"/>
  <c r="C4167" i="3"/>
  <c r="C4166" i="3"/>
  <c r="C4165" i="3"/>
  <c r="C4164" i="3"/>
  <c r="C4163" i="3"/>
  <c r="C4162" i="3"/>
  <c r="C4161" i="3"/>
  <c r="C4160" i="3"/>
  <c r="C4159" i="3"/>
  <c r="C4158" i="3"/>
  <c r="C4157" i="3"/>
  <c r="C4156" i="3"/>
  <c r="C4155" i="3"/>
  <c r="C4154" i="3"/>
  <c r="C4153" i="3"/>
  <c r="C4152" i="3"/>
  <c r="C4151" i="3"/>
  <c r="C4150" i="3"/>
  <c r="C4149" i="3"/>
  <c r="C4148" i="3"/>
  <c r="C4147" i="3"/>
  <c r="C4146" i="3"/>
  <c r="C4145" i="3"/>
  <c r="C4144" i="3"/>
  <c r="C4143" i="3"/>
  <c r="C4142" i="3"/>
  <c r="C4141" i="3"/>
  <c r="C4140" i="3"/>
  <c r="C4139" i="3"/>
  <c r="C4138" i="3"/>
  <c r="C4137" i="3"/>
  <c r="C4136" i="3"/>
  <c r="C4135" i="3"/>
  <c r="C4134" i="3"/>
  <c r="C4133" i="3"/>
  <c r="C4132" i="3"/>
  <c r="C4131" i="3"/>
  <c r="C4130" i="3"/>
  <c r="C4129" i="3"/>
  <c r="C4128" i="3"/>
  <c r="C4127" i="3"/>
  <c r="C4126" i="3"/>
  <c r="C4125" i="3"/>
  <c r="C4124" i="3"/>
  <c r="C4123" i="3"/>
  <c r="C4122" i="3"/>
  <c r="C4121" i="3"/>
  <c r="C4120" i="3"/>
  <c r="C4119" i="3"/>
  <c r="C4118" i="3"/>
  <c r="C4117" i="3"/>
  <c r="C4116" i="3"/>
  <c r="C4115" i="3"/>
  <c r="C4114" i="3"/>
  <c r="C4113" i="3"/>
  <c r="C4112" i="3"/>
  <c r="C4111" i="3"/>
  <c r="C4110" i="3"/>
  <c r="C4109" i="3"/>
  <c r="C4108" i="3"/>
  <c r="C4107" i="3"/>
  <c r="C4106" i="3"/>
  <c r="C4105" i="3"/>
  <c r="C4104" i="3"/>
  <c r="C4103" i="3"/>
  <c r="C4102" i="3"/>
  <c r="C4101" i="3"/>
  <c r="C4100" i="3"/>
  <c r="C4099" i="3"/>
  <c r="C4098" i="3"/>
  <c r="C4097" i="3"/>
  <c r="C4096" i="3"/>
  <c r="C4095" i="3"/>
  <c r="C4094" i="3"/>
  <c r="C4093" i="3"/>
  <c r="C4092" i="3"/>
  <c r="C4091" i="3"/>
  <c r="C4090" i="3"/>
  <c r="C4089" i="3"/>
  <c r="C4088" i="3"/>
  <c r="C4087" i="3"/>
  <c r="C4086" i="3"/>
  <c r="C4085" i="3"/>
  <c r="C4084" i="3"/>
  <c r="C4083" i="3"/>
  <c r="C4082" i="3"/>
  <c r="C4081" i="3"/>
  <c r="C4080" i="3"/>
  <c r="C4079" i="3"/>
  <c r="C4078" i="3"/>
  <c r="C4077" i="3"/>
  <c r="C4076" i="3"/>
  <c r="C4075" i="3"/>
  <c r="C4074" i="3"/>
  <c r="C4073" i="3"/>
  <c r="C4072" i="3"/>
  <c r="C4071" i="3"/>
  <c r="C4070" i="3"/>
  <c r="C4069" i="3"/>
  <c r="C4068" i="3"/>
  <c r="C4067" i="3"/>
  <c r="C4066" i="3"/>
  <c r="C4065" i="3"/>
  <c r="C4064" i="3"/>
  <c r="C4063" i="3"/>
  <c r="C4062" i="3"/>
  <c r="C4061" i="3"/>
  <c r="C4060" i="3"/>
  <c r="C4059" i="3"/>
  <c r="C4058" i="3"/>
  <c r="C4057" i="3"/>
  <c r="C4056" i="3"/>
  <c r="C4055" i="3"/>
  <c r="C4054" i="3"/>
  <c r="C4053" i="3"/>
  <c r="C4052" i="3"/>
  <c r="C4051" i="3"/>
  <c r="C4050" i="3"/>
  <c r="C4049" i="3"/>
  <c r="C4048" i="3"/>
  <c r="C4047" i="3"/>
  <c r="C4046" i="3"/>
  <c r="C4045" i="3"/>
  <c r="C4044" i="3"/>
  <c r="C4043" i="3"/>
  <c r="C4042" i="3"/>
  <c r="C4041" i="3"/>
  <c r="C4040" i="3"/>
  <c r="C4039" i="3"/>
  <c r="C4038" i="3"/>
  <c r="C4037" i="3"/>
  <c r="C4036" i="3"/>
  <c r="C4035" i="3"/>
  <c r="C4034" i="3"/>
  <c r="C4033" i="3"/>
  <c r="C4032" i="3"/>
  <c r="C4031" i="3"/>
  <c r="C4030" i="3"/>
  <c r="C4029" i="3"/>
  <c r="C4028" i="3"/>
  <c r="C4027" i="3"/>
  <c r="C4026" i="3"/>
  <c r="C4025" i="3"/>
  <c r="C4024" i="3"/>
  <c r="C4023" i="3"/>
  <c r="C4022" i="3"/>
  <c r="C4021" i="3"/>
  <c r="C4020" i="3"/>
  <c r="C4019" i="3"/>
  <c r="C4018" i="3"/>
  <c r="C4017" i="3"/>
  <c r="C4016" i="3"/>
  <c r="C4015" i="3"/>
  <c r="C4014" i="3"/>
  <c r="C4013" i="3"/>
  <c r="C4012" i="3"/>
  <c r="C4011" i="3"/>
  <c r="C4010" i="3"/>
  <c r="C4009" i="3"/>
  <c r="C4008" i="3"/>
  <c r="C4007" i="3"/>
  <c r="C4006" i="3"/>
  <c r="C4005" i="3"/>
  <c r="C4004" i="3"/>
  <c r="C4003" i="3"/>
  <c r="C4002" i="3"/>
  <c r="C4001" i="3"/>
  <c r="C4000" i="3"/>
  <c r="C3999" i="3"/>
  <c r="C3998" i="3"/>
  <c r="C3997" i="3"/>
  <c r="C3996" i="3"/>
  <c r="C3995" i="3"/>
  <c r="C3994" i="3"/>
  <c r="C3993" i="3"/>
  <c r="C3992" i="3"/>
  <c r="C3991" i="3"/>
  <c r="C3990" i="3"/>
  <c r="C3989" i="3"/>
  <c r="C3988" i="3"/>
  <c r="C3987" i="3"/>
  <c r="C3986" i="3"/>
  <c r="C3985" i="3"/>
  <c r="C3984" i="3"/>
  <c r="C3983" i="3"/>
  <c r="C3982" i="3"/>
  <c r="C3981" i="3"/>
  <c r="C3980" i="3"/>
  <c r="C3979" i="3"/>
  <c r="C3978" i="3"/>
  <c r="C3977" i="3"/>
  <c r="C3976" i="3"/>
  <c r="C3975" i="3"/>
  <c r="C3974" i="3"/>
  <c r="C3973" i="3"/>
  <c r="C3972" i="3"/>
  <c r="C3971" i="3"/>
  <c r="C3970" i="3"/>
  <c r="C3969" i="3"/>
  <c r="C3968" i="3"/>
  <c r="C3967" i="3"/>
  <c r="C3966" i="3"/>
  <c r="C3965" i="3"/>
  <c r="C3964" i="3"/>
  <c r="C3963" i="3"/>
  <c r="C3962" i="3"/>
  <c r="C3961" i="3"/>
  <c r="C3960" i="3"/>
  <c r="C3959" i="3"/>
  <c r="C3958" i="3"/>
  <c r="C3957" i="3"/>
  <c r="C3956" i="3"/>
  <c r="C3955" i="3"/>
  <c r="C3954" i="3"/>
  <c r="C3953" i="3"/>
  <c r="C3952" i="3"/>
  <c r="C3951" i="3"/>
  <c r="C3950" i="3"/>
  <c r="C3949" i="3"/>
  <c r="C3948" i="3"/>
  <c r="C3947" i="3"/>
  <c r="C3946" i="3"/>
  <c r="C3945" i="3"/>
  <c r="C3944" i="3"/>
  <c r="C3943" i="3"/>
  <c r="C3942" i="3"/>
  <c r="C3941" i="3"/>
  <c r="C3940" i="3"/>
  <c r="C3939" i="3"/>
  <c r="C3938" i="3"/>
  <c r="C3937" i="3"/>
  <c r="C3936" i="3"/>
  <c r="C3935" i="3"/>
  <c r="C3934" i="3"/>
  <c r="C3933" i="3"/>
  <c r="C3932" i="3"/>
  <c r="C3931" i="3"/>
  <c r="C3930" i="3"/>
  <c r="C3929" i="3"/>
  <c r="C3928" i="3"/>
  <c r="C3927" i="3"/>
  <c r="C3926" i="3"/>
  <c r="C3925" i="3"/>
  <c r="C3924" i="3"/>
  <c r="C3923" i="3"/>
  <c r="C3922" i="3"/>
  <c r="C3921" i="3"/>
  <c r="C3920" i="3"/>
  <c r="C3919" i="3"/>
  <c r="C3918" i="3"/>
  <c r="C3917" i="3"/>
  <c r="C3916" i="3"/>
  <c r="C3915" i="3"/>
  <c r="C3914" i="3"/>
  <c r="C3913" i="3"/>
  <c r="C3912" i="3"/>
  <c r="C3911" i="3"/>
  <c r="C3910" i="3"/>
  <c r="C3909" i="3"/>
  <c r="C3908" i="3"/>
  <c r="C3907" i="3"/>
  <c r="C3906" i="3"/>
  <c r="C3905" i="3"/>
  <c r="C3904" i="3"/>
  <c r="C3903" i="3"/>
  <c r="C3902" i="3"/>
  <c r="C3901" i="3"/>
  <c r="C3900" i="3"/>
  <c r="C3899" i="3"/>
  <c r="C3898" i="3"/>
  <c r="C3897" i="3"/>
  <c r="C3896" i="3"/>
  <c r="C3895" i="3"/>
  <c r="C3894" i="3"/>
  <c r="C3893" i="3"/>
  <c r="C3892" i="3"/>
  <c r="C3891" i="3"/>
  <c r="C3890" i="3"/>
  <c r="C3889" i="3"/>
  <c r="C3888" i="3"/>
  <c r="C3887" i="3"/>
  <c r="C3886" i="3"/>
  <c r="C3885" i="3"/>
  <c r="C3884" i="3"/>
  <c r="C3883" i="3"/>
  <c r="C3882" i="3"/>
  <c r="C3881" i="3"/>
  <c r="C3880" i="3"/>
  <c r="C3879" i="3"/>
  <c r="C3878" i="3"/>
  <c r="C3877" i="3"/>
  <c r="C3876" i="3"/>
  <c r="C3875" i="3"/>
  <c r="C3874" i="3"/>
  <c r="C3873" i="3"/>
  <c r="C3872" i="3"/>
  <c r="C3871" i="3"/>
  <c r="C3870" i="3"/>
  <c r="C3869" i="3"/>
  <c r="C3868" i="3"/>
  <c r="C3867" i="3"/>
  <c r="C3866" i="3"/>
  <c r="C3865" i="3"/>
  <c r="C3864" i="3"/>
  <c r="C3863" i="3"/>
  <c r="C3862" i="3"/>
  <c r="C3861" i="3"/>
  <c r="C3860" i="3"/>
  <c r="C3859" i="3"/>
  <c r="C3858" i="3"/>
  <c r="C3857" i="3"/>
  <c r="C3856" i="3"/>
  <c r="C3855" i="3"/>
  <c r="C3854" i="3"/>
  <c r="C3853" i="3"/>
  <c r="C3852" i="3"/>
  <c r="C3851" i="3"/>
  <c r="C3850" i="3"/>
  <c r="C3849" i="3"/>
  <c r="C3848" i="3"/>
  <c r="C3847" i="3"/>
  <c r="C3846" i="3"/>
  <c r="C3845" i="3"/>
  <c r="C3844" i="3"/>
  <c r="C3843" i="3"/>
  <c r="C3842" i="3"/>
  <c r="C3841" i="3"/>
  <c r="C3840" i="3"/>
  <c r="C3839" i="3"/>
  <c r="C3838" i="3"/>
  <c r="C3837" i="3"/>
  <c r="C3836" i="3"/>
  <c r="C3835" i="3"/>
  <c r="C3834" i="3"/>
  <c r="C3833" i="3"/>
  <c r="C3832" i="3"/>
  <c r="C3831" i="3"/>
  <c r="C3830" i="3"/>
  <c r="C3829" i="3"/>
  <c r="C3828" i="3"/>
  <c r="C3827" i="3"/>
  <c r="C3826" i="3"/>
  <c r="C3825" i="3"/>
  <c r="C3824" i="3"/>
  <c r="C3823" i="3"/>
  <c r="C3822" i="3"/>
  <c r="C3821" i="3"/>
  <c r="C3820" i="3"/>
  <c r="C3819" i="3"/>
  <c r="C3818" i="3"/>
  <c r="C3817" i="3"/>
  <c r="C3816" i="3"/>
  <c r="C3815" i="3"/>
  <c r="C3814" i="3"/>
  <c r="C3813" i="3"/>
  <c r="C3812" i="3"/>
  <c r="C3811" i="3"/>
  <c r="C3810" i="3"/>
  <c r="C3809" i="3"/>
  <c r="C3808" i="3"/>
  <c r="C3807" i="3"/>
  <c r="C3806" i="3"/>
  <c r="C3805" i="3"/>
  <c r="C3804" i="3"/>
  <c r="C3803" i="3"/>
  <c r="C3802" i="3"/>
  <c r="C3801" i="3"/>
  <c r="C3800" i="3"/>
  <c r="C3799" i="3"/>
  <c r="C3798" i="3"/>
  <c r="C3797" i="3"/>
  <c r="C3796" i="3"/>
  <c r="C3795" i="3"/>
  <c r="C3794" i="3"/>
  <c r="C3793" i="3"/>
  <c r="C3792" i="3"/>
  <c r="C3791" i="3"/>
  <c r="C3790" i="3"/>
  <c r="C3789" i="3"/>
  <c r="C3788" i="3"/>
  <c r="C3787" i="3"/>
  <c r="C3786" i="3"/>
  <c r="C3785" i="3"/>
  <c r="C3784" i="3"/>
  <c r="C3783" i="3"/>
  <c r="C3782" i="3"/>
  <c r="C3781" i="3"/>
  <c r="C3780" i="3"/>
  <c r="C3779" i="3"/>
  <c r="C3778" i="3"/>
  <c r="C3777" i="3"/>
  <c r="C3776" i="3"/>
  <c r="C3775" i="3"/>
  <c r="C3774" i="3"/>
  <c r="C3773" i="3"/>
  <c r="C3772" i="3"/>
  <c r="C3771" i="3"/>
  <c r="C3770" i="3"/>
  <c r="C3769" i="3"/>
  <c r="C3768" i="3"/>
  <c r="C3767" i="3"/>
  <c r="C3766" i="3"/>
  <c r="C3765" i="3"/>
  <c r="C3764" i="3"/>
  <c r="C3763" i="3"/>
  <c r="C3762" i="3"/>
  <c r="C3761" i="3"/>
  <c r="C3760" i="3"/>
  <c r="C3759" i="3"/>
  <c r="C3758" i="3"/>
  <c r="C3757" i="3"/>
  <c r="C3756" i="3"/>
  <c r="C3755" i="3"/>
  <c r="C3754" i="3"/>
  <c r="C3753" i="3"/>
  <c r="C3752" i="3"/>
  <c r="C3751" i="3"/>
  <c r="C3750" i="3"/>
  <c r="C3749" i="3"/>
  <c r="C3748" i="3"/>
  <c r="C3747" i="3"/>
  <c r="C3746" i="3"/>
  <c r="C3745" i="3"/>
  <c r="C3744" i="3"/>
  <c r="C3743" i="3"/>
  <c r="C3742" i="3"/>
  <c r="C3741" i="3"/>
  <c r="C3740" i="3"/>
  <c r="C3739" i="3"/>
  <c r="C3738" i="3"/>
  <c r="C3737" i="3"/>
  <c r="C3736" i="3"/>
  <c r="C3735" i="3"/>
  <c r="C3734" i="3"/>
  <c r="C3733" i="3"/>
  <c r="C3732" i="3"/>
  <c r="C3731" i="3"/>
  <c r="C3730" i="3"/>
  <c r="C3729" i="3"/>
  <c r="C3728" i="3"/>
  <c r="C3727" i="3"/>
  <c r="C3726" i="3"/>
  <c r="C3725" i="3"/>
  <c r="C3724" i="3"/>
  <c r="C3723" i="3"/>
  <c r="C3722" i="3"/>
  <c r="C3721" i="3"/>
  <c r="C3720" i="3"/>
  <c r="C3719" i="3"/>
  <c r="C3718" i="3"/>
  <c r="C3717" i="3"/>
  <c r="C3716" i="3"/>
  <c r="C3715" i="3"/>
  <c r="C3714" i="3"/>
  <c r="C3713" i="3"/>
  <c r="C3712" i="3"/>
  <c r="C3711" i="3"/>
  <c r="C3710" i="3"/>
  <c r="C3709" i="3"/>
  <c r="C3708" i="3"/>
  <c r="C3707" i="3"/>
  <c r="C3706" i="3"/>
  <c r="C3705" i="3"/>
  <c r="C3704" i="3"/>
  <c r="C3703" i="3"/>
  <c r="C3702" i="3"/>
  <c r="C3701" i="3"/>
  <c r="C3700" i="3"/>
  <c r="C3699" i="3"/>
  <c r="C3698" i="3"/>
  <c r="C3697" i="3"/>
  <c r="C3696" i="3"/>
  <c r="C3695" i="3"/>
  <c r="C3694" i="3"/>
  <c r="C3693" i="3"/>
  <c r="C3692" i="3"/>
  <c r="C3691" i="3"/>
  <c r="C3690" i="3"/>
  <c r="C3689" i="3"/>
  <c r="C3688" i="3"/>
  <c r="C3687" i="3"/>
  <c r="C3686" i="3"/>
  <c r="C3685" i="3"/>
  <c r="C3684" i="3"/>
  <c r="C3683" i="3"/>
  <c r="C3682" i="3"/>
  <c r="C3681" i="3"/>
  <c r="C3680" i="3"/>
  <c r="C3679" i="3"/>
  <c r="C3678" i="3"/>
  <c r="C3677" i="3"/>
  <c r="C3676" i="3"/>
  <c r="C3675" i="3"/>
  <c r="C3674" i="3"/>
  <c r="C3673" i="3"/>
  <c r="C3672" i="3"/>
  <c r="C3671" i="3"/>
  <c r="C3670" i="3"/>
  <c r="C3669" i="3"/>
  <c r="C3668" i="3"/>
  <c r="C3667" i="3"/>
  <c r="C3666" i="3"/>
  <c r="C3665" i="3"/>
  <c r="C3664" i="3"/>
  <c r="C3663" i="3"/>
  <c r="C3662" i="3"/>
  <c r="C3661" i="3"/>
  <c r="C3660" i="3"/>
  <c r="C3659" i="3"/>
  <c r="C3658" i="3"/>
  <c r="C3657" i="3"/>
  <c r="C3656" i="3"/>
  <c r="C3655" i="3"/>
  <c r="C3654" i="3"/>
  <c r="C3653" i="3"/>
  <c r="C3652" i="3"/>
  <c r="C3651" i="3"/>
  <c r="C3650" i="3"/>
  <c r="C3649" i="3"/>
  <c r="C3648" i="3"/>
  <c r="C3647" i="3"/>
  <c r="C3646" i="3"/>
  <c r="C3645" i="3"/>
  <c r="C3644" i="3"/>
  <c r="C3643" i="3"/>
  <c r="C3642" i="3"/>
  <c r="C3641" i="3"/>
  <c r="C3640" i="3"/>
  <c r="C3639" i="3"/>
  <c r="C3638" i="3"/>
  <c r="C3637" i="3"/>
  <c r="C3636" i="3"/>
  <c r="C3635" i="3"/>
  <c r="C3634" i="3"/>
  <c r="C3633" i="3"/>
  <c r="C3632" i="3"/>
  <c r="C3631" i="3"/>
  <c r="C3630" i="3"/>
  <c r="C3629" i="3"/>
  <c r="C3628" i="3"/>
  <c r="C3627" i="3"/>
  <c r="C3626" i="3"/>
  <c r="C3625" i="3"/>
  <c r="C3624" i="3"/>
  <c r="C3623" i="3"/>
  <c r="C3622" i="3"/>
  <c r="C3621" i="3"/>
  <c r="C3620" i="3"/>
  <c r="C3619" i="3"/>
  <c r="C3618" i="3"/>
  <c r="C3617" i="3"/>
  <c r="C3616" i="3"/>
  <c r="C3615" i="3"/>
  <c r="C3614" i="3"/>
  <c r="C3613" i="3"/>
  <c r="C3612" i="3"/>
  <c r="C3611" i="3"/>
  <c r="C3610" i="3"/>
  <c r="C3609" i="3"/>
  <c r="C3608" i="3"/>
  <c r="C3607" i="3"/>
  <c r="C3606" i="3"/>
  <c r="C3605" i="3"/>
  <c r="C3604" i="3"/>
  <c r="C3603" i="3"/>
  <c r="C3602" i="3"/>
  <c r="C3601" i="3"/>
  <c r="C3600" i="3"/>
  <c r="C3599" i="3"/>
  <c r="C3598" i="3"/>
  <c r="C3597" i="3"/>
  <c r="C3596" i="3"/>
  <c r="C3595" i="3"/>
  <c r="C3594" i="3"/>
  <c r="C3593" i="3"/>
  <c r="C3592" i="3"/>
  <c r="C3591" i="3"/>
  <c r="C3590" i="3"/>
  <c r="C3589" i="3"/>
  <c r="C3588" i="3"/>
  <c r="C3587" i="3"/>
  <c r="C3586" i="3"/>
  <c r="C3585" i="3"/>
  <c r="C3584" i="3"/>
  <c r="C3583" i="3"/>
  <c r="C3582" i="3"/>
  <c r="C3581" i="3"/>
  <c r="C3580" i="3"/>
  <c r="C3579" i="3"/>
  <c r="C3578" i="3"/>
  <c r="C3577" i="3"/>
  <c r="C3576" i="3"/>
  <c r="C3575" i="3"/>
  <c r="C3574" i="3"/>
  <c r="C3573" i="3"/>
  <c r="C3572" i="3"/>
  <c r="C3571" i="3"/>
  <c r="C3570" i="3"/>
  <c r="C3569" i="3"/>
  <c r="C3568" i="3"/>
  <c r="C3567" i="3"/>
  <c r="C3566" i="3"/>
  <c r="C3565" i="3"/>
  <c r="C3564" i="3"/>
  <c r="C3563" i="3"/>
  <c r="C3562" i="3"/>
  <c r="C3561" i="3"/>
  <c r="C3560" i="3"/>
  <c r="C3559" i="3"/>
  <c r="C3558" i="3"/>
  <c r="C3557" i="3"/>
  <c r="C3556" i="3"/>
  <c r="C3555" i="3"/>
  <c r="C3554" i="3"/>
  <c r="C3553" i="3"/>
  <c r="C3552" i="3"/>
  <c r="C3551" i="3"/>
  <c r="C3550" i="3"/>
  <c r="C3549" i="3"/>
  <c r="C3548" i="3"/>
  <c r="C3547" i="3"/>
  <c r="C3546" i="3"/>
  <c r="C3545" i="3"/>
  <c r="C3544" i="3"/>
  <c r="C3543" i="3"/>
  <c r="C3542" i="3"/>
  <c r="C3541" i="3"/>
  <c r="C3540" i="3"/>
  <c r="C3539" i="3"/>
  <c r="C3538" i="3"/>
  <c r="C3537" i="3"/>
  <c r="C3536" i="3"/>
  <c r="C3535" i="3"/>
  <c r="C3534" i="3"/>
  <c r="C3533" i="3"/>
  <c r="C3532" i="3"/>
  <c r="C3531" i="3"/>
  <c r="C3530" i="3"/>
  <c r="C3529" i="3"/>
  <c r="C3528" i="3"/>
  <c r="C3527" i="3"/>
  <c r="C3526" i="3"/>
  <c r="C3525" i="3"/>
  <c r="C3524" i="3"/>
  <c r="C3523" i="3"/>
  <c r="C3522" i="3"/>
  <c r="C3521" i="3"/>
  <c r="C3520" i="3"/>
  <c r="C3519" i="3"/>
  <c r="C3518" i="3"/>
  <c r="C3517" i="3"/>
  <c r="C3516" i="3"/>
  <c r="C3515" i="3"/>
  <c r="C3514" i="3"/>
  <c r="C3513" i="3"/>
  <c r="C3512" i="3"/>
  <c r="C3511" i="3"/>
  <c r="C3510" i="3"/>
  <c r="C3509" i="3"/>
  <c r="C3508" i="3"/>
  <c r="C3507" i="3"/>
  <c r="C3506" i="3"/>
  <c r="C3505" i="3"/>
  <c r="C3504" i="3"/>
  <c r="C3503" i="3"/>
  <c r="C3502" i="3"/>
  <c r="C3501" i="3"/>
  <c r="C3500" i="3"/>
  <c r="C3499" i="3"/>
  <c r="C3498" i="3"/>
  <c r="C3497" i="3"/>
  <c r="C3496" i="3"/>
  <c r="C3495" i="3"/>
  <c r="C3494" i="3"/>
  <c r="C3493" i="3"/>
  <c r="C3492" i="3"/>
  <c r="C3491" i="3"/>
  <c r="C3490" i="3"/>
  <c r="C3489" i="3"/>
  <c r="C3488" i="3"/>
  <c r="C3487" i="3"/>
  <c r="C3486" i="3"/>
  <c r="C3485" i="3"/>
  <c r="C3484" i="3"/>
  <c r="C3483" i="3"/>
  <c r="C3482" i="3"/>
  <c r="C3481" i="3"/>
  <c r="C3480" i="3"/>
  <c r="C3479" i="3"/>
  <c r="C3478" i="3"/>
  <c r="C3477" i="3"/>
  <c r="C3476" i="3"/>
  <c r="C3475" i="3"/>
  <c r="C3474" i="3"/>
  <c r="C3473" i="3"/>
  <c r="C3472" i="3"/>
  <c r="C3471" i="3"/>
  <c r="C3470" i="3"/>
  <c r="C3469" i="3"/>
  <c r="C3468" i="3"/>
  <c r="C3467" i="3"/>
  <c r="C3466" i="3"/>
  <c r="C3465" i="3"/>
  <c r="C3464" i="3"/>
  <c r="C3463" i="3"/>
  <c r="C3462" i="3"/>
  <c r="C3461" i="3"/>
  <c r="C3460" i="3"/>
  <c r="C3459" i="3"/>
  <c r="C3458" i="3"/>
  <c r="C3457" i="3"/>
  <c r="C3456" i="3"/>
  <c r="C3455" i="3"/>
  <c r="C3454" i="3"/>
  <c r="C3453" i="3"/>
  <c r="C3452" i="3"/>
  <c r="C3451" i="3"/>
  <c r="C3450" i="3"/>
  <c r="C3449" i="3"/>
  <c r="C3448" i="3"/>
  <c r="C3447" i="3"/>
  <c r="C3446" i="3"/>
  <c r="C3445" i="3"/>
  <c r="C3444" i="3"/>
  <c r="C3443" i="3"/>
  <c r="C3442" i="3"/>
  <c r="C3441" i="3"/>
  <c r="C3440" i="3"/>
  <c r="C3439" i="3"/>
  <c r="C3438" i="3"/>
  <c r="C3437" i="3"/>
  <c r="C3436" i="3"/>
  <c r="C3435" i="3"/>
  <c r="C3434" i="3"/>
  <c r="C3433" i="3"/>
  <c r="C3432" i="3"/>
  <c r="C3431" i="3"/>
  <c r="C3430" i="3"/>
  <c r="C3429" i="3"/>
  <c r="C3428" i="3"/>
  <c r="C3427" i="3"/>
  <c r="C3426" i="3"/>
  <c r="C3425" i="3"/>
  <c r="C3424" i="3"/>
  <c r="C3423" i="3"/>
  <c r="C3422" i="3"/>
  <c r="C3421" i="3"/>
  <c r="C3420" i="3"/>
  <c r="C3419" i="3"/>
  <c r="C3418" i="3"/>
  <c r="C3417" i="3"/>
  <c r="C3416" i="3"/>
  <c r="C3415" i="3"/>
  <c r="C3414" i="3"/>
  <c r="C3413" i="3"/>
  <c r="C3412" i="3"/>
  <c r="C3411" i="3"/>
  <c r="C3410" i="3"/>
  <c r="C3409" i="3"/>
  <c r="C3408" i="3"/>
  <c r="C3407" i="3"/>
  <c r="C3406" i="3"/>
  <c r="C3405" i="3"/>
  <c r="C3404" i="3"/>
  <c r="C3403" i="3"/>
  <c r="C3402" i="3"/>
  <c r="C3401" i="3"/>
  <c r="C3400" i="3"/>
  <c r="C3399" i="3"/>
  <c r="C3398" i="3"/>
  <c r="C3397" i="3"/>
  <c r="C3396" i="3"/>
  <c r="C3395" i="3"/>
  <c r="C3394" i="3"/>
  <c r="C3393" i="3"/>
  <c r="C3392" i="3"/>
  <c r="C3391" i="3"/>
  <c r="C3390" i="3"/>
  <c r="C3389" i="3"/>
  <c r="C3388" i="3"/>
  <c r="C3387" i="3"/>
  <c r="C3386" i="3"/>
  <c r="C3385" i="3"/>
  <c r="C3384" i="3"/>
  <c r="C3383" i="3"/>
  <c r="C3382" i="3"/>
  <c r="C3381" i="3"/>
  <c r="C3380" i="3"/>
  <c r="C3379" i="3"/>
  <c r="C3378" i="3"/>
  <c r="C3377" i="3"/>
  <c r="C3376" i="3"/>
  <c r="C3375" i="3"/>
  <c r="C3374" i="3"/>
  <c r="C3373" i="3"/>
  <c r="C3372" i="3"/>
  <c r="C3371" i="3"/>
  <c r="C3370" i="3"/>
  <c r="C3369" i="3"/>
  <c r="C3368" i="3"/>
  <c r="C3367" i="3"/>
  <c r="C3366" i="3"/>
  <c r="C3365" i="3"/>
  <c r="C3364" i="3"/>
  <c r="C3363" i="3"/>
  <c r="C3362" i="3"/>
  <c r="C3361" i="3"/>
  <c r="C3360" i="3"/>
  <c r="C3359" i="3"/>
  <c r="C3358" i="3"/>
  <c r="C3357" i="3"/>
  <c r="C3356" i="3"/>
  <c r="C3355" i="3"/>
  <c r="C3354" i="3"/>
  <c r="C3353" i="3"/>
  <c r="C3352" i="3"/>
  <c r="C3351" i="3"/>
  <c r="C3350" i="3"/>
  <c r="C3349" i="3"/>
  <c r="C3348" i="3"/>
  <c r="C3347" i="3"/>
  <c r="C3346" i="3"/>
  <c r="C3345" i="3"/>
  <c r="C3344" i="3"/>
  <c r="C3343" i="3"/>
  <c r="C3342" i="3"/>
  <c r="C3341" i="3"/>
  <c r="C3340" i="3"/>
  <c r="C3339" i="3"/>
  <c r="C3338" i="3"/>
  <c r="C3337" i="3"/>
  <c r="C3336" i="3"/>
  <c r="C3335" i="3"/>
  <c r="C3334" i="3"/>
  <c r="C3333" i="3"/>
  <c r="C3332" i="3"/>
  <c r="C3331" i="3"/>
  <c r="C3330" i="3"/>
  <c r="C3329" i="3"/>
  <c r="C3328" i="3"/>
  <c r="C3327" i="3"/>
  <c r="C3326" i="3"/>
  <c r="C3325" i="3"/>
  <c r="C3324" i="3"/>
  <c r="C3323" i="3"/>
  <c r="C3322" i="3"/>
  <c r="C3321" i="3"/>
  <c r="C3320" i="3"/>
  <c r="C3319" i="3"/>
  <c r="C3318" i="3"/>
  <c r="C3317" i="3"/>
  <c r="C3316" i="3"/>
  <c r="C3315" i="3"/>
  <c r="C3314" i="3"/>
  <c r="C3313" i="3"/>
  <c r="C3312" i="3"/>
  <c r="C3311" i="3"/>
  <c r="C3310" i="3"/>
  <c r="C3309" i="3"/>
  <c r="C3308" i="3"/>
  <c r="C3307" i="3"/>
  <c r="C3306" i="3"/>
  <c r="C3305" i="3"/>
  <c r="C3304" i="3"/>
  <c r="C3303" i="3"/>
  <c r="C3302" i="3"/>
  <c r="C3301" i="3"/>
  <c r="C3300" i="3"/>
  <c r="C3299" i="3"/>
  <c r="C3298" i="3"/>
  <c r="C3297" i="3"/>
  <c r="C3296" i="3"/>
  <c r="C3295" i="3"/>
  <c r="C3294" i="3"/>
  <c r="C3293" i="3"/>
  <c r="C3292" i="3"/>
  <c r="C3291" i="3"/>
  <c r="C3290" i="3"/>
  <c r="C3289" i="3"/>
  <c r="C3288" i="3"/>
  <c r="C3287" i="3"/>
  <c r="C3286" i="3"/>
  <c r="C3285" i="3"/>
  <c r="C3284" i="3"/>
  <c r="C3283" i="3"/>
  <c r="C3282" i="3"/>
  <c r="C3281" i="3"/>
  <c r="C3280" i="3"/>
  <c r="C3279" i="3"/>
  <c r="C3278" i="3"/>
  <c r="C3277" i="3"/>
  <c r="C3276" i="3"/>
  <c r="C3275" i="3"/>
  <c r="C3274" i="3"/>
  <c r="C3273" i="3"/>
  <c r="C3272" i="3"/>
  <c r="C3271" i="3"/>
  <c r="C3270" i="3"/>
  <c r="C3269" i="3"/>
  <c r="C3268" i="3"/>
  <c r="C3267" i="3"/>
  <c r="C3266" i="3"/>
  <c r="C3265" i="3"/>
  <c r="C3264" i="3"/>
  <c r="C3263" i="3"/>
  <c r="C3262" i="3"/>
  <c r="C3261" i="3"/>
  <c r="C3260" i="3"/>
  <c r="C3259" i="3"/>
  <c r="C3258" i="3"/>
  <c r="C3257" i="3"/>
  <c r="C3256" i="3"/>
  <c r="C3255" i="3"/>
  <c r="C3254" i="3"/>
  <c r="C3253" i="3"/>
  <c r="C3252" i="3"/>
  <c r="C3251" i="3"/>
  <c r="C3250" i="3"/>
  <c r="C3249" i="3"/>
  <c r="C3248" i="3"/>
  <c r="C3247" i="3"/>
  <c r="C3246" i="3"/>
  <c r="C3245" i="3"/>
  <c r="C3244" i="3"/>
  <c r="C3243" i="3"/>
  <c r="C3242" i="3"/>
  <c r="C3241" i="3"/>
  <c r="C3240" i="3"/>
  <c r="C3239" i="3"/>
  <c r="C3238" i="3"/>
  <c r="C3237" i="3"/>
  <c r="C3236" i="3"/>
  <c r="C3235" i="3"/>
  <c r="C3234" i="3"/>
  <c r="C3233" i="3"/>
  <c r="C3232" i="3"/>
  <c r="C3231" i="3"/>
  <c r="C3230" i="3"/>
  <c r="C3229" i="3"/>
  <c r="C3228" i="3"/>
  <c r="C3227" i="3"/>
  <c r="C3226" i="3"/>
  <c r="C3225" i="3"/>
  <c r="C3224" i="3"/>
  <c r="C3223" i="3"/>
  <c r="C3222" i="3"/>
  <c r="C3221" i="3"/>
  <c r="C3220" i="3"/>
  <c r="C3219" i="3"/>
  <c r="C3218" i="3"/>
  <c r="C3217" i="3"/>
  <c r="C3216" i="3"/>
  <c r="C3215" i="3"/>
  <c r="C3214" i="3"/>
  <c r="C3213" i="3"/>
  <c r="C3212" i="3"/>
  <c r="C3211" i="3"/>
  <c r="C3210" i="3"/>
  <c r="C3209" i="3"/>
  <c r="C3208" i="3"/>
  <c r="C3207" i="3"/>
  <c r="C3206" i="3"/>
  <c r="C3205" i="3"/>
  <c r="C3204" i="3"/>
  <c r="C3203" i="3"/>
  <c r="C3202" i="3"/>
  <c r="C3201" i="3"/>
  <c r="C3200" i="3"/>
  <c r="C3199" i="3"/>
  <c r="C3198" i="3"/>
  <c r="C3197" i="3"/>
  <c r="C3196" i="3"/>
  <c r="C3195" i="3"/>
  <c r="C3194" i="3"/>
  <c r="C3193" i="3"/>
  <c r="C3192" i="3"/>
  <c r="C3191" i="3"/>
  <c r="C3190" i="3"/>
  <c r="C3189" i="3"/>
  <c r="C3188" i="3"/>
  <c r="C3187" i="3"/>
  <c r="C3186" i="3"/>
  <c r="C3185" i="3"/>
  <c r="C3184" i="3"/>
  <c r="C3183" i="3"/>
  <c r="C3182" i="3"/>
  <c r="C3181" i="3"/>
  <c r="C3180" i="3"/>
  <c r="C3179" i="3"/>
  <c r="C3178" i="3"/>
  <c r="C3177" i="3"/>
  <c r="C3176" i="3"/>
  <c r="C3175" i="3"/>
  <c r="C3174" i="3"/>
  <c r="C3173" i="3"/>
  <c r="C3172" i="3"/>
  <c r="C3171" i="3"/>
  <c r="C3170" i="3"/>
  <c r="C3169" i="3"/>
  <c r="C3168" i="3"/>
  <c r="C3167" i="3"/>
  <c r="C3166" i="3"/>
  <c r="C3165" i="3"/>
  <c r="C3164" i="3"/>
  <c r="C3163" i="3"/>
  <c r="C3162" i="3"/>
  <c r="C3161" i="3"/>
  <c r="C3160" i="3"/>
  <c r="C3159" i="3"/>
  <c r="C3158" i="3"/>
  <c r="C3157" i="3"/>
  <c r="C3156" i="3"/>
  <c r="C3155" i="3"/>
  <c r="C3154" i="3"/>
  <c r="C3153" i="3"/>
  <c r="C3152" i="3"/>
  <c r="C3151" i="3"/>
  <c r="C3150" i="3"/>
  <c r="C3149" i="3"/>
  <c r="C3148" i="3"/>
  <c r="C3147" i="3"/>
  <c r="C3146" i="3"/>
  <c r="C3145" i="3"/>
  <c r="C3144" i="3"/>
  <c r="C3143" i="3"/>
  <c r="C3142" i="3"/>
  <c r="C3141" i="3"/>
  <c r="C3140" i="3"/>
  <c r="C3139" i="3"/>
  <c r="C3138" i="3"/>
  <c r="C3137" i="3"/>
  <c r="C3136" i="3"/>
  <c r="C3135" i="3"/>
  <c r="C3134" i="3"/>
  <c r="C3133" i="3"/>
  <c r="C3132" i="3"/>
  <c r="C3131" i="3"/>
  <c r="C3130" i="3"/>
  <c r="C3129" i="3"/>
  <c r="C3128" i="3"/>
  <c r="C3127" i="3"/>
  <c r="C3126" i="3"/>
  <c r="C3125" i="3"/>
  <c r="C3124" i="3"/>
  <c r="C3123" i="3"/>
  <c r="C3122" i="3"/>
  <c r="C3121" i="3"/>
  <c r="C3120" i="3"/>
  <c r="C3119" i="3"/>
  <c r="C3118" i="3"/>
  <c r="C3117" i="3"/>
  <c r="C3116" i="3"/>
  <c r="C3115" i="3"/>
  <c r="C3114" i="3"/>
  <c r="C3113" i="3"/>
  <c r="C3112" i="3"/>
  <c r="C3111" i="3"/>
  <c r="C3110" i="3"/>
  <c r="C3109" i="3"/>
  <c r="C3108" i="3"/>
  <c r="C3107" i="3"/>
  <c r="C3106" i="3"/>
  <c r="C3105" i="3"/>
  <c r="C3104" i="3"/>
  <c r="C3103" i="3"/>
  <c r="C3102" i="3"/>
  <c r="C3101" i="3"/>
  <c r="C3100" i="3"/>
  <c r="C3099" i="3"/>
  <c r="C3098" i="3"/>
  <c r="C3097" i="3"/>
  <c r="C3096" i="3"/>
  <c r="C3095" i="3"/>
  <c r="C3094" i="3"/>
  <c r="C3093" i="3"/>
  <c r="C3092" i="3"/>
  <c r="C3091" i="3"/>
  <c r="C3090" i="3"/>
  <c r="C3089" i="3"/>
  <c r="C3088" i="3"/>
  <c r="C3087" i="3"/>
  <c r="C3086" i="3"/>
  <c r="C3085" i="3"/>
  <c r="C3084" i="3"/>
  <c r="C3083" i="3"/>
  <c r="C3082" i="3"/>
  <c r="C3081" i="3"/>
  <c r="C3080" i="3"/>
  <c r="C3079" i="3"/>
  <c r="C3078" i="3"/>
  <c r="C3077" i="3"/>
  <c r="C3076" i="3"/>
  <c r="C3075" i="3"/>
  <c r="C3074" i="3"/>
  <c r="C3073" i="3"/>
  <c r="C3072" i="3"/>
  <c r="C3071" i="3"/>
  <c r="C3070" i="3"/>
  <c r="C3069" i="3"/>
  <c r="C3068" i="3"/>
  <c r="C3067" i="3"/>
  <c r="C3066" i="3"/>
  <c r="C3065" i="3"/>
  <c r="C3064" i="3"/>
  <c r="C3063" i="3"/>
  <c r="C3062" i="3"/>
  <c r="C3061" i="3"/>
  <c r="C3060" i="3"/>
  <c r="C3059" i="3"/>
  <c r="C3058" i="3"/>
  <c r="C3057" i="3"/>
  <c r="C3056" i="3"/>
  <c r="C3055" i="3"/>
  <c r="C3054" i="3"/>
  <c r="C3053" i="3"/>
  <c r="C3052" i="3"/>
  <c r="C3051" i="3"/>
  <c r="C3050" i="3"/>
  <c r="C3049" i="3"/>
  <c r="C3048" i="3"/>
  <c r="C3047" i="3"/>
  <c r="C3046" i="3"/>
  <c r="C3045" i="3"/>
  <c r="C3044" i="3"/>
  <c r="C3043" i="3"/>
  <c r="C3042" i="3"/>
  <c r="C3041" i="3"/>
  <c r="C3040" i="3"/>
  <c r="C3039" i="3"/>
  <c r="C3038" i="3"/>
  <c r="C3037" i="3"/>
  <c r="C3036" i="3"/>
  <c r="C3035" i="3"/>
  <c r="C3034" i="3"/>
  <c r="C3033" i="3"/>
  <c r="C3032" i="3"/>
  <c r="C3031" i="3"/>
  <c r="C3030" i="3"/>
  <c r="C3029" i="3"/>
  <c r="C3028" i="3"/>
  <c r="C3027" i="3"/>
  <c r="C3026" i="3"/>
  <c r="C3025" i="3"/>
  <c r="C3024" i="3"/>
  <c r="C3023" i="3"/>
  <c r="C3022" i="3"/>
  <c r="C3021" i="3"/>
  <c r="C3020" i="3"/>
  <c r="C3019" i="3"/>
  <c r="C3018" i="3"/>
  <c r="C3017" i="3"/>
  <c r="C3016" i="3"/>
  <c r="C3015" i="3"/>
  <c r="C3014" i="3"/>
  <c r="C3013" i="3"/>
  <c r="C3012" i="3"/>
  <c r="C3011" i="3"/>
  <c r="C3010" i="3"/>
  <c r="C3009" i="3"/>
  <c r="C3008" i="3"/>
  <c r="C3007" i="3"/>
  <c r="C3006" i="3"/>
  <c r="C3005" i="3"/>
  <c r="C3004" i="3"/>
  <c r="C3003" i="3"/>
  <c r="C3002" i="3"/>
  <c r="C3001" i="3"/>
  <c r="C3000" i="3"/>
  <c r="C2999" i="3"/>
  <c r="C2998" i="3"/>
  <c r="C2997" i="3"/>
  <c r="C2996" i="3"/>
  <c r="C2995" i="3"/>
  <c r="C2994" i="3"/>
  <c r="C2993" i="3"/>
  <c r="C2992" i="3"/>
  <c r="C2991" i="3"/>
  <c r="C2990" i="3"/>
  <c r="C2989" i="3"/>
  <c r="C2988" i="3"/>
  <c r="C2987" i="3"/>
  <c r="C2986" i="3"/>
  <c r="C2985" i="3"/>
  <c r="C2984" i="3"/>
  <c r="C2983" i="3"/>
  <c r="C2982" i="3"/>
  <c r="C2981" i="3"/>
  <c r="C2980" i="3"/>
  <c r="C2979" i="3"/>
  <c r="C2978" i="3"/>
  <c r="C2977" i="3"/>
  <c r="C2976" i="3"/>
  <c r="C2975" i="3"/>
  <c r="C2974" i="3"/>
  <c r="C2973" i="3"/>
  <c r="C2972" i="3"/>
  <c r="C2971" i="3"/>
  <c r="C2970" i="3"/>
  <c r="C2969" i="3"/>
  <c r="C2968" i="3"/>
  <c r="C2967" i="3"/>
  <c r="C2966" i="3"/>
  <c r="C2965" i="3"/>
  <c r="C2964" i="3"/>
  <c r="C2963" i="3"/>
  <c r="C2962" i="3"/>
  <c r="C2961" i="3"/>
  <c r="C2960" i="3"/>
  <c r="C2959" i="3"/>
  <c r="C2958" i="3"/>
  <c r="C2957" i="3"/>
  <c r="C2956" i="3"/>
  <c r="C2955" i="3"/>
  <c r="C2954" i="3"/>
  <c r="C2953" i="3"/>
  <c r="C2952" i="3"/>
  <c r="C2951" i="3"/>
  <c r="C2950" i="3"/>
  <c r="C2949" i="3"/>
  <c r="C2948" i="3"/>
  <c r="C2947" i="3"/>
  <c r="C2946" i="3"/>
  <c r="C2945" i="3"/>
  <c r="C2944" i="3"/>
  <c r="C2943" i="3"/>
  <c r="C2942" i="3"/>
  <c r="C2941" i="3"/>
  <c r="C2940" i="3"/>
  <c r="C2939" i="3"/>
  <c r="C2938" i="3"/>
  <c r="C2937" i="3"/>
  <c r="C2936" i="3"/>
  <c r="C2935" i="3"/>
  <c r="C2934" i="3"/>
  <c r="C2933" i="3"/>
  <c r="C2932" i="3"/>
  <c r="C2931" i="3"/>
  <c r="C2930" i="3"/>
  <c r="C2929" i="3"/>
  <c r="C2928" i="3"/>
  <c r="C2927" i="3"/>
  <c r="C2926" i="3"/>
  <c r="C2925" i="3"/>
  <c r="C2924" i="3"/>
  <c r="C2923" i="3"/>
  <c r="C2922" i="3"/>
  <c r="C2921" i="3"/>
  <c r="C2920" i="3"/>
  <c r="C2919" i="3"/>
  <c r="C2918" i="3"/>
  <c r="C2917" i="3"/>
  <c r="C2916" i="3"/>
  <c r="C2915" i="3"/>
  <c r="C2914" i="3"/>
  <c r="C2913" i="3"/>
  <c r="C2912" i="3"/>
  <c r="C2911" i="3"/>
  <c r="C2910" i="3"/>
  <c r="C2909" i="3"/>
  <c r="C2908" i="3"/>
  <c r="C2907" i="3"/>
  <c r="C2906" i="3"/>
  <c r="C2905" i="3"/>
  <c r="C2904" i="3"/>
  <c r="C2903" i="3"/>
  <c r="C2902" i="3"/>
  <c r="C2901" i="3"/>
  <c r="C2900" i="3"/>
  <c r="C2899" i="3"/>
  <c r="C2898" i="3"/>
  <c r="C2897" i="3"/>
  <c r="C2896" i="3"/>
  <c r="C2895" i="3"/>
  <c r="C2894" i="3"/>
  <c r="C2893" i="3"/>
  <c r="C2892" i="3"/>
  <c r="C2891" i="3"/>
  <c r="C2890" i="3"/>
  <c r="C2889" i="3"/>
  <c r="C2888" i="3"/>
  <c r="C2887" i="3"/>
  <c r="C2886" i="3"/>
  <c r="C2885" i="3"/>
  <c r="C2884" i="3"/>
  <c r="C2883" i="3"/>
  <c r="C2882" i="3"/>
  <c r="C2881" i="3"/>
  <c r="C2880" i="3"/>
  <c r="C2879" i="3"/>
  <c r="C2878" i="3"/>
  <c r="C2877" i="3"/>
  <c r="C2876" i="3"/>
  <c r="C2875" i="3"/>
  <c r="C2874" i="3"/>
  <c r="C2873" i="3"/>
  <c r="C2872" i="3"/>
  <c r="C2871" i="3"/>
  <c r="C2870" i="3"/>
  <c r="C2869" i="3"/>
  <c r="C2868" i="3"/>
  <c r="C2867" i="3"/>
  <c r="C2866" i="3"/>
  <c r="C2865" i="3"/>
  <c r="C2864" i="3"/>
  <c r="C2863" i="3"/>
  <c r="C2862" i="3"/>
  <c r="C2861" i="3"/>
  <c r="C2860" i="3"/>
  <c r="C2859" i="3"/>
  <c r="C2858" i="3"/>
  <c r="C2857" i="3"/>
  <c r="C2856" i="3"/>
  <c r="C2855" i="3"/>
  <c r="C2854" i="3"/>
  <c r="C2853" i="3"/>
  <c r="C2852" i="3"/>
  <c r="C2851" i="3"/>
  <c r="C2850" i="3"/>
  <c r="C2849" i="3"/>
  <c r="C2848" i="3"/>
  <c r="C2847" i="3"/>
  <c r="C2846" i="3"/>
  <c r="C2845" i="3"/>
  <c r="C2844" i="3"/>
  <c r="C2843" i="3"/>
  <c r="C2842" i="3"/>
  <c r="C2841" i="3"/>
  <c r="C2840" i="3"/>
  <c r="C2839" i="3"/>
  <c r="C2838" i="3"/>
  <c r="C2837" i="3"/>
  <c r="C2836" i="3"/>
  <c r="C2835" i="3"/>
  <c r="C2834" i="3"/>
  <c r="C2833" i="3"/>
  <c r="C2832" i="3"/>
  <c r="C2831" i="3"/>
  <c r="C2830" i="3"/>
  <c r="C2829" i="3"/>
  <c r="C2828" i="3"/>
  <c r="C2827" i="3"/>
  <c r="C2826" i="3"/>
  <c r="C2825" i="3"/>
  <c r="C2824" i="3"/>
  <c r="C2823" i="3"/>
  <c r="C2822" i="3"/>
  <c r="C2821" i="3"/>
  <c r="C2820" i="3"/>
  <c r="C2819" i="3"/>
  <c r="C2818" i="3"/>
  <c r="C2817" i="3"/>
  <c r="C2816" i="3"/>
  <c r="C2815" i="3"/>
  <c r="C2814" i="3"/>
  <c r="C2813" i="3"/>
  <c r="C2812" i="3"/>
  <c r="C2811" i="3"/>
  <c r="C2810" i="3"/>
  <c r="C2809" i="3"/>
  <c r="C2808" i="3"/>
  <c r="C2807" i="3"/>
  <c r="C2806" i="3"/>
  <c r="C2805" i="3"/>
  <c r="C2804" i="3"/>
  <c r="C2803" i="3"/>
  <c r="C2802" i="3"/>
  <c r="C2801" i="3"/>
  <c r="C2800" i="3"/>
  <c r="C2799" i="3"/>
  <c r="C2798" i="3"/>
  <c r="C2797" i="3"/>
  <c r="C2796" i="3"/>
  <c r="C2795" i="3"/>
  <c r="C2794" i="3"/>
  <c r="C2793" i="3"/>
  <c r="C2792" i="3"/>
  <c r="C2791" i="3"/>
  <c r="C2790" i="3"/>
  <c r="C2789" i="3"/>
  <c r="C2788" i="3"/>
  <c r="C2787" i="3"/>
  <c r="C2786" i="3"/>
  <c r="C2785" i="3"/>
  <c r="C2784" i="3"/>
  <c r="C2783" i="3"/>
  <c r="C2782" i="3"/>
  <c r="C2781" i="3"/>
  <c r="C2780" i="3"/>
  <c r="C2779" i="3"/>
  <c r="C2778" i="3"/>
  <c r="C2777" i="3"/>
  <c r="C2776" i="3"/>
  <c r="C2775" i="3"/>
  <c r="C2774" i="3"/>
  <c r="C2773" i="3"/>
  <c r="C2772" i="3"/>
  <c r="C2771" i="3"/>
  <c r="C2770" i="3"/>
  <c r="C2769" i="3"/>
  <c r="C2768" i="3"/>
  <c r="C2767" i="3"/>
  <c r="C2766" i="3"/>
  <c r="C2765" i="3"/>
  <c r="C2764" i="3"/>
  <c r="C2763" i="3"/>
  <c r="C2762" i="3"/>
  <c r="C2761" i="3"/>
  <c r="C2760" i="3"/>
  <c r="C2759" i="3"/>
  <c r="C2758" i="3"/>
  <c r="C2757" i="3"/>
  <c r="C2756" i="3"/>
  <c r="C2755" i="3"/>
  <c r="C2754" i="3"/>
  <c r="C2753" i="3"/>
  <c r="C2752" i="3"/>
  <c r="C2751" i="3"/>
  <c r="C2750" i="3"/>
  <c r="C2749" i="3"/>
  <c r="C2748" i="3"/>
  <c r="C2747" i="3"/>
  <c r="C2746" i="3"/>
  <c r="C2745" i="3"/>
  <c r="C2744" i="3"/>
  <c r="C2743" i="3"/>
  <c r="C2742" i="3"/>
  <c r="C2741" i="3"/>
  <c r="C2740" i="3"/>
  <c r="C2739" i="3"/>
  <c r="C2738" i="3"/>
  <c r="C2737" i="3"/>
  <c r="C2736" i="3"/>
  <c r="C2735" i="3"/>
  <c r="C2734" i="3"/>
  <c r="C2733" i="3"/>
  <c r="C2732" i="3"/>
  <c r="C2731" i="3"/>
  <c r="C2730" i="3"/>
  <c r="C2729" i="3"/>
  <c r="C2728" i="3"/>
  <c r="C2727" i="3"/>
  <c r="C2726" i="3"/>
  <c r="C2725" i="3"/>
  <c r="C2724" i="3"/>
  <c r="C2723" i="3"/>
  <c r="C2722" i="3"/>
  <c r="C2721" i="3"/>
  <c r="C2720" i="3"/>
  <c r="C2719" i="3"/>
  <c r="C2718" i="3"/>
  <c r="C2717" i="3"/>
  <c r="C2716" i="3"/>
  <c r="C2715" i="3"/>
  <c r="C2714" i="3"/>
  <c r="C2713" i="3"/>
  <c r="C2712" i="3"/>
  <c r="C2711" i="3"/>
  <c r="C2710" i="3"/>
  <c r="C2709" i="3"/>
  <c r="C2708" i="3"/>
  <c r="C2707" i="3"/>
  <c r="C2706" i="3"/>
  <c r="C2705" i="3"/>
  <c r="C2704" i="3"/>
  <c r="C2703" i="3"/>
  <c r="C2702" i="3"/>
  <c r="C2701" i="3"/>
  <c r="C2700" i="3"/>
  <c r="C2699" i="3"/>
  <c r="C2698" i="3"/>
  <c r="C2697" i="3"/>
  <c r="C2696" i="3"/>
  <c r="C2695" i="3"/>
  <c r="C2694" i="3"/>
  <c r="C2693" i="3"/>
  <c r="C2692" i="3"/>
  <c r="C2691" i="3"/>
  <c r="C2690" i="3"/>
  <c r="C2689" i="3"/>
  <c r="C2688" i="3"/>
  <c r="C2687" i="3"/>
  <c r="C2686" i="3"/>
  <c r="C2685" i="3"/>
  <c r="C2684" i="3"/>
  <c r="C2683" i="3"/>
  <c r="C2682" i="3"/>
  <c r="C2681" i="3"/>
  <c r="C2680" i="3"/>
  <c r="C2679" i="3"/>
  <c r="C2678" i="3"/>
  <c r="C2677" i="3"/>
  <c r="C2676" i="3"/>
  <c r="C2675" i="3"/>
  <c r="C2674" i="3"/>
  <c r="C2673" i="3"/>
  <c r="C2672" i="3"/>
  <c r="C2671" i="3"/>
  <c r="C2670" i="3"/>
  <c r="C2669" i="3"/>
  <c r="C2668" i="3"/>
  <c r="C2667" i="3"/>
  <c r="C2666" i="3"/>
  <c r="C2665" i="3"/>
  <c r="C2664" i="3"/>
  <c r="C2663" i="3"/>
  <c r="C2662" i="3"/>
  <c r="C2661" i="3"/>
  <c r="C2660" i="3"/>
  <c r="C2659" i="3"/>
  <c r="C2658" i="3"/>
  <c r="C2657" i="3"/>
  <c r="C2656" i="3"/>
  <c r="C2655" i="3"/>
  <c r="C2654" i="3"/>
  <c r="C2653" i="3"/>
  <c r="C2652" i="3"/>
  <c r="C2651" i="3"/>
  <c r="C2650" i="3"/>
  <c r="C2649" i="3"/>
  <c r="C2648" i="3"/>
  <c r="C2647" i="3"/>
  <c r="C2646" i="3"/>
  <c r="C2645" i="3"/>
  <c r="C2644" i="3"/>
  <c r="C2643" i="3"/>
  <c r="C2642" i="3"/>
  <c r="C2641" i="3"/>
  <c r="C2640" i="3"/>
  <c r="C2639" i="3"/>
  <c r="C2638" i="3"/>
  <c r="C2637" i="3"/>
  <c r="C2636" i="3"/>
  <c r="C2635" i="3"/>
  <c r="C2634" i="3"/>
  <c r="C2633" i="3"/>
  <c r="C2632" i="3"/>
  <c r="C2631" i="3"/>
  <c r="C2630" i="3"/>
  <c r="C2629" i="3"/>
  <c r="C2628" i="3"/>
  <c r="C2627" i="3"/>
  <c r="C2626" i="3"/>
  <c r="C2625" i="3"/>
  <c r="C2624" i="3"/>
  <c r="C2623" i="3"/>
  <c r="C2622" i="3"/>
  <c r="C2621" i="3"/>
  <c r="C2620" i="3"/>
  <c r="C2619" i="3"/>
  <c r="C2618" i="3"/>
  <c r="C2617" i="3"/>
  <c r="C2616" i="3"/>
  <c r="C2615" i="3"/>
  <c r="C2614" i="3"/>
  <c r="C2613" i="3"/>
  <c r="C2612" i="3"/>
  <c r="C2611" i="3"/>
  <c r="C2610" i="3"/>
  <c r="C2609" i="3"/>
  <c r="C2608" i="3"/>
  <c r="C2607" i="3"/>
  <c r="C2606" i="3"/>
  <c r="C2605" i="3"/>
  <c r="C2604" i="3"/>
  <c r="C2603" i="3"/>
  <c r="C2602" i="3"/>
  <c r="C2601" i="3"/>
  <c r="C2600" i="3"/>
  <c r="C2599" i="3"/>
  <c r="C2598" i="3"/>
  <c r="C2597" i="3"/>
  <c r="C2596" i="3"/>
  <c r="C2595" i="3"/>
  <c r="C2594" i="3"/>
  <c r="C2593" i="3"/>
  <c r="C2592" i="3"/>
  <c r="C2591" i="3"/>
  <c r="C2590" i="3"/>
  <c r="C2589" i="3"/>
  <c r="C2588" i="3"/>
  <c r="C2587" i="3"/>
  <c r="C2586" i="3"/>
  <c r="C2585" i="3"/>
  <c r="C2584" i="3"/>
  <c r="C2583" i="3"/>
  <c r="C2582" i="3"/>
  <c r="C2581" i="3"/>
  <c r="C2580" i="3"/>
  <c r="C2579" i="3"/>
  <c r="C2578" i="3"/>
  <c r="C2577" i="3"/>
  <c r="C2576" i="3"/>
  <c r="C2575" i="3"/>
  <c r="C2574" i="3"/>
  <c r="C2573" i="3"/>
  <c r="C2572" i="3"/>
  <c r="C2571" i="3"/>
  <c r="C2570" i="3"/>
  <c r="C2569" i="3"/>
  <c r="C2568" i="3"/>
  <c r="C2567" i="3"/>
  <c r="C2566" i="3"/>
  <c r="C2565" i="3"/>
  <c r="C2564" i="3"/>
  <c r="C2563" i="3"/>
  <c r="C2562" i="3"/>
  <c r="C2561" i="3"/>
  <c r="C2560" i="3"/>
  <c r="C2559" i="3"/>
  <c r="C2558" i="3"/>
  <c r="C2557" i="3"/>
  <c r="C2556" i="3"/>
  <c r="C2555" i="3"/>
  <c r="C2554" i="3"/>
  <c r="C2553" i="3"/>
  <c r="C2552" i="3"/>
  <c r="C2551" i="3"/>
  <c r="C2550" i="3"/>
  <c r="C2549" i="3"/>
  <c r="C2548" i="3"/>
  <c r="C2547" i="3"/>
  <c r="C2546" i="3"/>
  <c r="C2545" i="3"/>
  <c r="C2544" i="3"/>
  <c r="C2543" i="3"/>
  <c r="C2542" i="3"/>
  <c r="C2541" i="3"/>
  <c r="C2540" i="3"/>
  <c r="C2539" i="3"/>
  <c r="C2538" i="3"/>
  <c r="C2537" i="3"/>
  <c r="C2536" i="3"/>
  <c r="C2535" i="3"/>
  <c r="C2534" i="3"/>
  <c r="C2533" i="3"/>
  <c r="C2532" i="3"/>
  <c r="C2531" i="3"/>
  <c r="C2530" i="3"/>
  <c r="C2529" i="3"/>
  <c r="C2528" i="3"/>
  <c r="C2527" i="3"/>
  <c r="C2526" i="3"/>
  <c r="C2525" i="3"/>
  <c r="C2524" i="3"/>
  <c r="C2523" i="3"/>
  <c r="C2522" i="3"/>
  <c r="C2521" i="3"/>
  <c r="C2520" i="3"/>
  <c r="C2519" i="3"/>
  <c r="C2518" i="3"/>
  <c r="C2517" i="3"/>
  <c r="C2516" i="3"/>
  <c r="C2515" i="3"/>
  <c r="C2514" i="3"/>
  <c r="C2513" i="3"/>
  <c r="C2512" i="3"/>
  <c r="C2511" i="3"/>
  <c r="C2510" i="3"/>
  <c r="C2509" i="3"/>
  <c r="C2508" i="3"/>
  <c r="C2507" i="3"/>
  <c r="C2506" i="3"/>
  <c r="C2505" i="3"/>
  <c r="C2504" i="3"/>
  <c r="C2503" i="3"/>
  <c r="C2502" i="3"/>
  <c r="C2501" i="3"/>
  <c r="C2500" i="3"/>
  <c r="C2499" i="3"/>
  <c r="C2498" i="3"/>
  <c r="C2497" i="3"/>
  <c r="C2496" i="3"/>
  <c r="C2495" i="3"/>
  <c r="C2494" i="3"/>
  <c r="C2493" i="3"/>
  <c r="C2492" i="3"/>
  <c r="C2491" i="3"/>
  <c r="C2490" i="3"/>
  <c r="C2489" i="3"/>
  <c r="C2488" i="3"/>
  <c r="C2487" i="3"/>
  <c r="C2486" i="3"/>
  <c r="C2485" i="3"/>
  <c r="C2484" i="3"/>
  <c r="C2483" i="3"/>
  <c r="C2482" i="3"/>
  <c r="C2481" i="3"/>
  <c r="C2480" i="3"/>
  <c r="C2479" i="3"/>
  <c r="C2478" i="3"/>
  <c r="C2477" i="3"/>
  <c r="C2476" i="3"/>
  <c r="C2475" i="3"/>
  <c r="C2474" i="3"/>
  <c r="C2473" i="3"/>
  <c r="C2472" i="3"/>
  <c r="C2471" i="3"/>
  <c r="C2470" i="3"/>
  <c r="C2469" i="3"/>
  <c r="C2468" i="3"/>
  <c r="C2467" i="3"/>
  <c r="C2466" i="3"/>
  <c r="C2465" i="3"/>
  <c r="C2464" i="3"/>
  <c r="C2463" i="3"/>
  <c r="C2462" i="3"/>
  <c r="C2461" i="3"/>
  <c r="C2460" i="3"/>
  <c r="C2459" i="3"/>
  <c r="C2458" i="3"/>
  <c r="C2457" i="3"/>
  <c r="C2456" i="3"/>
  <c r="C2455" i="3"/>
  <c r="C2454" i="3"/>
  <c r="C2453" i="3"/>
  <c r="C2452" i="3"/>
  <c r="C2451" i="3"/>
  <c r="C2450" i="3"/>
  <c r="C2449" i="3"/>
  <c r="C2448" i="3"/>
  <c r="C2447" i="3"/>
  <c r="C2446" i="3"/>
  <c r="C2445" i="3"/>
  <c r="C2444" i="3"/>
  <c r="C2443" i="3"/>
  <c r="C2442" i="3"/>
  <c r="C2441" i="3"/>
  <c r="C2440" i="3"/>
  <c r="C2439" i="3"/>
  <c r="C2438" i="3"/>
  <c r="C2437" i="3"/>
  <c r="C2436" i="3"/>
  <c r="C2435" i="3"/>
  <c r="C2434" i="3"/>
  <c r="C2433" i="3"/>
  <c r="C2432" i="3"/>
  <c r="C2431" i="3"/>
  <c r="C2430" i="3"/>
  <c r="C2429" i="3"/>
  <c r="C2428" i="3"/>
  <c r="C2427" i="3"/>
  <c r="C2426" i="3"/>
  <c r="C2425" i="3"/>
  <c r="C2424" i="3"/>
  <c r="C2423" i="3"/>
  <c r="C2422" i="3"/>
  <c r="C2421" i="3"/>
  <c r="C2420" i="3"/>
  <c r="C2419" i="3"/>
  <c r="C2418" i="3"/>
  <c r="C2417" i="3"/>
  <c r="C2416" i="3"/>
  <c r="C2415" i="3"/>
  <c r="C2414" i="3"/>
  <c r="C2413" i="3"/>
  <c r="C2412" i="3"/>
  <c r="C2411" i="3"/>
  <c r="C2410" i="3"/>
  <c r="C2409" i="3"/>
  <c r="C2408" i="3"/>
  <c r="C2407" i="3"/>
  <c r="C2406" i="3"/>
  <c r="C2405" i="3"/>
  <c r="C2404" i="3"/>
  <c r="C2403" i="3"/>
  <c r="C2402" i="3"/>
  <c r="C2401" i="3"/>
  <c r="C2400" i="3"/>
  <c r="C2399" i="3"/>
  <c r="C2398" i="3"/>
  <c r="C2397" i="3"/>
  <c r="C2396" i="3"/>
  <c r="C2395" i="3"/>
  <c r="C2394" i="3"/>
  <c r="C2393" i="3"/>
  <c r="C2392" i="3"/>
  <c r="C2391" i="3"/>
  <c r="C2390" i="3"/>
  <c r="C2389" i="3"/>
  <c r="C2388" i="3"/>
  <c r="C2387" i="3"/>
  <c r="C2386" i="3"/>
  <c r="C2385" i="3"/>
  <c r="C2384" i="3"/>
  <c r="C2383" i="3"/>
  <c r="C2382" i="3"/>
  <c r="C2381" i="3"/>
  <c r="C2380" i="3"/>
  <c r="C2379" i="3"/>
  <c r="C2378" i="3"/>
  <c r="C2377" i="3"/>
  <c r="C2376" i="3"/>
  <c r="C2375" i="3"/>
  <c r="C2374" i="3"/>
  <c r="C2373" i="3"/>
  <c r="C2372" i="3"/>
  <c r="C2371" i="3"/>
  <c r="C2370" i="3"/>
  <c r="C2369" i="3"/>
  <c r="C2368" i="3"/>
  <c r="C2367" i="3"/>
  <c r="C2366" i="3"/>
  <c r="C2365" i="3"/>
  <c r="C2364" i="3"/>
  <c r="C2363" i="3"/>
  <c r="C2362" i="3"/>
  <c r="C2361" i="3"/>
  <c r="C2360" i="3"/>
  <c r="C2359" i="3"/>
  <c r="C2358" i="3"/>
  <c r="C2357" i="3"/>
  <c r="C2356" i="3"/>
  <c r="C2355" i="3"/>
  <c r="C2354" i="3"/>
  <c r="C2353" i="3"/>
  <c r="C2352" i="3"/>
  <c r="C2351" i="3"/>
  <c r="C2350" i="3"/>
  <c r="C2349" i="3"/>
  <c r="C2348" i="3"/>
  <c r="C2347" i="3"/>
  <c r="C2346" i="3"/>
  <c r="C2345" i="3"/>
  <c r="C2344" i="3"/>
  <c r="C2343" i="3"/>
  <c r="C2342" i="3"/>
  <c r="C2341" i="3"/>
  <c r="C2340" i="3"/>
  <c r="C2339" i="3"/>
  <c r="C2338" i="3"/>
  <c r="C2337" i="3"/>
  <c r="C2336" i="3"/>
  <c r="C2335" i="3"/>
  <c r="C2334" i="3"/>
  <c r="C2333" i="3"/>
  <c r="C2332" i="3"/>
  <c r="C2331" i="3"/>
  <c r="C2330" i="3"/>
  <c r="C2329" i="3"/>
  <c r="C2328" i="3"/>
  <c r="C2327" i="3"/>
  <c r="C2326" i="3"/>
  <c r="C2325" i="3"/>
  <c r="C2324" i="3"/>
  <c r="C2323" i="3"/>
  <c r="C2322" i="3"/>
  <c r="C2321" i="3"/>
  <c r="C2320" i="3"/>
  <c r="C2319" i="3"/>
  <c r="C2318" i="3"/>
  <c r="C2317" i="3"/>
  <c r="C2316" i="3"/>
  <c r="C2315" i="3"/>
  <c r="C2314" i="3"/>
  <c r="C2313" i="3"/>
  <c r="C2312" i="3"/>
  <c r="C2311" i="3"/>
  <c r="C2310" i="3"/>
  <c r="C2309" i="3"/>
  <c r="C2308" i="3"/>
  <c r="C2307" i="3"/>
  <c r="C2306" i="3"/>
  <c r="C2305" i="3"/>
  <c r="C2304" i="3"/>
  <c r="C2303" i="3"/>
  <c r="C2302" i="3"/>
  <c r="C2301" i="3"/>
  <c r="C2300" i="3"/>
  <c r="C2299" i="3"/>
  <c r="C2298" i="3"/>
  <c r="C2297" i="3"/>
  <c r="C2296" i="3"/>
  <c r="C2295" i="3"/>
  <c r="C2294" i="3"/>
  <c r="C2293" i="3"/>
  <c r="C2292" i="3"/>
  <c r="C2291" i="3"/>
  <c r="C2290" i="3"/>
  <c r="C2289" i="3"/>
  <c r="C2288" i="3"/>
  <c r="C2287" i="3"/>
  <c r="C2286" i="3"/>
  <c r="C2285" i="3"/>
  <c r="C2284" i="3"/>
  <c r="C2283" i="3"/>
  <c r="C2282" i="3"/>
  <c r="C2281" i="3"/>
  <c r="C2280" i="3"/>
  <c r="C2279" i="3"/>
  <c r="C2278" i="3"/>
  <c r="C2277" i="3"/>
  <c r="C2276" i="3"/>
  <c r="C2275" i="3"/>
  <c r="C2274" i="3"/>
  <c r="C2273" i="3"/>
  <c r="C2272" i="3"/>
  <c r="C2271" i="3"/>
  <c r="C2270" i="3"/>
  <c r="C2269" i="3"/>
  <c r="C2268" i="3"/>
  <c r="C2267" i="3"/>
  <c r="C2266" i="3"/>
  <c r="C2265" i="3"/>
  <c r="C2264" i="3"/>
  <c r="C2263" i="3"/>
  <c r="C2262" i="3"/>
  <c r="C2261" i="3"/>
  <c r="C2260" i="3"/>
  <c r="C2259" i="3"/>
  <c r="C2258" i="3"/>
  <c r="C2257" i="3"/>
  <c r="C2256" i="3"/>
  <c r="C2255" i="3"/>
  <c r="C2254" i="3"/>
  <c r="C2253" i="3"/>
  <c r="C2252" i="3"/>
  <c r="C2251" i="3"/>
  <c r="C2250" i="3"/>
  <c r="C2249" i="3"/>
  <c r="C2248" i="3"/>
  <c r="C2247" i="3"/>
  <c r="C2246" i="3"/>
  <c r="C2245" i="3"/>
  <c r="C2244" i="3"/>
  <c r="C2243" i="3"/>
  <c r="C2242" i="3"/>
  <c r="C2241" i="3"/>
  <c r="C2240" i="3"/>
  <c r="C2239" i="3"/>
  <c r="C2238" i="3"/>
  <c r="C2237" i="3"/>
  <c r="C2236" i="3"/>
  <c r="C2235" i="3"/>
  <c r="C2234" i="3"/>
  <c r="C2233" i="3"/>
  <c r="C2232" i="3"/>
  <c r="C2231" i="3"/>
  <c r="C2230" i="3"/>
  <c r="C2229" i="3"/>
  <c r="C2228" i="3"/>
  <c r="C2227" i="3"/>
  <c r="C2226" i="3"/>
  <c r="C2225" i="3"/>
  <c r="C2224" i="3"/>
  <c r="C2223" i="3"/>
  <c r="C2222" i="3"/>
  <c r="C2221" i="3"/>
  <c r="C2220" i="3"/>
  <c r="C2219" i="3"/>
  <c r="C2218" i="3"/>
  <c r="C2217" i="3"/>
  <c r="C2216" i="3"/>
  <c r="C2215" i="3"/>
  <c r="C2214" i="3"/>
  <c r="C2213" i="3"/>
  <c r="C2212" i="3"/>
  <c r="C2211" i="3"/>
  <c r="C2210" i="3"/>
  <c r="C2209" i="3"/>
  <c r="C2208" i="3"/>
  <c r="C2207" i="3"/>
  <c r="C2206" i="3"/>
  <c r="C2205" i="3"/>
  <c r="C2204" i="3"/>
  <c r="C2203" i="3"/>
  <c r="C2202" i="3"/>
  <c r="C2201" i="3"/>
  <c r="C2200" i="3"/>
  <c r="C2199" i="3"/>
  <c r="C2198" i="3"/>
  <c r="C2197" i="3"/>
  <c r="C2196" i="3"/>
  <c r="C2195" i="3"/>
  <c r="C2194" i="3"/>
  <c r="C2193" i="3"/>
  <c r="C2192" i="3"/>
  <c r="C2191" i="3"/>
  <c r="C2190" i="3"/>
  <c r="C2189" i="3"/>
  <c r="C2188" i="3"/>
  <c r="C2187" i="3"/>
  <c r="C2186" i="3"/>
  <c r="C2185" i="3"/>
  <c r="C2184" i="3"/>
  <c r="C2183" i="3"/>
  <c r="C2182" i="3"/>
  <c r="C2181" i="3"/>
  <c r="C2180" i="3"/>
  <c r="C2179" i="3"/>
  <c r="C2178" i="3"/>
  <c r="C2177" i="3"/>
  <c r="C2176" i="3"/>
  <c r="C2175" i="3"/>
  <c r="C2174" i="3"/>
  <c r="C2173" i="3"/>
  <c r="C2172" i="3"/>
  <c r="C2171" i="3"/>
  <c r="C2170" i="3"/>
  <c r="C2169" i="3"/>
  <c r="C2168" i="3"/>
  <c r="C2167" i="3"/>
  <c r="C2166" i="3"/>
  <c r="C2165" i="3"/>
  <c r="C2164" i="3"/>
  <c r="C2163" i="3"/>
  <c r="C2162" i="3"/>
  <c r="C2161" i="3"/>
  <c r="C2160" i="3"/>
  <c r="C2159" i="3"/>
  <c r="C2158" i="3"/>
  <c r="C2157" i="3"/>
  <c r="C2156" i="3"/>
  <c r="C2155" i="3"/>
  <c r="C2154" i="3"/>
  <c r="C2153" i="3"/>
  <c r="C2152" i="3"/>
  <c r="C2151" i="3"/>
  <c r="C2150" i="3"/>
  <c r="C2149" i="3"/>
  <c r="C2148" i="3"/>
  <c r="C2147" i="3"/>
  <c r="C2146" i="3"/>
  <c r="C2145" i="3"/>
  <c r="C2144" i="3"/>
  <c r="C2143" i="3"/>
  <c r="C2142" i="3"/>
  <c r="C2141" i="3"/>
  <c r="C2140" i="3"/>
  <c r="C2139" i="3"/>
  <c r="C2138" i="3"/>
  <c r="C2137" i="3"/>
  <c r="C2136" i="3"/>
  <c r="C2135" i="3"/>
  <c r="C2134" i="3"/>
  <c r="C2133" i="3"/>
  <c r="C2132" i="3"/>
  <c r="C2131" i="3"/>
  <c r="C2130" i="3"/>
  <c r="C2129" i="3"/>
  <c r="C2128" i="3"/>
  <c r="C2127" i="3"/>
  <c r="C2126" i="3"/>
  <c r="C2125" i="3"/>
  <c r="C2124" i="3"/>
  <c r="C2123" i="3"/>
  <c r="C2122" i="3"/>
  <c r="C2121" i="3"/>
  <c r="C2120" i="3"/>
  <c r="C2119" i="3"/>
  <c r="C2118" i="3"/>
  <c r="C2117" i="3"/>
  <c r="C2116" i="3"/>
  <c r="C2115" i="3"/>
  <c r="C2114" i="3"/>
  <c r="C2113" i="3"/>
  <c r="C2112" i="3"/>
  <c r="C2111" i="3"/>
  <c r="C2110" i="3"/>
  <c r="C2109" i="3"/>
  <c r="C2108" i="3"/>
  <c r="C2107" i="3"/>
  <c r="C2106" i="3"/>
  <c r="C2105" i="3"/>
  <c r="C2104" i="3"/>
  <c r="C2103" i="3"/>
  <c r="C2102" i="3"/>
  <c r="C2101" i="3"/>
  <c r="C2100" i="3"/>
  <c r="C2099" i="3"/>
  <c r="C2098" i="3"/>
  <c r="C2097" i="3"/>
  <c r="C2096" i="3"/>
  <c r="C2095" i="3"/>
  <c r="C2094" i="3"/>
  <c r="C2093" i="3"/>
  <c r="C2092" i="3"/>
  <c r="C2091" i="3"/>
  <c r="C2090" i="3"/>
  <c r="C2089" i="3"/>
  <c r="C2088" i="3"/>
  <c r="C2087" i="3"/>
  <c r="C2086" i="3"/>
  <c r="C2085" i="3"/>
  <c r="C2084" i="3"/>
  <c r="C2083" i="3"/>
  <c r="C2082" i="3"/>
  <c r="C2081" i="3"/>
  <c r="C2080" i="3"/>
  <c r="C2079" i="3"/>
  <c r="C2078" i="3"/>
  <c r="C2077" i="3"/>
  <c r="C2076" i="3"/>
  <c r="C2075" i="3"/>
  <c r="C2074" i="3"/>
  <c r="C2073" i="3"/>
  <c r="C2072" i="3"/>
  <c r="C2071" i="3"/>
  <c r="C2070" i="3"/>
  <c r="C2069" i="3"/>
  <c r="C2068" i="3"/>
  <c r="C2067" i="3"/>
  <c r="C2066" i="3"/>
  <c r="C2065" i="3"/>
  <c r="C2064" i="3"/>
  <c r="C2063" i="3"/>
  <c r="C2062" i="3"/>
  <c r="C2061" i="3"/>
  <c r="C2060" i="3"/>
  <c r="C2059" i="3"/>
  <c r="C2058" i="3"/>
  <c r="C2057" i="3"/>
  <c r="C2056" i="3"/>
  <c r="C2055" i="3"/>
  <c r="C2054" i="3"/>
  <c r="C2053" i="3"/>
  <c r="C2052" i="3"/>
  <c r="C2051" i="3"/>
  <c r="C2050" i="3"/>
  <c r="C2049" i="3"/>
  <c r="C2048" i="3"/>
  <c r="C2047" i="3"/>
  <c r="C2046" i="3"/>
  <c r="C2045" i="3"/>
  <c r="C2044" i="3"/>
  <c r="C2043" i="3"/>
  <c r="C2042" i="3"/>
  <c r="C2041" i="3"/>
  <c r="C2040" i="3"/>
  <c r="C2039" i="3"/>
  <c r="C2038" i="3"/>
  <c r="C2037" i="3"/>
  <c r="C2036" i="3"/>
  <c r="C2035" i="3"/>
  <c r="C2034" i="3"/>
  <c r="C2033" i="3"/>
  <c r="C2032" i="3"/>
  <c r="C2031" i="3"/>
  <c r="C2030" i="3"/>
  <c r="C2029" i="3"/>
  <c r="C2028" i="3"/>
  <c r="C2027" i="3"/>
  <c r="C2026" i="3"/>
  <c r="C2025" i="3"/>
  <c r="C2024" i="3"/>
  <c r="C2023" i="3"/>
  <c r="C2022" i="3"/>
  <c r="C2021" i="3"/>
  <c r="C2020" i="3"/>
  <c r="C2019" i="3"/>
  <c r="C2018" i="3"/>
  <c r="C2017" i="3"/>
  <c r="C2016" i="3"/>
  <c r="C2015" i="3"/>
  <c r="C2014" i="3"/>
  <c r="C2013" i="3"/>
  <c r="C2012" i="3"/>
  <c r="C2011" i="3"/>
  <c r="C2010" i="3"/>
  <c r="C2009" i="3"/>
  <c r="C2008" i="3"/>
  <c r="C2007" i="3"/>
  <c r="C2006" i="3"/>
  <c r="C2005" i="3"/>
  <c r="C2004" i="3"/>
  <c r="C2003" i="3"/>
  <c r="C2002" i="3"/>
  <c r="C2001" i="3"/>
  <c r="C2000" i="3"/>
  <c r="C1999" i="3"/>
  <c r="C1998" i="3"/>
  <c r="C1997" i="3"/>
  <c r="C1996" i="3"/>
  <c r="C1995" i="3"/>
  <c r="C1994" i="3"/>
  <c r="C1993" i="3"/>
  <c r="C1992" i="3"/>
  <c r="C1991" i="3"/>
  <c r="C1990" i="3"/>
  <c r="C1989" i="3"/>
  <c r="C1988" i="3"/>
  <c r="C1987" i="3"/>
  <c r="C1986" i="3"/>
  <c r="C1985" i="3"/>
  <c r="C1984" i="3"/>
  <c r="C1983" i="3"/>
  <c r="C1982" i="3"/>
  <c r="C1981" i="3"/>
  <c r="C1980" i="3"/>
  <c r="C1979" i="3"/>
  <c r="C1978" i="3"/>
  <c r="C1977" i="3"/>
  <c r="C1976" i="3"/>
  <c r="C1975" i="3"/>
  <c r="C1974" i="3"/>
  <c r="C1973" i="3"/>
  <c r="C1972" i="3"/>
  <c r="C1971" i="3"/>
  <c r="C1970" i="3"/>
  <c r="C1969" i="3"/>
  <c r="C1968" i="3"/>
  <c r="C1967" i="3"/>
  <c r="C1966" i="3"/>
  <c r="C1965" i="3"/>
  <c r="C1964" i="3"/>
  <c r="C1963" i="3"/>
  <c r="C1962" i="3"/>
  <c r="C1961" i="3"/>
  <c r="C1960" i="3"/>
  <c r="C1959" i="3"/>
  <c r="C1958" i="3"/>
  <c r="C1957" i="3"/>
  <c r="C1956" i="3"/>
  <c r="C1955" i="3"/>
  <c r="C1954" i="3"/>
  <c r="C1953" i="3"/>
  <c r="C1952" i="3"/>
  <c r="C1951" i="3"/>
  <c r="C1950" i="3"/>
  <c r="C1949" i="3"/>
  <c r="C1948" i="3"/>
  <c r="C1947" i="3"/>
  <c r="C1946" i="3"/>
  <c r="C1945" i="3"/>
  <c r="C1944" i="3"/>
  <c r="C1943" i="3"/>
  <c r="C1942" i="3"/>
  <c r="C1941" i="3"/>
  <c r="C1940" i="3"/>
  <c r="C1939" i="3"/>
  <c r="C1938" i="3"/>
  <c r="C1937" i="3"/>
  <c r="C1936" i="3"/>
  <c r="C1935" i="3"/>
  <c r="C1934" i="3"/>
  <c r="C1933" i="3"/>
  <c r="C1932" i="3"/>
  <c r="C1931" i="3"/>
  <c r="C1930" i="3"/>
  <c r="C1929" i="3"/>
  <c r="C1928" i="3"/>
  <c r="C1927" i="3"/>
  <c r="C1926" i="3"/>
  <c r="C1925" i="3"/>
  <c r="C1924" i="3"/>
  <c r="C1923" i="3"/>
  <c r="C1922" i="3"/>
  <c r="C1921" i="3"/>
  <c r="C1920" i="3"/>
  <c r="C1919" i="3"/>
  <c r="C1918" i="3"/>
  <c r="C1917" i="3"/>
  <c r="C1916" i="3"/>
  <c r="C1915" i="3"/>
  <c r="C1914" i="3"/>
  <c r="C1913" i="3"/>
  <c r="C1912" i="3"/>
  <c r="C1911" i="3"/>
  <c r="C1910" i="3"/>
  <c r="C1909" i="3"/>
  <c r="C1908" i="3"/>
  <c r="C1907" i="3"/>
  <c r="C1906" i="3"/>
  <c r="C1905" i="3"/>
  <c r="C1904" i="3"/>
  <c r="C1903" i="3"/>
  <c r="C1902" i="3"/>
  <c r="C1901" i="3"/>
  <c r="C1900" i="3"/>
  <c r="C1899" i="3"/>
  <c r="C1898" i="3"/>
  <c r="C1897" i="3"/>
  <c r="C1896" i="3"/>
  <c r="C1895" i="3"/>
  <c r="C1894" i="3"/>
  <c r="C1893" i="3"/>
  <c r="C1892" i="3"/>
  <c r="C1891" i="3"/>
  <c r="C1890" i="3"/>
  <c r="C1889" i="3"/>
  <c r="C1888" i="3"/>
  <c r="C1887" i="3"/>
  <c r="C1886" i="3"/>
  <c r="C1885" i="3"/>
  <c r="C1884" i="3"/>
  <c r="C1883" i="3"/>
  <c r="C1882" i="3"/>
  <c r="C1881" i="3"/>
  <c r="C1880" i="3"/>
  <c r="C1879" i="3"/>
  <c r="C1878" i="3"/>
  <c r="C1877" i="3"/>
  <c r="C1876" i="3"/>
  <c r="C1875" i="3"/>
  <c r="C1874" i="3"/>
  <c r="C1873" i="3"/>
  <c r="C1872" i="3"/>
  <c r="C1871" i="3"/>
  <c r="C1870" i="3"/>
  <c r="C1869" i="3"/>
  <c r="C1868" i="3"/>
  <c r="C1867" i="3"/>
  <c r="C1866" i="3"/>
  <c r="C1865" i="3"/>
  <c r="C1864" i="3"/>
  <c r="C1863" i="3"/>
  <c r="C1862" i="3"/>
  <c r="C1861" i="3"/>
  <c r="C1860" i="3"/>
  <c r="C1859" i="3"/>
  <c r="C1858" i="3"/>
  <c r="C1857" i="3"/>
  <c r="C1856" i="3"/>
  <c r="C1855" i="3"/>
  <c r="C1854" i="3"/>
  <c r="C1853" i="3"/>
  <c r="C1852" i="3"/>
  <c r="C1851" i="3"/>
  <c r="C1850" i="3"/>
  <c r="C1849" i="3"/>
  <c r="C1848" i="3"/>
  <c r="C1847" i="3"/>
  <c r="C1846" i="3"/>
  <c r="C1845" i="3"/>
  <c r="C1844" i="3"/>
  <c r="C1843" i="3"/>
  <c r="C1842" i="3"/>
  <c r="C1841" i="3"/>
  <c r="C1840" i="3"/>
  <c r="C1839" i="3"/>
  <c r="C1838" i="3"/>
  <c r="C1837" i="3"/>
  <c r="C1836" i="3"/>
  <c r="C1835" i="3"/>
  <c r="C1834" i="3"/>
  <c r="C1833" i="3"/>
  <c r="C1832" i="3"/>
  <c r="C1831" i="3"/>
  <c r="C1830" i="3"/>
  <c r="C1829" i="3"/>
  <c r="C1828" i="3"/>
  <c r="C1827" i="3"/>
  <c r="C1826" i="3"/>
  <c r="C1825" i="3"/>
  <c r="C1824" i="3"/>
  <c r="C1823" i="3"/>
  <c r="C1822" i="3"/>
  <c r="C1821" i="3"/>
  <c r="C1820" i="3"/>
  <c r="C1819" i="3"/>
  <c r="C1818" i="3"/>
  <c r="C1817" i="3"/>
  <c r="C1816" i="3"/>
  <c r="C1815" i="3"/>
  <c r="C1814" i="3"/>
  <c r="C1813" i="3"/>
  <c r="C1812" i="3"/>
  <c r="C1811" i="3"/>
  <c r="C1810" i="3"/>
  <c r="C1809" i="3"/>
  <c r="C1808" i="3"/>
  <c r="C1807" i="3"/>
  <c r="C1806" i="3"/>
  <c r="C1805" i="3"/>
  <c r="C1804" i="3"/>
  <c r="C1803" i="3"/>
  <c r="C1802" i="3"/>
  <c r="C1801" i="3"/>
  <c r="C1800" i="3"/>
  <c r="C1799" i="3"/>
  <c r="C1798" i="3"/>
  <c r="C1797" i="3"/>
  <c r="C1796" i="3"/>
  <c r="C1795" i="3"/>
  <c r="C1794" i="3"/>
  <c r="C1793" i="3"/>
  <c r="C1792" i="3"/>
  <c r="C1791" i="3"/>
  <c r="C1790" i="3"/>
  <c r="C1789" i="3"/>
  <c r="C1788" i="3"/>
  <c r="C1787" i="3"/>
  <c r="C1786" i="3"/>
  <c r="C1785" i="3"/>
  <c r="C1784" i="3"/>
  <c r="C1783" i="3"/>
  <c r="C1782" i="3"/>
  <c r="C1781" i="3"/>
  <c r="C1780" i="3"/>
  <c r="C1779" i="3"/>
  <c r="C1778" i="3"/>
  <c r="C1777" i="3"/>
  <c r="C1776" i="3"/>
  <c r="C1775" i="3"/>
  <c r="C1774" i="3"/>
  <c r="C1773" i="3"/>
  <c r="C1772" i="3"/>
  <c r="C1771" i="3"/>
  <c r="C1770" i="3"/>
  <c r="C1769" i="3"/>
  <c r="C1768" i="3"/>
  <c r="C1767" i="3"/>
  <c r="C1766" i="3"/>
  <c r="C1765" i="3"/>
  <c r="C1764" i="3"/>
  <c r="C1763" i="3"/>
  <c r="C1762" i="3"/>
  <c r="C1761" i="3"/>
  <c r="C1760" i="3"/>
  <c r="C1759" i="3"/>
  <c r="C1758" i="3"/>
  <c r="C1757" i="3"/>
  <c r="C1756" i="3"/>
  <c r="C1755" i="3"/>
  <c r="C1754" i="3"/>
  <c r="C1753" i="3"/>
  <c r="C1752" i="3"/>
  <c r="C1751" i="3"/>
  <c r="C1750" i="3"/>
  <c r="C1749" i="3"/>
  <c r="C1748" i="3"/>
  <c r="C1747" i="3"/>
  <c r="C1746" i="3"/>
  <c r="C1745" i="3"/>
  <c r="C1744" i="3"/>
  <c r="C1743" i="3"/>
  <c r="C1742" i="3"/>
  <c r="C1741" i="3"/>
  <c r="C1740" i="3"/>
  <c r="C1739" i="3"/>
  <c r="C1738" i="3"/>
  <c r="C1737" i="3"/>
  <c r="C1736" i="3"/>
  <c r="C1735" i="3"/>
  <c r="C1734" i="3"/>
  <c r="C1733" i="3"/>
  <c r="C1732" i="3"/>
  <c r="C1731" i="3"/>
  <c r="C1730" i="3"/>
  <c r="C1729" i="3"/>
  <c r="C1728" i="3"/>
  <c r="C1727" i="3"/>
  <c r="C1726" i="3"/>
  <c r="C1725" i="3"/>
  <c r="C1724" i="3"/>
  <c r="C1723" i="3"/>
  <c r="C1722" i="3"/>
  <c r="C1721" i="3"/>
  <c r="C1720" i="3"/>
  <c r="C1719" i="3"/>
  <c r="C1718" i="3"/>
  <c r="C1717" i="3"/>
  <c r="C1716" i="3"/>
  <c r="C1715" i="3"/>
  <c r="C1714" i="3"/>
  <c r="C1713" i="3"/>
  <c r="C1712" i="3"/>
  <c r="C1711" i="3"/>
  <c r="C1710" i="3"/>
  <c r="C1709" i="3"/>
  <c r="C1708" i="3"/>
  <c r="C1707" i="3"/>
  <c r="C1706" i="3"/>
  <c r="C1705" i="3"/>
  <c r="C1704" i="3"/>
  <c r="C1703" i="3"/>
  <c r="C1702" i="3"/>
  <c r="C1701" i="3"/>
  <c r="C1700" i="3"/>
  <c r="C1699" i="3"/>
  <c r="C1698" i="3"/>
  <c r="C1697" i="3"/>
  <c r="C1696" i="3"/>
  <c r="C1695" i="3"/>
  <c r="C1694" i="3"/>
  <c r="C1693" i="3"/>
  <c r="C1692" i="3"/>
  <c r="C1691" i="3"/>
  <c r="C1690" i="3"/>
  <c r="C1689" i="3"/>
  <c r="C1688" i="3"/>
  <c r="C1687" i="3"/>
  <c r="C1686" i="3"/>
  <c r="C1685" i="3"/>
  <c r="C1684" i="3"/>
  <c r="C1683" i="3"/>
  <c r="C1682" i="3"/>
  <c r="C1681" i="3"/>
  <c r="C1680" i="3"/>
  <c r="C1679" i="3"/>
  <c r="C1678" i="3"/>
  <c r="C1677" i="3"/>
  <c r="C1676" i="3"/>
  <c r="C1675" i="3"/>
  <c r="C1674" i="3"/>
  <c r="C1673" i="3"/>
  <c r="C1672" i="3"/>
  <c r="C1671" i="3"/>
  <c r="C1670" i="3"/>
  <c r="C1669" i="3"/>
  <c r="C1668" i="3"/>
  <c r="C1667" i="3"/>
  <c r="C1666" i="3"/>
  <c r="C1665" i="3"/>
  <c r="C1664" i="3"/>
  <c r="C1663" i="3"/>
  <c r="C1662" i="3"/>
  <c r="C1661" i="3"/>
  <c r="C1660" i="3"/>
  <c r="C1659" i="3"/>
  <c r="C1658" i="3"/>
  <c r="C1657" i="3"/>
  <c r="C1656" i="3"/>
  <c r="C1655" i="3"/>
  <c r="C1654" i="3"/>
  <c r="C1653" i="3"/>
  <c r="C1652" i="3"/>
  <c r="C1651" i="3"/>
  <c r="C1650" i="3"/>
  <c r="C1649" i="3"/>
  <c r="C1648" i="3"/>
  <c r="C1647" i="3"/>
  <c r="C1646" i="3"/>
  <c r="C1645" i="3"/>
  <c r="C1644" i="3"/>
  <c r="C1643" i="3"/>
  <c r="C1642" i="3"/>
  <c r="C1641" i="3"/>
  <c r="C1640" i="3"/>
  <c r="C1639" i="3"/>
  <c r="C1638" i="3"/>
  <c r="C1637" i="3"/>
  <c r="C1636" i="3"/>
  <c r="C1635" i="3"/>
  <c r="C1634" i="3"/>
  <c r="C1633" i="3"/>
  <c r="C1632" i="3"/>
  <c r="C1631" i="3"/>
  <c r="C1630" i="3"/>
  <c r="C1629" i="3"/>
  <c r="C1628" i="3"/>
  <c r="C1627" i="3"/>
  <c r="C1626" i="3"/>
  <c r="C1625" i="3"/>
  <c r="C1624" i="3"/>
  <c r="C1623" i="3"/>
  <c r="C1622" i="3"/>
  <c r="C1621" i="3"/>
  <c r="C1620" i="3"/>
  <c r="C1619" i="3"/>
  <c r="C1618" i="3"/>
  <c r="C1617" i="3"/>
  <c r="C1616" i="3"/>
  <c r="C1615" i="3"/>
  <c r="C1614" i="3"/>
  <c r="C1613" i="3"/>
  <c r="C1612" i="3"/>
  <c r="C1611" i="3"/>
  <c r="C1610" i="3"/>
  <c r="C1609" i="3"/>
  <c r="C1608" i="3"/>
  <c r="C1607" i="3"/>
  <c r="C1606" i="3"/>
  <c r="C1605" i="3"/>
  <c r="C1604" i="3"/>
  <c r="C1603" i="3"/>
  <c r="C1602" i="3"/>
  <c r="C1601" i="3"/>
  <c r="C1600" i="3"/>
  <c r="C1599" i="3"/>
  <c r="C1598" i="3"/>
  <c r="C1597" i="3"/>
  <c r="C1596" i="3"/>
  <c r="C1595" i="3"/>
  <c r="C1594" i="3"/>
  <c r="C1593" i="3"/>
  <c r="C1592" i="3"/>
  <c r="C1591" i="3"/>
  <c r="C1590" i="3"/>
  <c r="C1589" i="3"/>
  <c r="C1588" i="3"/>
  <c r="C1587" i="3"/>
  <c r="C1586" i="3"/>
  <c r="C1585" i="3"/>
  <c r="C1584" i="3"/>
  <c r="C1583" i="3"/>
  <c r="C1582" i="3"/>
  <c r="C1581" i="3"/>
  <c r="C1580" i="3"/>
  <c r="C1579" i="3"/>
  <c r="C1578" i="3"/>
  <c r="C1577" i="3"/>
  <c r="C1576" i="3"/>
  <c r="C1575" i="3"/>
  <c r="C1574" i="3"/>
  <c r="C1573" i="3"/>
  <c r="C1572" i="3"/>
  <c r="C1571" i="3"/>
  <c r="C1570" i="3"/>
  <c r="C1569" i="3"/>
  <c r="C1568" i="3"/>
  <c r="C1567" i="3"/>
  <c r="C1566" i="3"/>
  <c r="C1565" i="3"/>
  <c r="C1564" i="3"/>
  <c r="C1563" i="3"/>
  <c r="C1562" i="3"/>
  <c r="C1561" i="3"/>
  <c r="C1560" i="3"/>
  <c r="C1559" i="3"/>
  <c r="C1558" i="3"/>
  <c r="C1557" i="3"/>
  <c r="C1556" i="3"/>
  <c r="C1555" i="3"/>
  <c r="C1554" i="3"/>
  <c r="C1553" i="3"/>
  <c r="C1552" i="3"/>
  <c r="C1551" i="3"/>
  <c r="C1550" i="3"/>
  <c r="C1549" i="3"/>
  <c r="C1548" i="3"/>
  <c r="C1547" i="3"/>
  <c r="C1546" i="3"/>
  <c r="C1545" i="3"/>
  <c r="C1544" i="3"/>
  <c r="C1543" i="3"/>
  <c r="C1542" i="3"/>
  <c r="C1541" i="3"/>
  <c r="C1540" i="3"/>
  <c r="C1539" i="3"/>
  <c r="C1538" i="3"/>
  <c r="C1537" i="3"/>
  <c r="C1536" i="3"/>
  <c r="C1535" i="3"/>
  <c r="C1534" i="3"/>
  <c r="C1533" i="3"/>
  <c r="C1532" i="3"/>
  <c r="C1531" i="3"/>
  <c r="C1530" i="3"/>
  <c r="C1529" i="3"/>
  <c r="C1528" i="3"/>
  <c r="C1527" i="3"/>
  <c r="C1526" i="3"/>
  <c r="C1525" i="3"/>
  <c r="C1524" i="3"/>
  <c r="C1523" i="3"/>
  <c r="C1522" i="3"/>
  <c r="C1521" i="3"/>
  <c r="C1520" i="3"/>
  <c r="C1519" i="3"/>
  <c r="C1518" i="3"/>
  <c r="C1517" i="3"/>
  <c r="C1516" i="3"/>
  <c r="C1515" i="3"/>
  <c r="C1514" i="3"/>
  <c r="C1513" i="3"/>
  <c r="C1512" i="3"/>
  <c r="C1511" i="3"/>
  <c r="C1510" i="3"/>
  <c r="C1509" i="3"/>
  <c r="C1508" i="3"/>
  <c r="C1507" i="3"/>
  <c r="C1506" i="3"/>
  <c r="C1505" i="3"/>
  <c r="C1504" i="3"/>
  <c r="C1503" i="3"/>
  <c r="C1502" i="3"/>
  <c r="C1501" i="3"/>
  <c r="C1500" i="3"/>
  <c r="C1499" i="3"/>
  <c r="C1498" i="3"/>
  <c r="C1497" i="3"/>
  <c r="C1496" i="3"/>
  <c r="C1495" i="3"/>
  <c r="C1494" i="3"/>
  <c r="C1493" i="3"/>
  <c r="C1492" i="3"/>
  <c r="C1491" i="3"/>
  <c r="C1490" i="3"/>
  <c r="C1489" i="3"/>
  <c r="C1488" i="3"/>
  <c r="C1487" i="3"/>
  <c r="C1486" i="3"/>
  <c r="C1485" i="3"/>
  <c r="C1484" i="3"/>
  <c r="C1483" i="3"/>
  <c r="C1482" i="3"/>
  <c r="C1481" i="3"/>
  <c r="C1480" i="3"/>
  <c r="C1479" i="3"/>
  <c r="C1478" i="3"/>
  <c r="C1477" i="3"/>
  <c r="C1476" i="3"/>
  <c r="C1475" i="3"/>
  <c r="C1474" i="3"/>
  <c r="C1473" i="3"/>
  <c r="C1472" i="3"/>
  <c r="C1471" i="3"/>
  <c r="C1470" i="3"/>
  <c r="C1469" i="3"/>
  <c r="C1468" i="3"/>
  <c r="C1467" i="3"/>
  <c r="C1466" i="3"/>
  <c r="C1465" i="3"/>
  <c r="C1464" i="3"/>
  <c r="C1463" i="3"/>
  <c r="C1462" i="3"/>
  <c r="C1461" i="3"/>
  <c r="C1460" i="3"/>
  <c r="C1459" i="3"/>
  <c r="C1458" i="3"/>
  <c r="C1457" i="3"/>
  <c r="C1456" i="3"/>
  <c r="C1455" i="3"/>
  <c r="C1454" i="3"/>
  <c r="C1453" i="3"/>
  <c r="C1452" i="3"/>
  <c r="C1451" i="3"/>
  <c r="C1450" i="3"/>
  <c r="C1449" i="3"/>
  <c r="C1448" i="3"/>
  <c r="C1447" i="3"/>
  <c r="C1446" i="3"/>
  <c r="C1445" i="3"/>
  <c r="C1444" i="3"/>
  <c r="C1443" i="3"/>
  <c r="C1442" i="3"/>
  <c r="C1441" i="3"/>
  <c r="C1440" i="3"/>
  <c r="C1439" i="3"/>
  <c r="C1438" i="3"/>
  <c r="C1437" i="3"/>
  <c r="C1436" i="3"/>
  <c r="C1435" i="3"/>
  <c r="C1434" i="3"/>
  <c r="C1433" i="3"/>
  <c r="C1432" i="3"/>
  <c r="C1431" i="3"/>
  <c r="C1430" i="3"/>
  <c r="C1429" i="3"/>
  <c r="C1428" i="3"/>
  <c r="C1427" i="3"/>
  <c r="C1426" i="3"/>
  <c r="C1425" i="3"/>
  <c r="C1424" i="3"/>
  <c r="C1423" i="3"/>
  <c r="C1422" i="3"/>
  <c r="C1421" i="3"/>
  <c r="C1420" i="3"/>
  <c r="C1419" i="3"/>
  <c r="C1418" i="3"/>
  <c r="C1417" i="3"/>
  <c r="C1416" i="3"/>
  <c r="C1415" i="3"/>
  <c r="C1414" i="3"/>
  <c r="C1413" i="3"/>
  <c r="C1412" i="3"/>
  <c r="C1411" i="3"/>
  <c r="C1410" i="3"/>
  <c r="C1409" i="3"/>
  <c r="C1408" i="3"/>
  <c r="C1407" i="3"/>
  <c r="C1406" i="3"/>
  <c r="C1405" i="3"/>
  <c r="C1404" i="3"/>
  <c r="C1403" i="3"/>
  <c r="C1402" i="3"/>
  <c r="C1401" i="3"/>
  <c r="C1400" i="3"/>
  <c r="C1399" i="3"/>
  <c r="C1398" i="3"/>
  <c r="C1397" i="3"/>
  <c r="C1396" i="3"/>
  <c r="C1395" i="3"/>
  <c r="C1394" i="3"/>
  <c r="C1393" i="3"/>
  <c r="C1392" i="3"/>
  <c r="C1391" i="3"/>
  <c r="C1390" i="3"/>
  <c r="C1389" i="3"/>
  <c r="C1388" i="3"/>
  <c r="C1387" i="3"/>
  <c r="C1386" i="3"/>
  <c r="C1385" i="3"/>
  <c r="C1384" i="3"/>
  <c r="C1383" i="3"/>
  <c r="C1382" i="3"/>
  <c r="C1381" i="3"/>
  <c r="C1380" i="3"/>
  <c r="C1379" i="3"/>
  <c r="C1378" i="3"/>
  <c r="C1377" i="3"/>
  <c r="C1376" i="3"/>
  <c r="C1375" i="3"/>
  <c r="C1374" i="3"/>
  <c r="C1373" i="3"/>
  <c r="C1372" i="3"/>
  <c r="C1371" i="3"/>
  <c r="C1370" i="3"/>
  <c r="C1369" i="3"/>
  <c r="C1368" i="3"/>
  <c r="C1367" i="3"/>
  <c r="C1366" i="3"/>
  <c r="C1365" i="3"/>
  <c r="C1364" i="3"/>
  <c r="C1363" i="3"/>
  <c r="C1362" i="3"/>
  <c r="C1361" i="3"/>
  <c r="C1360" i="3"/>
  <c r="C1359" i="3"/>
  <c r="C1358" i="3"/>
  <c r="C1357" i="3"/>
  <c r="C1356" i="3"/>
  <c r="C1355" i="3"/>
  <c r="C1354" i="3"/>
  <c r="C1353" i="3"/>
  <c r="C1352" i="3"/>
  <c r="C1351" i="3"/>
  <c r="C1350" i="3"/>
  <c r="C1349" i="3"/>
  <c r="C1348" i="3"/>
  <c r="C1347" i="3"/>
  <c r="C1346" i="3"/>
  <c r="C1345" i="3"/>
  <c r="C1344" i="3"/>
  <c r="C1343" i="3"/>
  <c r="C1342" i="3"/>
  <c r="C1341" i="3"/>
  <c r="C1340" i="3"/>
  <c r="C1339" i="3"/>
  <c r="C1338" i="3"/>
  <c r="C1337" i="3"/>
  <c r="C1336" i="3"/>
  <c r="C1335" i="3"/>
  <c r="C1334" i="3"/>
  <c r="C1333" i="3"/>
  <c r="C1332" i="3"/>
  <c r="C1331" i="3"/>
  <c r="C1330" i="3"/>
  <c r="C1329" i="3"/>
  <c r="C1328" i="3"/>
  <c r="C1327" i="3"/>
  <c r="C1326" i="3"/>
  <c r="C1325" i="3"/>
  <c r="C1324" i="3"/>
  <c r="C1323" i="3"/>
  <c r="C1322" i="3"/>
  <c r="C1321" i="3"/>
  <c r="C1320" i="3"/>
  <c r="C1319" i="3"/>
  <c r="C1318" i="3"/>
  <c r="C1317" i="3"/>
  <c r="C1316" i="3"/>
  <c r="C1315" i="3"/>
  <c r="C1314" i="3"/>
  <c r="C1313" i="3"/>
  <c r="C1312" i="3"/>
  <c r="C1311" i="3"/>
  <c r="C1310" i="3"/>
  <c r="C1309" i="3"/>
  <c r="C1308" i="3"/>
  <c r="C1307" i="3"/>
  <c r="C1306" i="3"/>
  <c r="C1305" i="3"/>
  <c r="C1304" i="3"/>
  <c r="C1303" i="3"/>
  <c r="C1302" i="3"/>
  <c r="C1301" i="3"/>
  <c r="C1300" i="3"/>
  <c r="C1299" i="3"/>
  <c r="C1298" i="3"/>
  <c r="C1297" i="3"/>
  <c r="C1296" i="3"/>
  <c r="C1295" i="3"/>
  <c r="C1294" i="3"/>
  <c r="C1293" i="3"/>
  <c r="C1292" i="3"/>
  <c r="C1291" i="3"/>
  <c r="C1290" i="3"/>
  <c r="C1289" i="3"/>
  <c r="C1288" i="3"/>
  <c r="C1287" i="3"/>
  <c r="C1286" i="3"/>
  <c r="C1285" i="3"/>
  <c r="C1284" i="3"/>
  <c r="C1283" i="3"/>
  <c r="C1282" i="3"/>
  <c r="C1281" i="3"/>
  <c r="C1280" i="3"/>
  <c r="C1279" i="3"/>
  <c r="C1278" i="3"/>
  <c r="C1277" i="3"/>
  <c r="C1276" i="3"/>
  <c r="C1275" i="3"/>
  <c r="C1274" i="3"/>
  <c r="C1273" i="3"/>
  <c r="C1272" i="3"/>
  <c r="C1271" i="3"/>
  <c r="C1270" i="3"/>
  <c r="C1269" i="3"/>
  <c r="C1268" i="3"/>
  <c r="C1267" i="3"/>
  <c r="C1266" i="3"/>
  <c r="C1265" i="3"/>
  <c r="C1264" i="3"/>
  <c r="C1263" i="3"/>
  <c r="C1262" i="3"/>
  <c r="C1261" i="3"/>
  <c r="C1260" i="3"/>
  <c r="C1259" i="3"/>
  <c r="C1258" i="3"/>
  <c r="C1257" i="3"/>
  <c r="C1256" i="3"/>
  <c r="C1255" i="3"/>
  <c r="C1254" i="3"/>
  <c r="C1253" i="3"/>
  <c r="C1252" i="3"/>
  <c r="C1251" i="3"/>
  <c r="C1250" i="3"/>
  <c r="C1249" i="3"/>
  <c r="C1248" i="3"/>
  <c r="C1247" i="3"/>
  <c r="C1246" i="3"/>
  <c r="C1245" i="3"/>
  <c r="C1244" i="3"/>
  <c r="C1243" i="3"/>
  <c r="C1242" i="3"/>
  <c r="C1241" i="3"/>
  <c r="C1240" i="3"/>
  <c r="C1239" i="3"/>
  <c r="C1238" i="3"/>
  <c r="C1237" i="3"/>
  <c r="C1236" i="3"/>
  <c r="C1235" i="3"/>
  <c r="C1234" i="3"/>
  <c r="C1233" i="3"/>
  <c r="C1232" i="3"/>
  <c r="C1231" i="3"/>
  <c r="C1230" i="3"/>
  <c r="C1229" i="3"/>
  <c r="C1228" i="3"/>
  <c r="C1227" i="3"/>
  <c r="C1226" i="3"/>
  <c r="C1225" i="3"/>
  <c r="C1224" i="3"/>
  <c r="C1223" i="3"/>
  <c r="C1222" i="3"/>
  <c r="C1221" i="3"/>
  <c r="C1220" i="3"/>
  <c r="C1219" i="3"/>
  <c r="C1218" i="3"/>
  <c r="C1217" i="3"/>
  <c r="C1216" i="3"/>
  <c r="C1215" i="3"/>
  <c r="C1214" i="3"/>
  <c r="C1213" i="3"/>
  <c r="C1212" i="3"/>
  <c r="C1211" i="3"/>
  <c r="C1210" i="3"/>
  <c r="C1209" i="3"/>
  <c r="C1208" i="3"/>
  <c r="C1207" i="3"/>
  <c r="C1206" i="3"/>
  <c r="C1205" i="3"/>
  <c r="C1204" i="3"/>
  <c r="C1203" i="3"/>
  <c r="C1202" i="3"/>
  <c r="C1201" i="3"/>
  <c r="C1200" i="3"/>
  <c r="C1199" i="3"/>
  <c r="C1198" i="3"/>
  <c r="C1197" i="3"/>
  <c r="C1196" i="3"/>
  <c r="C1195" i="3"/>
  <c r="C1194" i="3"/>
  <c r="C1193" i="3"/>
  <c r="C1192" i="3"/>
  <c r="C1191" i="3"/>
  <c r="C1190" i="3"/>
  <c r="C1189" i="3"/>
  <c r="C1188" i="3"/>
  <c r="C1187" i="3"/>
  <c r="C1186" i="3"/>
  <c r="C1185" i="3"/>
  <c r="C1184" i="3"/>
  <c r="C1183" i="3"/>
  <c r="C1182" i="3"/>
  <c r="C1181" i="3"/>
  <c r="C1180" i="3"/>
  <c r="C1179" i="3"/>
  <c r="C1178" i="3"/>
  <c r="C1177" i="3"/>
  <c r="C1176" i="3"/>
  <c r="C1175" i="3"/>
  <c r="C1174" i="3"/>
  <c r="C1173" i="3"/>
  <c r="C1172" i="3"/>
  <c r="C1171" i="3"/>
  <c r="C1170" i="3"/>
  <c r="C1169" i="3"/>
  <c r="C1168" i="3"/>
  <c r="C1167" i="3"/>
  <c r="C1166" i="3"/>
  <c r="C1165" i="3"/>
  <c r="C1164" i="3"/>
  <c r="C1163" i="3"/>
  <c r="C1162" i="3"/>
  <c r="C1161" i="3"/>
  <c r="C1160" i="3"/>
  <c r="C1159" i="3"/>
  <c r="C1158" i="3"/>
  <c r="C1157" i="3"/>
  <c r="C1156" i="3"/>
  <c r="C1155" i="3"/>
  <c r="C1154" i="3"/>
  <c r="C1153" i="3"/>
  <c r="C1152" i="3"/>
  <c r="C1151" i="3"/>
  <c r="C1150" i="3"/>
  <c r="C1149" i="3"/>
  <c r="C1148" i="3"/>
  <c r="C1147" i="3"/>
  <c r="C1146" i="3"/>
  <c r="C1145" i="3"/>
  <c r="C1144" i="3"/>
  <c r="C1143" i="3"/>
  <c r="C1142" i="3"/>
  <c r="C1141" i="3"/>
  <c r="C1140" i="3"/>
  <c r="C1139" i="3"/>
  <c r="C1138" i="3"/>
  <c r="C1137" i="3"/>
  <c r="C1136" i="3"/>
  <c r="C1135" i="3"/>
  <c r="C1134" i="3"/>
  <c r="C1133" i="3"/>
  <c r="C1132" i="3"/>
  <c r="C1131" i="3"/>
  <c r="C1130" i="3"/>
  <c r="C1129" i="3"/>
  <c r="C1128" i="3"/>
  <c r="C1127" i="3"/>
  <c r="C1126" i="3"/>
  <c r="C1125" i="3"/>
  <c r="C1124" i="3"/>
  <c r="C1123" i="3"/>
  <c r="C1122" i="3"/>
  <c r="C1121" i="3"/>
  <c r="C1120" i="3"/>
  <c r="C1119" i="3"/>
  <c r="C1118" i="3"/>
  <c r="C1117" i="3"/>
  <c r="C1116" i="3"/>
  <c r="C1115" i="3"/>
  <c r="C1114" i="3"/>
  <c r="C1113" i="3"/>
  <c r="C1112" i="3"/>
  <c r="C1111" i="3"/>
  <c r="C1110" i="3"/>
  <c r="C1109" i="3"/>
  <c r="C1108" i="3"/>
  <c r="C1107" i="3"/>
  <c r="C1106" i="3"/>
  <c r="C1105" i="3"/>
  <c r="C1104" i="3"/>
  <c r="C1103" i="3"/>
  <c r="C1102" i="3"/>
  <c r="C1101" i="3"/>
  <c r="C1100" i="3"/>
  <c r="C1099" i="3"/>
  <c r="C1098" i="3"/>
  <c r="C1097" i="3"/>
  <c r="C1096" i="3"/>
  <c r="C1095" i="3"/>
  <c r="C1094" i="3"/>
  <c r="C1093" i="3"/>
  <c r="C1092" i="3"/>
  <c r="C1091" i="3"/>
  <c r="C1090" i="3"/>
  <c r="C1089" i="3"/>
  <c r="C1088" i="3"/>
  <c r="C1087" i="3"/>
  <c r="C1086" i="3"/>
  <c r="C1085" i="3"/>
  <c r="C1084" i="3"/>
  <c r="C1083" i="3"/>
  <c r="C1082" i="3"/>
  <c r="C1081" i="3"/>
  <c r="C1080" i="3"/>
  <c r="C1079" i="3"/>
  <c r="C1078" i="3"/>
  <c r="C1077" i="3"/>
  <c r="C1076" i="3"/>
  <c r="C1075" i="3"/>
  <c r="C1074" i="3"/>
  <c r="C1073" i="3"/>
  <c r="C1072" i="3"/>
  <c r="C1071" i="3"/>
  <c r="C1070" i="3"/>
  <c r="C1069" i="3"/>
  <c r="C1068" i="3"/>
  <c r="C1067" i="3"/>
  <c r="C1066" i="3"/>
  <c r="C1065" i="3"/>
  <c r="C1064" i="3"/>
  <c r="C1063" i="3"/>
  <c r="C1062" i="3"/>
  <c r="C1061" i="3"/>
  <c r="C1060" i="3"/>
  <c r="C1059" i="3"/>
  <c r="C1058" i="3"/>
  <c r="C1057" i="3"/>
  <c r="C1056" i="3"/>
  <c r="C1055" i="3"/>
  <c r="C1054" i="3"/>
  <c r="C1053" i="3"/>
  <c r="C1052" i="3"/>
  <c r="C1051" i="3"/>
  <c r="C1050" i="3"/>
  <c r="C1049" i="3"/>
  <c r="C1048" i="3"/>
  <c r="C1047" i="3"/>
  <c r="C1046" i="3"/>
  <c r="C1045" i="3"/>
  <c r="C1044" i="3"/>
  <c r="C1043" i="3"/>
  <c r="C1042" i="3"/>
  <c r="C1041" i="3"/>
  <c r="C1040" i="3"/>
  <c r="C1039" i="3"/>
  <c r="C1038" i="3"/>
  <c r="C1037" i="3"/>
  <c r="C1036" i="3"/>
  <c r="C1035" i="3"/>
  <c r="C1034" i="3"/>
  <c r="C1033" i="3"/>
  <c r="C1032" i="3"/>
  <c r="C1031" i="3"/>
  <c r="C1030" i="3"/>
  <c r="C1029" i="3"/>
  <c r="C1028" i="3"/>
  <c r="C1027" i="3"/>
  <c r="C1026" i="3"/>
  <c r="C1025" i="3"/>
  <c r="C1024" i="3"/>
  <c r="C1023" i="3"/>
  <c r="C1022" i="3"/>
  <c r="C1021" i="3"/>
  <c r="C1020" i="3"/>
  <c r="C1019" i="3"/>
  <c r="C1018" i="3"/>
  <c r="C1017" i="3"/>
  <c r="C1016" i="3"/>
  <c r="C1015" i="3"/>
  <c r="C1014" i="3"/>
  <c r="C1013" i="3"/>
  <c r="C1012" i="3"/>
  <c r="C1011" i="3"/>
  <c r="C1010" i="3"/>
  <c r="C1009" i="3"/>
  <c r="C1008" i="3"/>
  <c r="C1007" i="3"/>
  <c r="C1006" i="3"/>
  <c r="C1005" i="3"/>
  <c r="C1004" i="3"/>
  <c r="C1003" i="3"/>
  <c r="C1002" i="3"/>
  <c r="C1001" i="3"/>
  <c r="C1000" i="3"/>
  <c r="C999" i="3"/>
  <c r="C998" i="3"/>
  <c r="C997" i="3"/>
  <c r="C996" i="3"/>
  <c r="C995" i="3"/>
  <c r="C994" i="3"/>
  <c r="C993" i="3"/>
  <c r="C992" i="3"/>
  <c r="C991" i="3"/>
  <c r="C990" i="3"/>
  <c r="C989" i="3"/>
  <c r="C988" i="3"/>
  <c r="C987" i="3"/>
  <c r="C986" i="3"/>
  <c r="C985" i="3"/>
  <c r="C984" i="3"/>
  <c r="C983" i="3"/>
  <c r="C982" i="3"/>
  <c r="C981" i="3"/>
  <c r="C980" i="3"/>
  <c r="C979" i="3"/>
  <c r="C978" i="3"/>
  <c r="C977" i="3"/>
  <c r="C976" i="3"/>
  <c r="C975" i="3"/>
  <c r="C974" i="3"/>
  <c r="C973" i="3"/>
  <c r="C972" i="3"/>
  <c r="C971" i="3"/>
  <c r="C970" i="3"/>
  <c r="C969" i="3"/>
  <c r="C968" i="3"/>
  <c r="C967" i="3"/>
  <c r="C966" i="3"/>
  <c r="C965" i="3"/>
  <c r="C964" i="3"/>
  <c r="C963" i="3"/>
  <c r="C962" i="3"/>
  <c r="C961" i="3"/>
  <c r="C960" i="3"/>
  <c r="C959" i="3"/>
  <c r="C958" i="3"/>
  <c r="C957" i="3"/>
  <c r="C956" i="3"/>
  <c r="C955" i="3"/>
  <c r="C954" i="3"/>
  <c r="C953" i="3"/>
  <c r="C952" i="3"/>
  <c r="C951" i="3"/>
  <c r="C950" i="3"/>
  <c r="C949" i="3"/>
  <c r="C948" i="3"/>
  <c r="C947" i="3"/>
  <c r="C946" i="3"/>
  <c r="C945" i="3"/>
  <c r="C944" i="3"/>
  <c r="C943" i="3"/>
  <c r="C942" i="3"/>
  <c r="C941" i="3"/>
  <c r="C940" i="3"/>
  <c r="C939" i="3"/>
  <c r="C938" i="3"/>
  <c r="C937" i="3"/>
  <c r="C936" i="3"/>
  <c r="C935" i="3"/>
  <c r="C934" i="3"/>
  <c r="C933" i="3"/>
  <c r="C932" i="3"/>
  <c r="C931" i="3"/>
  <c r="C930" i="3"/>
  <c r="C929" i="3"/>
  <c r="C928" i="3"/>
  <c r="C927" i="3"/>
  <c r="C926" i="3"/>
  <c r="C925" i="3"/>
  <c r="C924" i="3"/>
  <c r="C923" i="3"/>
  <c r="C922" i="3"/>
  <c r="C921" i="3"/>
  <c r="C920" i="3"/>
  <c r="C919" i="3"/>
  <c r="C918" i="3"/>
  <c r="C917" i="3"/>
  <c r="C916" i="3"/>
  <c r="C915" i="3"/>
  <c r="C914" i="3"/>
  <c r="C913" i="3"/>
  <c r="C912" i="3"/>
  <c r="C911" i="3"/>
  <c r="C910" i="3"/>
  <c r="C909" i="3"/>
  <c r="C908" i="3"/>
  <c r="C907" i="3"/>
  <c r="C906" i="3"/>
  <c r="C905" i="3"/>
  <c r="C904" i="3"/>
  <c r="C903" i="3"/>
  <c r="C902" i="3"/>
  <c r="C901" i="3"/>
  <c r="C900" i="3"/>
  <c r="C899" i="3"/>
  <c r="C898" i="3"/>
  <c r="C897" i="3"/>
  <c r="C896" i="3"/>
  <c r="C895" i="3"/>
  <c r="C894" i="3"/>
  <c r="C893" i="3"/>
  <c r="C892" i="3"/>
  <c r="C891" i="3"/>
  <c r="C890" i="3"/>
  <c r="C889" i="3"/>
  <c r="C888" i="3"/>
  <c r="C887" i="3"/>
  <c r="C886" i="3"/>
  <c r="C885" i="3"/>
  <c r="C884" i="3"/>
  <c r="C883" i="3"/>
  <c r="C882" i="3"/>
  <c r="C881" i="3"/>
  <c r="C880" i="3"/>
  <c r="C879" i="3"/>
  <c r="C878" i="3"/>
  <c r="C877" i="3"/>
  <c r="C876" i="3"/>
  <c r="C875" i="3"/>
  <c r="C874" i="3"/>
  <c r="C873" i="3"/>
  <c r="C872" i="3"/>
  <c r="C871" i="3"/>
  <c r="C870" i="3"/>
  <c r="C869" i="3"/>
  <c r="C868" i="3"/>
  <c r="C867" i="3"/>
  <c r="C866" i="3"/>
  <c r="C865" i="3"/>
  <c r="C864" i="3"/>
  <c r="C863" i="3"/>
  <c r="C862" i="3"/>
  <c r="C861" i="3"/>
  <c r="C860" i="3"/>
  <c r="C859" i="3"/>
  <c r="C858" i="3"/>
  <c r="C857" i="3"/>
  <c r="C856" i="3"/>
  <c r="C855" i="3"/>
  <c r="C854" i="3"/>
  <c r="C853" i="3"/>
  <c r="C852" i="3"/>
  <c r="C851" i="3"/>
  <c r="C850" i="3"/>
  <c r="C849" i="3"/>
  <c r="C848" i="3"/>
  <c r="C847" i="3"/>
  <c r="C846" i="3"/>
  <c r="C845" i="3"/>
  <c r="C844" i="3"/>
  <c r="C843" i="3"/>
  <c r="C842" i="3"/>
  <c r="C841" i="3"/>
  <c r="C840" i="3"/>
  <c r="C839" i="3"/>
  <c r="C838" i="3"/>
  <c r="C837" i="3"/>
  <c r="C836" i="3"/>
  <c r="C835" i="3"/>
  <c r="C834" i="3"/>
  <c r="C833" i="3"/>
  <c r="C832" i="3"/>
  <c r="C831" i="3"/>
  <c r="C830" i="3"/>
  <c r="C829" i="3"/>
  <c r="C828" i="3"/>
  <c r="C827" i="3"/>
  <c r="C826" i="3"/>
  <c r="C825" i="3"/>
  <c r="C824" i="3"/>
  <c r="C823" i="3"/>
  <c r="C822" i="3"/>
  <c r="C821" i="3"/>
  <c r="C820" i="3"/>
  <c r="C819" i="3"/>
  <c r="C818" i="3"/>
  <c r="C817" i="3"/>
  <c r="C816" i="3"/>
  <c r="C815" i="3"/>
  <c r="C814" i="3"/>
  <c r="C813" i="3"/>
  <c r="C812" i="3"/>
  <c r="C811" i="3"/>
  <c r="C810" i="3"/>
  <c r="C809" i="3"/>
  <c r="C808" i="3"/>
  <c r="C807" i="3"/>
  <c r="C806" i="3"/>
  <c r="C805" i="3"/>
  <c r="C804" i="3"/>
  <c r="C803" i="3"/>
  <c r="C802" i="3"/>
  <c r="C801" i="3"/>
  <c r="C800" i="3"/>
  <c r="C799" i="3"/>
  <c r="C798" i="3"/>
  <c r="C797" i="3"/>
  <c r="C796" i="3"/>
  <c r="C795" i="3"/>
  <c r="C794" i="3"/>
  <c r="C793" i="3"/>
  <c r="C792" i="3"/>
  <c r="C791" i="3"/>
  <c r="C790" i="3"/>
  <c r="C789" i="3"/>
  <c r="C788" i="3"/>
  <c r="C787" i="3"/>
  <c r="C786" i="3"/>
  <c r="C785" i="3"/>
  <c r="C784" i="3"/>
  <c r="C783" i="3"/>
  <c r="C782" i="3"/>
  <c r="C781" i="3"/>
  <c r="C780" i="3"/>
  <c r="C779" i="3"/>
  <c r="C778" i="3"/>
  <c r="C777" i="3"/>
  <c r="C776" i="3"/>
  <c r="C775" i="3"/>
  <c r="C774" i="3"/>
  <c r="C773" i="3"/>
  <c r="C772" i="3"/>
  <c r="C771" i="3"/>
  <c r="C770" i="3"/>
  <c r="C769" i="3"/>
  <c r="C768" i="3"/>
  <c r="C767" i="3"/>
  <c r="C766" i="3"/>
  <c r="C765" i="3"/>
  <c r="C764" i="3"/>
  <c r="C763" i="3"/>
  <c r="C762" i="3"/>
  <c r="C761" i="3"/>
  <c r="C760" i="3"/>
  <c r="C759" i="3"/>
  <c r="C758" i="3"/>
  <c r="C757" i="3"/>
  <c r="C756" i="3"/>
  <c r="C755" i="3"/>
  <c r="C754" i="3"/>
  <c r="C753" i="3"/>
  <c r="C752" i="3"/>
  <c r="C751" i="3"/>
  <c r="C750" i="3"/>
  <c r="C749" i="3"/>
  <c r="C748" i="3"/>
  <c r="C747" i="3"/>
  <c r="C746" i="3"/>
  <c r="C745" i="3"/>
  <c r="C744" i="3"/>
  <c r="C743" i="3"/>
  <c r="C742" i="3"/>
  <c r="C741" i="3"/>
  <c r="C740" i="3"/>
  <c r="C739" i="3"/>
  <c r="C738" i="3"/>
  <c r="C737" i="3"/>
  <c r="C736" i="3"/>
  <c r="C735" i="3"/>
  <c r="C734" i="3"/>
  <c r="C733" i="3"/>
  <c r="C732" i="3"/>
  <c r="C731" i="3"/>
  <c r="C730" i="3"/>
  <c r="C729" i="3"/>
  <c r="C728" i="3"/>
  <c r="C727" i="3"/>
  <c r="C726" i="3"/>
  <c r="C725" i="3"/>
  <c r="C724" i="3"/>
  <c r="C723" i="3"/>
  <c r="C722" i="3"/>
  <c r="C721" i="3"/>
  <c r="C720" i="3"/>
  <c r="C719" i="3"/>
  <c r="C718" i="3"/>
  <c r="C717" i="3"/>
  <c r="C716" i="3"/>
  <c r="C715" i="3"/>
  <c r="C714" i="3"/>
  <c r="C713" i="3"/>
  <c r="C712" i="3"/>
  <c r="C711" i="3"/>
  <c r="C710" i="3"/>
  <c r="C709" i="3"/>
  <c r="C708" i="3"/>
  <c r="C707" i="3"/>
  <c r="C706" i="3"/>
  <c r="C705" i="3"/>
  <c r="C704" i="3"/>
  <c r="C703" i="3"/>
  <c r="C702" i="3"/>
  <c r="C701" i="3"/>
  <c r="C700" i="3"/>
  <c r="C699" i="3"/>
  <c r="C698" i="3"/>
  <c r="C697" i="3"/>
  <c r="C696" i="3"/>
  <c r="C695" i="3"/>
  <c r="C694" i="3"/>
  <c r="C693" i="3"/>
  <c r="C692" i="3"/>
  <c r="C691" i="3"/>
  <c r="C690" i="3"/>
  <c r="C689" i="3"/>
  <c r="C688" i="3"/>
  <c r="C687" i="3"/>
  <c r="C686" i="3"/>
  <c r="C685" i="3"/>
  <c r="C684" i="3"/>
  <c r="C683" i="3"/>
  <c r="C682" i="3"/>
  <c r="C681" i="3"/>
  <c r="C680" i="3"/>
  <c r="C679" i="3"/>
  <c r="C678" i="3"/>
  <c r="C677" i="3"/>
  <c r="C676" i="3"/>
  <c r="C675" i="3"/>
  <c r="C674" i="3"/>
  <c r="C673" i="3"/>
  <c r="C672" i="3"/>
  <c r="C671" i="3"/>
  <c r="C670" i="3"/>
  <c r="C669" i="3"/>
  <c r="C668" i="3"/>
  <c r="C667" i="3"/>
  <c r="C666" i="3"/>
  <c r="C665" i="3"/>
  <c r="C664" i="3"/>
  <c r="C663" i="3"/>
  <c r="C662" i="3"/>
  <c r="C661" i="3"/>
  <c r="C660" i="3"/>
  <c r="C659" i="3"/>
  <c r="C658" i="3"/>
  <c r="C657" i="3"/>
  <c r="C656" i="3"/>
  <c r="C655" i="3"/>
  <c r="C654" i="3"/>
  <c r="C653" i="3"/>
  <c r="C652" i="3"/>
  <c r="C651" i="3"/>
  <c r="C650" i="3"/>
  <c r="C649" i="3"/>
  <c r="C648" i="3"/>
  <c r="C647" i="3"/>
  <c r="C646" i="3"/>
  <c r="C645" i="3"/>
  <c r="C644" i="3"/>
  <c r="C643" i="3"/>
  <c r="C642" i="3"/>
  <c r="C641" i="3"/>
  <c r="C640" i="3"/>
  <c r="C639" i="3"/>
  <c r="C638" i="3"/>
  <c r="C637" i="3"/>
  <c r="C636" i="3"/>
  <c r="C635" i="3"/>
  <c r="C634" i="3"/>
  <c r="C633" i="3"/>
  <c r="C632" i="3"/>
  <c r="C631" i="3"/>
  <c r="C630" i="3"/>
  <c r="C629" i="3"/>
  <c r="C628" i="3"/>
  <c r="C627" i="3"/>
  <c r="C626" i="3"/>
  <c r="C625" i="3"/>
  <c r="C624" i="3"/>
  <c r="C623" i="3"/>
  <c r="C622" i="3"/>
  <c r="C621" i="3"/>
  <c r="C620" i="3"/>
  <c r="C619" i="3"/>
  <c r="C618" i="3"/>
  <c r="C617" i="3"/>
  <c r="C616" i="3"/>
  <c r="C615" i="3"/>
  <c r="C614" i="3"/>
  <c r="C613" i="3"/>
  <c r="C612" i="3"/>
  <c r="C611" i="3"/>
  <c r="C610" i="3"/>
  <c r="C609" i="3"/>
  <c r="C608" i="3"/>
  <c r="C607" i="3"/>
  <c r="C606" i="3"/>
  <c r="C605" i="3"/>
  <c r="C604" i="3"/>
  <c r="C603" i="3"/>
  <c r="C602" i="3"/>
  <c r="C601" i="3"/>
  <c r="C600" i="3"/>
  <c r="C599" i="3"/>
  <c r="C598" i="3"/>
  <c r="C597" i="3"/>
  <c r="C596" i="3"/>
  <c r="C595" i="3"/>
  <c r="C594" i="3"/>
  <c r="C593" i="3"/>
  <c r="C592" i="3"/>
  <c r="C591" i="3"/>
  <c r="C590" i="3"/>
  <c r="C589" i="3"/>
  <c r="C588" i="3"/>
  <c r="C587" i="3"/>
  <c r="C586" i="3"/>
  <c r="C585" i="3"/>
  <c r="C584" i="3"/>
  <c r="C583" i="3"/>
  <c r="C582" i="3"/>
  <c r="C581" i="3"/>
  <c r="C580" i="3"/>
  <c r="C579" i="3"/>
  <c r="C578" i="3"/>
  <c r="C577" i="3"/>
  <c r="C576" i="3"/>
  <c r="C575" i="3"/>
  <c r="C574" i="3"/>
  <c r="C573" i="3"/>
  <c r="C572" i="3"/>
  <c r="C571" i="3"/>
  <c r="C570" i="3"/>
  <c r="C569" i="3"/>
  <c r="C568" i="3"/>
  <c r="C567" i="3"/>
  <c r="C566" i="3"/>
  <c r="C565" i="3"/>
  <c r="C564" i="3"/>
  <c r="C563" i="3"/>
  <c r="C562" i="3"/>
  <c r="C561" i="3"/>
  <c r="C560" i="3"/>
  <c r="C559" i="3"/>
  <c r="C558" i="3"/>
  <c r="C557" i="3"/>
  <c r="C556" i="3"/>
  <c r="C555" i="3"/>
  <c r="C554" i="3"/>
  <c r="C553" i="3"/>
  <c r="C552" i="3"/>
  <c r="C551" i="3"/>
  <c r="C550" i="3"/>
  <c r="C549" i="3"/>
  <c r="C548" i="3"/>
  <c r="C547" i="3"/>
  <c r="C546" i="3"/>
  <c r="C545" i="3"/>
  <c r="C544" i="3"/>
  <c r="C543" i="3"/>
  <c r="C542" i="3"/>
  <c r="C541" i="3"/>
  <c r="C540" i="3"/>
  <c r="C539" i="3"/>
  <c r="C538" i="3"/>
  <c r="C537" i="3"/>
  <c r="C536" i="3"/>
  <c r="C535" i="3"/>
  <c r="C534" i="3"/>
  <c r="C533" i="3"/>
  <c r="C532" i="3"/>
  <c r="C531" i="3"/>
  <c r="C530" i="3"/>
  <c r="C529" i="3"/>
  <c r="C528" i="3"/>
  <c r="C527" i="3"/>
  <c r="C526" i="3"/>
  <c r="C525" i="3"/>
  <c r="C524" i="3"/>
  <c r="C523" i="3"/>
  <c r="C522" i="3"/>
  <c r="C521" i="3"/>
  <c r="C520" i="3"/>
  <c r="C519" i="3"/>
  <c r="C518" i="3"/>
  <c r="C517" i="3"/>
  <c r="C516" i="3"/>
  <c r="C515" i="3"/>
  <c r="C514" i="3"/>
  <c r="C513" i="3"/>
  <c r="C512" i="3"/>
  <c r="C511" i="3"/>
  <c r="C510" i="3"/>
  <c r="C509" i="3"/>
  <c r="C508" i="3"/>
  <c r="C507" i="3"/>
  <c r="C506" i="3"/>
  <c r="C505" i="3"/>
  <c r="C504" i="3"/>
  <c r="C503" i="3"/>
  <c r="C502" i="3"/>
  <c r="C501" i="3"/>
  <c r="C500" i="3"/>
  <c r="C499" i="3"/>
  <c r="C498" i="3"/>
  <c r="C497" i="3"/>
  <c r="C496" i="3"/>
  <c r="C495" i="3"/>
  <c r="C494" i="3"/>
  <c r="C493" i="3"/>
  <c r="C492" i="3"/>
  <c r="C491" i="3"/>
  <c r="C490" i="3"/>
  <c r="C489" i="3"/>
  <c r="C488" i="3"/>
  <c r="C487" i="3"/>
  <c r="C486" i="3"/>
  <c r="C485" i="3"/>
  <c r="C484" i="3"/>
  <c r="C483" i="3"/>
  <c r="C482" i="3"/>
  <c r="C481" i="3"/>
  <c r="C480" i="3"/>
  <c r="C479" i="3"/>
  <c r="C478" i="3"/>
  <c r="C477" i="3"/>
  <c r="C476" i="3"/>
  <c r="C475" i="3"/>
  <c r="C474" i="3"/>
  <c r="C473" i="3"/>
  <c r="C472" i="3"/>
  <c r="C471" i="3"/>
  <c r="C470" i="3"/>
  <c r="C469" i="3"/>
  <c r="C468" i="3"/>
  <c r="C467" i="3"/>
  <c r="C466" i="3"/>
  <c r="C465" i="3"/>
  <c r="C464" i="3"/>
  <c r="C463" i="3"/>
  <c r="C462" i="3"/>
  <c r="C461" i="3"/>
  <c r="C460" i="3"/>
  <c r="C459" i="3"/>
  <c r="C458" i="3"/>
  <c r="C457" i="3"/>
  <c r="C456" i="3"/>
  <c r="C455" i="3"/>
  <c r="C454" i="3"/>
  <c r="C453" i="3"/>
  <c r="C452" i="3"/>
  <c r="C451" i="3"/>
  <c r="C450" i="3"/>
  <c r="C449" i="3"/>
  <c r="C448" i="3"/>
  <c r="C447" i="3"/>
  <c r="C446" i="3"/>
  <c r="C445" i="3"/>
  <c r="C444" i="3"/>
  <c r="C443" i="3"/>
  <c r="C442" i="3"/>
  <c r="C441" i="3"/>
  <c r="C440" i="3"/>
  <c r="C439" i="3"/>
  <c r="C438" i="3"/>
  <c r="C437" i="3"/>
  <c r="C436" i="3"/>
  <c r="C435" i="3"/>
  <c r="C434" i="3"/>
  <c r="C433" i="3"/>
  <c r="C432" i="3"/>
  <c r="C431" i="3"/>
  <c r="C430" i="3"/>
  <c r="C429" i="3"/>
  <c r="C428" i="3"/>
  <c r="C427" i="3"/>
  <c r="C426" i="3"/>
  <c r="C425" i="3"/>
  <c r="C424" i="3"/>
  <c r="C423" i="3"/>
  <c r="C422" i="3"/>
  <c r="C421" i="3"/>
  <c r="C420" i="3"/>
  <c r="C419" i="3"/>
  <c r="C418" i="3"/>
  <c r="C417" i="3"/>
  <c r="C416" i="3"/>
  <c r="C415" i="3"/>
  <c r="C414" i="3"/>
  <c r="C413" i="3"/>
  <c r="C412" i="3"/>
  <c r="C411" i="3"/>
  <c r="C410" i="3"/>
  <c r="C409" i="3"/>
  <c r="C408" i="3"/>
  <c r="C407" i="3"/>
  <c r="C406" i="3"/>
  <c r="C405" i="3"/>
  <c r="C404" i="3"/>
  <c r="C403" i="3"/>
  <c r="C402" i="3"/>
  <c r="C401" i="3"/>
  <c r="C400" i="3"/>
  <c r="C399" i="3"/>
  <c r="C398" i="3"/>
  <c r="C397" i="3"/>
  <c r="C396" i="3"/>
  <c r="C395" i="3"/>
  <c r="C394" i="3"/>
  <c r="C393" i="3"/>
  <c r="C392" i="3"/>
  <c r="C391" i="3"/>
  <c r="C390" i="3"/>
  <c r="C389" i="3"/>
  <c r="C388" i="3"/>
  <c r="C387" i="3"/>
  <c r="C386" i="3"/>
  <c r="C385" i="3"/>
  <c r="C384" i="3"/>
  <c r="C383" i="3"/>
  <c r="C382" i="3"/>
  <c r="C381" i="3"/>
  <c r="C380" i="3"/>
  <c r="C379" i="3"/>
  <c r="C378" i="3"/>
  <c r="C377" i="3"/>
  <c r="C376" i="3"/>
  <c r="C375" i="3"/>
  <c r="C374" i="3"/>
  <c r="C373" i="3"/>
  <c r="C372" i="3"/>
  <c r="C371" i="3"/>
  <c r="C370" i="3"/>
  <c r="C369" i="3"/>
  <c r="C368" i="3"/>
  <c r="C367" i="3"/>
  <c r="C366" i="3"/>
  <c r="C365" i="3"/>
  <c r="C364" i="3"/>
  <c r="C363" i="3"/>
  <c r="C362" i="3"/>
  <c r="C361" i="3"/>
  <c r="C360" i="3"/>
  <c r="C359" i="3"/>
  <c r="C358" i="3"/>
  <c r="C357" i="3"/>
  <c r="C356" i="3"/>
  <c r="C355" i="3"/>
  <c r="C354" i="3"/>
  <c r="C353" i="3"/>
  <c r="C352" i="3"/>
  <c r="C351" i="3"/>
  <c r="C350" i="3"/>
  <c r="C349" i="3"/>
  <c r="C348" i="3"/>
  <c r="C347" i="3"/>
  <c r="C346" i="3"/>
  <c r="C345" i="3"/>
  <c r="C344" i="3"/>
  <c r="C343" i="3"/>
  <c r="C342" i="3"/>
  <c r="C341" i="3"/>
  <c r="C340" i="3"/>
  <c r="C339" i="3"/>
  <c r="C338" i="3"/>
  <c r="C337" i="3"/>
  <c r="C336" i="3"/>
  <c r="C335" i="3"/>
  <c r="C334" i="3"/>
  <c r="C333" i="3"/>
  <c r="C332" i="3"/>
  <c r="C331" i="3"/>
  <c r="C330" i="3"/>
  <c r="C329" i="3"/>
  <c r="C328" i="3"/>
  <c r="C327" i="3"/>
  <c r="C326" i="3"/>
  <c r="C325" i="3"/>
  <c r="C324" i="3"/>
  <c r="C323" i="3"/>
  <c r="C322" i="3"/>
  <c r="C321" i="3"/>
  <c r="C320" i="3"/>
  <c r="C319" i="3"/>
  <c r="C318" i="3"/>
  <c r="C317" i="3"/>
  <c r="C316" i="3"/>
  <c r="C315" i="3"/>
  <c r="C314" i="3"/>
  <c r="C313" i="3"/>
  <c r="C312" i="3"/>
  <c r="C311" i="3"/>
  <c r="C310" i="3"/>
  <c r="C309" i="3"/>
  <c r="C308" i="3"/>
  <c r="C307" i="3"/>
  <c r="C306" i="3"/>
  <c r="C305" i="3"/>
  <c r="C304" i="3"/>
  <c r="C303" i="3"/>
  <c r="C302" i="3"/>
  <c r="C301" i="3"/>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0000000-0006-0000-0000-000001000000}">
      <text>
        <r>
          <rPr>
            <sz val="11"/>
            <color theme="1"/>
            <rFont val="Aptos Narrow"/>
            <scheme val="minor"/>
          </rPr>
          <t>======
ID#AAAB5ETlcwY
Carolina Carrillo    (2026-04-29 15:54:55)
Considera "fundamental mantener, por un lado, los principios activos y, por otro, las tecnologías sanitarias, desagregadas en las siguientes categorías: medicamentos, vacunas (humanas), dispositivos médicos, kits diagnósticos y, eventualmente, una categoría residual de otros productos." Pero depende de los datos, ver si hay suficientes datos por categoría</t>
        </r>
      </text>
    </comment>
  </commentList>
  <extLst>
    <ext xmlns:r="http://schemas.openxmlformats.org/officeDocument/2006/relationships" uri="GoogleSheetsCustomDataVersion2">
      <go:sheetsCustomData xmlns:go="http://customooxmlschemas.google.com/" r:id="rId1" roundtripDataSignature="AMtx7mhw6taRA/KAkGi8q9m3ceumNtGHHw=="/>
    </ext>
  </extLst>
</comments>
</file>

<file path=xl/sharedStrings.xml><?xml version="1.0" encoding="utf-8"?>
<sst xmlns="http://schemas.openxmlformats.org/spreadsheetml/2006/main" count="55659" uniqueCount="6263">
  <si>
    <t>code</t>
  </si>
  <si>
    <t>description</t>
  </si>
  <si>
    <t>hc</t>
  </si>
  <si>
    <t>hc_cat1</t>
  </si>
  <si>
    <t>hc_cat2</t>
  </si>
  <si>
    <t>hc_cat3 (Caro)</t>
  </si>
  <si>
    <t>Cambio</t>
  </si>
  <si>
    <t>Consultant WDC Comenta</t>
  </si>
  <si>
    <t>Comentario Caro</t>
  </si>
  <si>
    <t>Resultados</t>
  </si>
  <si>
    <t>Horses, asses, mules and hinnies: live, pure-bred breeding animals</t>
  </si>
  <si>
    <t/>
  </si>
  <si>
    <t>Horses, asses, mules and hinnies: live, other than pure-bred breeding animals</t>
  </si>
  <si>
    <t>Bovine animals: live, pure-bred breeding animals</t>
  </si>
  <si>
    <t>Bovine animals: live, other than pure-bred breeding animals</t>
  </si>
  <si>
    <t>Swine: live, pure-bred breeding animals</t>
  </si>
  <si>
    <t>Swine: live, (other than pure-bred breeding animals), weighing less than 50kg</t>
  </si>
  <si>
    <t>Swine: live, (other than pure-bred breeding animals), weighing 50kg or more</t>
  </si>
  <si>
    <t>Sheep: live</t>
  </si>
  <si>
    <t>Goats: live</t>
  </si>
  <si>
    <t>Poultry: live, fowls of the species Gallus domesticus, weighing not more than 185g</t>
  </si>
  <si>
    <t>Poultry: live, weighing not more than 185g, turkeys</t>
  </si>
  <si>
    <t>Poultry: live, weighing not more than 185g, ducks, geese and guinea fowls</t>
  </si>
  <si>
    <t>Poultry: live, fowls of the species Gallus domesticus, weighing more than 185g</t>
  </si>
  <si>
    <t>Poultry: live, ducks, geese, turkeys and guinea fowls, weighing more than 185g</t>
  </si>
  <si>
    <t>Mammals: live, primates</t>
  </si>
  <si>
    <t>Mammals: live, whales, dolphins and porpoises ( mammals of the order Cetacea): manatees and dugongs (mammals of the order Sirenia)</t>
  </si>
  <si>
    <t>Mammals: live, other than primates, whales, dolphins and porpoises (order Cetacea), manatees and dugongs (order Sirenia)</t>
  </si>
  <si>
    <t>Reptiles: live (including snakes and turtles)</t>
  </si>
  <si>
    <t>Animals: live, birds of prey</t>
  </si>
  <si>
    <t>Animals: live, birds, Psittaciformes</t>
  </si>
  <si>
    <t>Animals: live, birds, other than birds of prey and Psittaciformes</t>
  </si>
  <si>
    <t>Animals: live, n.e.c. in chapter 01, other than mammals, reptiles and birds</t>
  </si>
  <si>
    <t>Meat: of bovine animals, carcasses and half-carcasses, fresh or chilled</t>
  </si>
  <si>
    <t>Meat: of bovine animals, cuts with bone in (excluding carcasses and half-carcasses), fresh or chilled</t>
  </si>
  <si>
    <t>Meat: of bovine animals, boneless cuts, fresh or chilled</t>
  </si>
  <si>
    <t>Meat: of bovine animals, carcasses and half-carcasses, frozen</t>
  </si>
  <si>
    <t>Meat: of bovine animals, cuts with bone in (excluding carcasses and half-carcasses), frozen</t>
  </si>
  <si>
    <t>Meat: of bovine animals, boneless cuts, frozen</t>
  </si>
  <si>
    <t>Meat: of swine, carcasses and half-carcasses, fresh or chilled</t>
  </si>
  <si>
    <t>Meat: of swine, hams, shoulders and cuts thereof, with bone in, fresh or chilled</t>
  </si>
  <si>
    <t>Meat: of swine, n.e.c. in item no. 0203.1, fresh or chilled</t>
  </si>
  <si>
    <t>Meat: of swine, carcasses and half-carcasses, frozen</t>
  </si>
  <si>
    <t>Meat: of swine, hams, shoulders and cuts thereof, with bone in, frozen</t>
  </si>
  <si>
    <t>Meat: of swine, n.e.c. in item no. 0203.2, frozen</t>
  </si>
  <si>
    <t>Meat: of sheep, lamb carcasses and half-carcasses, fresh or chilled</t>
  </si>
  <si>
    <t>Meat: of sheep, carcasses and half-carcasses (excluding carcasses and half-carcasses of lamb), fresh or chilled</t>
  </si>
  <si>
    <t>Meat: of sheep (including lamb), cuts with bone in (excluding carcasses and half-carcasses), fresh or chilled</t>
  </si>
  <si>
    <t>Meat: of sheep (including lamb), boneless cuts, fresh or chilled</t>
  </si>
  <si>
    <t>Meat: of sheep, lamb carcasses and half-carcasses, frozen</t>
  </si>
  <si>
    <t>Meat: of sheep, carcasses and half-carcasses (excluding carcasses and half-carcasses of lamb), frozen</t>
  </si>
  <si>
    <t>Meat: of sheep (including lamb), cuts with bone in (excluding carcasses and half-carcasses), frozen</t>
  </si>
  <si>
    <t>Meat: of sheep (including lamb), boneless cuts, frozen</t>
  </si>
  <si>
    <t>Meat: of goats, fresh, chilled or frozen</t>
  </si>
  <si>
    <t>Meat: of horses, asses, mules or hinnies, fresh, chilled or frozen</t>
  </si>
  <si>
    <t>Offal, edible: of bovine animals, fresh or chilled</t>
  </si>
  <si>
    <t>Offal, edible: of bovine animals, tongues, frozen</t>
  </si>
  <si>
    <t>Offal, edible: of bovine animals, livers, frozen</t>
  </si>
  <si>
    <t>Offal, edible: of bovine animals, (other than tongues and livers), frozen</t>
  </si>
  <si>
    <t>Offal, edible: of swine, fresh or chilled</t>
  </si>
  <si>
    <t>Offal, edible: of swine, livers, frozen</t>
  </si>
  <si>
    <t>Offal, edible: of swine, (other than livers), frozen</t>
  </si>
  <si>
    <t>Offal, edible: of sheep, goats, horses, asses, mules or hinnies, fresh or chilled</t>
  </si>
  <si>
    <t>Offal, edible: of sheep, goats, horses, asses, mules or hinnies, frozen</t>
  </si>
  <si>
    <t>Meat and edible offal: of the poultry of heading no. 0105, of fowls of the species Gallus domesticus, (not cut in pieces), fresh or chilled</t>
  </si>
  <si>
    <t>Meat and edible offal: of the poultry of heading no. 0105, of fowls of the species Gallus domesticus, (not cut in pieces), frozen</t>
  </si>
  <si>
    <t>Meat and edible offal: of the poultry of heading no. 0105, of fowls of the species Gallus domesticus, cuts and offal, fresh or chilled</t>
  </si>
  <si>
    <t>Meat and edible offal: of the poultry of heading no. 0105, of fowls of the species Gallus domesticus, cuts and offal, frozen</t>
  </si>
  <si>
    <t>Meat and edible offal: of the poultry of heading no. 0105, of turkeys, (not cut in pieces), fresh or chilled</t>
  </si>
  <si>
    <t>Meat and edible offal: of the poultry of heading no. 0105, of turkeys, (not cut in pieces), frozen</t>
  </si>
  <si>
    <t>Meat and edible offal: of the poultry of heading no. 0105, of turkeys, cuts and offal, fresh or chilled</t>
  </si>
  <si>
    <t>Meat and edible offal: of the poultry of heading no. 0105, of turkeys, cuts and offal, frozen</t>
  </si>
  <si>
    <t>Meat and edible offal: of the poultry of heading no. 0105, of ducks, geese or guinea fowls, (not cut in pieces), fresh or chilled</t>
  </si>
  <si>
    <t>Meat and edible offal: of the poultry of heading no. 0105, of ducks, geese or guinea fowls, (not cut in pieces), frozen</t>
  </si>
  <si>
    <t>Meat and edible offal: of the poultry of heading no. 0105, of ducks, geese or guinea fowls, fatty livers, fresh or chilled (foie gras from ducks or geese only)</t>
  </si>
  <si>
    <t>Meat and edible offal: of the poultry of heading no. 0105, of ducks, geese or guinea fowls, fresh or chilled, poultry cuts or offal (excluding fatty livers)</t>
  </si>
  <si>
    <t>Meat and edible offal: of the poultry of heading no. 0105, of ducks, geese or guinea fowls, frozen</t>
  </si>
  <si>
    <t>Meat and edible meat offal: of rabbits or hares, fresh, chilled or frozen</t>
  </si>
  <si>
    <t>Meat and edible meat offal: of primates, fresh, chilled or frozen</t>
  </si>
  <si>
    <t>Meat and edible meat offal: of whales, dolphins and porpoises (mammals of the order Cetacea) and manatees and dugongs (mammals of the order Sirenia), fresh, chilled or frozen</t>
  </si>
  <si>
    <t>Meat and edible meat offal: of reptiles (including snakes and turtles), fresh, chilled or frozen</t>
  </si>
  <si>
    <t>Meat and edible meat offal: n.e.c. in chapter 2, fresh, chilled or frozen</t>
  </si>
  <si>
    <t>Fat: pig fat, free of lean meat, and poultry fat, (not rendered or otherwise extracted), fresh, chilled, frozen, salted, in brine, dried or smoked</t>
  </si>
  <si>
    <t>Meat, preserved: of swine, hams, shoulders and cuts thereof, with bone in, salted, in brine, dried or smoked</t>
  </si>
  <si>
    <t>Meat, preserved: of swine, bellies (streaky) and cuts thereof, salted, in brine, dried or smoked</t>
  </si>
  <si>
    <t>Meat, preserved: of swine, salted, in brine, dried or smoked, n.e.c. in item no. 0210.1</t>
  </si>
  <si>
    <t>Meat, preserved: of bovine animals, salted, in brine, dried or smoked</t>
  </si>
  <si>
    <t>Meat and edible meat offal, preserved: salted, in brine, dried or smoked, and edible flours and meals of meat or meat offal, of primates</t>
  </si>
  <si>
    <t>Meat and edible meat offal, preserved: salted, in brine, dried or smoked, and edible flours and meals of meat or meat offal, of whales, dolphins and porpoises (mammals of the order Cetacea): and of manatees and dugongs (mammals of the order Sirenia)</t>
  </si>
  <si>
    <t>Meat and edible meat offal, preserved: salted, in brine, dried or smoked, and edible flours and meals of meat or meat offal, of reptiles (including snakes and turtles)</t>
  </si>
  <si>
    <t>Meat and edible meat offal, preserved: salted, in brine, dried or smoked, and edible flours and meals of meat or meat offal, other than of primates, whales, dolphins and porpoises, manatees and dugongs, reptiles (including snakes and turtles)</t>
  </si>
  <si>
    <t>Fish: live, ornamental</t>
  </si>
  <si>
    <t>Fish: live, trout (salmo trutta, oncorhynchus mykiss, oncorhynchus clarki, oncorhynchus aguabonita, oncorhynchus gilae, oncorhynchus apache and oncorhynchus chrysogaster)</t>
  </si>
  <si>
    <t>Fish: live, eels (anguilla spp.)</t>
  </si>
  <si>
    <t>Fish: live, carp</t>
  </si>
  <si>
    <t>Fish: live, bluefin tunas (Thunnus thynnus)</t>
  </si>
  <si>
    <t>Fish: live, southern bluefin tunas (Thunnus maccoyii)</t>
  </si>
  <si>
    <t>Fish: live, n.e.c. in heading no. 0301</t>
  </si>
  <si>
    <t>Fish: trout (salmo trutta, oncorhynchus mykiss, oncorhynchus clarki, oncorhynchus aguabonita, oncorhynchus gilae, oncorhynchus apache and oncorhynchus chrysogaster), fresh or chilled (excluding fillets, livers, roes, other fish meat of heading no. 0304)</t>
  </si>
  <si>
    <t>Fish: Pacific salmon (oncorhynchus nerka/gorbuscha/keta/tschawytscha/kisutch/masou/rhodurus), Atlantic salmon (salmo salar), Danube salmon (hucho hucho), fresh or chilled (excluding fillets, livers, roes and other fish meat of heading no. 0304)</t>
  </si>
  <si>
    <t>Fish: salmonidae, fresh or chilled, n.e.c. in item no. 0302.1 (excluding fillets, livers, roes and other fish meat of heading no. 0304)</t>
  </si>
  <si>
    <t>Fish: halibut (reinhardtius hippoglossoides, hippoglossus hippoglossus, hippoglossus stenolepis), fresh or chilled (excluding fillets, livers, roes and other fish meat of heading no. 0304)</t>
  </si>
  <si>
    <t>Fish: plaice (pleuronectes platessa), fresh or chilled (excluding fillets, livers, roes and other fish meat of heading no. 0304)</t>
  </si>
  <si>
    <t>Fish: sole (solea spp.), fresh or chilled (excluding fillets, livers, roes and other fish meat of heading no. 0304)</t>
  </si>
  <si>
    <t>Fish: flat fish, fresh or chilled, n.e.c. in item no. 0302.2 (excluding fillets, livers, roes and other fish meat of heading no. 0304)</t>
  </si>
  <si>
    <t>Fish: albacore or longfinned tunas (thunnus alalunga), fresh or chilled (excluding fillets, livers, roes and other fish meat of heading no. 0304)</t>
  </si>
  <si>
    <t>Fish: yellowfin tunas (thunnus albacares), fresh or chilled (excluding fillets, livers, roes and other fish meat of heading no. 0304)</t>
  </si>
  <si>
    <t>Fish: skipjack or stripe-bellied bonito, fresh or chilled (excluding fillets, livers, roes and other fish meat of heading no. 0304)</t>
  </si>
  <si>
    <t>Fish: bigeye tunas (Thunnus obesus), fresh or chilled (excluding fillets, livers, roes and other fish meat of heading no. 0304)</t>
  </si>
  <si>
    <t>Fish: bluefin tunas (Thunnus thynnus), fresh or chilled (excluding fillets, livers, roes and other fish meat of heading no. 0304)</t>
  </si>
  <si>
    <t>Fish: southern bluefin tunas (Thunnus maccoyii), fresh or chilled (excluding fillets, livers, roes and other fish meat of heading no. 0304)</t>
  </si>
  <si>
    <t>Fish: tuna, fresh or chilled, n.e.c. in item no. 0302.3 (excluding fillets, livers, roes and other fish meat of heading no. 0304)</t>
  </si>
  <si>
    <t>Fish: herrings (clupea harengus, clupea pallasii), fresh or chilled (excluding fillets, livers, roes and other fish meat of heading no. 0304)</t>
  </si>
  <si>
    <t>Fish: cod (gadus morhua, gadus ogac, gadus macrocephalus), fresh or chilled (excluding fillets, livers, roes and other fish meat of heading no. 0304)</t>
  </si>
  <si>
    <t>Fish: sardines (sardina pilchardus, sardinops spp.), sardinella (sardinella spp.), brisling or sprats (sprattus sprattus), fresh or chilled (excluding fillets, livers, roes and other fish meat of heading no. 0304)</t>
  </si>
  <si>
    <t>Fish: haddock (melanogrammus aeglefinus), fresh or chilled (excluding fillets, livers, roes and other fish meat of heading no. 0304)</t>
  </si>
  <si>
    <t>Fish: coalfish (pollachius virens), fresh or chilled (excluding fillets, livers, roes and other fish meat of heading no. 0304)</t>
  </si>
  <si>
    <t>Fish: mackerel (scomber scombrus, scomber australasicus, scomber japonicus), fresh of chilled (excluding fillets, livers, roes and other fish meat of heading no. 0304)</t>
  </si>
  <si>
    <t>Fish: dogfish and other sharks, fresh or chilled (excluding fillets, livers, roes and other fish meat of heading no. 0304)</t>
  </si>
  <si>
    <t>Fish: eels (anguilla spp.), fresh or chilled (excluding fillets, livers, roes and other fish meat of heading no. 0304)</t>
  </si>
  <si>
    <t>Fish: swordfish (Xiphias gladius), fresh or chilled (excluding fillets, livers, roes and other fish meat of heading no. 0304)</t>
  </si>
  <si>
    <t>Fish: toothfish (Dissostichus spp.), fresh or chilled (excluding fillets, livers, roes and other fish meat of heading no. 0304)</t>
  </si>
  <si>
    <t>Fish: n.e.c. in heading no. 0302, fresh or chilled (excluding fillets, livers, roes and other fish meat of heading no. 0304)</t>
  </si>
  <si>
    <t>Fish: livers and roes, fresh or chilled</t>
  </si>
  <si>
    <t>Fish: Pacific salmon, sockeye salmon, (red salmon), (Oncorhynchus nerka,) frozen, (excluding fillets, livers, roes and other fish meat of heading no. 0304)</t>
  </si>
  <si>
    <t>Fish: Pacific salmon, other than sockeye salmon, (Oncorhynchus gorbuscha/keta/tschawytscha/kisutch/masou/rhodurus), frozen, (excluding fillets, livers, roes and other fish meat of heading no. 0304)</t>
  </si>
  <si>
    <t>Fish: trout (salmo trutta, oncorhynchus mykiss, oncorhynchus clarki, oncorhynchus aguabonita, oncorhynchus gilae, oncorhynchus apache and oncorhynchus chrysogaster), frozen (excluding fillets, livers, roes and other fish meat of heading no. 0304)</t>
  </si>
  <si>
    <t>Fish: Atlantic salmon (salmo salar) and Danube salmon (hucho hucho), frozen (excluding fillets, livers, roes and other fish meat of heading no. 0304)</t>
  </si>
  <si>
    <t>Fish: salmonidae, frozen, n.e.c. in item no. 0302.1 and 0302.2 (excluding fillets, livers, roes and other fish meat of heading no. 0304)</t>
  </si>
  <si>
    <t>Fish: halibut (reinhardtius hippoglossoides, hippoglossus hippoglossus, hippoglossus stenolepis), frozen (excluding fillets, livers, roes and other fish meat of heading no. 0304)</t>
  </si>
  <si>
    <t>Fish: plaice (pleuronectes platessa), frozen (excluding fillets, livers, roes and other fish meat of heading no. 0304)</t>
  </si>
  <si>
    <t>Fish: sole (solea spp.), frozen (excluding fillets, livers, roes and other fish meat of heading no. 0304)</t>
  </si>
  <si>
    <t>Fish: flat fish, frozen, n.e.c. in item no. 0303.3 (excluding fillets, livers, roes and other fish meat of heading no. 0304)</t>
  </si>
  <si>
    <t>Fish: albacore or longfinned tunas (thunnus alalunga), frozen (excluding fillets, livers, roes and other fish meat of heading no. 0304)</t>
  </si>
  <si>
    <t>Fish: yellowfin tunas (thunnus albacares), frozen (excluding fillets, livers, roes and other fish meat of heading no. 0304)</t>
  </si>
  <si>
    <t>Fish: skipjack or stripe-bellied bonito, frozen (excluding fillets, livers, roes and other fish meat of heading no. 0304)</t>
  </si>
  <si>
    <t>Fish: bigeye tunas (Thunnus obesus), frozen, (excluding fillets, livers, roes and other fish meat of heading no. 0304)</t>
  </si>
  <si>
    <t>Fish: bluefin tuna (Thunnus thynnus), frozen, (excluding fillets, livers, roes and other fish meat of heading no. 0304)</t>
  </si>
  <si>
    <t>Fish: southern bluefin tunas (Thunnus maccoyii), frozen, (excluding fillets, livers, roes and other fish meat of heading no. 0304)</t>
  </si>
  <si>
    <t>Fish: tuna, frozen, n.e.c. in item no. 0303.4 (excluding fillets, livers, roes and other fish meat of heading no. 0304)</t>
  </si>
  <si>
    <t>Fish: herrings (Clupea harengus, Clupea pallasii), frozen (excluding fillets, livers, roes and other fish meat of heading no. 0304)</t>
  </si>
  <si>
    <t>Fish: cod (Gadus morhua, Gadus ogac, Gadus macrocephalus), frozen (excluding fillets, livers, roes and other fish meat of heading no. 0304)</t>
  </si>
  <si>
    <t>Fish: swordfish (Xiphias gladius), frozen (excluding fillets, livers, roes and other fish meat of heading no. 0304)</t>
  </si>
  <si>
    <t>Fish: toothfish (Dissostichus spp.), frozen (excluding fillets, livers, roes and other fish meat of heading no. 0304)</t>
  </si>
  <si>
    <t>Fish: sardines (sardina pilchardus, sardinops spp.), sardinella (sardinella spp.), brisling or sprats (sprattus sprattus), frozen (excluding fillets, livers, roes and other fish meat of heading no. 0304)</t>
  </si>
  <si>
    <t>Fish: haddock (melanogrammus aeglefinus), frozen (excluding fillets, livers, roes and other fish meat of heading no. 0304)</t>
  </si>
  <si>
    <t>Fish: coalfish (pollachius virens), frozen (excluding fillets, livers, roes and other fish meat of heading no. 0304)</t>
  </si>
  <si>
    <t>Fish: mackerel (scomber scombrus, scomber australasicus, scomber japonicus), frozen (excluding fillets, livers, roes and other fish meat of heading no. 0304)</t>
  </si>
  <si>
    <t>Fish: dogfish and other sharks, frozen (excluding fillets, livers, roes and other fish meat of heading no. 0304)</t>
  </si>
  <si>
    <t>Fish: eels (anguilla spp.), frozen (excluding fillets, livers, roes and other fish meat of heading no. 0304)</t>
  </si>
  <si>
    <t>Fish: sea bass (dicentrarchus labrax, dicentrarchus punctatus), frozen, (excluding fillets, livers, roes and other fish meat of heading no. 0304)</t>
  </si>
  <si>
    <t>Fish: hake (merluccius spp., urophycis spp.), frozen (excluding fillets, livers, roes and other fish meat of heading no. 0304)</t>
  </si>
  <si>
    <t>Fish: frozen, n.e.c. in heading no. 0303 (excluding fillets, livers, roes and other fish meat of heading no. 0304)</t>
  </si>
  <si>
    <t>Fish: livers and roes, frozen</t>
  </si>
  <si>
    <t>Fish: swordfish (Xiphias gladius), fillets and other fish meat (whether or not minced), fresh or chilled</t>
  </si>
  <si>
    <t>Fish: toothfish (Dissostichus spp.), fillets and other fish meat (whether or not minced), fresh or chilled</t>
  </si>
  <si>
    <t>Fish: fillets and other fish meat (whether or not minced), fresh or chilled, other than swordfish (Xiphias gladius) and toothfish (Dissostichus spp.)</t>
  </si>
  <si>
    <t>Fish: swordfish (Xiphias gladius), fillets, frozen</t>
  </si>
  <si>
    <t>Fish: toothfish (Dissostichus spp.), fillets, frozen</t>
  </si>
  <si>
    <t>Fish: fillets, frozen, other than swordfish (Xiphias gladius) and toothfish (Dissostichus spp.)</t>
  </si>
  <si>
    <t>Fish: swordfish (Xiphias gladius), frozen, other than fillets</t>
  </si>
  <si>
    <t>Fish: toothfish (Dissostichus spp.), frozen, other than fillets</t>
  </si>
  <si>
    <t>Fish: fish meat (whether or not minced) other than fillets, frozen, excluding swordfish (Xiphias gladius) and toothfish (Dissostichus spp.)</t>
  </si>
  <si>
    <t>Fish meal: fit for human consumption</t>
  </si>
  <si>
    <t>Fish: livers and roes, dried, smoked (whether or not cooked before or during the smoking process), salted or in brine</t>
  </si>
  <si>
    <t>Fish: fillets, dried, salted or in brine, but not smoked</t>
  </si>
  <si>
    <t>Fish: Pacific salmon (oncorhynchus nerka/gorbuscha/keta/tschawytscha/kisutch/masou/rhodurus), Atlantic salmon (salmo salar) and Danube salmon (hucho hucho), including fillets, smoked (whether or not cooked before or during the smoking process)</t>
  </si>
  <si>
    <t>Fish: herrings (clupea harengus, clupea pallasii), including fillets: smoked (whether or not cooked before or during the smoking process)</t>
  </si>
  <si>
    <t>Fish: smoked (whether or not cooked before or during the smoking process), n.e.c. in item no. 0305.4 (including fillets)</t>
  </si>
  <si>
    <t>Fish: cod (gadus morhua, gadus ogac, gadus macrocephalus), dried (whether or not salted but not smoked)</t>
  </si>
  <si>
    <t>Fish: dried (whether or not salted but not smoked), n.e.c. in item no. 0305.51</t>
  </si>
  <si>
    <t>Fish: herrings (clupea harengas, clupea pallasii), salted or in brine but not dried or smoked</t>
  </si>
  <si>
    <t>Fish: cod (gadus morhua, gadus ogac, gadus macrocephalus), salted or in brine but not dried or smoked</t>
  </si>
  <si>
    <t>Fish: anchovies (engraulis spp.), salted or in brine but not dried or smoked</t>
  </si>
  <si>
    <t>Fish: salted or in brine, but not dried or smoked, n.e.c. in item no. 0305.6</t>
  </si>
  <si>
    <t>Crustaceans: rock lobsters and other sea crawfish (palinurus spp., panulirus spp., jasus spp.), frozen (whether in shell or not, whether or not cooked by steaming or by boiling in water)</t>
  </si>
  <si>
    <t>Crustaceans: lobsters (homarus spp.), frozen (whether in shell or not, whether or not cooked by steaming or by boiling in water)</t>
  </si>
  <si>
    <t>Crustaceans: shrimps and prawns, frozen (whether in shell or not, whether or not cooked by steaming or by boiling in water)</t>
  </si>
  <si>
    <t>Crustaceans: crabs, frozen (whether in shell or not, whether or not cooked by steaming or by boiling in water)</t>
  </si>
  <si>
    <t>Crustaceans: frozen, n.e.c. in item no. 0306.1 (whether in shell or not, whether or not cooked by steaming or by boiling in water)</t>
  </si>
  <si>
    <t>Crustaceans: rock lobster and other sea crawfish (palinurus spp., panulirus spp., jasus spp.), not frozen, (whether in shell or not, whether or not cooked by steaming or by boiling in water)</t>
  </si>
  <si>
    <t>Crustaceans: lobsters (homarus spp.), not frozen, (whether in shell or not, whether or not cooked by steaming or by boiling in water)</t>
  </si>
  <si>
    <t>Crustaceans: shrimps and prawns, not frozen, (whether in shell or not, whether or not cooked by steaming or by boiling in water)</t>
  </si>
  <si>
    <t>Crustaceans: crabs, not frozen, (whether in shell or not, whether or not cooked by steaming or by boiling in water)</t>
  </si>
  <si>
    <t>Crustaceans: not frozen, n.e.c. in heading no. 0306, (whether in shell or not, whether or not cooked by steaming or by boiling in water)</t>
  </si>
  <si>
    <t>Molluscs: oysters, live, fresh, chilled, frozen, dried, salted or in brine (whether in shell or not)</t>
  </si>
  <si>
    <t>Molluscs: scallops (including queen scallops of the genera pecten, chlamys or placopecten), live, fresh or chilled (whether in shell or not)</t>
  </si>
  <si>
    <t>Molluscs: scallops (including queen scallops of the genera pecten, chlamys or placopecten), frozen, dried, salted or in brine (whether in shell or not)</t>
  </si>
  <si>
    <t>Molluscs: mussels (mytilus spp., perna spp.), live, fresh or chilled (whether in shell or not)</t>
  </si>
  <si>
    <t>Molluscs: mussels (mytilus spp., perna spp.), frozen, dried, salted or in brine (whether in shell or not)</t>
  </si>
  <si>
    <t>Molluscs: cuttle fish and squid, live, fresh or chilled (whether in shell or not)</t>
  </si>
  <si>
    <t>Molluscs: cuttle fish and squid, frozen, dried, salted or in brine (whether in shell or not)</t>
  </si>
  <si>
    <t>Molluscs: octopus (octopus spp.), live, fresh or chilled</t>
  </si>
  <si>
    <t>Molluscs: octopus (octopus spp.), frozen, dried, salted or in brine</t>
  </si>
  <si>
    <t>Molluscs: snails (other than sea snails), live, fresh, chilled, frozen, dried, salted or in brine (whether in shell or not)</t>
  </si>
  <si>
    <t>Molluscs and other aquatic invertebrates: live, fresh or chilled (whether in shell or not), n.e.c. in heading no. 0307</t>
  </si>
  <si>
    <t>Molluscs and other aquatic invertebrates: frozen, dried, salted or in brine (whether in shell or not), n.e.c. in heading no. 0307</t>
  </si>
  <si>
    <t>Dairy produce: milk and cream, not concentrated, not containing added sugar or other sweetening matter, of a fat content not exceeding 1% (by weight)</t>
  </si>
  <si>
    <t>Dairy produce: milk and cream, not concentrated, not containing added sugar or other sweetening matter, of a fat content exceeding 1% but not exceeding 6% (by weight)</t>
  </si>
  <si>
    <t>Dairy produce: milk and cream, not concentrated, not containing added sugar or other sweetening matter, of a fat content exceeding 6% (by weight)</t>
  </si>
  <si>
    <t>Dairy produce: milk and cream, concentrated or containing added sugar or other sweetening matter, in powder, granules or other solid forms, of a fat content not exceeding 1.5% (by weight)</t>
  </si>
  <si>
    <t>Dairy produce: milk and cream, concentrated, not containing added sugar or other sweetening matter, in powder, granules or other solid forms, of a fat content exceeding 1.5% (by weight)</t>
  </si>
  <si>
    <t>Dairy produce: milk and cream, containing added sugar or other sweetening matter, in powder, granules or other solid forms, of a fat content exceeding 1.5% (by weight)</t>
  </si>
  <si>
    <t>Dairy produce: milk and cream, concentrated, not containing added sugar or other sweetening matter, other than in powder, granules or other solid forms</t>
  </si>
  <si>
    <t>Dairy produce: milk and cream, containing added sugar or other sweetening matter, other than in powder, granules or other solid forms</t>
  </si>
  <si>
    <t>Dairy produce: yoghurt, whether or not concentrated or containing added sugar or other sweetening matter or flavoured or containing added fruit or cocoa</t>
  </si>
  <si>
    <t>Dairy produce: buttermilk, curdled milk or cream, kephir, fermented or acidified milk or cream, whether or not concentrated or containing added sweetening, flavouring, fruit or cocoa (excluding yoghurt)</t>
  </si>
  <si>
    <t>Dairy produce: whey, whether or not concentrated or containing added sugar or other sweetening matter</t>
  </si>
  <si>
    <t>Dairy produce: natural milk constituents (excluding whey), whether or not containing added sugar or other sweetening matter, n.e.c. in chapter 04</t>
  </si>
  <si>
    <t>Dairy produce: derived from milk, butter</t>
  </si>
  <si>
    <t>Dairy produce: dairy spreads</t>
  </si>
  <si>
    <t>Dairy produce: fats and oils derived from milk (other than butter or dairy spreads)</t>
  </si>
  <si>
    <t>Dairy produce: fresh cheese (including whey cheese), not fermented, and curd</t>
  </si>
  <si>
    <t>Dairy produce: cheese of all kinds, grated or powdered</t>
  </si>
  <si>
    <t>Dairy produce: cheese, processed (not grated or powdered)</t>
  </si>
  <si>
    <t>Dairy produce: cheese, blue-veined and other cheese containing veins produced by Penicillium roqueforti (not grated, powdered or processed)</t>
  </si>
  <si>
    <t>Dairy produce: cheese (not grated, powdered or processed), n.e.c. in heading no. 0406</t>
  </si>
  <si>
    <t>Eggs: birds' eggs, in the shell, fresh, preserved or cooked</t>
  </si>
  <si>
    <t>Eggs: birds' eggs, yolks, dried, whether or not containing added sugar or other sweetening matter</t>
  </si>
  <si>
    <t>Eggs: birds' eggs, yolks, fresh, cooked by steaming or by boiling in water, moulded, frozen or otherwise preserved, whether or not containing added sugar or other sweetening matter</t>
  </si>
  <si>
    <t>Eggs: birds' eggs (not in shell, excluding yolks only), dried, whether or not containing added sugar or other sweetening matter</t>
  </si>
  <si>
    <t>Eggs: birds' eggs (not in shell, excluding yolks only), fresh, cooked by steaming or boiling in water, moulded, frozen, otherwise preserved, whether or not containing added sugar or other sweetening matter</t>
  </si>
  <si>
    <t>Honey: natural</t>
  </si>
  <si>
    <t>Animal products: edible, n.e.c. in this or other chapters</t>
  </si>
  <si>
    <t>Animal products: hair, human, unworked, whether or not washed or scoured, and waste of human hair</t>
  </si>
  <si>
    <t>Animal products: hair and bristles, of pigs, hogs or boars, and waste thereof</t>
  </si>
  <si>
    <t>Animal products: badger hair and other brush making hair and waste of such bristles or hair, n.e.c. in heading no. 0502 (excluding horsehair)</t>
  </si>
  <si>
    <t>Animal products: guts, bladders and stomachs of animals (other than fish), whole and pieces thereof, fresh, chilled, frozen, salted, in brine, dried or smoked</t>
  </si>
  <si>
    <t>Animal products: feathers and down used for stuffing, not further worked than cleaned, disinfected or treated for preservation</t>
  </si>
  <si>
    <t>Animal products: skins and other parts of birds, feathers and down (not for stuffing), powder and waste of such, not further worked than cleaned, disinfected or treated for preservation</t>
  </si>
  <si>
    <t>Animal products: ossein and bones treated with acid</t>
  </si>
  <si>
    <t>Animal products: bones and horn-cores and powder or waste of such, unworked, defatted, simply prepared (not cut to shape), or treated with acid or degelatinised, n.e.c. in heading no. 0506</t>
  </si>
  <si>
    <t>Animal products: ivory, unworked or simply prepared but not cut to shape, ivory powder and waste</t>
  </si>
  <si>
    <t>Animal products: tortoise-shell, whalebone and whalebone hair, horns, antlers, hooves, nails, claws and beaks, unworked or simply prepared but not cut to shape, waste and powder of these products</t>
  </si>
  <si>
    <t>Animal products:  coral and similar materials, shells of molluscs, crustaceans, echinoderms, cuttle-bone etc., unworked or simply prepared (but not cut to shape), and powder and waste thereof</t>
  </si>
  <si>
    <t>Animal products: ambergris, castoreum, civet, musk, cantharides, bile (dried or not) glands and other animal products, for pharmaceutical purposes, fresh, chilled, frozen or otherwise provisionally preserved</t>
  </si>
  <si>
    <t>Animal products: bovine semen</t>
  </si>
  <si>
    <t>Animal products: of fish or crustaceans, molluscs or other aquatic invertebrates and dead animals of chapter 3, unfit for human consumption</t>
  </si>
  <si>
    <t>Animal products: n.e.c. in chapter 5</t>
  </si>
  <si>
    <t>Plants, live: bulbs, tubers, tuberous roots, corms, crowns and rhizomes, dormant</t>
  </si>
  <si>
    <t>Plants, live: bulbs, tubers, tuberous roots, corms, crowns and rhizomes, in growth or in flower, chicory plants and roots other than of heading no. 1212</t>
  </si>
  <si>
    <t>Plants, live: unrooted cuttings and slips</t>
  </si>
  <si>
    <t>Plants, live: edible fruit or nut trees, shrubs and bushes, grafted or not</t>
  </si>
  <si>
    <t>Plants, live: rhododendrons and azaleas, grafted or not</t>
  </si>
  <si>
    <t>Plants, live: roses, grafted or not</t>
  </si>
  <si>
    <t>Plants, live: n.e.c. in heading no. 0602</t>
  </si>
  <si>
    <t>Flowers, cut: roses, flowers and buds of a kind suitable for bouquets or ornamental purposes, fresh</t>
  </si>
  <si>
    <t>Flowers, cut: carnations, flowers and buds of a kind suitable for bouquets or ornamental purposes, fresh</t>
  </si>
  <si>
    <t>Flowers, cut: orchids, flowers and buds of a kind suitable for bouquets or ornamental purposes, fresh</t>
  </si>
  <si>
    <t>Flowers, cut: chrysanthemums, flowers and buds of a kind suitable for bouquets or ornamental purposes, fresh</t>
  </si>
  <si>
    <t>Flowers, cut: flowers and buds of a kind suitable for bouquets or ornamental purposes, fresh, other than roses, carnations, orchids, or chrysanthemums</t>
  </si>
  <si>
    <t>Flowers: n.e.c. in heading no. 0603</t>
  </si>
  <si>
    <t>Mosses and lichens: of a kind suitable for bouquets or ornamental purposes, fresh, dried, dyed, bleached, impregnated or otherwise prepared</t>
  </si>
  <si>
    <t>Foliage, branches and other parts of plants, without flowers or flower buds, and grasses: being goods of a kind suitable for bouquets or for ornamental purposes, fresh</t>
  </si>
  <si>
    <t>Foliage, branches and other parts of plants, without flowers or flower buds, and grasses: kind suitable for bouquets or for ornamental purposes dried, dyed, bleached, impregnated, otherwise prepared, excluding fresh</t>
  </si>
  <si>
    <t>Vegetables: seed potatoes, fresh or chilled</t>
  </si>
  <si>
    <t>Vegetables: potatoes (other than seed), fresh or chilled</t>
  </si>
  <si>
    <t>Vegetables: tomatoes, fresh or chilled</t>
  </si>
  <si>
    <t>Vegetables, alliaceous: onions and shallots, fresh or chilled</t>
  </si>
  <si>
    <t>Vegetables, alliaceous: garlic, fresh or chilled</t>
  </si>
  <si>
    <t>Vegetables, alliaceous: leeks and other kinds n.e.c. in heading no. 0703, fresh or chilled</t>
  </si>
  <si>
    <t>Vegetables, brassica: cauliflowers and headed broccoli, fresh or chilled</t>
  </si>
  <si>
    <t>Vegetables, brassica: brussel sprouts, fresh or chilled</t>
  </si>
  <si>
    <t>Vegetables, brassica: edible, n.e.c. in heading no. 0704, fresh or chilled</t>
  </si>
  <si>
    <t>Vegetables: cabbage (head) lettuce (lactuca sativa), fresh or chilled</t>
  </si>
  <si>
    <t>Vegetables: lettuce (lactuca sativa), (other than cabbage lettuce), fresh or chilled</t>
  </si>
  <si>
    <t>Vegetables: witloff chicory (cichorium intybus var. foliosum), fresh or chilled</t>
  </si>
  <si>
    <t>Vegetables: chicory (cichorium spp.), (other than witloof chicory), fresh or chilled</t>
  </si>
  <si>
    <t>Vegetables, root: carrots and turnips, fresh or chilled</t>
  </si>
  <si>
    <t>Vegetables, root: salad beetroot, salsify, celeric, radishes and similar edible roots, fresh or chilled</t>
  </si>
  <si>
    <t>Vegetables: cucumbers and gherkins, fresh or chilled</t>
  </si>
  <si>
    <t>Vegetables, leguminous: peas (pisum sativum), shelled or unshelled, fresh or chilled</t>
  </si>
  <si>
    <t>Vegetables, leguminous: beans (vigna spp., phaseolus spp.), shelled or unshelled, fresh or chilled</t>
  </si>
  <si>
    <t>Vegetables, leguminous: (other than peas and beans), shelled or unshelled, fresh or chilled</t>
  </si>
  <si>
    <t>Vegetables: asparagus, fresh or chilled</t>
  </si>
  <si>
    <t>Vegetables: aubergines, (egg plants), fresh or chilled</t>
  </si>
  <si>
    <t>Vegetables: celery (other than celeriac), fresh or chilled</t>
  </si>
  <si>
    <t>Vegetables: mushrooms of the genus Agaricus, fresh or chilled</t>
  </si>
  <si>
    <t>Vegetables: truffles and mushrooms (other than of the genus Agaricus), fresh or chilled</t>
  </si>
  <si>
    <t>Vegetables: fruits of the genus capsicum or of the genus pimenta</t>
  </si>
  <si>
    <t>Vegetables: spinach, New Zealand spinach and orache spinach (garden spinach), fresh or chilled</t>
  </si>
  <si>
    <t>Vegetables: edible, n.e.c. in chapter 7, fresh or chilled</t>
  </si>
  <si>
    <t>Vegetables: potatoes, uncooked or cooked by steaming or boiling in water, frozen</t>
  </si>
  <si>
    <t>Vegetables, leguminous: peas (pisum sativum), shelled or unshelled, uncooked or cooked by steaming or boiling in water, frozen</t>
  </si>
  <si>
    <t>Vegetables, leguminous: beans (vigna spp., phaseolus spp.), shelled or unshelled, uncooked or cooked by steaming or boiling in water, frozen</t>
  </si>
  <si>
    <t>Vegetables, leguminous: (other than peas or beans), shelled or unshelled, uncooked or cooked by steaming or boiling in water, frozen</t>
  </si>
  <si>
    <t>Vegetables: spinach, New Zealand spinach and orache spinach (garden spinach), uncooked or cooked by steaming or boiling in water, frozen</t>
  </si>
  <si>
    <t>Vegetables: sweetcorn, uncooked or cooked by steaming or boiling in water, frozen</t>
  </si>
  <si>
    <t>Vegetables: uncooked or cooked by steaming or boiling in water, frozen, n.e.c. in chapter 7</t>
  </si>
  <si>
    <t>Vegetable mixtures: uncooked or cooked by steaming or boiling in water, frozen</t>
  </si>
  <si>
    <t>Vegetables: olives, provisionally preserved but unsuitable in that state for immediate consumption</t>
  </si>
  <si>
    <t>Vegetables: cucumbers and gherkins, provisionally preserved but unsuitable in that state for immediate consumption</t>
  </si>
  <si>
    <t>Vegetables: mushrooms of the genus Agaricus, provisionally preserved but unsuitable in that state for immediate consumption</t>
  </si>
  <si>
    <t>Vegetables: mushrooms other than of the genus Agaricus, provisionally preserved but unsuitable in that state for immediate consumption</t>
  </si>
  <si>
    <t>Vegetables and mixed vegetables: n.e.c. in heading no. 0711, provisionally preserved but unsuitable in that state for immediate consumption</t>
  </si>
  <si>
    <t>Vegetables: onions, whole, cut, sliced, broken or in powder but not further prepared, dried</t>
  </si>
  <si>
    <t>Vegetables: mushrooms of the genus Agaricus, whole, cut, sliced, broken or in powder but not further prepared, dried</t>
  </si>
  <si>
    <t>Vegetables: wood ears (Auricularia spp), whole, cut, sliced, broken or in powder but not further prepared, dried</t>
  </si>
  <si>
    <t>Vegetables: jelly fungi (Tremella spp)), whole, cut, sliced, broken or in powder but not further prepared, dried</t>
  </si>
  <si>
    <t>Vegetables: mushrooms, other than the genus Agaricus and truffles, whole, cut, sliced, broken or in powder but not further prepared, dried</t>
  </si>
  <si>
    <t>Vegetables: mixtures of vegetables n.e.c. in heading no. 0712, whole, cut, sliced, broken or in powder but not further prepared, dried</t>
  </si>
  <si>
    <t>Vegetables, leguminous: peas (pisum sativum), shelled, whether or not skinned or split, dried</t>
  </si>
  <si>
    <t>Vegetables, leguminous: chickpeas (garbanzos), shelled, whether or not skinned or split, dried</t>
  </si>
  <si>
    <t>Vegetables, leguminous: beans of the species vigna mungo (l.) hepper or vigna radiata (l.) wilczek, dried, shelled, whether or not skinned or split</t>
  </si>
  <si>
    <t>Vegetables, leguminous: small red (adzuki) beans (phaseolus or vigna angularis), shelled, dried, whether or not skinned or split</t>
  </si>
  <si>
    <t>Vegetables, leguminous: kidney beans, including white pea beans (phaseolus vulgaris), dried, shelled, whether or not skinned or split</t>
  </si>
  <si>
    <t>Vegetables, leguminous: n.e.c. in item no. 0713.30, dried, shelled, whether or not skinned or split</t>
  </si>
  <si>
    <t>Vegetables, leguminous: lentils, shelled, whether or not skinned or split, dried</t>
  </si>
  <si>
    <t>Vegetables, leguminous: broad beans (vicia faba var. major) and horse beans (vicia faba var. equina and vicia faba var. minor), dried, shelled, whether or not skinned or split</t>
  </si>
  <si>
    <t>Vegetables, leguminous: n.e.c. in heading no. 0713, shelled, whether or not skinned or split, dried</t>
  </si>
  <si>
    <t>Vegetable roots and tubers: manioc (cassava), with high starch or inulin content, fresh, chilled, frozen or dried, whether or not sliced or in the form of pellets</t>
  </si>
  <si>
    <t>Vegetable roots and tubers: sweet potatoes, with high starch or inulin content, fresh, chilled, frozen or dried, whether or not sliced or in the form of pellets</t>
  </si>
  <si>
    <t>Vegetable roots and tubers: arrowroot, salep, Jerusalem artichokes and similar roots and tubers (not manioc or sweet potatoes), high starch or inulin content, fresh chilled, frozen or dried, whether or not sliced or in the form of pellets: sago pith</t>
  </si>
  <si>
    <t>Nuts, edible: coconuts, fresh or dried, whether or not shelled or peeled, desiccated</t>
  </si>
  <si>
    <t>Nuts, edible: coconuts, fresh or dried, whether or not shelled or peeled, other than desiccated</t>
  </si>
  <si>
    <t>Nuts, edible: brazil nuts, in shell, fresh or dried</t>
  </si>
  <si>
    <t>Nuts, edible: brazil nuts, shelled, fresh or dried</t>
  </si>
  <si>
    <t>Nuts, edible: cashew nuts, in shell, fresh or dried</t>
  </si>
  <si>
    <t>Nuts, edible: cashew nuts, shelled, fresh or dried</t>
  </si>
  <si>
    <t>Nuts, edible: almonds, fresh or dried, in shell</t>
  </si>
  <si>
    <t>Nuts, edible: almonds, fresh or dried, shelled</t>
  </si>
  <si>
    <t>Nuts, edible: hazelnuts or filberts (corylus spp.), fresh or dried, in shell</t>
  </si>
  <si>
    <t>Nuts, edible: hazelnuts or filberts (corylus spp.), fresh or dried, shelled</t>
  </si>
  <si>
    <t>Nuts, edible: walnuts, fresh or dried, in shell</t>
  </si>
  <si>
    <t>Nuts, edible: walnuts, fresh or dried, shelled</t>
  </si>
  <si>
    <t>Nuts, edible: chestnuts (castanea spp.), fresh or dried, whether or not shelled or peeled</t>
  </si>
  <si>
    <t>Nuts, edible: pistachios, fresh or dried, whether or not shelled or peeled</t>
  </si>
  <si>
    <t>Nuts, edible: macadamia, fresh or dried, whether or not shelled or peeled</t>
  </si>
  <si>
    <t>Nuts, edible: n.e.c. in heading no. 0801 and 0802, fresh or dried, whether or not shelled or peeled</t>
  </si>
  <si>
    <t>Fruit, edible: bananas, (including plantains), fresh or dried</t>
  </si>
  <si>
    <t>Fruit, edible: dates, fresh or dried</t>
  </si>
  <si>
    <t>Fruit, edible: figs, fresh or dried</t>
  </si>
  <si>
    <t>Fruit, edible: pineapples, fresh or dried</t>
  </si>
  <si>
    <t>Fruit, edible: avocados, fresh or dried</t>
  </si>
  <si>
    <t>Fruit, edible: guavas, mangoes and mangosteens, fresh or dried</t>
  </si>
  <si>
    <t>Fruit, edible: oranges, fresh or dried</t>
  </si>
  <si>
    <t>Fruit, edible: mandarins (including tangerines and satsumas), clementines, wilkings and similar citrus hybrids, fresh or dried</t>
  </si>
  <si>
    <t>Fruit, edible: grapefruit (including pomelos), fresh or dried</t>
  </si>
  <si>
    <t>Fruit, edible: lemons (Citrus limon, Citrus limonum), limes (Citrus aurantifolia , Citrus latifolia), fresh or dried</t>
  </si>
  <si>
    <t>Fruit, edible: citrus fruit n.e.c. in heading no. 0805, fresh or dried</t>
  </si>
  <si>
    <t>Fruit, edible: grapes, fresh</t>
  </si>
  <si>
    <t>Fruit, edible: grapes, dried</t>
  </si>
  <si>
    <t>Fruit, edible: watermelons, fresh</t>
  </si>
  <si>
    <t>Fruit, edible: melons, (other than watermelons), fresh</t>
  </si>
  <si>
    <t>Fruit, edible: papaws (papayas), fresh</t>
  </si>
  <si>
    <t>Fruit, edible: apples, fresh</t>
  </si>
  <si>
    <t>Fruit, edible: pears and quinces, fresh</t>
  </si>
  <si>
    <t>Fruit, edible: apricots, fresh</t>
  </si>
  <si>
    <t>Fruit, edible: cherries, fresh</t>
  </si>
  <si>
    <t>Fruit, edible: peaches including nectarines, fresh</t>
  </si>
  <si>
    <t>Fruit, edible: plums and sloes, fresh</t>
  </si>
  <si>
    <t>Fruit, edible: strawberries, fresh</t>
  </si>
  <si>
    <t>Fruit, edible: raspberries, blackberries, mulberries and loganberries, fresh</t>
  </si>
  <si>
    <t>Fruit, edible: cranberries, bilberries and other fruits of the genus vaccinium, fresh</t>
  </si>
  <si>
    <t>Fruit, edible: kiwifruit,  fresh</t>
  </si>
  <si>
    <t>Fruit, edible: durians, fresh</t>
  </si>
  <si>
    <t>Fruit, edible: fruits n.e.c. in heading no. 0801 to 0810, fresh</t>
  </si>
  <si>
    <t>Fruit, edible: strawberries, uncooked or cooked by steaming or boiling in water, frozen, whether or not containing added sugar or other sweetening matter</t>
  </si>
  <si>
    <t>Fruit, edible: raspberries, blackberries, mulberries, loganberries, black, white or red currants and gooseberries, uncooked or cooked, whether or not containing added sugar or other sweetening matter</t>
  </si>
  <si>
    <t>Fruit, edible: fruit and nuts n.e.c. in heading no. 0811, uncooked or cooked, frozen whether or not containing added sugar or other sweetening matter</t>
  </si>
  <si>
    <t>Fruit, edible: cherries, provisionally preserved, but unsuitable in that state for immediate consumption</t>
  </si>
  <si>
    <t>Fruit, edible: fruit and nuts n.e.c. in heading no. 0812, provisionally preserved, but unsuitable in that state for immediate consumption</t>
  </si>
  <si>
    <t>Fruit, edible: apricots, dried</t>
  </si>
  <si>
    <t>Fruit, edible: prunes, dried</t>
  </si>
  <si>
    <t>Fruit, edible: apples, dried</t>
  </si>
  <si>
    <t>Fruit, edible: fruit n.e.c. in heading no. 0812, dried</t>
  </si>
  <si>
    <t>Nuts, edible: mixtures of nuts or dried fruits of chapter 8</t>
  </si>
  <si>
    <t>Peel: of citrus fruit or melons (including watermelons), fresh, frozen, dried or provisionally preserved in brine, in sulphur water and other preservative solutions</t>
  </si>
  <si>
    <t>Coffee: not roasted or decaffeinated</t>
  </si>
  <si>
    <t>Coffee: decaffeinated, not roasted</t>
  </si>
  <si>
    <t>Coffee: roasted, not decaffeinated</t>
  </si>
  <si>
    <t>Coffee: roasted, decaffeinated</t>
  </si>
  <si>
    <t>Coffee: husks and skins, coffee substitutes containing coffee in any proportion</t>
  </si>
  <si>
    <t>Tea, green: (not fermented), in immediate packings of a content not exceeding 3kg</t>
  </si>
  <si>
    <t>Tea, green: (not fermented), in immediate packings of a content exceeding 3kg</t>
  </si>
  <si>
    <t>Tea, black: (fermented) and partly fermented tea, in immediate packings of a content not exceeding 3kg</t>
  </si>
  <si>
    <t>Tea, black: (fermented) and partly fermented tea, in immediate packings of a content exceeding 3kg</t>
  </si>
  <si>
    <t>Mate</t>
  </si>
  <si>
    <t>Spices: pepper (of the genus piper), neither crushed nor ground</t>
  </si>
  <si>
    <t>Spices: pepper (of the genus piper), crushed or ground</t>
  </si>
  <si>
    <t>Spices: fruits of the genus capsicum or pimenta, dried or crushed or ground</t>
  </si>
  <si>
    <t>Spices: vanilla</t>
  </si>
  <si>
    <t>Spices: cinnamon (Cinnamomum zeylanicum Blume), neither crushed nor ground</t>
  </si>
  <si>
    <t>Spices: cinnamon and cinnamon-tree flowers, other than cinnamon (Cinnamomum zeylanicum Blume), neither crushed nor ground</t>
  </si>
  <si>
    <t>Spices: cinnamon and cinnamon-tree flowers, crushed or ground</t>
  </si>
  <si>
    <t>Spices: cloves (whole fruit, cloves and stems)</t>
  </si>
  <si>
    <t>Spices: nutmeg</t>
  </si>
  <si>
    <t>Spices: mace</t>
  </si>
  <si>
    <t>Spices: cardamoms</t>
  </si>
  <si>
    <t>Spices: anise or badian seeds</t>
  </si>
  <si>
    <t>Spices: coriander seeds</t>
  </si>
  <si>
    <t>Spices: cumin seeds</t>
  </si>
  <si>
    <t>Spices: caraway seeds</t>
  </si>
  <si>
    <t>Spices: fennel or juniper seeds</t>
  </si>
  <si>
    <t>Spices: ginger</t>
  </si>
  <si>
    <t>Spices: saffron</t>
  </si>
  <si>
    <t>Spices: turmeric (curcuma)</t>
  </si>
  <si>
    <t>Spices: mixtures of 2 or more products of different headings</t>
  </si>
  <si>
    <t>Spices: n.e.c. in heading no. 0910</t>
  </si>
  <si>
    <t>Cereals: durum wheat</t>
  </si>
  <si>
    <t>Cereals: meslin and wheat other than durum</t>
  </si>
  <si>
    <t>Cereals: rye</t>
  </si>
  <si>
    <t>Cereals: barley</t>
  </si>
  <si>
    <t>Cereals: oats</t>
  </si>
  <si>
    <t>Cereals: maize (corn), seed</t>
  </si>
  <si>
    <t>Cereals: maize (corn), other than seed</t>
  </si>
  <si>
    <t>Cereals: rice in the husk (paddy or rough)</t>
  </si>
  <si>
    <t>Cereals: husked (brown) rice</t>
  </si>
  <si>
    <t>Cereals: rice, semi-milled or wholly milled, whether or not polished or glazed</t>
  </si>
  <si>
    <t>Cereals: rice, broken</t>
  </si>
  <si>
    <t>Cereals: grain sorghum</t>
  </si>
  <si>
    <t>Cereals: buckwheat</t>
  </si>
  <si>
    <t>Cereals: millet</t>
  </si>
  <si>
    <t>Cereals: canary seed</t>
  </si>
  <si>
    <t>Cereals: n.e.c. in chapter 10</t>
  </si>
  <si>
    <t>Wheat or meslin flour</t>
  </si>
  <si>
    <t>Cereal flour: of rye</t>
  </si>
  <si>
    <t>Cereal flour: of maize (corn)</t>
  </si>
  <si>
    <t>Cereal flours: n.e.c. in heading no. 1102</t>
  </si>
  <si>
    <t>Cereal groats and meal: of wheat</t>
  </si>
  <si>
    <t>Cereal groats and meal: of maize (corn)</t>
  </si>
  <si>
    <t>Cereal groats and meal: n.e.c. in heading no. 1103</t>
  </si>
  <si>
    <t>Cereal pellets</t>
  </si>
  <si>
    <t>Cereal grains: rolled or flaked, of oats</t>
  </si>
  <si>
    <t>Cereal grains: rolled or flaked, other than oats</t>
  </si>
  <si>
    <t>Cereal grains: worked (egg hulled, pearled, sliced or kibbled) of oats</t>
  </si>
  <si>
    <t>Cereal grains: worked (egg hulled, pearled, sliced or kibbled) of maize (corn)</t>
  </si>
  <si>
    <t>Cereal grains: worked, other than rolled or flaked (egg. Hulled, pearled, sliced or kibbled) of cereals, excluding oats and maize, and rice of heading no.1006</t>
  </si>
  <si>
    <t>Cereal: germ of cereals, whole, rolled, flaked or ground</t>
  </si>
  <si>
    <t>Flour, meal and powder: of potatoes</t>
  </si>
  <si>
    <t>Flakes, granules and pellets: of potatoes</t>
  </si>
  <si>
    <t>Flour, meal and powder: of the dried leguminous vegetables of heading no. 0713</t>
  </si>
  <si>
    <t>Flour, meal and powder: of sago or of roots or tubers of heading no. 0714</t>
  </si>
  <si>
    <t>Flour, meal and powder: of the products of chapter 8</t>
  </si>
  <si>
    <t>Malt: not roasted</t>
  </si>
  <si>
    <t>Malt: roasted</t>
  </si>
  <si>
    <t>Starch: wheat</t>
  </si>
  <si>
    <t>Starch: maize (corn) starch</t>
  </si>
  <si>
    <t>Starch: potato</t>
  </si>
  <si>
    <t>Starch: manioc (cassava)</t>
  </si>
  <si>
    <t>Starch: n.e.c. in item no. 1108.11 to 1108.14</t>
  </si>
  <si>
    <t>Inulin</t>
  </si>
  <si>
    <t>Wheat gluten: whether or not dried</t>
  </si>
  <si>
    <t>Soya beans: whether or not broken</t>
  </si>
  <si>
    <t>Ground-nuts: in shell, not roasted or otherwise cooked</t>
  </si>
  <si>
    <t>Ground-nuts: shelled, not roasted or otherwise cooked, whether or not broken</t>
  </si>
  <si>
    <t>Copra</t>
  </si>
  <si>
    <t>Oil seeds: linseed, whether or not broken</t>
  </si>
  <si>
    <t>Oil seeds: low erucic acid rape or colza seeds, whether or not broken</t>
  </si>
  <si>
    <t>Oil seeds: rape or colza seeds, other than low erucic, whether or not broken</t>
  </si>
  <si>
    <t>Oil seeds: sunflower seeds, whether or not broken</t>
  </si>
  <si>
    <t>Oil seeds: cotton seeds, whether or not broken</t>
  </si>
  <si>
    <t>Oil seeds: sesamum seeds, whether or not broken</t>
  </si>
  <si>
    <t>Oil seeds: mustard seeds, whether or not broken</t>
  </si>
  <si>
    <t>Oil seeds: poppy seeds, whether or not broken</t>
  </si>
  <si>
    <t>Oil seeds and oleaginous fruits: n.e.c. in heading no. 1207, whether or not broken</t>
  </si>
  <si>
    <t>Flours and meals: of soya beans</t>
  </si>
  <si>
    <t>Flours and meals of oil seeds or oleaginous fruits: excluding soya beans and mustard seeds</t>
  </si>
  <si>
    <t>Seed: sugar beet seed, of a kind used for sowing</t>
  </si>
  <si>
    <t>Seed: lucerne (alfalfa) seed, of a kind used for sowing</t>
  </si>
  <si>
    <t>Seed: clover (trifolium spp.) seed, of a kind used for sowing</t>
  </si>
  <si>
    <t>Seed: fescue, of a kind used for sowing</t>
  </si>
  <si>
    <t>Seed: kentucky blue grass (poa pratensis l.) seed, of a kind used for sowing</t>
  </si>
  <si>
    <t>Seed: rye grass (lolium multiflorum lam., lolium perenne l.) seed, of a kind used for sowing</t>
  </si>
  <si>
    <t>Seed: of forage plants, n.e.c. in item no.1209.2</t>
  </si>
  <si>
    <t>Seed: of herbaceous plants cultivated principally for their flowers, of a kind used for sowing</t>
  </si>
  <si>
    <t>Seed: vegetable seed, of a kind used for sowing</t>
  </si>
  <si>
    <t>Seed: n.e.c. in heading no. 1209, of a kind used for sowing</t>
  </si>
  <si>
    <t>Hop cones: neither ground nor powdered nor in the form of pellets</t>
  </si>
  <si>
    <t>Hop cones: ground, powdered or in the form of pellets: lupulin</t>
  </si>
  <si>
    <t>Ginseng roots, used primarily in perfumery, in pharmacy or for insecticidal, fungicidal or similar purposes: fresh or dried, whether or not cut, crushed or powdered</t>
  </si>
  <si>
    <t>Coca leaf: used primarily in perfumery, in pharmacy or for insecticidal, fungicidal or similar purposes, fresh or dried, whether or not crushed or powdered</t>
  </si>
  <si>
    <t>Poppy straw: used primarily in perfumery, in pharmacy or for insecticidal, fungicidal or similar purposes, fresh or dried, whether or not crushed or powdered</t>
  </si>
  <si>
    <t>Plants and parts (including seeds and fruits) n.e.c. in heading no. 1211, used primarily in perfumery, pharmacy or for insecticidal, fungicidal purposes: fresh or dried, whether or not cut, crushed or powdered</t>
  </si>
  <si>
    <t>Seaweeds and other algae: of a kind used primarily for human consumption, fresh, chilled, frozen or dried, whether or not ground</t>
  </si>
  <si>
    <t>Sugar beet: of a kind used primarily for human consumption, fresh, chilled, frozen or dried, whether or not ground</t>
  </si>
  <si>
    <t>Vegetable products (including unroasted chicory roots, chicorium intybus sativum variety): n.e.c. in chapter 12, fresh, chilled, frozen or dried, ground or unground, primarily for human consumption</t>
  </si>
  <si>
    <t>Cereal straw and husks: unprepared, whether or not chopped, ground, pressed or in the form of pellets</t>
  </si>
  <si>
    <t>Lucerne (alfalfa) meal and pellets</t>
  </si>
  <si>
    <t>Forage products including swedes, mangolds, fodder roots, hay, sainfoin, clover, forage kale, lupines, vetches etc., pelletised or otherwise</t>
  </si>
  <si>
    <t>Gum Arabic</t>
  </si>
  <si>
    <t>Natural gums, resins, gum-resins and oleoresins, n.e.c. in heading no. 1301</t>
  </si>
  <si>
    <t>Vegetable saps and extracts: opium</t>
  </si>
  <si>
    <t>Vegetable saps and extracts: of liquorice</t>
  </si>
  <si>
    <t>Vegetable saps and extracts: of hops</t>
  </si>
  <si>
    <t>Vegetable saps and extracts: n.e.c. in item no. 1302.1</t>
  </si>
  <si>
    <t>Pectic substances: pectinates and pectates</t>
  </si>
  <si>
    <t>Mucilages and thickeners: agar-agar, whether or not modified, derived from vegetable products</t>
  </si>
  <si>
    <t>Mucilages and thickeners: whether or not modified, derived from locust beans, locust bean seeds or guar seeds</t>
  </si>
  <si>
    <t>Mucilages and thickeners: whether or not modified, derived from vegetable products, n.e.c. in item no. 1302.3</t>
  </si>
  <si>
    <t>Bamboo used primarily for plaiting</t>
  </si>
  <si>
    <t>Rattans used primarily for plaiting</t>
  </si>
  <si>
    <t>Vegetable materials of a kind used primarily for plaiting: n.e.c. in heading no. 1401</t>
  </si>
  <si>
    <t>Vegetable products: cotton linters</t>
  </si>
  <si>
    <t>Vegetable products: n.e.c. in chapter 14</t>
  </si>
  <si>
    <t>Animal fat: pig and poultry fat (including lard), other than that of heading no. 0209 or 1503</t>
  </si>
  <si>
    <t>Fats of bovine animals, sheep or goats: other than those of heading no. 1503</t>
  </si>
  <si>
    <t>Lard stearin, lard oil, oleostearin, oleo-oil and tallow oil: not emulsified or mixed or otherwise prepared</t>
  </si>
  <si>
    <t>Oils of fish: fish-liver oils and their fractions, whether or not refined, but not chemically modified</t>
  </si>
  <si>
    <t>Fats and oils and their fractions: of fish, (excluding liver-oils)</t>
  </si>
  <si>
    <t>Fats and oils and their fractions: of marine mammals</t>
  </si>
  <si>
    <t>Wool grease and fatty substances derived therefrom (including lanolin)</t>
  </si>
  <si>
    <t>Animal fats and oils and their fractions: whether or not refined, but not chemically modified, n.e.c. in chapter 15</t>
  </si>
  <si>
    <t>Vegetable oils: soya-bean oil and its fractions, crude, whether or not degummed, not chemically modified</t>
  </si>
  <si>
    <t>Vegetable oils: soya-bean oil and its fractions, other than crude, whether or not refined, but not chemically modified</t>
  </si>
  <si>
    <t>Vegetable oils: ground-nut oil and its fractions, crude, not chemically modified</t>
  </si>
  <si>
    <t>Vegetable oils: ground-nut oil and its fractions, other than crude, whether or not refined, but not chemically modified</t>
  </si>
  <si>
    <t>Vegetable oils: olive oil and its fractions, virgin, whether or not refined, but not chemically modified</t>
  </si>
  <si>
    <t>Vegetable oils: olive oil and its fractions, other than virgin, whether or not refined, but not chemically modified</t>
  </si>
  <si>
    <t>Vegetable oils: oils and their fractions n.e.c. in chapter 15, obtained solely from olives, whether or not refined, but not chemically modified, including blends of these oils or fractions with oils or fractions of heading no. 1509</t>
  </si>
  <si>
    <t>Vegetable oils: palm oil and its fractions, crude, not chemically modified</t>
  </si>
  <si>
    <t>Vegetable oils: palm oil and its fractions, other than crude, whether or not refined, but not chemically modified</t>
  </si>
  <si>
    <t>Vegetable oils: sunflower seed or safflower oil and their fractions, crude, not chemically modified</t>
  </si>
  <si>
    <t>Vegetable oils: sunflower seed or safflower oil and their fractions, other than crude, whether or not refined, but not chemically modified</t>
  </si>
  <si>
    <t>Vegetable oils: cotton-seed oil and its fractions: crude, whether or not gossypol has been removed, not chemically modified</t>
  </si>
  <si>
    <t>Vegetable oils: cotton-seed oil and its fractions, other than crude, whether or not refined, but not chemically modified</t>
  </si>
  <si>
    <t>Vegetable oils: coconut (copra) oil and its fractions, crude, not chemically modified</t>
  </si>
  <si>
    <t>Vegetable oils: coconut (copra) oil and its fractions, other than crude, whether or not refined, but not chemically modified</t>
  </si>
  <si>
    <t>Vegetable oils: palm kernel or babassu oil and their fractions, crude, not chemically modified</t>
  </si>
  <si>
    <t>Vegetable oils: palm kernel or babassu oil and their fractions, other than crude, whether or not refined, but not chemically modified</t>
  </si>
  <si>
    <t>Vegetable oils: low erucic acid rape or colza oil and its fractions, crude</t>
  </si>
  <si>
    <t>Vegetable oils: low erucic acid rape or colza oil and its fractions, other than crude, but not chemically modified</t>
  </si>
  <si>
    <t>Vegetable oils: excluding low erucic acid rape or colza oil and its fractions, crude</t>
  </si>
  <si>
    <t>Vegetable oils: excluding low erucic acid rape or colza oil and its fractions, other than crude, but not chemically modified</t>
  </si>
  <si>
    <t>Vegetable oils: linseed oil and its fractions, crude, not chemically modified</t>
  </si>
  <si>
    <t>Vegetable oils: linseed oil and its fractions, other than crude, whether or not refined, but not chemically modified</t>
  </si>
  <si>
    <t>Vegetable oils: maize (corn) oil and its fractions, crude, not chemically modified</t>
  </si>
  <si>
    <t>Vegetable oils: maize (corn) oil and its fractions, other than crude, whether or not refined, but not chemically modified</t>
  </si>
  <si>
    <t>Vegetable oils: castor oil and its fractions, whether or not refined, but not chemically modified</t>
  </si>
  <si>
    <t>Vegetable oils: sesame oil and its fractions, whether or not refined, but not chemically modified</t>
  </si>
  <si>
    <t>Vegetable fats and oils and their fractions: fixed, n.e.c. in heading no. 1515, whether or not refined, but not chemically modified</t>
  </si>
  <si>
    <t>Animal fats and oils and their fractions: partly or wholly hydrogenated, inter-esterified, re-esterified or elaidinised, whether or not refined, but not further prepared</t>
  </si>
  <si>
    <t>Vegetable fats and oils and their fractions: partly or wholly hydrogenated, inter-esterified, re-esterified or elaidinised, whether or not refined, but not further prepared</t>
  </si>
  <si>
    <t>Margarine: excluding liquid margarine</t>
  </si>
  <si>
    <t>Edible mixtures or preparations of animal or vegetable fats or oils or of fractions of different fats or oils of this chapter, other than edible fats or oils of heading no. 1516</t>
  </si>
  <si>
    <t>Animal or vegetable fats and oils and their fractions: oxidised, boiled or otherwise chemically modified, (excluding those of heading no. 1516), inedible mixtures or preparations of fats or oils</t>
  </si>
  <si>
    <t>Glycerol, crude: glycerol waters and glycerol lyes</t>
  </si>
  <si>
    <t>Vegetable waxes (other than triglycerides): whether or not refined or coloured</t>
  </si>
  <si>
    <t>Waxes, other than vegetable, n.e.c. in heading no. 1521: whether or not refined or coloured</t>
  </si>
  <si>
    <t>Degras: residues resulting from the treatment of fatty substances or animal or vegetable waxes</t>
  </si>
  <si>
    <t>Meat preparations: sausages and similar products, of meat, meat offal or blood, and food preparations based on these products</t>
  </si>
  <si>
    <t>Meat preparations: homogenised preparations of meat, meat offal or blood</t>
  </si>
  <si>
    <t>Meat preparations: of the prepared or preserved liver of any animal (excluding homogenised preparations)</t>
  </si>
  <si>
    <t>Meat preparations: of turkeys, prepared or preserved meat or meat offal (excluding livers and homogenised preparations)</t>
  </si>
  <si>
    <t>Meat preparations: of the poultry of heading no. 0105, (i.e. of fowls of the species Gallus domesticus)</t>
  </si>
  <si>
    <t>Meat preparations: of poultry (excluding turkeys), prepared or preserved meat or meat offal (excluding livers and homogenised preparations)</t>
  </si>
  <si>
    <t>Meat preparations: of swine, hams and cuts thereof, prepared or preserved (excluding homogenised preparations)</t>
  </si>
  <si>
    <t>Meat preparations: of swine, shoulders and cuts thereof, prepared or preserved (excluding homogenised preparations)</t>
  </si>
  <si>
    <t>Meat preparations: of swine, meat or meat offal (including mixtures), prepared or preserved, n.e.c. in heading no. 1602</t>
  </si>
  <si>
    <t>Meat preparations: of bovine animals, meat or meat offal, prepared or preserved (excluding livers and homogenised preparations)</t>
  </si>
  <si>
    <t>Meat preparations: of meat, meat offal or the blood of any animal, n.e.c. in heading no. 1602</t>
  </si>
  <si>
    <t>Extracts and juices: of meat, fish or crustaceans, molluscs or other aquatic invertebrates</t>
  </si>
  <si>
    <t>Fish preparations: salmon, prepared or preserved, whole or in pieces (but not minced)</t>
  </si>
  <si>
    <t>Fish preparations: herrings, prepared or preserved, whole or in pieces (but not minced)</t>
  </si>
  <si>
    <t>Fish preparations: sardines, sardinella and brisling or sprats, prepared or preserved, whole or in pieces (but not minced)</t>
  </si>
  <si>
    <t>Fish preparations: tunas, skipjack and Atlantic bonito (sarda spp.), prepared or preserved, whole or in pieces (but not minced)</t>
  </si>
  <si>
    <t>Fish preparations: mackerel, prepared or preserved, whole or in pieces (but not minced)</t>
  </si>
  <si>
    <t>Fish preparations: anchovies, prepared or preserved, whole or in pieces (but not minced)</t>
  </si>
  <si>
    <t>Fish preparations: fish prepared or preserved, whole or in pieces (but not minced), n.e.c. in heading no. 1604</t>
  </si>
  <si>
    <t>Fish preparations: fish minced or in forms n.e.c. in heading no. 1604, prepared or preserved</t>
  </si>
  <si>
    <t>Fish preparations: caviar and caviar substitutes</t>
  </si>
  <si>
    <t>Crustacean preparations: crab, prepared or preserved</t>
  </si>
  <si>
    <t>Crustacean preparations: shrimps and prawns, prepared or preserved</t>
  </si>
  <si>
    <t>Crustacean preparations: lobster, prepared or preserved</t>
  </si>
  <si>
    <t>Crustacean preparations: prepared or preserved crustaceans (excluding crab, shrimps, prawns and lobster)</t>
  </si>
  <si>
    <t>Molluscs and other aquatic invertebrates: prepared or preserved (excluding crustaceans)</t>
  </si>
  <si>
    <t>Sugars: cane sugar, raw, in solid form, not containing added flavouring or colouring matter</t>
  </si>
  <si>
    <t>Sugars: beet sugar, raw, in solid form, not containing added flavouring or colouring matter</t>
  </si>
  <si>
    <t>Sucrose: chemically pure, containing added flavouring or colouring matter, in solid form</t>
  </si>
  <si>
    <t>Sucrose: chemically pure, not containing added flavouring or colouring matter, in solid form</t>
  </si>
  <si>
    <t>Sugars: lactose and lactose syrup, containing by weight 99% or more lactose, expressed as anhydrous lactose, calculated on the dry matter</t>
  </si>
  <si>
    <t>Sugars: lactose and lactose syrup, containing by weight less than 99% lactose, expressed as anhydrous lactose, calculated on the dry matter</t>
  </si>
  <si>
    <t>Sugars: maple sugar chemically pure, in solid form: maple syrup, not containing added flavouring or colouring matter</t>
  </si>
  <si>
    <t>Sugars: glucose and glucose syrup, not containing fructose or containing in the dry state less than 20% by weight of fructose, the syrup not containing added flavouring or colouring matter</t>
  </si>
  <si>
    <t>Sugars: glucose and glucose syrup, containing in the dry state at least 20% but less than 50% by weight of fructose, excluding invert sugar, the syrup not containing added flavouring or colouring matter</t>
  </si>
  <si>
    <t>Sugars: fructose, chemically pure, in solid form</t>
  </si>
  <si>
    <t>Sugars: fructose, other than chemically pure fructose, and fructose syrup (containing in the dry state more than 50% by weight of fructose), excluding invert sugar</t>
  </si>
  <si>
    <t>Sugars: n.e.c. in heading no. 1702, including invert sugar and other sugar and sugar syrup blends containing, in the dry state, 50% by weight of fructose</t>
  </si>
  <si>
    <t>Sugars: molasses, from sugar cane, resulting from the extraction or refining of sugar</t>
  </si>
  <si>
    <t>Sugars: molasses, from sugar beet, resulting from the extraction or refining of sugar</t>
  </si>
  <si>
    <t>Sugar confectionery: chewing gum, whether or not sugar-coated, not containing cocoa</t>
  </si>
  <si>
    <t>Sugar confectionery: (excluding chewing gum, including white chocolate), not containing cocoa</t>
  </si>
  <si>
    <t>Cocoa beans: whole or broken, raw or roasted</t>
  </si>
  <si>
    <t>Cocoa: shells, husks, skins and other cocoa waste</t>
  </si>
  <si>
    <t>Cocoa: paste, not defatted</t>
  </si>
  <si>
    <t>Cocoa: paste, wholly or partly defatted</t>
  </si>
  <si>
    <t>Cocoa: butter, fat and oil</t>
  </si>
  <si>
    <t>Cocoa: powder, not containing added sugar or other sweetening matter</t>
  </si>
  <si>
    <t>Cocoa: powder, containing added sugar or other sweetening matter</t>
  </si>
  <si>
    <t>Chocolate &amp; other food preparations containing cocoa: in blocks, slabs or bars weighing more than 2kg or in liquid, paste, powder, granular or other bulk form in containers or immediate packings, content exceeding 2kg</t>
  </si>
  <si>
    <t>Chocolate and other food preparations containing cocoa: in blocks, slabs or bars, filled, weighing 2kg or less</t>
  </si>
  <si>
    <t>Chocolate and other food preparations containing cocoa: in blocks, slabs or bars, (not filled), weighing 2kg or less</t>
  </si>
  <si>
    <t>Chocolate and other food preparations containing cocoa: n.e.c. in chapter 18</t>
  </si>
  <si>
    <t>Food preparations: of flour, meal, starch, malt extract or milk products, for infant use, put up for retail sale</t>
  </si>
  <si>
    <t>Food preparations: mixes and doughs for the preparation of bread, pastry, cakes, biscuits and other bakers' wares</t>
  </si>
  <si>
    <t>Food preparations: of flour, meal, starch, malt extract or milk products, for uses n.e.c. in heading no. 1901</t>
  </si>
  <si>
    <t>Food preparations: pasta, containing eggs, uncooked, not stuffed or otherwise prepared</t>
  </si>
  <si>
    <t>Food preparations: pasta, uncooked (excluding that containing eggs), not stuffed or otherwise prepared</t>
  </si>
  <si>
    <t>Food preparations: pasta, stuffed (with meat or other substances), whether or not cooked or otherwise prepared</t>
  </si>
  <si>
    <t>Food preparations: pasta (excluding stuffed), cooked or otherwise prepared</t>
  </si>
  <si>
    <t>Food preparations: couscous</t>
  </si>
  <si>
    <t>Food preparations: tapioca and substitutes thereof, prepared from starch in the form of flakes, grains, pearls, siftings or similar</t>
  </si>
  <si>
    <t>Food preparations: obtained by the swelling or roasting of cereals or cereal products</t>
  </si>
  <si>
    <t>Food preparations: obtained from unroasted cereal flakes or from mixtures of unroasted cereal flakes and roasted cereal flakes or swelled cereals</t>
  </si>
  <si>
    <t>Prepared foods obtained by the swelling or roasting of cereals or cereal products (egg corn flakes): cereals, not maize (corn), in grain form or in the form of flakes or other worked grains, from bulgur wheat</t>
  </si>
  <si>
    <t>Food preparations: cereal or cereal products (excluding maize), in grain form, pre-cooked or otherwise prepared</t>
  </si>
  <si>
    <t>Food preparations: crispbread, whether or not containing cocoa</t>
  </si>
  <si>
    <t>Food preparations: gingerbread and the like, whether or not containing cocoa</t>
  </si>
  <si>
    <t>Food preparations: sweet biscuits, whether or not containing cocoa</t>
  </si>
  <si>
    <t>Food preparations: waffles and wafers, whether or not containing cocoa</t>
  </si>
  <si>
    <t>Food preparations: rusks, toasted bread and similar toasted products, whether or not containing cocoa</t>
  </si>
  <si>
    <t>Food preparations: bakers' wares n.e.c. in heading no. 1605, whether or not containing cocoa: communion wafers, empty cachets suitable for pharmaceutical use, sealing wafers, rice papers and similar products</t>
  </si>
  <si>
    <t>Vegetable preparations: cucumbers and gherkins, prepared or preserved by vinegar or acetic acid</t>
  </si>
  <si>
    <t>Vegetable preparations: vegetables, fruit, nuts and other edible parts of plants, prepared or preserved by vinegar or acetic acid (excluding cucumbers and gherkins)</t>
  </si>
  <si>
    <t>Vegetable preparations: tomatoes, whole or in pieces, prepared or preserved otherwise than by vinegar or acetic acid</t>
  </si>
  <si>
    <t>Vegetable preparations: tomatoes, (other than whole or in pieces), prepared or preserved otherwise than by vinegar or acetic acid</t>
  </si>
  <si>
    <t>Vegetable preparations: mushrooms of the genus Agaricus, prepared or preserved otherwise than by vinegar or acetic acid</t>
  </si>
  <si>
    <t>Vegetable preparations: truffles, prepared or preserved otherwise than by vinegar or acetic acid</t>
  </si>
  <si>
    <t>Vegetable preparations: mushrooms other than of the genus Agaricus, prepared or preserved otherwise than by vinegar or acetic acid</t>
  </si>
  <si>
    <t>Vegetable preparations: potatoes, prepared or preserved otherwise than by vinegar or acetic acid, frozen</t>
  </si>
  <si>
    <t>Vegetable preparations: vegetables and mixtures of vegetables (excluding potatoes), prepared or preserved otherwise than by vinegar or acetic acid, frozen</t>
  </si>
  <si>
    <t>Vegetable preparations: homogenised vegetables, prepared or preserved otherwise than by vinegar or acetic acid, not frozen</t>
  </si>
  <si>
    <t>Vegetable preparations: potatoes, prepared or preserved otherwise than by vinegar or acetic acid, not frozen</t>
  </si>
  <si>
    <t>Vegetable preparations: peas (pisum sativum), prepared or preserved otherwise than by vinegar or acetic acid, not frozen</t>
  </si>
  <si>
    <t>Vegetable preparations: beans, shelled, prepared or preserved otherwise than by vinegar or acetic acid, not frozen</t>
  </si>
  <si>
    <t>Vegetable preparations: beans, (not shelled), prepared or preserved otherwise than by vinegar or acetic acid, not frozen</t>
  </si>
  <si>
    <t>Vegetable preparations: asparagus, prepared or preserved otherwise than by vinegar or acetic acid, not frozen</t>
  </si>
  <si>
    <t>Vegetable preparations: olives, prepared or preserved otherwise than by vinegar or acetic acid, not frozen</t>
  </si>
  <si>
    <t>Vegetable preparations: sweetcorn (zea mays var. saccharata), prepared or preserved otherwise than by vinegar or acetic acid, not frozen</t>
  </si>
  <si>
    <t>Vegetable preparations: bamboo shoots, prepared or preserved otherwise than by vinegar or acetic acid, not frozen</t>
  </si>
  <si>
    <t>Vegetable preparations: vegetables and mixtures of vegetables n.e.c. in heading no. 2005, prepared or preserved otherwise than by vinegar or acetic acid, not frozen</t>
  </si>
  <si>
    <t>Vegetables, fruit, nuts, fruit-peel and other parts of plants, preserved by sugar (drained, glace or crystallised)</t>
  </si>
  <si>
    <t>Jams, fruit jellies, marmalades, fruit or nut puree and fruit or nut pastes: homogenised, cooked preparations, whether or not containing added sugar or other sweetening matter</t>
  </si>
  <si>
    <t>Jams, jellies, marmalades, purees and pastes: of citrus fruit, being cooked preparations (excluding homogenised), whether or not containing added sugar or other sweetening matter</t>
  </si>
  <si>
    <t>Jams, fruit jellies, marmalades, purees and pastes: of fruit or nuts n.e.c. in heading no. 2007, cooked preparations (excluding homogenised), whether or not containing added sugar or other sweetening matter</t>
  </si>
  <si>
    <t>Nuts: ground-nuts, whether or not containing added sugar, other sweetening matter or spirit</t>
  </si>
  <si>
    <t>Nuts and other seeds: whether or not containing added sugar, other sweetening matter or spirit (excluding ground-nuts except in mixtures)</t>
  </si>
  <si>
    <t>Fruit: pineapples, prepared or preserved in ways n.e.c. in heading no. 2007, whether or not containing added sugar, other sweetening matter or spirit</t>
  </si>
  <si>
    <t>Fruit: citrus, prepared or preserved in ways n.e.c. in heading no. 2007, whether or not containing added sugar, other sweetening matter or spirit</t>
  </si>
  <si>
    <t>Fruit: pears, prepared or preserved in ways n.e.c. in heading no. 2007, whether or not containing added sugar, other sweetening matter or spirit</t>
  </si>
  <si>
    <t>Fruit: apricots, prepared or preserved in ways n.e.c. in heading no. 2007, whether or not containing added sugar, other sweetening matter or spirit</t>
  </si>
  <si>
    <t>Fruit: cherries, prepared or preserved in ways n.e.c. in heading no. 2007, whether or not containing added sugar, other sweetening matter or spirit</t>
  </si>
  <si>
    <t>Fruit: peaches, including nectarines, prepared or preserved in ways n.e.c. in heading no. 2007 and 2008, whether or not containing added sugar, other sweetening matter or spirit</t>
  </si>
  <si>
    <t>Fruit: strawberries, prepared or preserved in ways n.e.c. in heading no. 2007, whether or not containing added sugar, other sweetening matter or spirit</t>
  </si>
  <si>
    <t>Palm hearts: prepared or preserved, whether or not containing added sugar, other sweetening matter or spirit</t>
  </si>
  <si>
    <t>Fruit, nuts and other edible parts of plants: mixtures (other than those of subheading no 2008.19), prepared or preserved in ways n.e.c. in heading no. 2007 and 2008, whether or not containing added sugar, other sweetening matter or spirit, n.e.c.</t>
  </si>
  <si>
    <t>Fruit, nuts and other edible parts of plants: prepared or preserved, whether or not containing added sugar, other sweetening matter or spirit, n.e.c. in heading no. 2008</t>
  </si>
  <si>
    <t>Juice: orange, frozen, unfermented, (not containing added spirit), whether or not containing added sugar or other sweetening matter</t>
  </si>
  <si>
    <t>Juice: orange, not frozen, of a Brix value not exceeding 20, unfermented, not containing added spirit, whether or not containing added sugar or other sweetening matter</t>
  </si>
  <si>
    <t>Juice: orange, not frozen, of a Brix value exceeding 20, unfermented, not containing added spirit, whether or not containing added sugar or other sweetening matter</t>
  </si>
  <si>
    <t>Juice: grapefruit (including pomelo), of a Brix value not exceeding 20, unfermented, (not containing added spirit), whether or not containing added sugar or other sweetening matter</t>
  </si>
  <si>
    <t>Juice: grapefruit (including pomelo), of a Brix value exceeding 20, unfermented, not containing added spirit, whether or not containing added sugar or other sweetening matter</t>
  </si>
  <si>
    <t>Juice: of single citrus fruit (excluding orange or grapefruit), of a Brix value not exceeding 20, unfermented, not containing added spirit, whether or not containing added sugar or other sweetening matter</t>
  </si>
  <si>
    <t>Juice: of single citrus fruit (excluding orange or grapefruit), of a Brix value exceeding 20, unfermented, not containing added spirit, whether or not containing added sugar or other sweetening matter</t>
  </si>
  <si>
    <t>Juice: pineapple, of a Brix value not exceeding 20, unfermented, (not containing added spirit), whether or not containing added sugar or other sweetening matter</t>
  </si>
  <si>
    <t>Juice: pineapple, of a Brix value exceeding 20, unfermented, not containing added spirit, whether or not containing added sugar or other sweetening matter</t>
  </si>
  <si>
    <t>Juice: tomato, unfermented, not containing added spirit, whether or not containing added sugar or other sweetening matter</t>
  </si>
  <si>
    <t>Juice: grape, of a Brix value not exceeding 30, unfermented, (not containing added spirit), whether or not containing added sugar or other sweetening matter</t>
  </si>
  <si>
    <t>Juice: grape, of a Brix value exceeding 30, unfermented, not containing added spirit, whether or not containing added sugar or other sweetening matter</t>
  </si>
  <si>
    <t>Juice: apple, of a Brix value not exceeding 20, unfermented, (not containing added spirit), whether or not containing added sugar or other sweetening matter</t>
  </si>
  <si>
    <t>Juice: apple, of a Brix value exceeding 20, unfermented, not containing added spirit, whether or not containing added sugar or other sweetening matter</t>
  </si>
  <si>
    <t>Juice: of any single fruit or vegetable n.e.c. in heading no. 2009, unfermented, not containing added spirit, whether or not containing added sugar or other sweetening matter</t>
  </si>
  <si>
    <t>Juices: mixtures, unfermented, not containing added spirit, whether or not containing added sugar or other sweetening matter</t>
  </si>
  <si>
    <t>Extracts, essences and concentrates: of coffee, and preparations with a basis of these extracts, essences or concentrates or with a basis of coffee</t>
  </si>
  <si>
    <t>Preparations with a basis of extracts, essences or concentrates or with a basis of coffee</t>
  </si>
  <si>
    <t>Extracts, essences and concentrates: of tea or mate, and preparations with a basis of these extracts, essences or concentrates or with a basis of tea or mate</t>
  </si>
  <si>
    <t>Chicory, roasted and other roasted coffee substitutes: extracts, essences and concentrates thereof</t>
  </si>
  <si>
    <t>Yeasts: active</t>
  </si>
  <si>
    <t>Yeasts: inactive, other single-cell micro-organisms, dead</t>
  </si>
  <si>
    <t>Baking powders: prepared</t>
  </si>
  <si>
    <t>Sauces: soya</t>
  </si>
  <si>
    <t>Sauces: tomato ketchup and other tomato sauces</t>
  </si>
  <si>
    <t>Mustard flour and meal and prepared mustard</t>
  </si>
  <si>
    <t>Sauces and preparations therefor: mixed condiments and mixed seasonings</t>
  </si>
  <si>
    <t>Soups and broths and preparations therefor</t>
  </si>
  <si>
    <t>Homogenised composite food preparations</t>
  </si>
  <si>
    <t>Ice cream and other edible ice: whether or not containing cocoa</t>
  </si>
  <si>
    <t>Protein: concentrates and textured protein substances</t>
  </si>
  <si>
    <t>Food preparations: n.e.c. in item no. 2106.10</t>
  </si>
  <si>
    <t>Waters: mineral and aerated, including natural or artificial, (not containing added sugar or other sweetening matter nor flavoured)</t>
  </si>
  <si>
    <t>Waters: other than mineral and aerated, (not containing added sugar or other sweetening matter nor flavoured), ice and snow</t>
  </si>
  <si>
    <t>Waters: including mineral and aerated, containing added sugar or other sweetening matter or flavoured</t>
  </si>
  <si>
    <t>Non-alcoholic beverages: n.e.c. in item no. 2202.10, not including fruit or vegetable juices of heading no. 2009</t>
  </si>
  <si>
    <t>Beer: made from malt</t>
  </si>
  <si>
    <t>Wine: sparkling</t>
  </si>
  <si>
    <t>Wine: still, in containers holding 2 litres or less</t>
  </si>
  <si>
    <t>Wine: still, in containers holding more than 2 litres</t>
  </si>
  <si>
    <t>Grape must: n.e.c. in heading no. 2009, n.e.c. in item no. 2204.2</t>
  </si>
  <si>
    <t>Vermouth and other wine of fresh grapes, flavoured with plants or aromatic substances, in containers holding 2 litres or less</t>
  </si>
  <si>
    <t>Vermouth and other wine of fresh grapes, flavoured with plants or aromatic substances, in containers holding more than 2 litres</t>
  </si>
  <si>
    <t>Beverages, fermented: (egg cider, perry, mead)</t>
  </si>
  <si>
    <t>Undenatured ethyl alcohol: of an alcoholic strength by volume of 80% vol. or higher</t>
  </si>
  <si>
    <t>Ethyl alcohol and other spirits: denatured, of any strength</t>
  </si>
  <si>
    <t>Spirits obtained by distilling grape wine or grape marc</t>
  </si>
  <si>
    <t>Whiskies</t>
  </si>
  <si>
    <t>Rum and other spirits obtained by distilling fermented sugar-cane products</t>
  </si>
  <si>
    <t>Gin and geneva</t>
  </si>
  <si>
    <t>Vodka</t>
  </si>
  <si>
    <t>Liqueurs and cordials</t>
  </si>
  <si>
    <t>Spirits, liqueurs and other spirituous beverages: n.e.c. in heading no. 2208</t>
  </si>
  <si>
    <t>Vinegar and substitutes for vinegar: obtained from acetic acid</t>
  </si>
  <si>
    <t>Flours, meals and pellets: of meat or meat offal, greaves</t>
  </si>
  <si>
    <t>Flours, meals and pellets: of fish or of crustaceans, molluscs or other aquatic invertebrates</t>
  </si>
  <si>
    <t>Bran, sharps and other residues: of maize (corn), whether or not in the form of pellets, derived from the sifting, milling or other workings thereof</t>
  </si>
  <si>
    <t>Bran, sharps and other residues: of wheat, whether or not in the form of pellets, derived from the sifting, milling or other workings thereof</t>
  </si>
  <si>
    <t>Bran, sharps and other residues: of other cereals, whether or not in the form of pellets, derived from the sifting, milling or other workings thereof</t>
  </si>
  <si>
    <t>Bran, sharps and other residues: of leguminous plants, whether or not in the form of pellets, derived from the sifting, milling or other workings thereof</t>
  </si>
  <si>
    <t>Residues of starch manufacture and similar residues: whether or not in the form of pellets</t>
  </si>
  <si>
    <t>Beet-pulp, bagasse and other waste of sugar manufacture: whether or not in the form of pellets</t>
  </si>
  <si>
    <t>Brewing or distilling dregs and waste: whether or not in the form of pellets</t>
  </si>
  <si>
    <t>Oil-cake and other solid residues: whether or not ground or in the form of pellets, resulting from the extraction of soya-bean oil</t>
  </si>
  <si>
    <t>Oil-cake and other solid residues: whether or not ground or in the form of pellets, resulting from the extraction of ground-nut oil</t>
  </si>
  <si>
    <t>Oil-cake and other solid residues: whether or not ground or in the form of pellets, resulting from the extraction of cotton seed oils</t>
  </si>
  <si>
    <t>Oil-cake and other solid residues: whether or not ground or in the form of pellets, resulting from the extraction of linseed oils</t>
  </si>
  <si>
    <t>Oil-cake and other solid residues: whether or not ground or in the form of pellets, resulting from the extraction of sunflower seed oils</t>
  </si>
  <si>
    <t>Oil-cake and other solid residues: whether or not ground or in the form of pellets, resulting from the extraction of low erucic acid rape or colza seed oils</t>
  </si>
  <si>
    <t>Oil-cake and other solid residues: whether or not ground or in the form of pellets, resulting from the extraction of rape seed oils (other than low erucic acid rape or colza)</t>
  </si>
  <si>
    <t>Oil-cake and other solid residues: whether or not ground or in the form of pellets, resulting from the extraction of coconut or copra seed oils</t>
  </si>
  <si>
    <t>Oil-cake and other solid residues: whether or not ground or in the form of pellets, resulting from the extraction of palm nuts or kernels oils</t>
  </si>
  <si>
    <t>Oil-cake and other solid residues: whether or not ground or in the form of pellets, resulting from the extraction of oils, n.e.c. in heading no. 2306</t>
  </si>
  <si>
    <t>Wine lees: argol</t>
  </si>
  <si>
    <t>Vegetable materials and vegetable waste, vegetable residues and by-products: whether or not in the form of pellets, of a kind used in animal feeding, not elsewhere specified or included</t>
  </si>
  <si>
    <t>Dog or cat food: put up for retail sale, used in animal feeding</t>
  </si>
  <si>
    <t>Dog or cat food: (not put up for retail sale), used in animal feeding</t>
  </si>
  <si>
    <t>Tobacco, (not stemmed or stripped)</t>
  </si>
  <si>
    <t>Tobacco: partly or wholly stemmed or stripped</t>
  </si>
  <si>
    <t>Tobacco refuse</t>
  </si>
  <si>
    <t>Cigars, cheroots and cigarillos: containing tobacco including the weight of every band, wrapper or attachment thereto</t>
  </si>
  <si>
    <t>Cigarettes: containing tobacco</t>
  </si>
  <si>
    <t>Cigars, cigarillos and cheroots: containing tobacco substitutes including the weight of every band, wrapper or attachment thereto</t>
  </si>
  <si>
    <t>Tobacco, smoking: whether or not containing tobacco substitutes in any proportion</t>
  </si>
  <si>
    <t>Tobacco: homogenised or reconstituted</t>
  </si>
  <si>
    <t>Tobacco: other than homogenised or reconstituted or smoking</t>
  </si>
  <si>
    <t>Salt (including table salt and denatured salt): pure sodium chloride whether or not in aqueous solution: sea water</t>
  </si>
  <si>
    <t>Iron pyrites: unroasted</t>
  </si>
  <si>
    <t>Sulphur of all kinds: other than sublimed, precipitated and colloidal sulphur</t>
  </si>
  <si>
    <t>Graphite: natural, in powder or in flakes</t>
  </si>
  <si>
    <t>Graphite: natural, in other forms, excluding powder or flakes</t>
  </si>
  <si>
    <t>Sands: natural, silica and quartz sands, whether or not coloured</t>
  </si>
  <si>
    <t>Sands: natural, (other than silica and quartz sands), whether or not coloured, (other than metal-bearing sands of chapter 26)</t>
  </si>
  <si>
    <t>Quartz: other than natural sands</t>
  </si>
  <si>
    <t>Quartzite: whether or not roughly trimmed or merely cut, by sawing or otherwise, into blocks or slabs of a rectangular (including square) shape</t>
  </si>
  <si>
    <t>Kaolin and other kaolinic clays: whether or not calcined</t>
  </si>
  <si>
    <t>Clays (excluding expanded clays of heading no. 6806): bentonite, whether or not calcined</t>
  </si>
  <si>
    <t>Clays (excluding expanded clays of heading no. 6806): fireclay, whether or not calcined</t>
  </si>
  <si>
    <t>Clays (excluding expanded clays of heading no. 6806): n.e.c. in heading no. 2508, whether or not calcined</t>
  </si>
  <si>
    <t>Clays (excluding expanded clays of heading no. 6806): andalusite, kyanite and sillimanite, whether or not calcined</t>
  </si>
  <si>
    <t>Clays (excluding expanded clays of heading no. 6806): mullite</t>
  </si>
  <si>
    <t>Clays (excluding expanded clays of heading no. 6806): chamotte or dinas earths</t>
  </si>
  <si>
    <t>Chalk</t>
  </si>
  <si>
    <t>Natural calcium phosphates, natural aluminium calcium phosphates and phosphatic chalk: unground</t>
  </si>
  <si>
    <t>Natural calcium phosphates, natural aluminium calcium phosphates and phosphatic chalk: ground</t>
  </si>
  <si>
    <t>Barium sulphate (barytes): natural</t>
  </si>
  <si>
    <t>Barium carbonate (witherite): natural, whether or not calcined, other than barium oxide of heading no. 2816</t>
  </si>
  <si>
    <t>Siliceous fossil meals (egg kieselguhr, tripolite and diatomite) and similar siliceous earths: whether or not calcined, of an apparent specific gravity of 1 or less</t>
  </si>
  <si>
    <t>Pumice stone, whether or not heat treated</t>
  </si>
  <si>
    <t>Emery, natural corundum, natural garnet and other natural abrasives, whether or not heat-treated</t>
  </si>
  <si>
    <t>Slate: whether or not roughly trimmed or merely cut, by sawing or otherwise, into blocks or slabs of a rectangular (including square) shape</t>
  </si>
  <si>
    <t>Marble and travertine: having a specific gravity of 2.5 or more, crude or roughly trimmed by sawing or otherwise, into blocks or slabs of a rectangular (including square) shape</t>
  </si>
  <si>
    <t>Marble and travertine: merely cut, by sawing or otherwise, into blocks or slabs of a rectangular (including square) shape, having a specific gravity of 2.5 or more</t>
  </si>
  <si>
    <t>Ecaussine and other calcareous monumental or building stone: alabaster, having a specific gravity of 2.5 or more</t>
  </si>
  <si>
    <t>Granite: crude or roughly trimmed</t>
  </si>
  <si>
    <t>Granite: merely cut, by sawing or otherwise, into blocks or slabs of a rectangular (including square) shape</t>
  </si>
  <si>
    <t>Sandstone:. whether or not roughly trimmed, cut, by sawing etc, into blocks or slabs of a rectangular (including square) shape</t>
  </si>
  <si>
    <t>Monumental or building stone: n.e.c. in heading no. 2516, whether or not roughly trimmed or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</si>
  <si>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t>
  </si>
  <si>
    <t>Macadam of slag, dross or similar industrial waste: whether or not incorporating the materials in item no. 2517.10</t>
  </si>
  <si>
    <t>Tarred macadam</t>
  </si>
  <si>
    <t>Stones: of marble, in granules, chippings and powder, whether or not heat-treated</t>
  </si>
  <si>
    <t>Stones: of heading no. 2515 or 2516 (excluding marble), in granules, chippings and powder, whether or not heat-treated</t>
  </si>
  <si>
    <t>Dolomite, not calcined or sintered: including dolomite roughly trimmed, or merely cut by sawing or otherwise into blocks or slabs of rectangular (including square) shape</t>
  </si>
  <si>
    <t>Dolomite, calcined or sintered: including dolomite roughly trimmed, or merely cut by sawing or otherwise into blocks or slabs of rectangular (including square) shape</t>
  </si>
  <si>
    <t>Dolomite ramming mix</t>
  </si>
  <si>
    <t>Magnesium carbonate (magnesite): natural</t>
  </si>
  <si>
    <t>Magnesia, fused or dead-burned (sintered): whether or not containing small quantities of other oxides added before sintering, other magnesium oxide, whether or not pure, (not natural magnesium carbonate)</t>
  </si>
  <si>
    <t>Gypsum: anhydrite</t>
  </si>
  <si>
    <t>Plasters: (consisting of calcined gypsum or calcium sulphate), whether or not coloured, with or without small quantities of accelerators or retarders</t>
  </si>
  <si>
    <t>Limestone flux: limestone and other calcareous stone, of a kind used for the manufacture of lime or cement</t>
  </si>
  <si>
    <t>Quicklime: excluding calcium oxide and hydroxide of heading no. 2825</t>
  </si>
  <si>
    <t>Slaked lime: excluding calcium oxide and hydroxide of heading no. 2825</t>
  </si>
  <si>
    <t>Hydraulic lime: excluding calcium oxide and hydroxide of heading no. 2825</t>
  </si>
  <si>
    <t>Cement clinkers (whether or not coloured)</t>
  </si>
  <si>
    <t>Cement: portland, white, whether or not artificially coloured</t>
  </si>
  <si>
    <t>Cement: portland, other than white, whether or not artificially coloured</t>
  </si>
  <si>
    <t>Cement: aluminous (ciment fondu), whether or not coloured or in the form of clinkers</t>
  </si>
  <si>
    <t>Cement: hydraulic kinds n.e.c. in heading no. 2523</t>
  </si>
  <si>
    <t>Asbestos: crocidolite (blue asbestos)</t>
  </si>
  <si>
    <t>Asbestos: other than crocidolite (blue asbestos)</t>
  </si>
  <si>
    <t>Mica: crude and rifted into sheets or splittings</t>
  </si>
  <si>
    <t>Mica: powder</t>
  </si>
  <si>
    <t>Mica: waste</t>
  </si>
  <si>
    <t>Steatite: natural, (not crushed or powdered), whether or not roughly trimmed or merely cut, by sawing or otherwise, into blocks or slabs of a rectangular (including square) shape: talc</t>
  </si>
  <si>
    <t>Steatite: natural, crushed, powdered, whether or not roughly trimmed or merely cut, by sawing or otherwise, into blocks or slabs of a rectangular (including square) shape: talc</t>
  </si>
  <si>
    <t>Sodium borates: natural, whether or not calcined</t>
  </si>
  <si>
    <t>Borates: natural, and concentrates thereof, n.e.c. in heading no. 2528, excluding borates separated from natural brine: natural boric acid containing not more than 85% of H3Bo3 calculated on the dry weight</t>
  </si>
  <si>
    <t>Feldspar</t>
  </si>
  <si>
    <t>Fluorspar: containing by weight 97% or less of calcium fluoride</t>
  </si>
  <si>
    <t>Fluorspar: containing by weight more than 97% of calcium fluoride</t>
  </si>
  <si>
    <t>Leucite: nepheline and nepheline syenite</t>
  </si>
  <si>
    <t>Vermiculite, perlite and chlorites: unexpanded</t>
  </si>
  <si>
    <t>Kieserite, epsomite (natural magnesium sulphates)</t>
  </si>
  <si>
    <t>Mineral substances: n.e.c. in chapter 25</t>
  </si>
  <si>
    <t>Iron ores and concentrates: non-agglomerated</t>
  </si>
  <si>
    <t>Iron ores and concentrates: agglomerated (excluding roasted iron pyrites)</t>
  </si>
  <si>
    <t>Iron pyrites: roasted</t>
  </si>
  <si>
    <t>Manganese ores and concentrates, including ferruginous manganese ores and concentrates with a manganese content of 20% or more, calculated on the dry weight</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</si>
  <si>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</si>
  <si>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</si>
  <si>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</si>
  <si>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</si>
  <si>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</si>
  <si>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</si>
  <si>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</si>
  <si>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</si>
  <si>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</si>
  <si>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ores and concentrates</t>
  </si>
  <si>
    <t>Thorium ores and concentrates</t>
  </si>
  <si>
    <t>Molybdenum ores and concentrates: roasted</t>
  </si>
  <si>
    <t>Molybdenum ores and concentrates: other than roasted</t>
  </si>
  <si>
    <t>Titanium ores and concentrates</t>
  </si>
  <si>
    <t>Zirconium ores and concentrates</t>
  </si>
  <si>
    <t>Niobium, tantalum, vanadium ores and concentrates</t>
  </si>
  <si>
    <t>Silver ores and concentrates</t>
  </si>
  <si>
    <t>Precious metal ores and concentrates: (excluding silver)</t>
  </si>
  <si>
    <t>Antimony ores and concentrates</t>
  </si>
  <si>
    <t>Ores and concentrates n.e.c. in chapter 26: other than antimony</t>
  </si>
  <si>
    <t>Slag, granulated (slag sand): from the manufacture or iron or steel</t>
  </si>
  <si>
    <t>Slag, dross: (other than granulated slag), scalings and other waste from the manufacture of iron or steel</t>
  </si>
  <si>
    <t>Slag, ash and residues: (not from the manufacture of iron or steel), containing mainly zinc, hard zinc spelter</t>
  </si>
  <si>
    <t>Slag, ash and residues: (not from the manufacture of iron or steel), containing mainly zinc, other than hard zinc spelter</t>
  </si>
  <si>
    <t>Slag, ash and residues: (not from the manufacture of iron or steel), containing mainly lead: leaded gasoline sludges and leaded anti-knock compound sludges</t>
  </si>
  <si>
    <t>Slag, ash and residues: (not from the manufacture of iron or steel), containing mainly lead: excluding leaded gasoline sludges and leaded anti-knock compound sludges</t>
  </si>
  <si>
    <t>Slag, ash and residues: (not from the manufacture of iron or steel), containing mainly copper</t>
  </si>
  <si>
    <t>Slag, ash and residues: (not from the manufacture of iron or steel), containing mainly aluminium</t>
  </si>
  <si>
    <t>Slag, ash and residues: (not from the manufacture of iron or steel), containing arsenic, mercury, thallium or their mixtures, of a kind used for the extraction of arsenic or those metals or for the manufacture of their chemical compounds</t>
  </si>
  <si>
    <t>Slag, ash and residues: (not from the manufacture of iron or steel), containing antimony, beryllium, cadmium, chromium or their mixtures</t>
  </si>
  <si>
    <t>Slag, ash and residues: (not from the manufacture of iron or steel), containing mainly metals or their compounds, n.e.c. in heading no. 2620</t>
  </si>
  <si>
    <t>Slag and ash: ash and residues from the incineration of municipal waste</t>
  </si>
  <si>
    <t>Slag and ash n.e.c. in chapter 26: including seaweed ash (kelp) but excluding ash and residues from the incineration of municipal waste</t>
  </si>
  <si>
    <t>Coal: anthracite, whether or not pulverised, but not agglomerated</t>
  </si>
  <si>
    <t>Coal: bituminous, whether or not pulverised, but not agglomerated</t>
  </si>
  <si>
    <t>Coal: (other than anthracite and bituminous), whether or not pulverised but not agglomerated</t>
  </si>
  <si>
    <t>Briquettes, ovoids and similar solid fuels: manufactured from coal</t>
  </si>
  <si>
    <t>Lignite: whether or not pulverised, but not agglomerated, excluding jet</t>
  </si>
  <si>
    <t>Lignite: agglomerated, excluding jet</t>
  </si>
  <si>
    <t>Peat: (including peat litter), whether or not agglomerated</t>
  </si>
  <si>
    <t>Coke and semi-coke: of coal, lignite or peat, whether or not agglomerated: retort carbon</t>
  </si>
  <si>
    <t>Gases: coal, water, producer and similar gases (excluding petroleum and other gaseous hydrocarbons)</t>
  </si>
  <si>
    <t>Tar: distilled from coal, lignite or peat, and other mineral tars, whether or not dehydrated or partially distilled, including reconstituted tars</t>
  </si>
  <si>
    <t>Oils and products of the distillation of high temperature coal tar: benzol (benzene)</t>
  </si>
  <si>
    <t>Oils and products of the distillation of high temperature coal tar: toluol (toluene)</t>
  </si>
  <si>
    <t>Oils and products of the distillation of high temperature coal tar: xylol (xylenes)</t>
  </si>
  <si>
    <t>Oils and products of the distillation of high temperature coal tar: naphthalene</t>
  </si>
  <si>
    <t>Aromatic hydrocarbon mixtures: n.e.c. in heading no. 2707, of which 65% or more by volume (including losses) distils at 250 degrees celsius by the ASTM D 86 method</t>
  </si>
  <si>
    <t>Oils and other products of the distillation of high temperature coal tar: creosote oils</t>
  </si>
  <si>
    <t>Oils and other products of the distillation of high temperature coal tar: n.e.c. in heading no. 2707</t>
  </si>
  <si>
    <t>Pitch: obtained from coal tar or from other mineral tars</t>
  </si>
  <si>
    <t>Pitch coke: obtained from coal tar or from other mineral tars</t>
  </si>
  <si>
    <t>Oils: petroleum oils and oils obtained from bituminous minerals, crude</t>
  </si>
  <si>
    <t>Petroleum oils and oils from bituminous minerals, not crude: preparations n.e.c. containing by weight 70% or more of petroleum oils or oils from bituminous minerals: these being the basic constituents of the preparations: waste oils</t>
  </si>
  <si>
    <t>Petroleum gases and other gaseous hydrocarbons: liquefied, natural gas</t>
  </si>
  <si>
    <t>Petroleum gases and other gaseous hydrocarbons: liquefied, propane</t>
  </si>
  <si>
    <t>Petroleum gases and other gaseous hydrocarbons: liquefied, butanes</t>
  </si>
  <si>
    <t>Petroleum gases and other gaseous hydrocarbons: liquefied, ethylene, propylene, butylene and butadiene</t>
  </si>
  <si>
    <t>Petroleum gases and other gaseous hydrocarbons: liquefied, n.e.c. in heading no. 2711</t>
  </si>
  <si>
    <t>Petroleum gases and other gaseous hydrocarbons: in gaseous state, natural gas</t>
  </si>
  <si>
    <t>Petroleum gases and other gaseous hydrocarbons: in gaseous state, other than natural gas</t>
  </si>
  <si>
    <t>Petroleum jelly</t>
  </si>
  <si>
    <t>Paraffin wax: containing by weight less than 0.75% of oil, obtained by synthesis or by other processes, whether or not coloured</t>
  </si>
  <si>
    <t>Paraffin wax: containing by weight 0.75% or more of oil, obtained by synthesis or by other processes, whether or not coloured</t>
  </si>
  <si>
    <t>Petroleum coke: (not calcined), obtained from bituminous minerals</t>
  </si>
  <si>
    <t>Petroleum coke: calcined, obtained from bituminous minerals</t>
  </si>
  <si>
    <t>Petroleum bitumen: obtained from bituminous minerals</t>
  </si>
  <si>
    <t>Residues: of petroleum oils or of oils obtained from bituminous minerals</t>
  </si>
  <si>
    <t>Bituminous or oil shale and tar sands</t>
  </si>
  <si>
    <t>Bitumen and asphalt, natural: asphaltites and asphaltic rock</t>
  </si>
  <si>
    <t>Bituminous mixtures based on natural asphalt, on natural bitumen, on petroleum bitumen, on mineral tar or on mineral tar pitch (egg bituminous mastics, cut-backs)</t>
  </si>
  <si>
    <t>Electrical energy</t>
  </si>
  <si>
    <t>Chlorine</t>
  </si>
  <si>
    <t>Iodine</t>
  </si>
  <si>
    <t>Fluorine: bromine</t>
  </si>
  <si>
    <t>Sulphur: sublimed or precipitated, colloidal sulphur</t>
  </si>
  <si>
    <t>Carbon: carbon blacks and other forms of carbon n.e.c.</t>
  </si>
  <si>
    <t>Hydrogen</t>
  </si>
  <si>
    <t>Gases, rare: argon</t>
  </si>
  <si>
    <t>Gases, rare: other than argon</t>
  </si>
  <si>
    <t>Nitrogen</t>
  </si>
  <si>
    <t>Oxygen</t>
  </si>
  <si>
    <t>Boron: tellurium</t>
  </si>
  <si>
    <t>Silicon: containing by weight not less than 99.99% of silicon</t>
  </si>
  <si>
    <t>Silicon: containing by weight less than 99.99% of silicon</t>
  </si>
  <si>
    <t>Phosphorus</t>
  </si>
  <si>
    <t>Arsenic</t>
  </si>
  <si>
    <t>Selenium</t>
  </si>
  <si>
    <t>Alkali or alkali-earth metals: sodium</t>
  </si>
  <si>
    <t>Alkali or alkali-earth metals: calcium</t>
  </si>
  <si>
    <t>Alkali or alkali-earth metals: other than sodium and calcium</t>
  </si>
  <si>
    <t>Earth-metals, rare: scandium and yttrium, whether or not intermixed or interalloyed</t>
  </si>
  <si>
    <t>Mercury</t>
  </si>
  <si>
    <t>Hydrogen chloride (hydrochloric acid)</t>
  </si>
  <si>
    <t>Chlorosulphuric acid</t>
  </si>
  <si>
    <t>Sulphuric acid: oleum</t>
  </si>
  <si>
    <t>Nitric acid: sulphonitric acids</t>
  </si>
  <si>
    <t>Diphosphorus pentoxide</t>
  </si>
  <si>
    <t>Phosphoric acid and polyphosphoric acids</t>
  </si>
  <si>
    <t>Oxides of boron: boric acids</t>
  </si>
  <si>
    <t>Hydrogen fluoride (hydrofluoric acid)</t>
  </si>
  <si>
    <t>Inorganic acids: other than hydrogen fluoride</t>
  </si>
  <si>
    <t>Carbon dioxide</t>
  </si>
  <si>
    <t>Silicon dioxide</t>
  </si>
  <si>
    <t>Inorganic oxygen compounds: of non-metals, n.e.c. in item no. 2811.2</t>
  </si>
  <si>
    <t>Chlorides and chloride oxides</t>
  </si>
  <si>
    <t>Halides and halide oxides of non-metals: excluding chloride</t>
  </si>
  <si>
    <t>Carbon disulphide</t>
  </si>
  <si>
    <t>Sulphides of non-metals, (excluding carbon): commercial phosphorus trisulphide</t>
  </si>
  <si>
    <t>Ammonia: anhydrous</t>
  </si>
  <si>
    <t>Ammonia: in aqueous solution</t>
  </si>
  <si>
    <t>Sodium hydroxide (caustic soda): solid</t>
  </si>
  <si>
    <t>Sodium hydroxide (caustic soda): in aqueous solution (soda lye or liquid soda)</t>
  </si>
  <si>
    <t>Potassium hydroxide (caustic potash)</t>
  </si>
  <si>
    <t>Peroxides of sodium or potassium</t>
  </si>
  <si>
    <t>Hydroxide and peroxide of magnesium</t>
  </si>
  <si>
    <t>Oxides, hydroxides and peroxides, of strontium or barium</t>
  </si>
  <si>
    <t>Zinc: oxide and peroxide</t>
  </si>
  <si>
    <t>Aluminium oxide: artificial corundum</t>
  </si>
  <si>
    <t>Aluminium oxide: other than artificial corundum</t>
  </si>
  <si>
    <t>Aluminium hydroxide</t>
  </si>
  <si>
    <t>Chromium trioxide</t>
  </si>
  <si>
    <t>Chromium oxides and hydroxides: excluding chromium trioxide</t>
  </si>
  <si>
    <t>Manganese dioxide</t>
  </si>
  <si>
    <t>Manganese oxides: excluding manganese dioxide</t>
  </si>
  <si>
    <t>Iron oxides and hydroxides</t>
  </si>
  <si>
    <t>Earth colours: containing 70% or more by weight of combined iron evaluated as Fe2o3</t>
  </si>
  <si>
    <t>Cobalt oxides and hydroxides: commercial cobalt oxides</t>
  </si>
  <si>
    <t>Titanium oxides</t>
  </si>
  <si>
    <t>Lead: lead monoxide (litharge, massicot)</t>
  </si>
  <si>
    <t>Lead oxides: n.e.c. in heading no. 2824</t>
  </si>
  <si>
    <t>Hydrazine and hydroxylamine and their inorganic salts</t>
  </si>
  <si>
    <t>Lithium oxide and hydroxide</t>
  </si>
  <si>
    <t>Vanadium oxides and hydroxides</t>
  </si>
  <si>
    <t>Nickel oxides and hydroxides</t>
  </si>
  <si>
    <t>Copper oxides and hydroxides</t>
  </si>
  <si>
    <t>Germanium oxides and zirconium dioxide</t>
  </si>
  <si>
    <t>Molybdenum oxides and hydroxides</t>
  </si>
  <si>
    <t>Antimony oxides</t>
  </si>
  <si>
    <t>Inorganic bases, metal oxides, hydroxides and peroxides: n.e.c. in heading no. 2825</t>
  </si>
  <si>
    <t>Fluorides: of aluminium</t>
  </si>
  <si>
    <t>Fluorides: other than of aluminium</t>
  </si>
  <si>
    <t>Sodium hexafluoroaluminate (synthetic cryolite)</t>
  </si>
  <si>
    <t>Fluorides: fluorosilicates, fluoroaluminates and other complex fluorine salts, n.e.c. in heading no. 2826</t>
  </si>
  <si>
    <t>Chlorides: of ammonium</t>
  </si>
  <si>
    <t>Chlorides: of calcium</t>
  </si>
  <si>
    <t>Chlorides: of magnesium</t>
  </si>
  <si>
    <t>Chlorides: of aluminium</t>
  </si>
  <si>
    <t>Chlorides: of nickel</t>
  </si>
  <si>
    <t>Chlorides: other than of ammonium, calcium, magnesium, aluminium and nickel</t>
  </si>
  <si>
    <t>Chloride oxides and chloride hydroxides: of copper</t>
  </si>
  <si>
    <t>Chloride oxides and chloride hydroxides: other than of copper</t>
  </si>
  <si>
    <t>Bromides: of sodium or of potassium</t>
  </si>
  <si>
    <t>Bromides and bromide oxides: other than item no. 2827.51</t>
  </si>
  <si>
    <t>Iodides and iodide oxides</t>
  </si>
  <si>
    <t>Hypochlorites: commercial calcium hypochlorite and other calcium hypochlorites</t>
  </si>
  <si>
    <t>Hypochlorites: n.e.c. in heading no. 2828</t>
  </si>
  <si>
    <t>Chlorates: of sodium</t>
  </si>
  <si>
    <t>Chlorates: other than sodium</t>
  </si>
  <si>
    <t>Perchlorates: bromates and perbromates: iodates and periodates</t>
  </si>
  <si>
    <t>Sulphides: of sodium</t>
  </si>
  <si>
    <t>Sulphides and polysulphides: n.e.c. in heading no. 2830</t>
  </si>
  <si>
    <t>Dithionites and sulphoxylates: of sodium</t>
  </si>
  <si>
    <t>Dithionites and sulphoxylates: other than sodium</t>
  </si>
  <si>
    <t>Sulphites: of sodium</t>
  </si>
  <si>
    <t>Sulphites: other than of sodium</t>
  </si>
  <si>
    <t>Thiosulphates</t>
  </si>
  <si>
    <t>Sodium sulphates: disodium sulphate</t>
  </si>
  <si>
    <t>Sodium sulphates: other than disodium sulphate</t>
  </si>
  <si>
    <t>Sulphates: of magnesium</t>
  </si>
  <si>
    <t>Sulphates: of aluminium</t>
  </si>
  <si>
    <t>Sulphates: of nickel</t>
  </si>
  <si>
    <t>Sulphates: of copper</t>
  </si>
  <si>
    <t>Sulphates: of barium</t>
  </si>
  <si>
    <t>Sulphates: n.e.c. in item no. 2833.2</t>
  </si>
  <si>
    <t>Alums</t>
  </si>
  <si>
    <t>Peroxosulphates (persulphates)</t>
  </si>
  <si>
    <t>Nitrites</t>
  </si>
  <si>
    <t>Nitrates: of potassium</t>
  </si>
  <si>
    <t>Nitrates: of other than potassium</t>
  </si>
  <si>
    <t>Phosphinates (hypophosphites) and phosphonates (phosphites)</t>
  </si>
  <si>
    <t>Phosphates: of mono- or disodium</t>
  </si>
  <si>
    <t>Phosphates: of potassium</t>
  </si>
  <si>
    <t>Phosphates: calcium hydrogenorthophosphate (dicalcium phosphate)</t>
  </si>
  <si>
    <t>Phosphates: of calcium n.e.c. in item no. 2835.25</t>
  </si>
  <si>
    <t>Phosphates: (other than of mono- or disodium, other than of potassium or of calcium hydrogenorthophosphate (dicalcium phosphate) and excluding other phosphates of calcium)</t>
  </si>
  <si>
    <t>Polyphosphates: sodium triphosphate (sodium tripolyphosphate)</t>
  </si>
  <si>
    <t>Polyphosphates: other than sodium triphosphate (sodium tripolyphosphate)</t>
  </si>
  <si>
    <t>Carbonates: disodium carbonate</t>
  </si>
  <si>
    <t>Carbonates: sodium hydrogencarbonate (sodium bicarbonate)</t>
  </si>
  <si>
    <t>Carbonates: potassium carbonate</t>
  </si>
  <si>
    <t>Carbonates: calcium carbonate</t>
  </si>
  <si>
    <t>Carbonates: barium carbonate</t>
  </si>
  <si>
    <t>Carbonates: lithium carbonate</t>
  </si>
  <si>
    <t>Carbonates: strontium carbonate</t>
  </si>
  <si>
    <t>Carbonates: n.e.c. in heading no. 2836 and other than lithium or strontium</t>
  </si>
  <si>
    <t>Cyanides and cyanide oxides: of sodium</t>
  </si>
  <si>
    <t>Cyanides and cyanide oxides: other than of sodium</t>
  </si>
  <si>
    <t>Complex cyanides</t>
  </si>
  <si>
    <t>Silicates: sodium metasilicates</t>
  </si>
  <si>
    <t>Silicates: of sodium (excluding sodium metasilicates)</t>
  </si>
  <si>
    <t>Silicates: commercial alkali metal silicates, other than of sodium</t>
  </si>
  <si>
    <t>Borates: disodium tetraborate (refined borax), anhydrous</t>
  </si>
  <si>
    <t>Borates: disodium tetraborate (refined borax), other than anhydrous</t>
  </si>
  <si>
    <t>Borates: n.e.c. in heading no. 2840</t>
  </si>
  <si>
    <t>Peroxoborates (perborates)</t>
  </si>
  <si>
    <t>Salts: sodium dichromate</t>
  </si>
  <si>
    <t>Salts: chromates, dichromates, peroxochromates: n.e.c. in heading no. 2841</t>
  </si>
  <si>
    <t>Salts: of oxometallic or peroxometallic acids, manganites, manganates and permanganates, potassium permanganate</t>
  </si>
  <si>
    <t>Salts: of oxometallic or peroxometallic acids, manganites, manganates and permanganates, other than potassium permanganate</t>
  </si>
  <si>
    <t>Salts: molybdates</t>
  </si>
  <si>
    <t>Salts: tungstates (wolframates)</t>
  </si>
  <si>
    <t>Salts of oxometallic or peroxometallic acids: n.e.c. in heading no. 2841</t>
  </si>
  <si>
    <t>Salts: double or complex silicates, including aluminosilicates, whether or not chemically defined</t>
  </si>
  <si>
    <t>Salts: of inorganic acids or peroxoacids, excluding azides, whether or not chemically defined</t>
  </si>
  <si>
    <t>Colloidal precious metals: whether or not chemically defined</t>
  </si>
  <si>
    <t>Silver compounds: silver nitrates</t>
  </si>
  <si>
    <t>Silver compounds: excluding silver nitrates</t>
  </si>
  <si>
    <t>Gold compounds</t>
  </si>
  <si>
    <t>Inorganic or organic compounds: of precious metals (excluding gold and silver), whether or not chemically defined, amalgams of precious metals</t>
  </si>
  <si>
    <t>Uranium: natural uranium and its compounds, alloys, dispersions (including cermets), ceramic products and mixtures containing natural uranium or natural uranium compounds</t>
  </si>
  <si>
    <t>Uranium: enriched in U235, plutonium, their compounds, alloys dispersions (including cermets), ceramic products and mixtures containing uranium enriched in U235, plutonium or compounds of these products</t>
  </si>
  <si>
    <t>Uranium: depleted in U235, thorium, their compounds, alloys, dispersions (including cermets), ceramic products and mixtures containing uranium depleted in U235, thorium: compounds of these products</t>
  </si>
  <si>
    <t>Radioactive elements, isotopes, compounds, n.e.c. in heading no. 2844 alloys, dispersions (including cermets), ceramic products and mixtures containing these elements, isotopes or compounds: radioactive residues</t>
  </si>
  <si>
    <t>Spent (irradiated) fuel elements (cartridges) of nuclear reactors</t>
  </si>
  <si>
    <t>Heavy water (deuterium oxide)</t>
  </si>
  <si>
    <t>Isotopes (excluding those of heading no. 2844): compounds, inorganic or organic, of such isotopes, whether or not chemically defined</t>
  </si>
  <si>
    <t>Cerium compounds</t>
  </si>
  <si>
    <t>Compounds, inorganic or organic (excluding cerium), of rare-earth metals, of yttrium, scandium or of mixtures of these metals</t>
  </si>
  <si>
    <t>Hydrogen peroxide: whether or not solidified with urea</t>
  </si>
  <si>
    <t>Phosphides: whether or not chemically defined, (excluding ferrophosphorus)</t>
  </si>
  <si>
    <t>Carbides: of calcium, whether or not chemically defined</t>
  </si>
  <si>
    <t>Carbides: of silicon, whether or not chemically defined</t>
  </si>
  <si>
    <t>Carbides: whether or not chemically defined, other than of calcium or silicon</t>
  </si>
  <si>
    <t>Hydrides, nitrides, azides, silicides and borides, whether or not chemically defined, other than compounds which are also carbides of heading no. 2849</t>
  </si>
  <si>
    <t>Compounds, inorganic or organic, of mercury, excluding amalgams</t>
  </si>
  <si>
    <t>Inorganic compounds n.e.c. (including distilled or conductivity water and water of similar purity): liquid air (rare gases removed or not): compressed air: amalgams, other than precious metal amalgams</t>
  </si>
  <si>
    <t>Acyclic hydrocarbons: saturated</t>
  </si>
  <si>
    <t>Acyclic hydrocarbons: unsaturated, ethylene</t>
  </si>
  <si>
    <t>Acyclic hydrocarbons: unsaturated, propene (propylene)</t>
  </si>
  <si>
    <t>Acyclic hydrocarbons: unsaturated, butene (butylene) and isomers thereof</t>
  </si>
  <si>
    <t>Acyclic hydrocarbons: unsaturated, buta-1,3-diene and isoprene</t>
  </si>
  <si>
    <t>Acyclic hydrocarbons: unsaturated, n.e.c. in heading no. 2901</t>
  </si>
  <si>
    <t>Cyclic hydrocarbons: cyclohexane</t>
  </si>
  <si>
    <t>Cyclic hydrocarbons: cyclanes, cyclenes and cycloterpenes, excluding cyclohexane</t>
  </si>
  <si>
    <t>Cyclic hydrocarbons: benzene</t>
  </si>
  <si>
    <t>Cyclic hydrocarbons: toluene</t>
  </si>
  <si>
    <t>Cyclic hydrocarbons: o-xylene</t>
  </si>
  <si>
    <t>Cyclic hydrocarbons: m-xylene</t>
  </si>
  <si>
    <t>Cyclic hydrocarbons: p-xylene</t>
  </si>
  <si>
    <t>Cyclic hydrocarbons: mixed xylene isomers</t>
  </si>
  <si>
    <t>Cyclic hydrocarbons: styrene</t>
  </si>
  <si>
    <t>Cyclic hydrocarbons: ethylbenzene</t>
  </si>
  <si>
    <t>Cyclic hydrocarbons: cumene</t>
  </si>
  <si>
    <t>Cyclic hydrocarbons: n.e.c. in heading no. 2902</t>
  </si>
  <si>
    <t>Saturated chlorinated derivatives of acyclic hydrocarbons: chloromethane (methyl chloride) and chloroethane (ethyl chloride)</t>
  </si>
  <si>
    <t>Saturated chlorinated derivatives of acyclic hydrocarbons: dichloromethane (methylene chloride)</t>
  </si>
  <si>
    <t>Saturated chlorinated derivatives of acyclic hydrocarbons: chloroform (trichloromethane)</t>
  </si>
  <si>
    <t>Saturated chlorinated derivatives of acyclic hydrocarbons: carbon tetrachloride</t>
  </si>
  <si>
    <t>Saturated chlorinated derivatives of acyclic hydrocarbons: ethylene dichloride (ISO) (1,2-dichloroethane)</t>
  </si>
  <si>
    <t>Saturated chlorinated derivatives of acyclic hydrocarbons: n.e.c. in item no. 2903.1</t>
  </si>
  <si>
    <t>Unsaturated chlorinated derivatives of acyclic hydrocarbons: vinyl chloride (chloroethylene)</t>
  </si>
  <si>
    <t>Unsaturated chlorinated derivatives of acyclic hydrocarbons: trichloroethylene</t>
  </si>
  <si>
    <t>Unsaturated chlorinated derivatives of acyclic hydrocarbons: tetrachloroethylene (perchloroethylene)</t>
  </si>
  <si>
    <t>Unsaturated chlorinated derivatives of acyclic hydrocarbons: n.e.c. in item no. 2903.2</t>
  </si>
  <si>
    <t>Fluorinated, brominated or iodinated derivatives of acyclic hydrocarbons: ethylene dibromide (ISO) (1,2-dibromoethane)</t>
  </si>
  <si>
    <t>Fluorinated, brominated or iodinated derivatives of acyclic hydrocarbons: other than ethylene dibromide (ISO) (1,2-dibromoethane)</t>
  </si>
  <si>
    <t>Halogenated derivatives of acyclic hydrocarbons containing two or more different halogens: trichlorofluoromethane (CFC-11)</t>
  </si>
  <si>
    <t>Halogenated derivatives of acyclic hydrocarbons containing two or more different halogens: dichlorodifluoromethane (CFC-12)</t>
  </si>
  <si>
    <t>Halogenated derivatives of acyclic hydrocarbons containing two or more different halogens: trichlorotrifluoroethanes (CFC-113)</t>
  </si>
  <si>
    <t>Halogenated derivatives of acyclic hydrocarbons containing two or more different halogens: dichlorotetrafluoroethanes and chloropentafluoroethane</t>
  </si>
  <si>
    <t>Halogenated derivatives of acyclic hydrocarbons containing two or more different halogens: perhalogenated only with fluorine and chlorine, n.e.c. in item no. 2903.4</t>
  </si>
  <si>
    <t>Halogenated derivatives of acyclic hydrocarbons containing two or more different halogens: bromochlorodifluoromethane, bromotrifluoromethane and dibromotetrafluoroethanes</t>
  </si>
  <si>
    <t>Halogenated derivatives of acyclic hydrocarbons containing two or more different halogens: perhalogenated derivatives n.e.c. in item no. 2903.41 to 2903.46</t>
  </si>
  <si>
    <t>Halogenated derivatives of acyclic hydrocarbons containing two or more different halogens: n.e.c. in item no. 2903.4</t>
  </si>
  <si>
    <t>Halogenated derivatives of cyclanic, cyclenic or cycloterpenic hydrocarbons: 1,2,3,4,5,6-hexachlorocyclohexane (HCH (ISO)), including lindane (ISO, INN)</t>
  </si>
  <si>
    <t>Halogenated derivatives of cyclanic, cyclenic or cycloterpenic hydrocarbons: aldrin (ISO), chlordane (ISO) and heptachlor (ISO)</t>
  </si>
  <si>
    <t>Halogenated derivatives of cyclanic, cyclenic, or cycloterpenic hydrocarbons: n.e.c. in item no. 2903.5</t>
  </si>
  <si>
    <t>Halogenated derivatives of aromatic hydrocarbons: chlorobenzene, o-dichlorobenzene and p-dichlorobenzene</t>
  </si>
  <si>
    <t>Halogenated derivatives of aromatic hydrocarbons: hexachlorobenzene (ISO) and DDT (ISO) (clofenotane (INN), 1,1,1-trichloro-2,2-bis(p-chlorophenyl)ethane)</t>
  </si>
  <si>
    <t>Halogenated derivatives of aromatic hydrocarbons: n.e.c. in item no. 2903.6</t>
  </si>
  <si>
    <t>Derivatives of hydrocarbons: containing only sulpho groups, their salts and ethyl esters, whether or not halogenated</t>
  </si>
  <si>
    <t>Derivatives of hydrocarbons: containing only nitro or only nitroso groups, whether or not halogenated</t>
  </si>
  <si>
    <t>Derivatives of hydrocarbons: n.e.c. in heading no. 2904, whether or not halogenated</t>
  </si>
  <si>
    <t>Alcohols: saturated monohydric, methanol (methyl alcohol)</t>
  </si>
  <si>
    <t>Alcohols: saturated monohydric, propan-1-ol (propyl alcohol) and propan-2-ol (isopropyl alcohol)</t>
  </si>
  <si>
    <t>Alcohols: saturated monohydric, butan-1-ol (n-butyl alcohol)</t>
  </si>
  <si>
    <t>Alcohols: saturated monohydric, butanols excluding item no. 2905.13</t>
  </si>
  <si>
    <t>Alcohols: saturated monohydric, octanol (octyl alcohol) and isomers thereof</t>
  </si>
  <si>
    <t>Alcohols: saturated monohydric, dodecan-1-ol (lauryl alcohol), hexadecan-1-ol (cetyl alcohol) and octadecan-1-ol (stearyl alcohol)</t>
  </si>
  <si>
    <t>Alcohols: saturated monohydric, n.e.c. in item no. 2905.1</t>
  </si>
  <si>
    <t>Alcohols: unsaturated monohydric, acyclic terpene alcohols</t>
  </si>
  <si>
    <t>Alcohols: acyclic, unsaturated monohydric, (other than acyclic terpene alcohols)</t>
  </si>
  <si>
    <t>Alcohols: acyclic, diols: ethylene glycol (ethanediol)</t>
  </si>
  <si>
    <t>Alcohols: acyclic, diols: propylene glycol (propane-1, 2-diol)</t>
  </si>
  <si>
    <t>Alcohols: acyclic, diols, other than ethylene glycol (ethandiol) or propylene glycol (propane-1,2-diol)</t>
  </si>
  <si>
    <t>Alcohols: polyhydric, 2-ethyl-2- (hydroxymethyl) propane-1,3-diol (trimethylolpropane)</t>
  </si>
  <si>
    <t>Alcohols: polyhydric, pentaerythritol</t>
  </si>
  <si>
    <t>Alcohols: polyhydric, mannitol</t>
  </si>
  <si>
    <t>Alcohols: polyhydric, d-glucitol (sorbitol)</t>
  </si>
  <si>
    <t>Alcohols: polyhydric, glycerol</t>
  </si>
  <si>
    <t>Alcohols: polyhydric, n.e.c. in item no. 2905.4</t>
  </si>
  <si>
    <t>Alcohols: acyclic: halogenated, sulphonated, nitrated or nitrosated derivatives thereof, ethchlorvynol (INN)</t>
  </si>
  <si>
    <t>Alcohols: acyclic: halogenated, sulphonated, nitrated or nitrosated derivatives thereof, other than ethchlorvynol (INN)</t>
  </si>
  <si>
    <t>Alcohols: cyclanic, cyclenic or cycloterpenic and derivatives, menthol</t>
  </si>
  <si>
    <t>Alcohols: cyclanic, cyclenic or cycloterpenic and derivatives, cyclohexanol, methylcyclohexanols and dimethylcyclohexanols</t>
  </si>
  <si>
    <t>Alcohols: cyclanic, cyclenic or cycloterpenic and derivatives, sterols and inositols</t>
  </si>
  <si>
    <t>Alcohols: cyclanic, cyclenic or cycloterpenic and derivatives, n.e.c. in item no. 2906.1</t>
  </si>
  <si>
    <t>Alcohols: aromatic alcohols and derivatives, benzyl alcohol</t>
  </si>
  <si>
    <t>Alcohols: aromatic and derivatives, other than benzyl alcohol</t>
  </si>
  <si>
    <t>Monophenols: phenol (hydroxybenzene) and its salts</t>
  </si>
  <si>
    <t>Monophenols: cresols and their salts</t>
  </si>
  <si>
    <t>Monophenols: octylphenol, nonylphenol and their isomers, salts thereof</t>
  </si>
  <si>
    <t>Monophenols: naphthols and their salts</t>
  </si>
  <si>
    <t>Monophenols: n.e.c. in item no. 2907.1</t>
  </si>
  <si>
    <t>Polyphenols: resorcinol and its salts</t>
  </si>
  <si>
    <t>Polyphenols: hydroquinone (quinol) and its salts</t>
  </si>
  <si>
    <t>Polyphenols: 4,4'-isopropylidenediphenol (bisphenol A, diphenylolpropane) and its salts</t>
  </si>
  <si>
    <t>Phenol-alcohols and polyphenols n.e.c. in item number 2907.2</t>
  </si>
  <si>
    <t>Phenol or phenol-alcohol derivatives containing only halogen substituents and their salts: pentachlorophenol (ISO)</t>
  </si>
  <si>
    <t>Phenol or phenol-alcohol derivatives containing only halogen substituents and their salts: other than pentachlorophenol (ISO)</t>
  </si>
  <si>
    <t>Phenol or phenol-alcohol derivatives (other than derivatives containing only halogen substituents and their salts): dinoseb (ISO) and its salts</t>
  </si>
  <si>
    <t>Phenol or phenol-alcohol derivatives (other than derivatives containing only halogen substituents and their salts): n.e.c. in item no. 2908</t>
  </si>
  <si>
    <t>Ethers: acyclic, and their halogenated, sulphonated, nitrated or nitrosated derivatives, diethyl ether</t>
  </si>
  <si>
    <t>Ethers: acyclic, and their halogenated, sulphonated, nitrated or nitrosated derivatives, other than diethyl ether</t>
  </si>
  <si>
    <t>Ethers: cyclanic, cyclenic or cycloterpenic and their halogenated, sulphonated, nitrated or nitrosated derivatives</t>
  </si>
  <si>
    <t>Ethers: aromatic, and their halogenated, sulphonated, nitrated or nitrosated derivatives</t>
  </si>
  <si>
    <t>Ether-alcohols and their halogenated, sulphonated, nitrated or nitrosated derivatives: 2,2-oxydiethanol (diethylene glycol, digol)</t>
  </si>
  <si>
    <t>Ether-alcohols and their halogenated, sulphonated, nitrated or nitrosated derivatives: monobutyl ethers of ethylene glycol or of diethylene glycol</t>
  </si>
  <si>
    <t>Ether-alcohols and their halogenated, sulphonated, nitrated or nitrosated derivatives: monoalkylethers of ethylene glycol or of diethylene glycol n.e.c. in heading no. 2909</t>
  </si>
  <si>
    <t>Ether-alcohols and their halogenated, sulphonated, nitrated or nitrosated derivatives: n.e.c. in item no. 2909.4</t>
  </si>
  <si>
    <t>Ether-phenols, ether-alcohol-phenols and their halogenated, sulphonated, nitrated or nitrosated derivatives</t>
  </si>
  <si>
    <t>Alcohol peroxides, ether peroxides, ketone peroxides and their halogenated, sulphonated, nitrated or nitrosated derivatives</t>
  </si>
  <si>
    <t>Epoxides, epoxyalcohols, epoxyphenols and epoxyethers: with a three-membered ring and their halogenated, sulphonated, nitrated or nitrosated derivatives: oxirane (ethylene oxide)</t>
  </si>
  <si>
    <t>Epoxides, epoxyalcohols, epoxyphenols and epoxyethers: with a three-membered ring and their halogenated, sulphonated, nitrated or nitrosated derivatives, methyloxirane (propylene oxide)</t>
  </si>
  <si>
    <t>Epoxides, epoxyalcohols, epoxyphenols and epoxyethers: with a three-membered ring and their halogenated, sulphonated, nitrated or nitrosated derivatives, 1-chloro-2,3-epoxypropane (epichlorohydrin)</t>
  </si>
  <si>
    <t>Epoxides, epoxyalcohols, epoxyphenols and epoxyethers: with a three-membered ring and their halogenated, sulphonated, nitrated or nitrosated derivatives, dieldrin (ISO, INN)</t>
  </si>
  <si>
    <t>Epoxides, epoxyalcohols, epoxyphenols and epoxyethers: with a three-membered ring and their halogenated, sulphonated, nitrated or nitrosated derivatives, n.e.c. in heading no. 2910</t>
  </si>
  <si>
    <t>Acetals and hemiacetals: whether or not with other oxygen function, and their halogenated, sulphonated, nitrated or nitrosated derivatives</t>
  </si>
  <si>
    <t>Aldehydes: acyclic, without other oxygen function, methanal (formaldehyde)</t>
  </si>
  <si>
    <t>Aldehydes: acyclic, without other oxygen function, ethanal (acetaldehyde)</t>
  </si>
  <si>
    <t>Aldehydes: acyclic, without other oxygen function, n.e.c. in item no. 2912.1</t>
  </si>
  <si>
    <t>Aldehydes: cyclic, without other oxygen function, benzaldehyde</t>
  </si>
  <si>
    <t>Aldehydes: cyclic, without other oxygen function, other than benzaldehyde</t>
  </si>
  <si>
    <t>Aldehyde-alcohols</t>
  </si>
  <si>
    <t>Aldehyde-ethers, aldehyde-phenols and aldehydes with other oxygen function: vanillin (4-hydroxy-3-methoxybenzaldehyde)</t>
  </si>
  <si>
    <t>Aldehyde-ethers, aldehyde-phenols and aldehydes with other oxygen function: ethylvanillin (3-ethoxy-4-hydroxybenzaldehyde)</t>
  </si>
  <si>
    <t>Aldehyde-ethers, aldehyde-phenols and aldehydes with other oxygen function: n.e.c. in item no. 2912.4</t>
  </si>
  <si>
    <t>Aldehydes: cyclic polymers of aldehydes</t>
  </si>
  <si>
    <t>Paraformaldehyde</t>
  </si>
  <si>
    <t>Aldehydes: halogenated, sulphonated, nitrated or nitrosated derivatives of products of heading no. 2912</t>
  </si>
  <si>
    <t>Ketones: acyclic, without other oxygen function, acetone</t>
  </si>
  <si>
    <t>Ketones: acyclic, without other oxygen function, butanone (methyl ethyl ketone)</t>
  </si>
  <si>
    <t>Ketones: acyclic, without other oxygen function, 4-methylpentan-2-one (methyl isobutyl ketone)</t>
  </si>
  <si>
    <t>Ketones: acyclic, without other oxygen function, n.e.c. in item no. 2914.1</t>
  </si>
  <si>
    <t>Ketones: cyclanic, cyclenic or cycloterpenic, without other oxygen function, camphor</t>
  </si>
  <si>
    <t>Ketones: cyclanic, cyclenic or cycloterpenic, without other oxygen function, cyclohexanone and methylcyclohexanones</t>
  </si>
  <si>
    <t>Ketones: cyclanic, cyclenic or cycloterpenic, without other oxygen function, ionones and methylionones</t>
  </si>
  <si>
    <t>Ketones: cyclanic, cyclenic or cycloterpenic, without other oxygen function, n.e.c. in item no. 2914.2</t>
  </si>
  <si>
    <t>Ketones: aromatic, (without other oxygen function), phenylacetone (phenylpropan-2-one)</t>
  </si>
  <si>
    <t>Ketones: aromatic, (without other oxygen function), excluding phenylacetone (phenylpropan-2-one)</t>
  </si>
  <si>
    <t>Ketone-alcohols and ketone-aldehydes</t>
  </si>
  <si>
    <t>Ketone-phenols and ketones with other oxygen function</t>
  </si>
  <si>
    <t>Quinones: anthraquinone</t>
  </si>
  <si>
    <t>Quinones: other than anthraquinone</t>
  </si>
  <si>
    <t>Ketones and quinones: halogenated, sulphonated, nitrated or nitrosated derivatives</t>
  </si>
  <si>
    <t>Acids: saturated acyclic monocarboxylic acids: formic acid</t>
  </si>
  <si>
    <t>Acids: saturated acyclic monocarboxylic acids: salts of formic acids</t>
  </si>
  <si>
    <t>Acids: saturated acyclic monocarboxylic acids: esters of formic acid</t>
  </si>
  <si>
    <t>Acids: saturated acyclic monocarboxylic acids: acetic acid</t>
  </si>
  <si>
    <t>Acids: saturated acyclic monocarboxylic acids: acetic anhydride</t>
  </si>
  <si>
    <t>Acids: saturated acyclic monocarboxylic acids: acetic acid and its salts n.e.c. in item no. 2915.2</t>
  </si>
  <si>
    <t>Acids: saturated acyclic monocarboxylic acids: ethyl acetate</t>
  </si>
  <si>
    <t>Acids: saturated acyclic monocarboxylic acids: vinyl acetate</t>
  </si>
  <si>
    <t>Acids: saturated acyclic monocarboxylic acids: n-butyl acetate</t>
  </si>
  <si>
    <t>Acids: saturated acyclic monocarboxylic acids: dinoseb (ISO) acetate</t>
  </si>
  <si>
    <t>Acids: saturated acyclic monocarboxylic acids: esters of acetic acid n.e.c. in item no. 2915.3</t>
  </si>
  <si>
    <t>Acids: saturated acyclic monocarboxylic acids: mono-, di- or trichloroacetic acids, their salts and esters</t>
  </si>
  <si>
    <t>Acids: saturated acyclic monocarboxylic acids: propionic acid, its salts and esters</t>
  </si>
  <si>
    <t>Acids: saturated acyclic monocarboxylic acids: butanoic acids, pentanoic acids, their salts and esters</t>
  </si>
  <si>
    <t>Acids: saturated acyclic monocarboxylic acids: palmitic acid, stearic acid, their salts and esters</t>
  </si>
  <si>
    <t>Acids: saturated acyclic monocarboxylic acids: anhydrides, halides, peroxides, peroxyacids and halogenated, sulphonated, nitrated or nitrosated derivatives, n.e.c. in heading no. 2915</t>
  </si>
  <si>
    <t>Acids: unsaturated acyclic monocarboxylic acids: acrylic acid and its salts</t>
  </si>
  <si>
    <t>Acids: unsaturated acyclic monocarboxylic acids: esters of acrylic acid</t>
  </si>
  <si>
    <t>Acids: unsaturated acyclic monocarboxylic acids: methacrylic acid and its salts</t>
  </si>
  <si>
    <t>Acids: unsaturated acyclic monocarboxylic acids: esters of methacrylic acid</t>
  </si>
  <si>
    <t>Acids: unsaturated acyclic monocarboxylic acids: oleic, linoleic or linolenic acids, their salts and esters</t>
  </si>
  <si>
    <t>Acids: unsaturated acyclic monocarboxylic acids: n.e.c. in item no. 2916.1</t>
  </si>
  <si>
    <t>Acids: cyclanic, cyclenic or cycloterpenic monocarboxylic acids, their anhydrides, halides, peroxides, peroxyacids and their derivatives</t>
  </si>
  <si>
    <t>Acids: aromatic monocarboxylic acids, benzoic acid, its salts and esters</t>
  </si>
  <si>
    <t>Acids: aromatic monocarboxylic acids, benzoyl peroxide and benzoyl chloride</t>
  </si>
  <si>
    <t>Acids: aromatic monocarboxylic acids, phenylacetic acid and its salts</t>
  </si>
  <si>
    <t>Acids: aromatic monocarboxylic acids, esters of phenylacetic acid</t>
  </si>
  <si>
    <t>Acids: aromatic monocarboxylic acids, binapacryl (ISO)</t>
  </si>
  <si>
    <t>Acids: aromatic monocarboxylic acids, n.e.c. in item no. 2916.3</t>
  </si>
  <si>
    <t>Acids: acyclic polycarboxylic acids: oxalic acid, its salts and esters</t>
  </si>
  <si>
    <t>Acids: acyclic polycarboxylic acids: adipic acid, its salts and esters</t>
  </si>
  <si>
    <t>Acids: acyclic polycarboxylic acids: azelaic acid, sebacic acid, their salts and esters</t>
  </si>
  <si>
    <t>Acids: acyclic polycarboxylic acids: maleic anhydride</t>
  </si>
  <si>
    <t>Acids: acyclic polycarboxylic acids: n.e.c. in item no. 2917.1</t>
  </si>
  <si>
    <t>Acids: cyclanic, cyclenic or cycloterpenic polycarboxylic acids, their anhydrides, halides, peroxides, peroxyacids and derivatives</t>
  </si>
  <si>
    <t>Acids: aromatic polycarboxylic acids: dioctyl orthophthalates</t>
  </si>
  <si>
    <t>Acids: aromatic polycarboxylic acids: dinonyl or didecyl orthophthalates</t>
  </si>
  <si>
    <t>Acids: aromatic polycarboxylic acids: other esters of orthophthalic acids</t>
  </si>
  <si>
    <t>Acids: aromatic polycarboxylic acids: phthalic anhydride</t>
  </si>
  <si>
    <t>Acids: aromatic polycarboxylic acids: terephthalic acid and its salts</t>
  </si>
  <si>
    <t>Acids: aromatic polycarboxylic acids: dimethyl terephthalate</t>
  </si>
  <si>
    <t>Acids: aromatic polycarboxylic acids: n.e.c. in item no. 2917.3</t>
  </si>
  <si>
    <t>Acids: carboxylic acids, (with alcohol function but without other oxygen function), lactic acid, its salts and esters</t>
  </si>
  <si>
    <t>Acids: carboxylic acids, (with alcohol function but without other oxygen function), tartaric acid</t>
  </si>
  <si>
    <t>Acids: carboxylic acids, (with alcohol function but without other oxygen function): salts and esters of tartaric acid</t>
  </si>
  <si>
    <t>Acids: carboxylic acids, (with alcohol function but without other oxygen function), citric acid</t>
  </si>
  <si>
    <t>Acids: carboxylic acids, (with alcohol function but without other oxygen function), salts and esters of citric acid</t>
  </si>
  <si>
    <t>Acids: carboxylic acids, (with alcohol function but without other oxygen function), gluconic acid, its salts and esters</t>
  </si>
  <si>
    <t>Acids: carboxylic acids, (with alcohol function but without other oxygen function), chlorobenzilate (ISO)</t>
  </si>
  <si>
    <t>Acids: carboxylic acids, (with alcohol function but without other oxygen function), other than lactic, tartaric, citric, and gluconic acids and their salts and esters</t>
  </si>
  <si>
    <t>Acids: carboxylic acids, (with phenol function but without other oxygen function), salicylic acid and its salts</t>
  </si>
  <si>
    <t>Pharma</t>
  </si>
  <si>
    <t>Ingredientes farmacéuticos activos</t>
  </si>
  <si>
    <t>Acids: carboxylic acids, (with phenol function but without other oxygen function), o-acetylsalicylic acid, its salts and esters</t>
  </si>
  <si>
    <t>Acids: carboxylic acids, (with phenol function but without other oxygen function), other esters of salicylic acid and its salts n.e.c. in item no. 2918.2</t>
  </si>
  <si>
    <t>Acids: carboxylic acids, (with phenol function but without other oxygen function), their anhydrides, halides, peroxides, peroxyacids and their derivatives, n.e.c. in item no. 2918.2</t>
  </si>
  <si>
    <t>no</t>
  </si>
  <si>
    <t>Acids: carboxylic acids, (with aldehyde or ketone function but without other oxygen function), their anhydrides, halides, peroxides, peroxyacids and their derivatives</t>
  </si>
  <si>
    <t>Acids: carboxylic acids, with additional oxygen function (not alcohol, phenol, aldehyde or ketone) and their anhydrides, halides, peroxides and peroxyacids: 2,4,5-T (ISO) (2,4,5-trichlorophenoxyacetic acid), its salts and esters</t>
  </si>
  <si>
    <t>Acids: carboxylic acids, with additional oxygen function (not alcohol, phenol, aldehyde or ketone) and their anhydrides, halides, peroxides and peroxyacids: their halogenated, sulphonated, nitrated or nitrosated derivatives: other than 2,4,5-T (ISO)</t>
  </si>
  <si>
    <t>Esters: phosphoric, and their salts, including lactophosphates, their halogenated, sulphonated, nitrated or nitrosated derivatives: tris(2,3-dibromopropyl) phosphate</t>
  </si>
  <si>
    <t>Esters: phosphoric, and their salts, including lactophosphates, their halogenated, sulphonated, nitrated or nitrosated derivatives: other than tris(2,3-dibromopropyl) phosphate</t>
  </si>
  <si>
    <t>Esters: thiophosphoric esters (phosphorothioates) and their salts, their halogenated, sulphonated, nitrated or nitrosated derivatives, parathion (ISO) and parathion-methyl (ISO) (methyl-parathion)</t>
  </si>
  <si>
    <t>Esters: thiophosphoric esters (phosphorothioates) and their salts: other than parathion (ISO) and parathion-methyl (ISO) (methyl-parathion)</t>
  </si>
  <si>
    <t>Esters: other than thiophosphoric esters (phosphorothioates) and their salts, their halogenated, sulphonated, nitrated or nitrosated derivatives</t>
  </si>
  <si>
    <t>Amine-function compounds: acyclic monoamines and their derivatives, methylamine, di- or trimethylamine and their salts</t>
  </si>
  <si>
    <t>Amine-function compounds: acyclic monoamines and their derivatives, and salts thereof, n.e.c. in item no. 2921.1</t>
  </si>
  <si>
    <t>Amine-function compounds: acyclic polyamines and their derivatives, ethylenediamine and its salts</t>
  </si>
  <si>
    <t>Amine-function compounds: acyclic polyamines and their derivatives, hexamethylenediamine and its salts</t>
  </si>
  <si>
    <t>Amine-function compounds: acyclic polyamines and their derivatives, and salts thereof, n.e.c. in item no. 2921.2</t>
  </si>
  <si>
    <t>Amine-function compounds: cyclanic, cyclenic or cycloterpenic mono- or polyamines and their derivatives: salts thereof</t>
  </si>
  <si>
    <t>Amine-function compounds: aromatic monoamines and their derivatives, aniline and its salts</t>
  </si>
  <si>
    <t>Amine-function-compounds: aromatic monoamines and their derivatives, aniline derivatives and their salts</t>
  </si>
  <si>
    <t>Amine-function compounds: aromatic monoamines and their derivatives, toluidines and their derivatives: salts thereof</t>
  </si>
  <si>
    <t>Amine-function compounds: aromatic monoamines and their derivatives, diphenylamine and its derivatives: salts thereof</t>
  </si>
  <si>
    <t>Amine-function compounds: aromatic monoamines and their derivatives: 1-naphthylamine (alpha-naphthylamine), 2-naphthylamine (beta-naphthaylamine) and their derivatives: salts thereof</t>
  </si>
  <si>
    <t>Amine-function compounds: aromatic monoamines and derivatives: amphetamine (INN), benzphetamine (INN), dexamphetamine (INN), etilamphetamine (INN), fencamfamin (INN), lefetamine (INN), levamphetamine (INN), mefenorex (INN), phentermine (INN): salts of</t>
  </si>
  <si>
    <t>Amine-function compounds: aromatic monoamines and their derivatives: salts thereof: n.e.c. in item no. 2921.4</t>
  </si>
  <si>
    <t>Amine-function compounds: aromatic amines and their derivatives: o-, m-, p-phenylenediamine, diaminotoluenes and their derivatives: salts thereof</t>
  </si>
  <si>
    <t>Amine-function compounds: aromatic polyamines and their derivatives, other than item no. 2921.51</t>
  </si>
  <si>
    <t>Amino-alcohols, other than those containing more than one kind of oxygen function: their ethers and esters: salts thereof, monoethanolamine and its salts</t>
  </si>
  <si>
    <t>Amino-alcohols, other than those containing more than one kind of oxygen function: their ethers and esters: salts thereof, diethanolamine and its salts</t>
  </si>
  <si>
    <t>Amino-alcohols, other than those containing more than one kind of oxygen function: their ethers and esters: salts thereof, triethanolamine and its salts</t>
  </si>
  <si>
    <t>Amino-alcohols, other than those containing more than one kind of oxygen function: their ethers and esters: salts thereof: dextropropoxyphene (INN) and its salts</t>
  </si>
  <si>
    <t>Amino-alcohols, other than those containing more than one kind of oxygen function, their ethers and esters: salts thereof, n.e.c. in item no. 2922.1</t>
  </si>
  <si>
    <t>Amino-naphthols and other amino-phenols, other than those containing more than one kind of oxygen function: their ethers and esters: salts thereof, aminohydroxynaphthalenesulphonic acids and their salts</t>
  </si>
  <si>
    <t>Amino-naphthols and other amino-phenols, other than those containing more than one kind of oxygen function, their ethers and esters: salts thereof n.e.c. in item no. 2922.2</t>
  </si>
  <si>
    <t>Amino-aldehydes, amino-ketones and amino-quinones: other than those containing more than one kind of oxygen function: salts thereof</t>
  </si>
  <si>
    <t>Amino-aldehydes, amino-ketones and amino-quinones: other than those containing more than one kind of oxygen function: salts thereof, excluding amfepramone (INN), methadone (INN), and normethadone (INN) and salts thereof</t>
  </si>
  <si>
    <t>Amino-acids, other than those containing more than one kind of oxygen function, and their esters: lysine and its esters: salts thereof</t>
  </si>
  <si>
    <t>Amino-acids, other than those containing more than one kind of oxygen function, and their esters: glutamic acid and its esters: salts thereof</t>
  </si>
  <si>
    <t>Amino-acids, other than those containing more than one kind of oxygen function, and their esters: anthranilic acid and its esters: salts thereof</t>
  </si>
  <si>
    <t>Amino-acids, other than those containing more than one kind of oxygen function, and their esters: tilidine (INN) and its esters: salts thereof</t>
  </si>
  <si>
    <t>Amino-acids, other than those containing more than one kind of oxygen function, their esters: salts thereof, excluding lysine, glutamic acid, anthranalic acid and tilidine, their esters and salts thereof</t>
  </si>
  <si>
    <t>Amino-alcohol-phenols, amino-acid-phenols and other amino-compounds with oxygen function</t>
  </si>
  <si>
    <t>Quaternary ammonium salts and hydroxides: choline and its salts, whether or not chemically defined</t>
  </si>
  <si>
    <t>Lecithins and other phosphoaminolipids, whether or not chemically defined</t>
  </si>
  <si>
    <t>Quaternary ammonium salts and hydroxides: whether or not chemically defined n.e.c. in heading no. 2923</t>
  </si>
  <si>
    <t>Acyclic amides (including acyclic carbamates) and their derivatives: salts thereof: meprobamate (INN)</t>
  </si>
  <si>
    <t>Acyclic amides (including acyclic carbamates) and their derivatives: salts thereof: fluoroacetamide (ISO), monocrotophos (ISO) and phosphamidon (ISO)</t>
  </si>
  <si>
    <t>Acyclic amides (including acyclic carbamates) and their derivatives: salts thereof, other than meprobamate (INN), fluoroacetamide (ISO), monocrotophos (ISO) or phosphamidon (ISO)</t>
  </si>
  <si>
    <t>Cyclic amides (including cyclic carbamates) and their derivatives, ureines and their derivatives: salts thereof</t>
  </si>
  <si>
    <t>Cyclic amides (including cyclic carbamates) and their derivatives: 2-acetamidobenzoic acid (N-acetylanthranillic acid) and its salts</t>
  </si>
  <si>
    <t>Cyclic amides (including cyclic carbamates) and their derivatives: ethinamate and its salts</t>
  </si>
  <si>
    <t>Cyclic amides (including cyclic carbamates) and their derivatives: other than the derivatives and salts of ureines, 2-acetamidobenzoic acid (N-acetylanthancillic acid), and ethinamate S</t>
  </si>
  <si>
    <t>Imides and their derivatives: saccharin and its salts</t>
  </si>
  <si>
    <t>Imides and their derivatives: glutethimide (INN)</t>
  </si>
  <si>
    <t>Imides and their derivatives: other than saccharin and glutethimide (INN)</t>
  </si>
  <si>
    <t>si</t>
  </si>
  <si>
    <t>Imines and their derivatives: salts thereof: chlordimeform (ISO)</t>
  </si>
  <si>
    <t>Imines and their derivatives: salts thereof: other than chlordimeform (ISO)</t>
  </si>
  <si>
    <t>Nitrile-function compounds: acrylonitrile</t>
  </si>
  <si>
    <t>Nitrile-function compounds: 1-cyanoguanidine (dicyandiamide)</t>
  </si>
  <si>
    <t>Nitrile-function compounds: fenproporex (INN) and its salts: methadone (INN) intermediate (4-cyano-2-dimethylamino-4,4-diphenylbutane)</t>
  </si>
  <si>
    <t>methadone (INN) intermediate (4-cyano-2-dimethylamino-4,4-diphenylbutane</t>
  </si>
  <si>
    <t>Diazo-, azo- or azoxy compounds</t>
  </si>
  <si>
    <t>Organic derivatives of hydrazine or of hydroxylamine</t>
  </si>
  <si>
    <t>Nitrogen-function compounds: n.e.c. in chapter 29, isocyanates</t>
  </si>
  <si>
    <t>Nitrogen-function compounds: n.e.c. in chapter 29, excluding isocyanates</t>
  </si>
  <si>
    <t>Organo-sulphur compounds: thiocarbamates and dithiocarbamates</t>
  </si>
  <si>
    <t>Organo-sulphur compounds: thiuram mono-, di- or tetrasulphides</t>
  </si>
  <si>
    <t>Organo-sulphur compounds: methionine</t>
  </si>
  <si>
    <t>Organo-sulphur compounds: captafol (ISO) and methamidophos (ISO)</t>
  </si>
  <si>
    <t>Organo-sulphur compounds: n.e.c. in heading no. 2930</t>
  </si>
  <si>
    <t>Organo-inorganic compounds: n.e.c. in heading no. 2930</t>
  </si>
  <si>
    <t>Heterocyclic compounds: containing an unfused furan ring (whether or not hydrogenated) in the structure, tetrahydrofuran</t>
  </si>
  <si>
    <t>Heterocyclic compounds: containing an unfused furan ring (whether or not hydrogenated) in the structure, 2-furaldehyde (furfuraldehyde)</t>
  </si>
  <si>
    <t>Heterocyclic compounds: containing an unfused furan ring (whether or not hydrogenated) in the structure, furfuryl alcohol and tetrahydrofurfuryl alcohol</t>
  </si>
  <si>
    <t>Heterocyclic compounds: containing an unfused furan ring (whether or not hydrogenated) in the structure, n.e.c. in item no. 2932.10</t>
  </si>
  <si>
    <t>Heterocyclic compounds: lactones, coumarin, methylcoumarins and ethylcoumarins</t>
  </si>
  <si>
    <t>Heterocyclic compounds with oxygen hetero-atom(s) only: lactones, other than coumarin, methylcoumarins and ethylcoumarins</t>
  </si>
  <si>
    <t>Heterocyclic compounds: with oxygen hetero-atom(s) only, (other than lactones or compounds containing an unfused furan ring (whether or not hydrogenated) in the structure), isosafrole</t>
  </si>
  <si>
    <t>Heterocyclic compounds: with oxygen hetero-atom(s) only, (other than lactones or compounds containing an unfused furan ring (whether or not hydrogenated) in the structure), 1-(1,3-benzodiaxol-5-yl) propan-2-one</t>
  </si>
  <si>
    <t>Heterocyclic compounds: with oxygen hetero-atom(s) only, (other than lactones or compounds containing an unfused furan ring (whether or not hydrogenated) in the structure), piperonal</t>
  </si>
  <si>
    <t>Heterocyclic compounds: with oxygen hetero-atom(s) only, (other than lactones or compounds containing an unfused furan ring (whether or not hydrogenated) in the structure), safrole</t>
  </si>
  <si>
    <t>Heterocyclic compounds: with oxygen hetero-atom(s) only, (other than lactones or compounds containing an unfused furan ring (whether or not hydrogenated) in the structure), tetrahydrocannabinols (all isomers)</t>
  </si>
  <si>
    <t>Heterocyclic compounds: with oxygen hetero-atom(s) only, no lactones or unfused furan rings (hydrogenated or not) in the structure, other than isosafrole, 1-(1,3-benzodiaxol-5-yl) propan-2-one, piperonal, safrole, tetrahydrocannabinols (all isomers)</t>
  </si>
  <si>
    <t>Heterocyclic compounds: containing an unfused pyrazole ring (whether or not hydrogenated) in the structure, phenazone (antipyrin) and its derivatives</t>
  </si>
  <si>
    <t>Heterocyclic compounds: containing an unfused pyrazole ring (whether or not hydrogenated) in the structure, other than those of item no. 2933.11</t>
  </si>
  <si>
    <t>Heterocyclic compounds: containing an unfused imidazole ring (whether or not hydrogenated) in the structure, hydantoin and its derivatives</t>
  </si>
  <si>
    <t>Heterocyclic compounds: containing an unfused imidazole ring (whether or not hydrogenated) in the structure, other than hydantoin and its derivatives</t>
  </si>
  <si>
    <t>Heterocyclic compounds: containing an unfused pyridine ring (whether or not hydrogenated) in the structure, pyridine and its salts</t>
  </si>
  <si>
    <t>Heterocyclic compounds: containing an unfused pyridine ring (whether or not hydrogenated) in the structure, piperidine and its salts</t>
  </si>
  <si>
    <t>Heterocyclic compounds: containing an unfused pyridine ring (whether or not hydrogenated) in the structure, other than pyridine and its salts, other than piperidine and its salts</t>
  </si>
  <si>
    <t>Heterocyclic compounds: containing an unfused pyridine ring (whether or not hydrogenated) in the structure, n.e.c. in 2933.3</t>
  </si>
  <si>
    <t>Heterocyclic compounds: containing a quinoline or isoquinoline ring-system (whether or not hydrogenated) in the structure, not further fused, levorphanol (INN) and its salts</t>
  </si>
  <si>
    <t>Heterocyclic compounds: containing a quinoline or isoquinoline ring-system (whether or not hydrogenated) in the structure, not further fused, other than levorphanol (INN) and its salts</t>
  </si>
  <si>
    <t>Heterocyclic compounds: containing a pyrimidine ring (whether or not hydrogenated) or piperazine ring in the structure, malonylurea (barbituric acid) and its salts</t>
  </si>
  <si>
    <t>Allobarbital (INN), amobarbital (INN), barbital (INN), butalbital (INN), butobarbital, cyclobarbital (INN), methylphenobarbital (INN), pentobarbital (INN), phenobarbital (INN), secbutabarbital (INN), secobarbital (INN) and vinylbital (INN): salts thereof</t>
  </si>
  <si>
    <t>Heterocyclic compounds: containing a pyrimidine ring (whether or not hydrogenated) or piperazine ring in the structure, other derivatives of malonylurea (barbituric acid) and salts thereof, n.e.c. in 2933.53</t>
  </si>
  <si>
    <t>Heterocyclic compounds: containing a pyrimidine ring (whether or not hydrogenated) or piperazine ring in the structure: loprazolam (INN), mecloqualone (INN), methaqualone (INN), and zipeprol (INN): salts thereof</t>
  </si>
  <si>
    <t>Heterocyclic compounds: containing a pyrimidine ring (whether or not hydrogenated) or piperazine ring in the structure, (other than malonylurea and its derivatives, loprazolam, mecloqualone, methaqualone, zipeprol, and salts thereof) n.e.c. in 2933.5</t>
  </si>
  <si>
    <t>Heterocyclic compounds: containing an unfused triazine ring (whether or not hydrogenated) in the structure, melamine</t>
  </si>
  <si>
    <t>Heterocyclic compounds: containing an unfused triazine ring (whether or not hydrogenated) in the structure, others excluding melamine</t>
  </si>
  <si>
    <t>Heterocyclic compounds: lactams: 6-hexanelactam (epsilon-caprolactam)</t>
  </si>
  <si>
    <t>Heterocyclic compounds: lactams: clobazam (INN) and methyprylon (INN)</t>
  </si>
  <si>
    <t>Heterocyclic compounds: lactams: other than 6-hexanelactam (epsilon caprolactam) and clobazam (INN) and methyprylon (INN)</t>
  </si>
  <si>
    <t>Heterocyclic compounds: n.e.c. in headings no. 2933.1, 2933.2, 2933.3, 2933.4, 2933.5, 2933.6, 2933.7</t>
  </si>
  <si>
    <t>Heterocyclic compounds: n.e.c. in headings no. 2933</t>
  </si>
  <si>
    <t>Heterocyclic compounds: containing an unfused thiazole ring (whether or not hydrogenated) in the structure</t>
  </si>
  <si>
    <t>Heterocyclic compounds: containing in the structure, a benzothiazole ring-system (whether or not hydrogenated), not further fused</t>
  </si>
  <si>
    <t>Heterocyclic compounds: containing in the structure, a phenothiazine ring-system (whether or not hydrogenated), not further fused</t>
  </si>
  <si>
    <t>Other heterocyclic compounds, n.e.c. in 2934.1, 2934.2 and 2934.3</t>
  </si>
  <si>
    <t>Nucleic acids and their salts, other heterocyclic compounds, n.e.c. in heading number 2934</t>
  </si>
  <si>
    <t>Sulphonamides</t>
  </si>
  <si>
    <t>Vitamins: vitamins A and their derivatives, unmixed</t>
  </si>
  <si>
    <t>Vitamins: vitamin B1 and its derivatives, unmixed</t>
  </si>
  <si>
    <t>Vitamins: vitamin B2 and its derivatives, unmixed</t>
  </si>
  <si>
    <t>Vitamins: D- or DL-pantothenic acid (vitamin B3 or vitamin B5) and its derivatives, unmixed</t>
  </si>
  <si>
    <t>Vitamins: vitamin B6 and its derivatives, unmixed</t>
  </si>
  <si>
    <t>Vitamins: vitamin B12 and its derivatives, unmixed</t>
  </si>
  <si>
    <t>Vitamins: vitamin C and its derivatives, unmixed</t>
  </si>
  <si>
    <t>Vitamins: vitamin E and its derivatives, unmixed</t>
  </si>
  <si>
    <t>Vitamins: n.e.c. in item no. 2936.2, and their derivatives, unmixed</t>
  </si>
  <si>
    <t>Vitamins: n.e.c. in heading no. 2936, including natural concentrates</t>
  </si>
  <si>
    <t>Polypeptide hormones, protein hormones and glycoprotein hormones, their derivatives and structural analogues: somatotropin, its derivatives and structural analogues</t>
  </si>
  <si>
    <t>Polypeptide hormones, protein hormones and glycoprotein hormones, their derivatives and structural analogues: insulin and its salts</t>
  </si>
  <si>
    <t>Polypeptide hormones, protein hormones and glycoprotein hormones, their derivatives and structural analogues: other than somatotropin, (its derivatives and structural anaologues) and insulin and its salts</t>
  </si>
  <si>
    <t>Steroidal hormones, their derivatives and structural analogues: cortisone, hydrocortisone, prednisone (dehydrocortisone) and prednisolone (dehydrohydrocortisone)</t>
  </si>
  <si>
    <t>Steroidal hormones, their derivatives and structural analogues: halogenated derivatives of corticosteroidal hormones</t>
  </si>
  <si>
    <t>Steroidal hormones, their derivatives and structural analogues: oestrogens and progestogens</t>
  </si>
  <si>
    <t>Steroidal hormones, their derivatives and structural analogues: other than cortisone, hydrocortisone, prednisone (dehydrocortisone), prednisolone (dehydrohydrocortisone), halogenated derivatives of corticosteroidal hormones, oestrogen and progestogens</t>
  </si>
  <si>
    <t>Hormones: catecholamine hormones, their derivatives and structural analogues, epinephrine</t>
  </si>
  <si>
    <t>Hormones: catecholamine hormones, their derivatives and structural analogues, other than epinephrine</t>
  </si>
  <si>
    <t>Hormones: amino-acid derivatives</t>
  </si>
  <si>
    <t>Prostaglandins, thromboxanes and leukotrienes, their derivatives and structural analogues</t>
  </si>
  <si>
    <t>Hormones, prostaglandins, thromboxanes and leukotrienes, natural or reproduced by synthesis: derivatives and structural analogues thereof, including chain modified polypeptides, used primarily as hormones, n.e.c. in 2937</t>
  </si>
  <si>
    <t>Glycosides: rutoside (rutin) and its derivatives</t>
  </si>
  <si>
    <t>Glycosides: natural or reproduced by synthesis, other than rutoside (rutin) and its derivatives</t>
  </si>
  <si>
    <t>Alkaloids, vegetable: of opium and their derivatives: salts thereof</t>
  </si>
  <si>
    <t>Alkaloids, vegetable: of opium and their derivatives: other than in 2939.11, salts thereof</t>
  </si>
  <si>
    <t>Alkaloids, vegetable: of cinchona and their derivatives: salts thereof</t>
  </si>
  <si>
    <t>Alkaloids, vegetable: caffeine and its salts</t>
  </si>
  <si>
    <t>Alkaloids, vegetable: ephedrine and its salts</t>
  </si>
  <si>
    <t>Alkaloids, vegetable: pseudoephedrine (INN) and its salts</t>
  </si>
  <si>
    <t>Alkaloids, vegetable: ephedrines and their salts, other than ephedrine and its salts and other than pseudoephedrine (INN) and its salts</t>
  </si>
  <si>
    <t>Alkaloids, vegetable: ephedrines and their salts, other than ephedrine, pseudoephedrine (INN), and cathine (INN) and their salts</t>
  </si>
  <si>
    <t>Alkaloids vegetable: theophylline and aminophylline (theophylline-ethylenediamine) and their derivatives: salts thereof, fenetylline (INN) and its salts</t>
  </si>
  <si>
    <t>Alkaloids vegetable: theophylline and aminophylline (theophylline-ethylenediamine) and their derivatives: salts thereof, other than fenetylline</t>
  </si>
  <si>
    <t>Alkaloids, vegetable: of rye ergot and their derivatives, ergometrine (INN) and its salts</t>
  </si>
  <si>
    <t>Alkaloids, vegetable: of rye ergot and their derivatives, ergotamine (INN) and its salts</t>
  </si>
  <si>
    <t>Alkaloids, vegetable: of rye ergot and their derivatives, lysergic acid and its salts</t>
  </si>
  <si>
    <t>Alkaloids, vegetable: of rye ergot and their derivatives, salts thereof, n.e.c. in item no. 2939.6</t>
  </si>
  <si>
    <t>Alkaloids, vegetable: natural or reproduced by synthesis, and their salts, esters and other derivatives n.e.c. in heading no. 2939.1, 2939.2, 2939.3, 2939.4, 2939.5, 2939.6, 2939.7</t>
  </si>
  <si>
    <t>Alkaloids, vegetable: natural or reproduced by synthesis, and their salts, esters and other derivatives n.e.c. in heading no. 2939</t>
  </si>
  <si>
    <t>Sugars, chemically pure, other than sucrose, lactose, maltose, glucose and fructose: sugar ethers, sugar acetals and sugar esters, and their salts, other than the products of heading 29.37, 29.38, or 29.39</t>
  </si>
  <si>
    <t>Eliminar</t>
  </si>
  <si>
    <t>(son azucares, la mayoria utilizado en otras industrias)</t>
  </si>
  <si>
    <t>Antibiotics: penicillins and their derivatives with a penicillanic acid structure: salts thereof</t>
  </si>
  <si>
    <t>Antibiotics: streptomycins and their derivatives: salts thereof</t>
  </si>
  <si>
    <t>Antibiotics: tetracyclines and their derivatives: salts thereof</t>
  </si>
  <si>
    <t>Antibiotics: chloramphenicol and its derivatives: salts thereof</t>
  </si>
  <si>
    <t>Antibiotics: erythromycin and its derivatives: salts thereof</t>
  </si>
  <si>
    <t>Antibiotics: n.e.c. in heading no. 2941</t>
  </si>
  <si>
    <t>Organic compounds: n.e.c. in chapter 29</t>
  </si>
  <si>
    <t>Glands and other organs: extracts of glands or other organs or of their secretions, for organo-therapeutic uses</t>
  </si>
  <si>
    <t>Otros productos farmacéuticos</t>
  </si>
  <si>
    <t>producto farmaceutico biologico</t>
  </si>
  <si>
    <t>Glands and other organs: heparin and its salts: other human or animal substances prepared for therapeutic or prophylactic uses, n.e.c. in heading 3001</t>
  </si>
  <si>
    <t>Blood: human or animal, antisera and other blood fractions and modified immunological products, whether or not obtained by means of biotechnological processes</t>
  </si>
  <si>
    <t>Vaccines: for human medicine</t>
  </si>
  <si>
    <t>Vacunas (humanas)</t>
  </si>
  <si>
    <t>Reclasificar</t>
  </si>
  <si>
    <t>vacuna</t>
  </si>
  <si>
    <t>Vaccines: for veterinary medicine</t>
  </si>
  <si>
    <t>Toxins, cultures of micro-organisms (excluding yeasts) and similar products</t>
  </si>
  <si>
    <t>insumo</t>
  </si>
  <si>
    <t>Pero esto también podría ser para laboratorio en general, no necesariamente salud/farma</t>
  </si>
  <si>
    <t>Sacarlo si no es gordo</t>
  </si>
  <si>
    <t>Medicaments: containing penicillins, streptomycins or their derivatives, for therapeutic or prophylactic uses, (not in measured doses, not packaged for retail sale)</t>
  </si>
  <si>
    <t>Medicamentos</t>
  </si>
  <si>
    <t>Medicaments: containing antibiotics other than penicillins, streptomycins and their derivatives, for therapeutic or prophylactic uses, (not in measured doses, not packaged for retail sale)</t>
  </si>
  <si>
    <t>Medicaments: containing insulin (but not containing antibiotics), for therapeutic or prophylactic uses, not packaged for retail sale</t>
  </si>
  <si>
    <t>insulina</t>
  </si>
  <si>
    <t>Medicaments: containing hormones (excluding insulin), (but not containing antibiotics), for therapeutic or prophylactic uses, not packaged for retail sale</t>
  </si>
  <si>
    <t>Medicaments: containing alkaloids or their derivatives, (but not containing hormones or antibiotics), for therapeutic or prophylactic uses, (not packaged for retail sale)</t>
  </si>
  <si>
    <t>Medicaments: (not containing antibiotics, hormones, alkaloids or their derivatives), for therapeutic or prophylactic uses, (not packaged for retail sale)</t>
  </si>
  <si>
    <t>Medicaments: containing penicillins, streptomycins or their derivatives, for therapeutic or prophylactic uses, packaged for retail sale</t>
  </si>
  <si>
    <t>Medicaments: containing antibiotics (other than penicillins, streptomycins or their derivatives), for therapeutic or prophylactic uses, packaged for retail sale</t>
  </si>
  <si>
    <t>Medicaments: containing insulin (but not containing antibiotics), for therapeutic or prophylactic uses, packaged for retail sale</t>
  </si>
  <si>
    <t>Medicaments: containing corticosteroid hormones, their derivatives or structural analogues (but not containing antibiotics), for therapeutic or prophylactic uses, packaged for retail sale</t>
  </si>
  <si>
    <t>Medicaments: containing hormones (but not insulin), adrenal cortex hormones or antibiotics, for therapeutic or prophylactic uses, packaged for retail sale</t>
  </si>
  <si>
    <t>Medicaments: containing alkaloids or their derivatives (but not hormones or antibiotics), for therapeutic or prophylactic uses, packaged for retail sale</t>
  </si>
  <si>
    <t>Medicaments: containing vitamins or their derivatives, for therapeutic or prophylactic use, packaged for retail sale</t>
  </si>
  <si>
    <t>Medicaments: consisting of mixed or unmixed products n.e.c. in heading no. 3004, for therapeutic or prophylactic uses, packaged for retail sale</t>
  </si>
  <si>
    <t>Dressings, adhesive: and other articles having an adhesive layer, packed for retail sale for medical, surgical, dental or veterinary purposes</t>
  </si>
  <si>
    <t>MedDev</t>
  </si>
  <si>
    <t>Dispositivos médicos</t>
  </si>
  <si>
    <t>Wadding, gauze, bandages and similar articles: (excluding adhesive dressings), impregnated or coated with pharmaceutical substances, packaged for retail sale</t>
  </si>
  <si>
    <t>Pharmaceutical goods: sterile surgical catgut, suture materials, tissue adhesives, laminaria, laminaria tents, absorbable surgical or dental haemostatics, and surgical or dental adhesion barriers</t>
  </si>
  <si>
    <t>Pharmaceutical goods: blood-grouping reagents</t>
  </si>
  <si>
    <t>Kits diagnósticos</t>
  </si>
  <si>
    <t>diagnostico</t>
  </si>
  <si>
    <t>Pharmaceutical goods: opacifying preparations for x-ray examinations, diagnostic reagents designed to be administered to the patient</t>
  </si>
  <si>
    <t>Pharmaceutical goods: dental cements and other dental fillings, bone reconstruction cements</t>
  </si>
  <si>
    <t>Pharmaceutical goods: first aid boxes and kits</t>
  </si>
  <si>
    <t>Pharmaceutical goods: chemical contraceptive preparations based on hormones, on other products of heading 2937 or on spermicides</t>
  </si>
  <si>
    <t>¿Pero es anticonceptivo? ¿No sé si entra en dispositivo médico?</t>
  </si>
  <si>
    <t>Pharmaceutical goods: Gel preparations designed to be used in human or veterinary medicine as a lubricant for parts of the body for surgical operations or physical examinations or as a coupling agent between the body and medical instruments</t>
  </si>
  <si>
    <t>Pharmaceutical goods: appliances identifiable for ostomy use</t>
  </si>
  <si>
    <t>Pharmaceutical goods: waste pharmaceuticals</t>
  </si>
  <si>
    <t>¿Qué es?</t>
  </si>
  <si>
    <t>Fertilizers, animal or vegetable: whether or not mixed together or chemically treated: fertilizers, produced by the mixing or chemical treatment of animal or vegetable products</t>
  </si>
  <si>
    <t>Fertilizers, mineral or chemical: nitrogenous, urea, whether or not in aqueous solution</t>
  </si>
  <si>
    <t>Fertilizers, mineral or chemical: nitrogenous, ammonium sulphate</t>
  </si>
  <si>
    <t>Fertilizers, mineral or chemical: nitrogenous, other than ammonium sulphate</t>
  </si>
  <si>
    <t>Fertilizers, mineral or chemical: nitrogenous, ammonium nitrate, whether or not in aqueous solution</t>
  </si>
  <si>
    <t>Fertilizers, mineral or chemical: ammonium nitrate with calcium carbonate or other inorganic non-fertilizing substances, mixtures thereof</t>
  </si>
  <si>
    <t>Fertilizers, mineral or chemical: nitrogenous, sodium nitrate</t>
  </si>
  <si>
    <t>Fertilizers, mineral or chemical: nitrogenous, double salts and mixtures of calcium nitrate and ammonium nitrate</t>
  </si>
  <si>
    <t>Fertilizers, mineral or chemical: nitrogenous, mixtures of urea and ammonium nitrate in aqueous or ammoniacal solution</t>
  </si>
  <si>
    <t>Fertilizers, mineral or chemical: nitrogenous, other kinds including mixtures not specified in the foregoing subheadings</t>
  </si>
  <si>
    <t>Fertilizers, mineral or chemical: phosphatic, superphosphates</t>
  </si>
  <si>
    <t>Fertilizers, mineral or chemical: phosphatic, n.e.c. in heading no. 3103</t>
  </si>
  <si>
    <t>Fertilizers, mineral or chemical: potassic, potassium chloride</t>
  </si>
  <si>
    <t>Fertilizers, mineral or chemical: potassic, potassium sulphate</t>
  </si>
  <si>
    <t>Fertilizers, mineral or chemical: potassic, n.e.c. in heading no. 3104</t>
  </si>
  <si>
    <t>Fertilizers, mineral or chemical: in tablets or similar forms or in packages of a gross weight not exceeding 10kg</t>
  </si>
  <si>
    <t>Fertilizers, mineral or chemical: containing the three fertilizing elements nitrogen, phosphorus and potassium</t>
  </si>
  <si>
    <t>Fertilizers, mineral or chemical: diammonium hydrogenorthophosphate (diammonium phosphate)</t>
  </si>
  <si>
    <t>Fertilizers, mineral or chemical: ammonium dihydrogenorthophosphate (monoammonium phosphate) and mixtures thereof with diammonium hydrogenorthophosphate (diammonium phosphate)</t>
  </si>
  <si>
    <t>Fertilizers, mineral or chemical: containing nitrates and phosphates</t>
  </si>
  <si>
    <t>Fertilizers, mineral or chemical: containing the two fertilizing elements nitrogen and phosphorus, other than nitrates and phosphates</t>
  </si>
  <si>
    <t>Fertilizers, mineral or chemical: containing the two fertilizing elements phosphorus and potassium</t>
  </si>
  <si>
    <t>Fertilizers, mineral or chemical: n.e.c. in heading no. 3105</t>
  </si>
  <si>
    <t>Tanning extracts of vegetable origin: quebracho extract</t>
  </si>
  <si>
    <t>Tanning extracts of vegetable origin: wattle extract</t>
  </si>
  <si>
    <t>Tanning extracts of vegetable origin: tannins and their salts, ethers, esters and other derivatives, (excluding quebracho or wattle extract)</t>
  </si>
  <si>
    <t>Tanning substances: synthetic organic tanning substances</t>
  </si>
  <si>
    <t>Tanning substances: inorganic tanning substances: tanning preparations, whether or not containing natural tanning substances: enzymatic preparations for pre- tanning</t>
  </si>
  <si>
    <t>Colouring matter of vegetable or animal origin, including dyeing extracts not animal black, whether or not chemically defined: preparations based on colouring matter of vegetable or animal origin</t>
  </si>
  <si>
    <t>Dyes: disperse dyes and preparations based thereon</t>
  </si>
  <si>
    <t>Dyes: acid, whether or not premetallised and preparations based thereon, mordant dyes and preparations based thereon</t>
  </si>
  <si>
    <t>Dyes: basic dyes and preparations based thereon</t>
  </si>
  <si>
    <t>Dyes: direct dyes and preparations based thereon</t>
  </si>
  <si>
    <t>Dyes: vat dyes (including those usable in that state as pigments) and preparations based thereon</t>
  </si>
  <si>
    <t>Dyes: reactive dyes and preparations based thereon</t>
  </si>
  <si>
    <t>Dyes: pigments and preparations based thereon</t>
  </si>
  <si>
    <t>Dyes: n.e.c., including mixtures of colouring matter of two or more of those from item no. 3204.11 to 3204.19</t>
  </si>
  <si>
    <t>Dyes: synthetic organic products of a kind used as fluorescent brightening agents</t>
  </si>
  <si>
    <t>Dyes: synthetic organic products n.e.c. in heading no. 3204 (e.g. of a kind used as luminophores), whether or not chemically defined</t>
  </si>
  <si>
    <t>Colour lakes: preparations based on colour lakes as specified in note 3 to this chapter</t>
  </si>
  <si>
    <t>Colouring matter: pigments and preparations based on titanium dioxide, containing 80% or more by weight of titanium dioxide calculated on the dry matter</t>
  </si>
  <si>
    <t>Colouring matter: pigments and preparations based on titanium dioxide, containing less than 80% by weight of titanium dioxide calculated on the dry weight</t>
  </si>
  <si>
    <t>Colouring matter: pigments and preparations based on chromium compounds</t>
  </si>
  <si>
    <t>Colouring matter: ultramarine and preparations based thereon</t>
  </si>
  <si>
    <t>Colouring matter: lithopone and other pigments and preparations based on zinc sulphide</t>
  </si>
  <si>
    <t>Colouring matter: other preparations n.e.c. in item no. 3206.4</t>
  </si>
  <si>
    <t>Colouring matter: inorganic products of a kind used as luminophores</t>
  </si>
  <si>
    <t>Pigments: prepared pigments, opacifiers, colours and similar preparations</t>
  </si>
  <si>
    <t>Enamels and glazes: vitrifiable enamels and glazes, engobes (slips) and similar preparations</t>
  </si>
  <si>
    <t>Lustres: liquid lustres and similar preparations</t>
  </si>
  <si>
    <t>Glass: glass frit and other glass, in the form of powder, granules or flakes</t>
  </si>
  <si>
    <t>Paints and varnishes: based on polyesters, dispersed or dissolved in a non-aqueous medium</t>
  </si>
  <si>
    <t>Paints and varnishes: based on acrylic or vinyl polymers, dispersed or dissolved in a non-aqueous medium</t>
  </si>
  <si>
    <t>Paints and varnishes: based on polymers n.e.c. in heading no. 3208, dispersed or dissolved in a non-aqueous medium</t>
  </si>
  <si>
    <t>Paints and varnishes: based on acrylic or vinyl polymers, dispersed or dissolved in an aqueous medium</t>
  </si>
  <si>
    <t>Paints and varnishes: (based on polymers other than acrylic or vinyl), dispersed or dissolved in an aqueous medium</t>
  </si>
  <si>
    <t>Paints and varnishes: (including enamels, lacquers and distempers), prepared water pigments of a kind used for finishing leather</t>
  </si>
  <si>
    <t>Driers: prepared</t>
  </si>
  <si>
    <t>Pigments: of a kind used in the manufacture of paints, stamping foils</t>
  </si>
  <si>
    <t>Pigments: of a kind used in the manufacture of paints, other than stamping foils</t>
  </si>
  <si>
    <t>Colours: in sets, of a kind used by artists, students or signboard painters</t>
  </si>
  <si>
    <t>Colours: (other than in sets), of a kind used by artists, students or signboard painters</t>
  </si>
  <si>
    <t>Mastics: painters' fillings</t>
  </si>
  <si>
    <t>Mastics: n.e.c. in heading no. 3214</t>
  </si>
  <si>
    <t>Ink: for printing, black, whether or not concentrated or solid</t>
  </si>
  <si>
    <t>Ink: for printing, other than black, whether or not concentrated or solid</t>
  </si>
  <si>
    <t>Ink: writing, drawing and other inks, n.e.c. in heading no. 3215, whether or not concentrated or solid</t>
  </si>
  <si>
    <t>Oils, essential: of orange (terpeneless or not), including concretes and absolutes</t>
  </si>
  <si>
    <t>Oils, essential: of lemon (terpeneless or not), including concretes and absolutes</t>
  </si>
  <si>
    <t>Oils, essential: of citrus fruits n.e.c. in heading no. 3301 (terpeneless or not), including concretes and absolutes</t>
  </si>
  <si>
    <t>Oils, essential: of peppermint (mentha piperita), terpeneless or not, including concretes and absolutes</t>
  </si>
  <si>
    <t>Oils, essential: of mints (excluding peppermint), terpeneless or not, including concretes and absolutes</t>
  </si>
  <si>
    <t>Oils, essential: n.e.c. in heading no. 3301 (terpeneless or not), including concretes and absolutes</t>
  </si>
  <si>
    <t>Resinoids</t>
  </si>
  <si>
    <t>Oils, essential: concentrates in fats, fixed oils, waxes and the like, terpenic by-products, aqueous distillates and solutions, extracted oleoresins, n.e.c. in heading no. 3301</t>
  </si>
  <si>
    <t>Odoriferous substances and mixtures: of a kind used in the food or drink industries</t>
  </si>
  <si>
    <t>Odoriferous substances and mixtures: used as raw materials in industries other than the food or drink industries</t>
  </si>
  <si>
    <t>Perfumes and toilet waters</t>
  </si>
  <si>
    <t>Cosmetic and toilet preparations: lip make-up</t>
  </si>
  <si>
    <t>Cosmetic and toilet preparations: eye make-up</t>
  </si>
  <si>
    <t>Cosmetic and toilet preparations: manicure or pedicure preparations</t>
  </si>
  <si>
    <t>Cosmetic and toilet preparations: powders, whether or not compressed (excluding lip, eye, manicure or pedicure preparations)</t>
  </si>
  <si>
    <t>Cosmetic and toilet preparations: n.e.c. in heading no. 3304, for the care of the skin (excluding medicaments, including sunscreen or sun tan preparations)</t>
  </si>
  <si>
    <t>Hair preparations: shampoos</t>
  </si>
  <si>
    <t>Hair preparations: for permanent waving or straightening</t>
  </si>
  <si>
    <t>Hair preparations: lacquers</t>
  </si>
  <si>
    <t>Hair preparations: n.e.c. in heading no. 3305</t>
  </si>
  <si>
    <t>Oral or dental hygiene preparations: dentifrices</t>
  </si>
  <si>
    <t>Oral or dental hygiene preparations: yarn used to clean between the teeth (dental floss)</t>
  </si>
  <si>
    <t>Oral or dental hygiene preparations: other than dentifrices</t>
  </si>
  <si>
    <t>Perfumery, cosmetic or toilet preparations: pre-shave, shaving or after-shave preparations</t>
  </si>
  <si>
    <t>Perfumery, cosmetic or toilet preparations: personal deodorants and antiperspirants</t>
  </si>
  <si>
    <t>Perfumery, cosmetic or toilet preparations: perfumed bath salts and other bath preparations</t>
  </si>
  <si>
    <t>Perfumes and deodorizers: perfuming or deodorizing preparations for rooms, agarbatti and other odoriferous preparations which operate by burning (including those used during religious rites)</t>
  </si>
  <si>
    <t>Perfumes and deodorizers: perfuming or deodorizing preparations for rooms, (excluding those which operate by burning)</t>
  </si>
  <si>
    <t>Perfumes and deodorizers: perfuming or deodorizing preparations n.e.c. in heading no. 3307</t>
  </si>
  <si>
    <t>Soap and organic surface-active products: in the form of bars, cakes, moulded shapes, and paper, wadding, felt and nonwovens, impregnated, coated or covered with soap or detergent, for toilet use (including medicated products)</t>
  </si>
  <si>
    <t>Soap and organic surface-active products: in the form of bars, cakes, moulded shapes, and paper, wadding, felt and nonwovens, impregnated, coated or covered with soap or detergent, not for toilet use</t>
  </si>
  <si>
    <t>Soap: in forms n.e.c. in item no. 3401.11</t>
  </si>
  <si>
    <t>Organic surface-active products and preparations for washing the skin, in the form of liquid or cream and put up for retail sale, whether or not containing soap</t>
  </si>
  <si>
    <t>Organic surface-active agents: anionic (other than soap), whether or not put up for retail sale</t>
  </si>
  <si>
    <t>Organic surface-active agents: cationic (other than soap), whether or not put up for retail sale</t>
  </si>
  <si>
    <t>Organic surface-active agents: non-ionic (other than soap), whether or not put up for retail sale</t>
  </si>
  <si>
    <t>Organic surface-active agents: whether or not put up for retail sale, n.e.c. in heading no. 3402</t>
  </si>
  <si>
    <t>Washing and cleaning preparations: surface-active, whether or not containing soap (excluding those of heading no. 3401), put up for retail sale</t>
  </si>
  <si>
    <t>Washing and cleaning preparations: surface-active, whether or not containing soap (excluding those of heading no. 3401), including auxiliary washing preparations, not for retail sale</t>
  </si>
  <si>
    <t>Lubricating preparations: for the treatment of textile and similar materials (leather, furskins etc), containing less than 70% (by weight) of petroleum oils or oils obtained from bituminous minerals</t>
  </si>
  <si>
    <t>Lubricating preparations: (other than for the treatment of textile and similar materials), containing less than 70% (by weight) of petroleum oils or oils obtained from bituminous minerals</t>
  </si>
  <si>
    <t>Lubricating preparations: for the treatment of textile and similar materials (leather, furskins etc), (not containing petroleum oils or oils obtained from bituminous minerals)</t>
  </si>
  <si>
    <t>Lubricating preparations: other than for the treatment of textile and similar materials, not containing petroleum oils or oils obtained from bituminous minerals</t>
  </si>
  <si>
    <t>Waxes: artificial and prepared, of poly(oxyethylene) (polyethylene glycol)</t>
  </si>
  <si>
    <t>Waxes: artificial and prepared, other than of polyethylene glycol</t>
  </si>
  <si>
    <t>Polishes, creams and similar preparations: for footwear or leather, excluding waxes of heading no. 3404</t>
  </si>
  <si>
    <t>Polishes, creams and similar preparations: for the maintenance of wooden furniture, floors or other woodwork, excluding waxes of heading no. 3404</t>
  </si>
  <si>
    <t>Polishes, creams and similar preparations: for coachwork, other than metal polishes, excluding waxes of heading no. 3404</t>
  </si>
  <si>
    <t>Scouring pastes and powders and other scouring preparations: (whether or not in the form of paper, wadding, felt, nonwovens, cellular plastics, cellular rubber, impregnated, coated or covered)</t>
  </si>
  <si>
    <t>Polishes, creams and similar preparations: n.e.c. in heading no. 3405, excluding waxes of heading no. 3404</t>
  </si>
  <si>
    <t>Candles, tapers and the like</t>
  </si>
  <si>
    <t>Modelling pastes: preparations known as dental wax, put up in sets, in packings for retail sale or in plates, horseshoe shapes, sticks or similar forms, other preparations for use in dentistry</t>
  </si>
  <si>
    <t>Casein</t>
  </si>
  <si>
    <t>Caseinates and other casein derivatives: casein glues</t>
  </si>
  <si>
    <t>Albumins: egg albumin, dried</t>
  </si>
  <si>
    <t>Albumins: egg albumin, not dried</t>
  </si>
  <si>
    <t>Albumins: milk albumin, including concentrates of two or more whey proteins</t>
  </si>
  <si>
    <t>Albumins, albuminates and other albumin derivatives: (other than egg or milk albumin, including concentrates of two or more whey proteins)</t>
  </si>
  <si>
    <t>Gelatin (including gelatin in rectangular sheets, whether or not surface-worked or coloured) and gelatin derivatives: isinglass: other glues of animal origin, excluding casein glues of heading no. 3501</t>
  </si>
  <si>
    <t>Peptones and their derivatives: other protein substances and their derivatives n.e.c. or included, hide powder, whether or not chromed</t>
  </si>
  <si>
    <t>Dextrins and other modified starches</t>
  </si>
  <si>
    <t>Glues: based on starches, or on dextrins or other modified starches</t>
  </si>
  <si>
    <t>Glues or adhesives: prepared, products suitable for use as glues or adhesives, put up for retail sale as glues or adhesives, not exceeding a net weight of 1kg</t>
  </si>
  <si>
    <t>Adhesives: prepared, based on polymers of heading 3901 to 3913 or on rubber</t>
  </si>
  <si>
    <t>Glues and other adhesives: prepared, n.e.c. in heading no. 3506, not exceeding a net weight of 1kg</t>
  </si>
  <si>
    <t>Enzymes: rennet and concentrates thereof</t>
  </si>
  <si>
    <t>Enzymes and prepared enzymes: other than rennet and concentrates thereof</t>
  </si>
  <si>
    <t>Explosives: propellent powders</t>
  </si>
  <si>
    <t>Explosives, prepared: other than propellent powders</t>
  </si>
  <si>
    <t>Fuses and detonators: safety or detonating fuses, percussion or detonating caps, igniters, electric detonators</t>
  </si>
  <si>
    <t>Pyrotechnic products: fireworks</t>
  </si>
  <si>
    <t>Pyrotechnic products: signalling flares, rain rockets, fog signals and other pyrotechnic articles (excluding fireworks)</t>
  </si>
  <si>
    <t>Matches: other than pyrotechnic articles of heading no. 3604</t>
  </si>
  <si>
    <t>Fuels: liquid or liquefied-gas, in containers, of a kind used for filling or refilling cigarette or similar lighters, (of a capacity not exceeding 300cm3)</t>
  </si>
  <si>
    <t>Ferro-cerium and other pyrophoric alloys in all forms: articles of combustible materials n.e.c. in chapter 36</t>
  </si>
  <si>
    <t>Photographic plates and film: for x-ray, in the flat, sensitised, unexposed, of any material other than paper, paperboard or textiles</t>
  </si>
  <si>
    <t>Photographic plates and film: instant print film, in the flat, sensitised, unexposed, whether or not in packs</t>
  </si>
  <si>
    <t>Photographic plates and film: in the flat, sensitised, unexposed, with any side exceeding 225mm, of any materials other than paper, paperboard or textiles</t>
  </si>
  <si>
    <t>Photographic plates and film: for colour photography (polychrome), in the flat, sensitised, unexposed, with no side exceeding 255mm, of any material other than paper, paperboard or textiles</t>
  </si>
  <si>
    <t>Photographic plates and film: (for other than colour photography), in the flat, sensitised, unexposed, with no side exceeding 255mm, of any material other than paper, paperboard or textiles</t>
  </si>
  <si>
    <t>Photographic film: for x-rays, in rolls, sensitised and unexposed (other than of paper, paperboard or textiles)</t>
  </si>
  <si>
    <t>Photographic film: for colour photography (polychrome), in rolls, sensitised, unexposed, without sprocket holes, of a width not exceeding 105mm (other than of paper, paperboard or textiles)</t>
  </si>
  <si>
    <t>Photographic film: in rolls, with silver halide emulsion, sensitised, unexposed, without sprocket holes, of a width not exceeding 105mm (other than of paper, paperboard or textiles)</t>
  </si>
  <si>
    <t>Photographic film: in rolls, (other than with silver halide emulsion and for colour photography), sensitised, unexposed, without sprocket holes, of a width not exceeding 105mm (other than of paper, paperboard or textiles)</t>
  </si>
  <si>
    <t>Photographic film: for colour photography (polychrome), in rolls, sensitised, unexposed, without sprocket holes, of a width exceeding 610mm and of a length exceeding 200m (other than of paper, paperboard or textiles)</t>
  </si>
  <si>
    <t>Photographic film: in rolls, (other than for colour photography), sensitised, unexposed, without sprocket holes, of a width exceeding 610mm and of a length exceeding 200m (other than of paper, paperboard or textiles)</t>
  </si>
  <si>
    <t>Photographic film: in rolls, sensitised, unexposed, without sprocket holes, of a width exceeding 610mm and of a length not exceeding 200m (other than of paper, paperboard or textiles)</t>
  </si>
  <si>
    <t>Photographic film: in rolls, sensitised, unexposed, without sprocket holes, of a width exceeding 105mm but not exceeding 610mm (other than of paper, paperboard or textiles)</t>
  </si>
  <si>
    <t>Photographic film: for colour photography (polychrome), in rolls, sensitised, unexposed, of a width not exceeding 16mm and of a length not exceeding 14m (other than of paper, paperboard or textiles)</t>
  </si>
  <si>
    <t>Photographic film: for colour photography (polychrome), in rolls, sensitised, unexposed, of a width not exceeding 16mm and of a length exceeding 14m (other than of paper, paperboard or textiles)</t>
  </si>
  <si>
    <t>Photographic film: for colour photography (polychrome) slides, in rolls, sensitised, unexposed, of a width exceeding 16mm but not exceeding 35mm and of a length not exceeding 30m (other than of paper, paperboard or textiles)</t>
  </si>
  <si>
    <t>Photographic film: for colour photography (polychrome), in rolls, sensitised, unexposed, of a width exceeding 16mm but not 35mm and of a length not exceeding 30m, excluding film for slides (other than of paper, paperboard or textiles)</t>
  </si>
  <si>
    <t>Photographic film: for colour photography (polychrome), in rolls, sensitised, unexposed, of a width exceeding 16mm but not 35mm and of a length exceeding 30m (other than of paper, paperboard or textiles)</t>
  </si>
  <si>
    <t>Photographic film: for colour photography (polychrome), in rolls, sensitised, unexposed, of a width exceeding 35mm (other than of paper, paperboard or textiles)</t>
  </si>
  <si>
    <t>Photographic film: in rolls, (for other than colour photography), of a width not exceeding 16mm (other than of paper, paperboard or textiles)</t>
  </si>
  <si>
    <t>Photographic film: in rolls, (for other than colour film), sensitised, unexposed, of a width exceeding 16mm but not 35mm and of a length not exceeding 30m (other than of paper, paperboard or textiles)</t>
  </si>
  <si>
    <t>Photographic film: in rolls, (for other than colour photography), sensitised, unexposed, of a width exceeding 16mm but not 35mm and of a length exceeding 30m (other than of paper, paperboard or textiles)</t>
  </si>
  <si>
    <t>Photographic film: in rolls, (for other than colour photography), sensitised, unexposed, of a width exceeding 35mm (other than of paper, paperboard or textiles)</t>
  </si>
  <si>
    <t>Photographic paper, paperboard and textiles: in rolls, sensitised, unexposed, of a width exceeding 610mm</t>
  </si>
  <si>
    <t>Photographic paper, paperboard and textiles: for colour photography (polychrome), (other than in rolls of a width exceeding 610mm), sensitised, unexposed</t>
  </si>
  <si>
    <t>Photographic paper, paperboard and textiles: (for other than colour photography, other than in rolls of a width exceeding 610mm), sensitised, unexposed</t>
  </si>
  <si>
    <t>Photographic plates, film, paper, paperboard and textiles: exposed but not developed</t>
  </si>
  <si>
    <t>Photographic plates and film: for offset reproduction, exposed and developed</t>
  </si>
  <si>
    <t>Photographic plates and film: exposed and developed, (other than cinematographic film or for offset reproduction)</t>
  </si>
  <si>
    <t>Cinematographic film: exposed and developed, whether or not incorporating sound track or consisting only of sound track, of a width of 35cm or more</t>
  </si>
  <si>
    <t>Cinematographic film: exposed and developed, whether or not incorporating a sound track or consisting only of sound track, of a width less than 35mm</t>
  </si>
  <si>
    <t>Photographic goods: sensitised emulsions, put up in measured portions or put up for retail sale in a form ready for use</t>
  </si>
  <si>
    <t>Photographic goods: chemical preparations other than sensitised emulsions, put up in measured portions or put up for retail sale in a form ready for use</t>
  </si>
  <si>
    <t>Graphite: artificial</t>
  </si>
  <si>
    <t>Graphite: colloidal or semi-colloidal</t>
  </si>
  <si>
    <t>Carbonaceous pastes: for electrodes and similar pastes for furnace linings</t>
  </si>
  <si>
    <t>Graphite or other carbon based preparations: in the form of pastes, blocks, plates or other semi-manufactures</t>
  </si>
  <si>
    <t>Carbon: activated</t>
  </si>
  <si>
    <t>Chemical products: activated natural mineral products, animal black, including spent animal black</t>
  </si>
  <si>
    <t>Chemical products: tall oil, whether or not refined</t>
  </si>
  <si>
    <t>Lyes, residual: from the manufacture of wood pulp, whether or not concentrated, desugared or chemically treated, including lignin sulphonates but excluding tall oil of heading no. 3803</t>
  </si>
  <si>
    <t>Terpenic oils: gum, wood or sulphate turpentine oils</t>
  </si>
  <si>
    <t>Terpenic oils: produced by the treatment of coniferous woods, crude dipentene, sulphite turpentine and other crude para-cymene, n.e.c. in heading no. 3805</t>
  </si>
  <si>
    <t>Rosin and resin acids</t>
  </si>
  <si>
    <t>Rosin and resin: salts of rosin, of resin acids or of derivatives of rosin or resin acids, other than salts of rosin adducts</t>
  </si>
  <si>
    <t>Ester gums</t>
  </si>
  <si>
    <t>Rosin: spirit and oils, n.e.c. in heading no. 3806</t>
  </si>
  <si>
    <t>Wood tar: wood tar oils: wood creosote: wood naphtha: vegetable pitch: brewers' pitch and similar preparations based on rosin, resin acids or on vegetable pitch</t>
  </si>
  <si>
    <t>Insecticides, rodenticides, fungicides, disinfectants, herbicides and the like: containing one or more substances specified in Subheading Note 1 to this Chapter: put up in forms or packings for retail sale or as preparations or articles</t>
  </si>
  <si>
    <t>Insecticides: not containing substances of 3808.50: put up in forms or packings for retail sale or as preparations or articles</t>
  </si>
  <si>
    <t>Fungicides: not containing substances of 3808.50: put up in forms or packings for retail sale or as preparations or articles</t>
  </si>
  <si>
    <t>Herbicides, anti-sprouting products and plant-growth regulators: not containing substances of 3808.50: put up in forms or packings for retail sale or as preparations or articles</t>
  </si>
  <si>
    <t>Disinfectants and similar products: not containing substances of 3808.50: in forms, packings or articles for retail sale</t>
  </si>
  <si>
    <t>Rodenticides and similar products: not containing substances of 3808.50: n.e.c. in heading no. 3808.9, in forms, packings or articles for retail sale</t>
  </si>
  <si>
    <t>Finishing agents and dye carriers: to accelerate dyeing or fixing of dye-stuffs, other products and preparations, used in textile, paper, leather etc industries, with basis of amylaceous substances, n.e.c.</t>
  </si>
  <si>
    <t>Finishing agents and dye carriers: to accelerate dyeing or fixing of dye-stuffs, other products and preparations, used in the textile industry (excluding those with a basis of amylaceous substances)</t>
  </si>
  <si>
    <t>Finishing agents and dye carriers: to accelerate dyeing or fixing of dye-stuffs, other products and preparations, used in the paper industry (excluding those with a basis of amylaceous substances)</t>
  </si>
  <si>
    <t>Finishing agents and dye carriers: to accelerate dyeing or fixing of dye-stuffs, other products and preparations, used in the leather or like (excluding paper and textile) industries, (excluding those with a basis of amylaceous substances)</t>
  </si>
  <si>
    <t>Pickling preparations for metal surfaces: soldering, brazing or welding powders and pastes consisting of metal and other materials</t>
  </si>
  <si>
    <t>Fluxes and other auxiliary preparations: for soldering, brazing or welding, or preparations used as cores or coatings for welding electrodes or rods</t>
  </si>
  <si>
    <t>Anti-knock preparations: based on lead compounds</t>
  </si>
  <si>
    <t>Anti-knock preparations: other than those based on lead compounds</t>
  </si>
  <si>
    <t>Lubricating oil additives: containing petroleum oils or oils obtained from bituminous minerals</t>
  </si>
  <si>
    <t>Lubricating oil additives: not containing petroleum oils or oils obtained from bituminous minerals</t>
  </si>
  <si>
    <t>Oxidation and gum inhibitors, viscosity improvers, anti-corrosive preparations, other prepared additives for mineral oils or liquids used as mineral oils (including gasoline), n.e.c. in heading no. 3811</t>
  </si>
  <si>
    <t>Rubber accelerators: prepared</t>
  </si>
  <si>
    <t>Plasticisers, compound: for rubber or plastics</t>
  </si>
  <si>
    <t>Anti-oxidising preparations and other compound stabilisers: for rubber or plastics, n.e.c. or included</t>
  </si>
  <si>
    <t>Fire-extinguishers: preparations and charges and charged fire-extinguishing grenades</t>
  </si>
  <si>
    <t>Solvents and thinners: organic composite solvents and thinners, n.e.c. or included, prepared paint or varnish removers</t>
  </si>
  <si>
    <t>Catalysts, supported: reaction initiators, reaction accelerators and catalytic preparations, with nickel or nickel compounds as the active substance, n.e.c. or included</t>
  </si>
  <si>
    <t>Catalysts, supported: reaction initiators, reaction accelerators and catalytic preparations, with precious metal or precious metal compounds as the active substance, n.e.c. or included</t>
  </si>
  <si>
    <t>Catalysts, supported: reaction initiators, reaction accelerators and catalytic preparations, with an active substance other than nickel or precious metals or their compounds, n.e.c. or included</t>
  </si>
  <si>
    <t>Reaction initiators, reaction accelerators and catalytic preparations, unsupported, n.e.c. or included</t>
  </si>
  <si>
    <t>Refractory cements, mortars, concretes and similar compositions: other than products of heading no. 3801</t>
  </si>
  <si>
    <t>Mixed alkylbenzenes and mixed alkylnaphthalenes, other than those of heading no. 2707 or 2902</t>
  </si>
  <si>
    <t>Chemical elements: doped for use in electronics, in the form of discs, wafers or similar forms: chemical compounds doped for use in electronics</t>
  </si>
  <si>
    <t>Hydraulic fluids: for brakes and other prepared liquids for hydraulic transmission, not containing or containing less than 70% by weight of petroleum oils or oils obtained from bituminous minerals</t>
  </si>
  <si>
    <t>Anti-freezing preparations and prepared de-icing fluids</t>
  </si>
  <si>
    <t>Prepared culture media for the development or maintenance of micro-organisms (including viruses and the like) or of plant, human or animal cells</t>
  </si>
  <si>
    <t>insumo para labotatorio, no necesariamente farma</t>
  </si>
  <si>
    <t>Reagents: diagnostic or laboratory reagents on a backing and prepared diagnostic or laboratory reagents whether or not on a backing, other than those of heading no. 3002 or 3006: certified reference material</t>
  </si>
  <si>
    <t>Industrial monocarboxylic fatty acids, acid oils from refining: stearic acid</t>
  </si>
  <si>
    <t>Industrial monocarboxylic fatty acids, acid oils from refining: oleic acid</t>
  </si>
  <si>
    <t>Industrial monocarboxylic fatty acids, acid oils from refining: tall oil fatty acids</t>
  </si>
  <si>
    <t>Industrial monocarboxylic fatty acids: acid oils from refining: (other than stearic acid, oleic acid or tall oil fatty acids)</t>
  </si>
  <si>
    <t>Industrial fatty alcohols</t>
  </si>
  <si>
    <t>Binders, prepared: for foundry moulds or cores</t>
  </si>
  <si>
    <t>Metal carbides, non-agglomerated: mixed together or with metallic binders</t>
  </si>
  <si>
    <t>Cements, mortars or concretes: their prepared additives</t>
  </si>
  <si>
    <t>Mortars and concretes: non-refractory</t>
  </si>
  <si>
    <t>Sorbitol: other than that of subheading no. 2905.44</t>
  </si>
  <si>
    <t>Mixtures containing halogenated derivatives of methane, ethane or propane: containing chlorofluorocarbons (CFCs), whether or not containing hydrochlorofluorocarbons (HCFCs), perfluorocarbons (PFCs) or hydrofluorocarbons (HFCs)</t>
  </si>
  <si>
    <t>Mixtures containing halogenated derivatives of methane, ethane or propane: containing bromochlorodifluoromethane, bromotrifluoromethane or dibromotetrafluoroethanes</t>
  </si>
  <si>
    <t>Mixtures containing halogenated derivatives of methane, ethane or propane: containing hydrobromofluorocarbons (HBFCs)</t>
  </si>
  <si>
    <t>Mixtures containing halogenated derivatives of methane, ethane or propane: containing hydrochlorofluorocarbons (HCFCs), whether or not containing perfluorocarbons (PFCs) or hydrofluorocarbons (HFCs), but not containing chlorofluorocarbons (CFCs)</t>
  </si>
  <si>
    <t>Mixtures containing halogenated derivatives of methane, ethane or propane: containing carbon tetrachloride</t>
  </si>
  <si>
    <t>Mixtures containing halogenated derivatives of methane, ethane or propane: containing 1,1,1-trichloroethane (methyl chloroform)</t>
  </si>
  <si>
    <t>Mixtures containing halogenated derivatives of methane, ethane or propane: containing bromomethane (methyl bromide) or bromochloromethane</t>
  </si>
  <si>
    <t>Mixtures containing halogenated derivatives of methane, ethane or propane: containing perfluorocarbons (PFCs) or hydrofluorocarbons (HFCs), but not containing chlorofluorocarbons (CFCs) or hydrochlorofluorocarbons (HCFCs)</t>
  </si>
  <si>
    <t>Mixtures containing halogenated derivatives of methane, ethane or propane: n.e.c. in item no. 3827.7</t>
  </si>
  <si>
    <t>Mixtures and preparations containing oxirane (ethylene oxide)</t>
  </si>
  <si>
    <t>Mixtures and preparations containing polychlorinated biphenyls (PCBs), polychlorinated terphenyls (PCTs) or polybrominated biphenyls (PBBs)</t>
  </si>
  <si>
    <t>Mixtures and preparations containing tris(2,3-dibromopropyl) phosphate</t>
  </si>
  <si>
    <t>Chemical products, preparations and residual products of the chemical or allied industries, n.e.c. or included in heading no. 3824</t>
  </si>
  <si>
    <t>Residual products of the chemical or allied industries, not elsewhere specified or included: municipal waste</t>
  </si>
  <si>
    <t>Residual products of the chemical or allied industries, not elsewhere specified or included: sewage sludge</t>
  </si>
  <si>
    <t>Residual products of the chemical or allied industries, not elsewhere specified or included: clinical waste</t>
  </si>
  <si>
    <t>Residual products of the chemical or allied industries, not elsewhere specified or included: halogenated waste organic solvents</t>
  </si>
  <si>
    <t>Residual products of the chemical or allied industries, not elsewhere specified or included: waste organic solvents, other than halogenated</t>
  </si>
  <si>
    <t>Residual products of chemical or allied industries, not elsewhere specified or included: wastes of metal pickling liquors, hydraulic fluids, brake fluids and anti-freeze fluids</t>
  </si>
  <si>
    <t>Residual products of the chemical or allied industries, not elsewhere specified or included: (other than sewage sludge, municipal waste or waste covered in 27.10): other wastes n.e.c. in 3825: those mainly containing organic constituents</t>
  </si>
  <si>
    <t>Residual products of the chemical or allied industries, not elsewhere specified or included: (other than sewage sludge, municipal waste or waste covered by 27.10): other wastes n.e.c. in 3825: except those mainly containing organic constituents</t>
  </si>
  <si>
    <t>Residual products of the chemical or allied industries, not elsewhere specified or included: n.e.c. in 3825 or 27.10</t>
  </si>
  <si>
    <t>Ethylene polymers: in primary forms, polyethylene having a specific gravity of less than 0.94</t>
  </si>
  <si>
    <t>Ethylene polymers: in primary forms, polyethylene having a specific gravity of 0.94 or more</t>
  </si>
  <si>
    <t>Ethylene polymers: in primary forms, ethylene-vinyl acetate copolymers</t>
  </si>
  <si>
    <t>Ethylene polymers: in primary forms, n.e.c. in heading no. 3901</t>
  </si>
  <si>
    <t>Propylene, other olefin polymers: polypropylene in primary forms</t>
  </si>
  <si>
    <t>Propylene, other olefin polymers: polyisobutylene in primary forms</t>
  </si>
  <si>
    <t>Propylene, other olefin polymers: propylene copolymers in primary forms</t>
  </si>
  <si>
    <t>Propylene, other olefin polymers: n.e.c. in heading no. 3902, in primary forms</t>
  </si>
  <si>
    <t>Styrene polymers: expansible polystyrene, in primary forms</t>
  </si>
  <si>
    <t>Styrene polymers: (other than expansible polystyrene), in primary forms</t>
  </si>
  <si>
    <t>Styrene polymers: styrene-acrylonitrile (SAN) copolymers, in primary forms</t>
  </si>
  <si>
    <t>Styrene polymers: acrylonitrile-butadiene-styrene (ABS) copolymers, in primary forms</t>
  </si>
  <si>
    <t>Styrene polymers: in primary forms, n.e.c. in heading no. 3903</t>
  </si>
  <si>
    <t>Vinyl chloride, other halogenated olefin polymers: poly(vinyl chloride), not mixed with any other substances, in primary forms</t>
  </si>
  <si>
    <t>Vinyl chloride, other halogenated olefin polymers: non-plasticised poly(vinyl chloride), in primary forms, mixed with other substances</t>
  </si>
  <si>
    <t>Vinyl chloride, other halogenated olefin polymers: plasticised poly(vinyl chloride), in primary forms, mixed with other substances</t>
  </si>
  <si>
    <t>Vinyl chloride, other halogenated olefin polymers: vinyl chloride-vinyl acetate copolymers, in primary forms</t>
  </si>
  <si>
    <t>Vinyl chloride, other halogenated olefin polymers: vinyl chloride copolymers, in primary forms n.e.c. in heading no. 3904</t>
  </si>
  <si>
    <t>Vinyl chloride, other halogenated olefin polymers: vinylidene chloride polymers, in primary forms</t>
  </si>
  <si>
    <t>Halogenated olefin polymers: fluoro-polymers, polytetrafluoroethylene, in primary forms</t>
  </si>
  <si>
    <t>Halogenated olefin polymers: fluoro-polymers (other than polytetrafluoroethylene), in primary forms</t>
  </si>
  <si>
    <t>Vinyl chloride, other halogenated olefin polymers: n.e.c. in heading no. 3904</t>
  </si>
  <si>
    <t>Poly(vinyl acetate): in aqueous dispersion, in primary forms</t>
  </si>
  <si>
    <t>Poly(vinyl acetate): (other than in aqueous dispersion), in primary forms</t>
  </si>
  <si>
    <t>Vinyl acetate copolymers: in aqueous dispersion, in primary forms</t>
  </si>
  <si>
    <t>Vinyl acetate copolymers: (other than in aqueous dispersion), in primary forms</t>
  </si>
  <si>
    <t>Poly(vinyl alcohol): whether or not containing unhydrolysed acetate groups</t>
  </si>
  <si>
    <t>Vinyl acetate, vinyl ester polymers, vinyl polymers: n.e.c. in heading no. 3905, in primary forms, copolymers</t>
  </si>
  <si>
    <t>Vinyl acetate, vinyl ester polymers, vinyl polymers: n.e.c. in heading no. 3905, in primary forms, other than copolymers</t>
  </si>
  <si>
    <t>Acrylic polymers: poly(methyl methacrylate), in primary forms</t>
  </si>
  <si>
    <t>Acrylic polymers: (other than polymethyl methacrylate), in primary forms</t>
  </si>
  <si>
    <t>Polyacetals: in primary forms</t>
  </si>
  <si>
    <t>Polyethers: in primary forms, excluding polyacetals</t>
  </si>
  <si>
    <t>Epoxide resins: in primary forms</t>
  </si>
  <si>
    <t>Polycarbonates: in primary forms</t>
  </si>
  <si>
    <t>Alkyd resins: in primary forms</t>
  </si>
  <si>
    <t>Poly(ethylene terephthalate): in primary forms</t>
  </si>
  <si>
    <t>Poly(lactic acid): in primary forms</t>
  </si>
  <si>
    <t>Polyesters: n.e.c. in heading no. 3907, unsaturated, in primary forms</t>
  </si>
  <si>
    <t>Polyesters: n.e.c. in heading no. 3907, saturated, in primary forms</t>
  </si>
  <si>
    <t>Polyamides: polyamide-6, -11, -12, -6,6, -6,9, -6,10 or -6,12, in primary forms</t>
  </si>
  <si>
    <t>Polyamides: n.e.c. in heading no. 3908, in primary forms</t>
  </si>
  <si>
    <t>Amino-resins: urea and thiourea resins, in primary forms</t>
  </si>
  <si>
    <t>Amino-resins: melamine resins, in primary forms</t>
  </si>
  <si>
    <t>Amino-resins: n.e.c. in heading no. 3909, in primary forms</t>
  </si>
  <si>
    <t>Phenolic resins: in primary forms</t>
  </si>
  <si>
    <t>Polyurethanes: in primary forms</t>
  </si>
  <si>
    <t>Silicones: in primary forms</t>
  </si>
  <si>
    <t>Petroleum resins, coumarone, indene or coumarone-indene resins and polyterpenes: in primary forms</t>
  </si>
  <si>
    <t>Polysulphides, polysulphones and similar products of chemical synthesis n.e.c. in chapter 39: in primary forms</t>
  </si>
  <si>
    <t>Cellulose acetates: non-plasticised, in primary forms</t>
  </si>
  <si>
    <t>Cellulose acetates: plasticised, in primary forms</t>
  </si>
  <si>
    <t>Cellulose nitrates (including collodions): in primary forms</t>
  </si>
  <si>
    <t>Cellulose ethers: carboxymethylcellulose and its salts, in primary forms</t>
  </si>
  <si>
    <t>Cellulose ethers: (other than carboxymethylcellulose and its salts), in primary forms</t>
  </si>
  <si>
    <t>Cellulose and its chemical derivatives: n.e.c. in item no. 3912, in primary forms</t>
  </si>
  <si>
    <t>Polymers, natural: alginic acid, its salts and esters, in primary forms</t>
  </si>
  <si>
    <t>Polymers, natural and modified natural: in primary forms (excluding alginic acid, its salts and esters)</t>
  </si>
  <si>
    <t>Ion-exchangers: based on polymers of heading no. 3901 to 3913, in primary forms</t>
  </si>
  <si>
    <t>Ethylene polymers: waste, parings and scrap</t>
  </si>
  <si>
    <t>Styrene polymers: waste, parings and scrap</t>
  </si>
  <si>
    <t>Vinyl chloride polymers: waste, parings and scrap</t>
  </si>
  <si>
    <t>Plastics n.e.c. in heading no. 3915: waste, parings and scrap</t>
  </si>
  <si>
    <t>Ethylene polymers: monofilament, of which any cross-sectional dimension exceeds 1mm, rods, sticks and profile shapes, whether or not surface-worked but not otherwise worked</t>
  </si>
  <si>
    <t>Vinyl chloride polymers: monofilament, of which any cross-sectional dimension exceeds 1mm, rods, sticks and profile shapes, whether or not surface-worked but not otherwise worked</t>
  </si>
  <si>
    <t>Plastics: monofilament, of plastics n.e.c. in heading no. 3916, cross-sectional dimension exceeds 1mm, rods, sticks and profile shapes, whether or not surface-worked but not otherwise worked</t>
  </si>
  <si>
    <t>Plastics: artificial guts (sausage casings) of hardened protein or of cellulosic materials</t>
  </si>
  <si>
    <t>Plastics: tubes, pipes and hoses thereof, rigid, of polymers of ethylene</t>
  </si>
  <si>
    <t>Plastics: tubes, pipes and hoses thereof, rigid, of polymers of propylene</t>
  </si>
  <si>
    <t>Plastics: tubes, pipes and hoses thereof, rigid, of polymers of vinyl chloride</t>
  </si>
  <si>
    <t>Plastics: tubes, pipes and hoses thereof, rigid, of plastics n.e.c. in heading no. 3917</t>
  </si>
  <si>
    <t>Plastics: tubes, pipes and hoses thereof, flexible, having a minimum burst pressure of 27.6MPa</t>
  </si>
  <si>
    <t>Plastics: tubes, pipes and hoses thereof, other than those of item no. 3917.31, not reinforced or otherwise combined with other materials, without fittings</t>
  </si>
  <si>
    <t>Plastics: tubes, pipes and hoses thereof, other than those of item no. 3917.31, not reinforced or otherwise combined with other materials, with fittings</t>
  </si>
  <si>
    <t>Plastics: tubes, pipes and hoses thereof, n.e.c. in item no. 3917.30</t>
  </si>
  <si>
    <t>Plastics: tube, pipe and hose fittings (e.g. joints, elbows, flanges)</t>
  </si>
  <si>
    <t>Floor, wall or ceiling coverings: of polymers of vinyl chloride, whether or not self-adhesive, in rolls or in the form of tiles</t>
  </si>
  <si>
    <t>Floor, wall or ceiling coverings: of plastics (excluding polymers of vinyl chloride), whether or not self-adhesive, in rolls or in the form of tiles</t>
  </si>
  <si>
    <t>Plastics: plates, sheets, film, foil, tape, strip, other flat shapes thereof, self-adhesive, in rolls of a width not exceeding 20cm</t>
  </si>
  <si>
    <t>Plastics: plates, sheets, film, foil, tape, strip, other flat shapes thereof, self-adhesive, other than in rolls of a width not exceeding 20cm</t>
  </si>
  <si>
    <t>Plastics: plates, sheets, film, foil and strip (not self-adhesive), of polymers of ethylene, non-cellular and not reinforced, laminated, supported or similarly combined with other materials</t>
  </si>
  <si>
    <t>Plastics: of polymers of propylene, plates, sheets, film, foil and strip (not self-adhesive), non-cellular and not reinforced, laminated, supported or similarly combined with other materials</t>
  </si>
  <si>
    <t>Plastics: of polymers of styrene, plates, sheets, film, foil and strip (not self-adhesive), non-cellular and not reinforced, laminated, supported or similarly combined with other materials</t>
  </si>
  <si>
    <t>Plastics: polymers of vinyl chloride, containing by weight not less than 6% of plasticisers: plates, sheets, film, foil and strip (not self-adhesive), non-cellular and not reinforced, laminated, supported or similarly combined with other materials</t>
  </si>
  <si>
    <t>Plastics: polymers of vinyl chloride, containing by weight, less than 6% of plasticisers: plates, sheets, film, foil and strip (not self-adhesive), non-cellular and not reinforced, laminated, supported or similarly combined with other materials</t>
  </si>
  <si>
    <t>Plastics: of acrylic polymers, polymethyl methacrylate, plates, sheets, film, foil and strip (not self-adhesive), non-cellular and not reinforced, laminated, supported or similarly combined with other materials</t>
  </si>
  <si>
    <t>Plastics: of acrylic polymers (excluding polymethyl methacrylate), plates, sheets, film, foil and strip (not self-adhesive), non-cellular and not reinforced, laminated, supported or similarly combined with other materials</t>
  </si>
  <si>
    <t>Plastics: plates, sheets, film, foil and strip (not self-adhesive), of polycarbonates, non-cellular and not reinforced, laminated, supported or similarly combined with other materials</t>
  </si>
  <si>
    <t>Plastics: plates, sheets, film, foil and strip (not self-adhesive), of poly(ethylene terephthalate), non-cellular and not reinforced, laminated, supported or similarly combined with other materials</t>
  </si>
  <si>
    <t>Plastics: plates, sheets, film, foil and strip (not self-adhesive), of unsaturated polyesters, non-cellular and not reinforced, laminated, supported or similarly combined with other materials</t>
  </si>
  <si>
    <t>Plastics: plates, sheets, film, foil and strip (not self-adhesive), of polyesters n.e.c. in heading no. 3920, non-cellular and not reinforced, laminated, supported or similarly combined with other materials</t>
  </si>
  <si>
    <t>Plastics: plates, sheets, film, foil and strip (not self-adhesive), of regenerated cellulose: non-cellular and not reinforced, laminated, supported or similarly combined with other materials</t>
  </si>
  <si>
    <t>Plastics: plates, sheets, film, foil and strip (not self-adhesive), of cellulose acetate, non-cellular and not reinforced, laminated, supported or similarly combined with other materials</t>
  </si>
  <si>
    <t>Plastics: plates, sheets, film, foil and strip (not self-adhesive), of cellulose derivatives n.e.c. in heading no. 3920, non-cellular and not reinforced, laminated, supported or similarly combined with other materials</t>
  </si>
  <si>
    <t>Plastics: plates, sheets, film, foil and strip (not self-adhesive), of poly(vinyl butyral), non-cellular and not reinforced, laminated, supported or similarly combined with other materials</t>
  </si>
  <si>
    <t>Plastics: plates, sheets, film, foil and strip (not self-adhesive), of polyamides, non-cellular and not reinforced, laminated, supported or similarly combined with other materials</t>
  </si>
  <si>
    <t>Plastics: plates, sheets, film, foil and strip (not self-adhesive), of amino-resins, non-cellular and not reinforced, laminated, supported or similarly combined with other materials</t>
  </si>
  <si>
    <t>Plastics: plates, sheets, film, foil and strip (not self-adhesive), of phenolic resins, non-cellular and not reinforced, laminated, supported or similarly combined with other materials</t>
  </si>
  <si>
    <t>Plastics: plates, sheets, film, foil and strip (not self-adhesive), of plastics n.e.c. in heading no. 3920, non-cellular and not reinforced, laminated, supported or similarly combined with other materials</t>
  </si>
  <si>
    <t>Plastics: plates, sheets, film, foil and strip, of polymers of styrene, cellular</t>
  </si>
  <si>
    <t>Plastics: plates, sheets, film, foil and strip, of polymers of vinyl chloride, cellular</t>
  </si>
  <si>
    <t>Plastics: plates, sheets, film, foil and strip, of polyurethanes, cellular</t>
  </si>
  <si>
    <t>Plastics: plates, sheets, film, foil and strip, of regenerated cellulose, cellular</t>
  </si>
  <si>
    <t>Plastics: plates, sheets, film, foil and strip, of plastics n.e.c. in heading no. 3921, cellular</t>
  </si>
  <si>
    <t>Plastics: plates, sheets, film, foil and strip, other than cellular</t>
  </si>
  <si>
    <t>Plastics: baths, shower-baths, sinks and wash-basins</t>
  </si>
  <si>
    <t>Plastics: lavatory seats and covers</t>
  </si>
  <si>
    <t>Plastics: bidets, lavatory pans, flushing cisterns and similar sanitary ware n.e.c. in heading no. 3922</t>
  </si>
  <si>
    <t>Plastics: boxes, cases, crates and similar articles for the conveyance or packing of goods</t>
  </si>
  <si>
    <t>Ethylene polymers: sacks and bags (including cones), for the conveyance or packing of goods</t>
  </si>
  <si>
    <t>Plastics: sacks and bags (including cones), for the conveyance or packing of goods, of plastics other than ethylene polymers</t>
  </si>
  <si>
    <t>Plastics: carboys, bottles, flasks and similar articles, for the conveyance or packing of goods</t>
  </si>
  <si>
    <t>Plastics: spools, cops, bobbins and similar supports, for the conveyance or packing of goods</t>
  </si>
  <si>
    <t>Plastics: stoppers, lids, caps and other closures, for the conveyance or packing of goods</t>
  </si>
  <si>
    <t>Plastics: articles for the conveyance or packing of goods n.e.c. in heading no. 3923</t>
  </si>
  <si>
    <t>Plastics: tableware and kitchenware</t>
  </si>
  <si>
    <t>Plastics: household articles and hygienic or toilet articles</t>
  </si>
  <si>
    <t>Plastics: builders' ware, reservoirs, tanks, vats and similar containers of a capacity exceeding 300 litres</t>
  </si>
  <si>
    <t>Plastics: builders' ware, doors, windows and their frames and thresholds for doors</t>
  </si>
  <si>
    <t>Plastics: builders' ware, shutters, blinds (including venetian blinds) and similar articles and parts thereof</t>
  </si>
  <si>
    <t>Plastics: builders' ware, n.e.c. or included in heading no. 3925</t>
  </si>
  <si>
    <t>Plastics: office or school supplies</t>
  </si>
  <si>
    <t>Plastics: articles of apparel and clothing accessories (including gloves, mittens and mitts)</t>
  </si>
  <si>
    <t>Plastics: fittings for furniture, coachwork or the like</t>
  </si>
  <si>
    <t>Plastics: statuettes and other ornamental articles</t>
  </si>
  <si>
    <t>Plastics: other articles n.e.c. in chapter 39</t>
  </si>
  <si>
    <t>Rubber: natural rubber latex, whether or not pre-vulcanised, in primary forms or in plates, sheets or strip</t>
  </si>
  <si>
    <t>Rubber: natural (excluding latex), in smoked sheets</t>
  </si>
  <si>
    <t>Rubber: technically specified natural rubber (TSNR), in primary forms or in plates, sheets or strip (excluding latex and smoked sheets)</t>
  </si>
  <si>
    <t>Rubber: natural (excluding latex, technically specified natural rubber and smoked sheets), in primary forms or in plates, sheets or strip</t>
  </si>
  <si>
    <t>Balata, gutta-percha, guayule, chicle and similar natural gums: in primary forms or in plates, sheets or strip</t>
  </si>
  <si>
    <t>Rubber: synthetic, styrene-butadiene rubber (SBR) and carboxylated styrene-butadiene rubber (XSBR) latex, in primary forms or in plates, sheets or strip</t>
  </si>
  <si>
    <t>Rubber: synthetic, styrene-butadiene rubber (SBR) and carboxylated styrene-butadiene rubber (XSBR), (other than latex), in primary forms or in plates, sheets or strip</t>
  </si>
  <si>
    <t>Rubber: synthetic, butadiene rubber (BR), in primary forms or in plates, sheets or strip</t>
  </si>
  <si>
    <t>Rubber: synthetic, isobutene-isoprene (butyl) rubber (IIR), in primary forms or in plates, sheets or strip</t>
  </si>
  <si>
    <t>Rubber: synthetic, halo-isobutene-isoprene rubber (CIIR or BIIR), in primary forms or in plates, sheets or strip</t>
  </si>
  <si>
    <t>Rubber: synthetic, chloroprene (chlorobutadiene) rubber (CR), latex, in primary forms or in plates, sheets or strip</t>
  </si>
  <si>
    <t>Rubber: synthetic, chloroprene (chlorobutadiene) rubber (CR), (other than latex), in primary forms or in plates, sheets or strip</t>
  </si>
  <si>
    <t>Rubber: synthetic, acrylonitrile-butadiene rubber (NBR), latex, in primary forms or in plates, sheets or strip</t>
  </si>
  <si>
    <t>Rubber: synthetic, acrylonitrile-butadiene rubber (NBR), (other than latex), in primary forms or in plates, sheets or strip</t>
  </si>
  <si>
    <t>Rubber: synthetic, isoprene rubber (IR), in primary forms or in plates, sheets or strip</t>
  </si>
  <si>
    <t>Rubber: synthetic, ethylene-propylene-non-conjugated diene rubber (EPDM), in primary forms or in plates, sheets or strip</t>
  </si>
  <si>
    <t>Rubber: mixtures of natural and synthetic rubbers of heading no. 4001 and 4002, in primary forms or in plates, sheets or strip</t>
  </si>
  <si>
    <t>Rubber: synthetic, n.e.c. in heading 4002, latex, in primary forms or in plates, sheets or strip</t>
  </si>
  <si>
    <t>Rubber: synthetic, n.e.c. in heading 4002, (other than latex), in primary forms or in plates, sheets or strip</t>
  </si>
  <si>
    <t>Rubber: reclaimed rubber, in primary forms or in plates, sheets or strip</t>
  </si>
  <si>
    <t>Rubber: waste, parings and scrap of rubber (other than hard rubber) and powders and granules obtained therefrom</t>
  </si>
  <si>
    <t>Rubber: unvulcanised, compounded with carbon black or silica, in primary forms or in plates, sheets or strip</t>
  </si>
  <si>
    <t>Rubber: unvulcanised, compounded, solutions and dispersions other than those of item no. 4005.10</t>
  </si>
  <si>
    <t>Rubber: unvulcanised, (compounded other than with carbon black or silica), in plates, sheets and strip</t>
  </si>
  <si>
    <t>Rubber: unvulcanised, (compounded other than with carbon black or silica), in primary forms, (other than plates, sheets, strip, solutions or dispersions)</t>
  </si>
  <si>
    <t>Rubber: unvulcanised, camel-back strips for retreading rubber tyres</t>
  </si>
  <si>
    <t>Rubber: unvulcanised, other than camel back strips for retreading rubber tyres</t>
  </si>
  <si>
    <t>Rubber: vulcanised, thread and cord</t>
  </si>
  <si>
    <t>Rubber: vulcanised (other than hard rubber), in plates, sheets and strip of cellular rubber</t>
  </si>
  <si>
    <t>Rubber: vulcanised (other than hard rubber), cellular rubber, (other than in plates, sheets or strip)</t>
  </si>
  <si>
    <t>Rubber: vulcanised (other than hard rubber), in plates, sheets and strip, of non-cellular rubber</t>
  </si>
  <si>
    <t>Rubber: vulcanised (other than hard rubber), non-cellular rubber, in forms other than plates, sheets or strip</t>
  </si>
  <si>
    <t>Rubber: vulcanised (other than hard rubber), tubing, piping and hoses, not reinforced or otherwise combined with other materials, without fittings</t>
  </si>
  <si>
    <t>Rubber: vulcanised (other than hard rubber), tubing, piping and hoses, not reinforced or otherwise combined with other materials, with fittings</t>
  </si>
  <si>
    <t>Rubber: vulcanised (other than hard rubber), tubing, piping and hoses, reinforced or otherwise combined only with metal, without fittings</t>
  </si>
  <si>
    <t>Rubber: vulcanised (other than hard rubber), tubing, piping and hoses, reinforced or otherwise combined only with metal, with fittings</t>
  </si>
  <si>
    <t>Rubber: vulcanised (other than hard rubber), tubing, piping and hoses, reinforced or otherwise combined only with textile materials, without fittings</t>
  </si>
  <si>
    <t>Rubber: vulcanised (other than hard rubber), tubing, piping and hoses, reinforced or otherwise combined only with textile materials, with fittings</t>
  </si>
  <si>
    <t>Rubber: vulcanised (other than hard rubber), tubing, piping and hoses, reinforced or otherwise combined with materials other than metal or textiles, without fittings</t>
  </si>
  <si>
    <t>Rubber: vulcanised (other than hard rubber), tubing, piping and hoses, reinforced or otherwise combined with materials other than metal or textiles, with fittings</t>
  </si>
  <si>
    <t>Rubber: vulcanised, conveyor belts or belting, reinforced only with metal</t>
  </si>
  <si>
    <t>Rubber: vulcanised, conveyor belts or belting, reinforced only with textile materials</t>
  </si>
  <si>
    <t>Rubber: vulcanised, conveyor belts or belting, (reinforced with other than metal only or textile materials only)</t>
  </si>
  <si>
    <t>Rubber: vulcanised, endless transmission belts of trapezoidal cross-section (V-belts), V-ribbed, of an outside circumference exceeding 60cm but not exceeding 180 cm</t>
  </si>
  <si>
    <t>Rubber: vulcanised, endless transmission belts of trapezoidal cross-section (V-belts), other than V-ribbed, of an outside circumference exceeding 60cm but not exceeding 180 cm</t>
  </si>
  <si>
    <t>Rubber: vulcanised, endless transmission belts of trapezoidal cross-section (V-belts), V-ribbed, of an outside circumference exceeding 180cm but not exceeding 240 cm</t>
  </si>
  <si>
    <t>Rubber: vulcanised, endless transmission belts of trapezoidal cross-section (V-belts), other than V-ribbed, of an outside circumference exceeding 180cm but not exceeding 240 cm</t>
  </si>
  <si>
    <t>Rubber: vulcanised, endless synchronous belts, of an outside circumference exceeding 60 cm but not exceeding 150 cm</t>
  </si>
  <si>
    <t>Rubber: vulcanised, endless synchronous belts, of an outside circumference exceeding 150 cm but not exceeding 198 cm</t>
  </si>
  <si>
    <t>Rubber: vulcanised, conveyor or transmission belts or belting, n.e.c. in heading no. 4010</t>
  </si>
  <si>
    <t>Rubber: new pneumatic tyres, of a kind used on motor cars (including station wagons and racing cars)</t>
  </si>
  <si>
    <t>Rubber: new pneumatic tyres, of a kind used on buses or lorries</t>
  </si>
  <si>
    <t>Rubber: new pneumatic tyres, of a kind used on aircraft</t>
  </si>
  <si>
    <t>Rubber: new pneumatic tyres, of a kind used on motorcycles</t>
  </si>
  <si>
    <t>Rubber: new pneumatic tyres, of a kind used on bicycles</t>
  </si>
  <si>
    <t>Rubber: new pneumatic tyres having a herring-bone or similar tread, of a kind used on agricultural or forestry vehicles and machines</t>
  </si>
  <si>
    <t>Rubber: new pneumatic tyres having a herring-bone or similar tread, of a kind used on construction or industrial handling vehicles and machines and having a rim size not exceeding 61cm</t>
  </si>
  <si>
    <t>Rubber: new pneumatic tyres having a herring-bone or similar tread, of a kind used on construction or industrial handling vehicles and machines and having a rim size exceeding 61cm</t>
  </si>
  <si>
    <t>Rubber: new pneumatic tyres having a herring-bone or similar tread, of a kind used on light industrial vehicles</t>
  </si>
  <si>
    <t>Rubber: new pneumatic tyres having other than a herring-bone or similar tread, of a kind used on agricultural or forestry vehicles and machines</t>
  </si>
  <si>
    <t>Rubber: new pneumatic tyres having other than a herring-bone or similar tread, of a kind used on construction or industrial handling vehicles and machines and having a rim size not exceeding 61cm</t>
  </si>
  <si>
    <t>Rubber: new pneumatic tyres having other than a herring-bone or similar tread, of a kind used on construction or industrial handling vehicles and machines and having a rim size exceeding 61cm</t>
  </si>
  <si>
    <t>Rubber: new pneumatic tyres having other than a herring-bone or similar tread, of a kind used on light industrial vehicles</t>
  </si>
  <si>
    <t>Retreaded tyres : of a kind used on motor cars (including station wagons and racing cars)</t>
  </si>
  <si>
    <t>Retreaded tyres: of a kind used on motor buses or lorries</t>
  </si>
  <si>
    <t>Retreaded tyres: of a kind used on aircraft</t>
  </si>
  <si>
    <t>Retreaded tyres: other than of a kind used on motor cars (including station wagons and racing cars), buses and lorries and aircraft</t>
  </si>
  <si>
    <t>Rubber: used pneumatic tyres</t>
  </si>
  <si>
    <t>Rubber: tyres n.e.c. in heading no. 4012</t>
  </si>
  <si>
    <t>Rubber: inner tubes, of a kind used on motorcars (including station wagons and racing cars), buses and lorries</t>
  </si>
  <si>
    <t>Rubber: inner tubes, of a kind used on bicycles</t>
  </si>
  <si>
    <t>Rubber: inner tubes, n.e.c. in heading no. 4013</t>
  </si>
  <si>
    <t>Rubber: vulcanised (other than hard rubber), sheath contraceptives</t>
  </si>
  <si>
    <t>Rubber: vulcanised (other than hard rubber), hygienic or pharmaceutical articles (excluding sheath contraceptives), with or without fittings of hard rubber</t>
  </si>
  <si>
    <t>Rubber: vulcanised (other than hard rubber), surgical gloves</t>
  </si>
  <si>
    <t>Rubber: vulcanised (other than hard rubber), gloves, mittens and mitts other than surgical gloves</t>
  </si>
  <si>
    <t>Rubber: vulcanised (other than hard rubber), articles of apparel and clothing accessories (other than gloves, mittens and mitts)</t>
  </si>
  <si>
    <t>Rubber: vulcanised (other than hard rubber), moulded rubber mats and mats of non-rectangular shape made by cutting from the piece, of cellular rubber</t>
  </si>
  <si>
    <t>Rubber: vulcanised (other than hard rubber), floor coverings and mats, of non-cellular rubber</t>
  </si>
  <si>
    <t>Rubber: vulcanised (other than hard rubber), erasers, of non-cellular rubber</t>
  </si>
  <si>
    <t>Rubber: vulcanised (other than hard rubber), gaskets, washers and other seals, of non-cellular rubber</t>
  </si>
  <si>
    <t>Rubber: vulcanised (other than hard rubber), boat or dock fenders, whether or not inflatable, of non-cellular rubber</t>
  </si>
  <si>
    <t>Rubber: vulcanised (other than hard rubber), inflatable articles (other than boat or dock fenders), of non-cellular rubber</t>
  </si>
  <si>
    <t>Rubber: vulcanised (other than hard rubber), articles n.e.c. in heading no. 4016, of non-cellular rubber</t>
  </si>
  <si>
    <t>Rubber: ebonite and other hard rubbers in all forms, including waste and scrap, and articles of hard rubber</t>
  </si>
  <si>
    <t>Hides and skins: raw, whole, of bovine or equine animals, of a weight per skin not exceeding 8kg when simply dried, 10kg when dry-salted or 16kg when fresh, wet-salted or otherwise preserved</t>
  </si>
  <si>
    <t>Hides and skins: raw, whole, of bovine or equine animals, of a weight per skin exceeding 16 kg</t>
  </si>
  <si>
    <t>Hides and skins: (not whole), but including butts, bends and bellies, of bovine (incl. buffalo) and equine animals, fresh, salted or preserved, but not tanned, parchment dressed or further prepared, whether or not dehaired or split</t>
  </si>
  <si>
    <t>Skins: raw, of sheep or lambs, fresh, or salted, dried, limed, pickled or otherwise preserved, (but not tanned, parchment-dressed or further prepared), with wool on</t>
  </si>
  <si>
    <t>Skins: raw, of sheep or lambs, pickled (but not tanned, parchment-dressed or further preserved), without wool on</t>
  </si>
  <si>
    <t>Hides and skins: raw, of animals n.e.c. in this chapter, fresh, salted, dried, limed, pickled or otherwise preserved, (but not tanned, parchment-dressed or further prepared), whether or not dehaired or split</t>
  </si>
  <si>
    <t>Hides and skins: raw, of reptiles (fresh or salted, dried, limed, pickled or otherwise preserved, but not tanned, parchment-dressed or further prepared), whether or not dehaired or split</t>
  </si>
  <si>
    <t>Hides and skins: raw, of swine, (fresh or salted, dried, limed, pickled or otherwise preserved, but not tanned, parchment-dressed or further prepared), whether or not dehaired or split</t>
  </si>
  <si>
    <t>Tanned or crust hides and skins: without hair on, bovine or equine, in the wet state (including wet blue), full grains, unsplit: grain splits</t>
  </si>
  <si>
    <t>Tanned or crust hides and skins: bovine or equine, without hair on, in the wet state (including wet blue), excluding full grains, unsplit: grain splits</t>
  </si>
  <si>
    <t>Tanned or crust hides and skins: bovine or equine, without hair on, in the dry state (crust), full grains, unsplit: grain splits</t>
  </si>
  <si>
    <t>Tanned or crust hides and skins: bovine or equine, without hair on, in the dry state (crust), (other than full grains, unsplit: grain splits)</t>
  </si>
  <si>
    <t>Tanned or crust skins of sheep and lambs, without wool on, whether or not split, but not further prepared, in the wet state ( including wet blue)</t>
  </si>
  <si>
    <t>Tanned or crust skins: of sheep or lambs, without wool on, whether or not split, but not further prepared, in the dry state (crust)</t>
  </si>
  <si>
    <t>Tanned or crust hides and skins: of goats or kids, without hair on, whether or not split, but not further prepared, in the wet state (including wet blue)</t>
  </si>
  <si>
    <t>Tanned or crust hides and skins: of goats or kids, without hair on, whether or not split, but not further prepared, in the dry state (crust)</t>
  </si>
  <si>
    <t>Tanned or crust hides and skins: of swine, without hair on, whether or not split, but not further prepared, in the wet state (including wet blue)</t>
  </si>
  <si>
    <t>Tanned or crust hides and skins: of swine, without hair on, whether or not split, but not further prepared, in the dry state (crust)</t>
  </si>
  <si>
    <t>Tanned or crust hides and skins: of reptiles, whether or not split, but not further prepared</t>
  </si>
  <si>
    <t>Tanned or crust hides and skins: of animals other than equine, ovine, bovine, goats or kids, swine and reptiles, without wool or hair on, whether or not split, but not further prepared, in the wet state (including wet blue)</t>
  </si>
  <si>
    <t>Tanned or crust hides and skins: of animals other than equine, ovine, bovine, goats or kids, swine and reptiles, without wool or hair on, whether or not split, but not further prepared, in the dry state (crust)</t>
  </si>
  <si>
    <t>Leather: further prepared after tanning or crusting, including parchment-dressed leather, of bovine (including buffalo) or equine animals, without hair on, other than leather of heading 41.14, whole hides and skins, full grain, unsplit</t>
  </si>
  <si>
    <t>Leather: further prepared after tanning or crusting, including parchment-dressed leather, of bovine (including buffalo) or equine animals, without hair on, other than leather of heading 41.14, whole hides and skins, grain splits</t>
  </si>
  <si>
    <t>Leather: further prepared after tanning or crusting, including parchment-dressed, of bovine (including buffalo) or equine animals, without hair on, split or not, other than leather of heading 41.14, (other than grain splits and full grains, unsplit)</t>
  </si>
  <si>
    <t>Leather: further prepared after tanning or crusting, including parchment-dressed, of bovine (including buffalo) or equine animals, without hair on, other than leather of heading 41.14, not whole hides and skins, but including sides, full grain, unsplit</t>
  </si>
  <si>
    <t>Leather: further prepared after tanning or crusting, including parchment-dressed, of bovine (including buffalo) or equine animals, without hair on, other than leather of heading 41.14, not whole hides and skins, but including sides, grain splits</t>
  </si>
  <si>
    <t>Leather: further prepared after tanning or crusting, incl. parchment-dressed, of bovine (including buffalo) or equine animals, no hair, excluding leather of heading 41.14, and whole hides and skins, and sides, (full grains, unsplit and grain splits)</t>
  </si>
  <si>
    <t>Leather: further prepared after tanning or crusting, including parchment dressed leather, of sheep or lamb, without wool on, whether or not split, other than leather of heading 41.14</t>
  </si>
  <si>
    <t>Leather: further prepared after tanning or crusting, including parchment-dressed leather, without hair on, whether or not split, other than leather of heading 41.14, of goats and kids</t>
  </si>
  <si>
    <t>Leather: further prepared after tanning or crusting, including parchment-dressed leather, without hair on, whether or not split, other than leather of heading 41.14, of swine</t>
  </si>
  <si>
    <t>Leather: further prepared after tanning or crusting, including parchment-dressed leather, of reptiles, whether or not split, other than leather of heading 41.14</t>
  </si>
  <si>
    <t>Leather: further prepared after tanning or crusting, including parchment-dressed leather, of animals (other than sheep and lambs, goats and kids, swine and reptiles), without wool or hair on, whether or not split, other than leather of heading 41.14</t>
  </si>
  <si>
    <t>Leather: chamois (including combination chamois)</t>
  </si>
  <si>
    <t>Leather: patent leather and laminated patent leather: metallised leather</t>
  </si>
  <si>
    <t>Leather: composition leather with a basis of leather or leather fibre, in slabs, sheets or strip, whether or not in rolls</t>
  </si>
  <si>
    <t>Leather: parings and other waste, of leather or composition leather: not suitable for the manufacture of leather articles: leather dust, powder and flour</t>
  </si>
  <si>
    <t>Saddlery and harness: for any animal (including traces, leads, knee pads, muzzles, saddle cloths, saddle bags, dog coats and the like), of any materials</t>
  </si>
  <si>
    <t>Cases and containers: trunks, suit-cases, vanity-cases, executive-cases, brief-cases, school satchels and similar containers, with outer surface of leather, of composition leather or of patent leather</t>
  </si>
  <si>
    <t>Cases and containers: trunks, suit-cases, vanity-cases, executive-cases, brief-cases, school satchels and similar containers, with outer surface of plastics or of textile materials</t>
  </si>
  <si>
    <t>Cases and containers: trunks, suit-cases, vanity-cases, executive-cases, brief-cases, school satchels and similar containers, with outer surface of vulcanised fibre, paperboard or paper</t>
  </si>
  <si>
    <t>Cases and containers: handbags (whether or not with shoulder strap and including those without handle), with outer surface of leather, of composition leather or of patent leather</t>
  </si>
  <si>
    <t>Cases and containers: handbags (whether or not with shoulder strap and including those without handle), with outer surface of plastic sheeting or of textile materials</t>
  </si>
  <si>
    <t>Cases and containers: handbags (whether or not with shoulder strap and including those without handle), with outer surface of vulcanised fibre, paperboard or paper</t>
  </si>
  <si>
    <t>Cases and containers: of a kind normally carried in the pocket or in the handbag, with outer surface of leather or composition leather or of patent leather</t>
  </si>
  <si>
    <t>Cases and containers: of a kind normally carried in the pocket or in the handbag, with outer surface of plastic sheeting or of textile materials</t>
  </si>
  <si>
    <t>Cases and containers: of a kind normally carried in the pocket or in the handbag, with outer surface of vulcanised fibre or paperboard</t>
  </si>
  <si>
    <t>Cases and containers: with outer surface of leather, of composition leather or of patent leather, n.e.c. in heading no. 4202</t>
  </si>
  <si>
    <t>Cases and containers: with outer surface of plastic sheeting or of textile materials, n.e.c. in heading no. 4202</t>
  </si>
  <si>
    <t>Cases and containers: with outer surface of vulcanised fibre or paperboard, n.e.c. in heading no. 4202</t>
  </si>
  <si>
    <t>Apparel: articles of apparel, of leather or of composition leather</t>
  </si>
  <si>
    <t>Clothing accessories: gloves, mittens and mitts, specially designed for use in sports, of leather or composition leather, padded</t>
  </si>
  <si>
    <t>Clothing accessories: gloves, mittens and mitts, n.e.c. in heading no. 4203, of leather or composition leather, not specially designed for use in sports</t>
  </si>
  <si>
    <t>Clothing accessories: belts and bandoliers, of leather or of composition leather</t>
  </si>
  <si>
    <t>Clothing accessories: of leather or of composition leather, n.e.c. in heading no. 4203</t>
  </si>
  <si>
    <t>Leather articles: n.e.c. in chapter 42, of leather or composition leather</t>
  </si>
  <si>
    <t>Articles of gut (other than silk-worm gut), of goldbeater's skin, of bladders or of tendons</t>
  </si>
  <si>
    <t>Furskins: raw, of mink, whole, with or without head, tail or paws</t>
  </si>
  <si>
    <t>Furskins: raw, of Astrakhan, Broadtail, Caracul, Persian and similar lamb, Indian, Chinese, Mongolian or Tibetan lamb, whole, with or without head, tail or paws</t>
  </si>
  <si>
    <t>Furskins: raw, of fox, whole, with or without head, tail or paws</t>
  </si>
  <si>
    <t>Furskins: raw, of animals n.e.c. in heading no. 4301, whole, with or without head, tail or paws (excluding goods of heading no. 4101, 4102 and 4103)</t>
  </si>
  <si>
    <t>Furskins: raw, heads, tails, paws and other pieces or cuttings, suitable for furrier's use, excluding goods of heading no. 4101, 4102 and 4103</t>
  </si>
  <si>
    <t>Furskins: tanned or dressed, of mink, whole, with or without head, tail or paws, not assembled</t>
  </si>
  <si>
    <t>Furskins: tanned or dressed, whole, with or without head, tail or paws, not assembled, n.e.c. in heading no. 4302, excluding goods or heading no. 4303</t>
  </si>
  <si>
    <t>Furskins: tanned or dressed, heads, tails, paws and other pieces or cuttings, not assembled, excluding goods of heading no. 4303</t>
  </si>
  <si>
    <t>Furskins: tanned or dressed, whole skins and pieces or cuttings thereof, assembled, excluding goods of heading no. 4303</t>
  </si>
  <si>
    <t>Furskin articles: apparel and clothing accessories</t>
  </si>
  <si>
    <t>Furskin articles: other than apparel and clothing accessories</t>
  </si>
  <si>
    <t>Fur, artificial: articles thereof</t>
  </si>
  <si>
    <t>Wood: for fuel, in logs, billets, twigs, faggots or similar forms</t>
  </si>
  <si>
    <t>Wood: in chips or particles, coniferous</t>
  </si>
  <si>
    <t>Wood: in chips or particles, non-coniferous</t>
  </si>
  <si>
    <t>Wood: sawdust, waste and scrap, whether or not agglomerated in logs, briquettes, pellets or similar forms</t>
  </si>
  <si>
    <t>Wood: charcoal of bamboo (including shell or nut charcoal), whether or not agglomerated</t>
  </si>
  <si>
    <t>Wood: charcoal of wood other than bamboo (including shell or nut charcoal), whether or not agglomerated</t>
  </si>
  <si>
    <t>Wood: in the rough, whether or not stripped of bark or sapwood, or roughly squared: treated with paint, stains, creosote or other preservatives</t>
  </si>
  <si>
    <t>Wood: coniferous, in the rough, whether or not stripped of bark or sapwood, or roughly squared, untreated</t>
  </si>
  <si>
    <t>Wood, tropical: dark red meranti, light red meranti and meranti bakau, in the rough, whether or not stripped of bark or sapwood, or roughly squared, untreated</t>
  </si>
  <si>
    <t>Wood, tropical: (as specified in subheading note 1, chapter 44, customs tariff), n.e.c. in item no. 4403.41, in the rough, whether or not stripped of bark or sapwood, or roughly squared, untreated</t>
  </si>
  <si>
    <t>Wood: oak, in the rough, whether or not stripped of bark or sapwood, or roughly squared, untreated</t>
  </si>
  <si>
    <t>Wood: beech, in the rough, whether or not stripped of bark or sapwood, or roughly squared, untreated</t>
  </si>
  <si>
    <t>Wood: in the rough, whether or not stripped of bark or sapwood, or roughly squared, untreated, n.e.c. in heading no. 4403</t>
  </si>
  <si>
    <t>Wood: coniferous, split poles, piles, pickets, stakes, pointed but not sawn lengthwise: sticks for umbrellas, tool handles etc, roughly trimmed but not turned or bent: chipwood etc, hoopwood</t>
  </si>
  <si>
    <t>Wood: non-coniferous, split poles, piles, pickets, stakes, pointed but not sawn lengthwise: sticks for umbrellas, tool handles etc, roughly trimmed but not turned or bent: chipwood etc, hoopwood</t>
  </si>
  <si>
    <t>Wood: wood wool and wood flour</t>
  </si>
  <si>
    <t>Wood: railway or tramway sleepers (cross-ties), not impregnated</t>
  </si>
  <si>
    <t>Wood: railway or tramway sleepers (cross-ties), impregnated</t>
  </si>
  <si>
    <t>Wood, coniferous: sawn or chipped lengthwise, sliced or peeled, whether or not planed, sanded or end-jointed, of a thickness exceeding 6mm</t>
  </si>
  <si>
    <t>Wood, tropical: mahogany (Swietenia spp.), sawn or chipped lengthwise, sliced or peeled, whether or not planed, sanded or end-jointed, thicker than 6mm</t>
  </si>
  <si>
    <t>Wood, tropical: virola, imbuia and balsa, sawn or chipped lengthwise, sliced or peeled, whether or not planed, sanded or end-jointed, thicker than 6mm</t>
  </si>
  <si>
    <t>Wood, tropical: dark red meranti, light red meranti and meranti bakau, sawn or chipped lengthwise, sliced or peeled, whether or not planed, sanded or end-jointed, thicker than 6mm</t>
  </si>
  <si>
    <t>Wood, tropical: white lauan, white meranti, white seraya, yellow meranti and alan, sawn or chipped lengthwise, sliced or peeled, whether or not planed, sanded or end-jointed, thicker than 6mm</t>
  </si>
  <si>
    <t>Wood, tropical: sapelli, sawn or chipped lengthwise, sliced or peeled, whether or not planed, sanded or end-jointed, thicker than 6mm</t>
  </si>
  <si>
    <t>Wood, tropical: iroko, sawn or chipped lengthwise, sliced or peeled, whether or not planed, sanded or end-jointed, thicker than 6mm</t>
  </si>
  <si>
    <t>Wood, tropical: (as specified in subheading note 1, chapter 44, customs tariff), n.e.c. in item no. 4407.2, sawn or chipped lengthwise, sliced or peeled, whether or not planed, sanded or end-jointed, thicker than 6mm</t>
  </si>
  <si>
    <t>Wood: oak (Quercus spp.), sawn or chipped lengthwise, sliced or peeled, whether or not planed, sanded or end-jointed, thicker than 6mm</t>
  </si>
  <si>
    <t>Wood: beech (Fagus spp.), sawn or chipped lengthwise, sliced or peeled, whether or not planed, sanded or end-jointed, thicker than 6mm</t>
  </si>
  <si>
    <t>Wood: maple (Acer spp.), sawn or chipped lengthwise, sliced or peeled, whether or not planed, sanded or end-jointed, thicker than 6mm</t>
  </si>
  <si>
    <t>Wood: cherry (Prunus spp.), sawn or chipped lengthwise, sliced or peeled, whether or not planed, sanded or end-jointed, thicker than 6mm</t>
  </si>
  <si>
    <t>Wood: ash (Fraxinus spp.), sawn or chipped lengthwise, sliced or peeled, whether or not planed, sanded or end-jointed, thicker than 6mm</t>
  </si>
  <si>
    <t>Wood: sawn or chipped lengthwise, sliced or peeled, whether or not planed, sanded or end-jointed, thicker than 6mm, n.e.c. in heading no. 4407</t>
  </si>
  <si>
    <t>Wood: coniferous, sheets for veneering (including those obtained by slicing laminated wood), for plywood or similar laminated wood and other wood, sawn lengthwise, sliced or peeled, planed or not, sanded, spliced or end-jointed, not over 6 mm thick</t>
  </si>
  <si>
    <t>Wood, tropical: dark red meranti, light red meranti, meranti bakau, sheets for veneer or plywood, other wood sawn lengthwise, sliced or peeled, whether or not planed, sanded or end-jointed, not thicker than 6mm</t>
  </si>
  <si>
    <t>Wood, tropical: (as in subheading note 1, chapter 44, customs tariff), n.e.c. in item no. 4408.31, sheets for veneer or plywood, other wood sawn length wise, sliced or peeled, whether or not planed, sanded or end-jointed, not thicker than 6mm</t>
  </si>
  <si>
    <t>Wood: n.e.c. in heading no. 4408, sheets for veneer or plywood, other wood sawn lengthwise, sliced or peeled, whether or not planed, sanded or end-jointed, not thicker than 6mm</t>
  </si>
  <si>
    <t>Wood: coniferous (including unassembled strips and friezes for parquet flooring), continuously shaped along any edges, ends or faces, whether or not planed, sanded or end-jointed</t>
  </si>
  <si>
    <t>Wood: bamboo (including unassembled strips and friezes for parquet flooring), continuously shaped along any edges, ends or faces, whether or not planed, sanded or end-jointed</t>
  </si>
  <si>
    <t>Wood: non-coniferous other than bamboo (including unassembled strips and friezes for parquet flooring), continuously shaped along any edges, ends or faces, whether or not planed, sanded or end-jointed</t>
  </si>
  <si>
    <t>Particle board of wood, whether or not agglomerated with resins or other organic binding substances</t>
  </si>
  <si>
    <t>Oriented strand board (OSB) of wood, whether or not agglomerated with resins or other organic binding substances</t>
  </si>
  <si>
    <t>Wafer board and similar board of wood n.e.c. in item no. 4410.1, whether or not agglomerated with resins or other organic binding substances</t>
  </si>
  <si>
    <t>Particle board, oriented strand board (OSB) and similar board of ligneous materials other than wood, whether or not agglomerated with resins or other organic binding substances</t>
  </si>
  <si>
    <t>Medium density fibreboard (MDF), of a thickness not exceeding 5 mm</t>
  </si>
  <si>
    <t>Medium density fibreboard (MDF), of a thickness exceeding 5 mm but not exceeding 9 mm</t>
  </si>
  <si>
    <t>Medium density fibreboard (MDF), of a thickness exceeding 9 mm</t>
  </si>
  <si>
    <t>Fibreboard (other than MDF) of a density exceeding 0.8g/cm3, of wood or other ligneous materials, bonded or not with resins or other organic substances</t>
  </si>
  <si>
    <t>Fibreboard (other than MDF) of a density exceeding 0.5g/cm3 but not 0.8g/cm3, of wood or other ligneous materials, bonded or not with resins or other organic substances</t>
  </si>
  <si>
    <t>Fibreboard (other than MDF) of a density not exceeding 0.5g/cm3, of wood or other ligneous materials, bonded or not with resins or other organic substances</t>
  </si>
  <si>
    <t>Plywood, veneered panels and similar laminated wood: of bamboo</t>
  </si>
  <si>
    <t>Plywood: consisting only of sheets of wood (not bamboo), each ply 6mm or thinner, with at least one outer ply of tropical wood, (as specified in subheading note 1, chapter 44, customs tariff)</t>
  </si>
  <si>
    <t>Plywood: consisting only of sheets of wood (not bamboo), each ply 6mm or thinner, with at least one outer ply of non-coniferous wood, (without an outer ply of tropical wood as specified in subheading note 1, chapter 44, customs tariff)</t>
  </si>
  <si>
    <t>Plywood: consisting only of sheets of wood (not bamboo), each ply 6mm or thinner, not containing an outer ply of non-coniferous or tropical wood (as specified in subheading note 1, chapter 44, customs tariff)</t>
  </si>
  <si>
    <t>Blockboard, laminboard and battenboard (not bamboo, and other than plywood consisting only of sheets of wood each ply 6mm or thinner)</t>
  </si>
  <si>
    <t>Plywood, veneered panels and similar laminated wood (other than blockboard, laminboard and battenboard, other than of bamboo, and other than plywood consisting only of sheets of wood each ply 6mm or thinner)</t>
  </si>
  <si>
    <t>Wood: densified wood, in blocks, plates, strips or profile shapes</t>
  </si>
  <si>
    <t>Wooden frames: for paintings, photographs, mirrors or similar objects</t>
  </si>
  <si>
    <t>Wood: cases, boxes, crates, drums, similar packings and cable-drums</t>
  </si>
  <si>
    <t>Wood: pallets, box pallets and other load boards: pallet collars</t>
  </si>
  <si>
    <t>Wood: casks, barrels, vats, tubs and other coopers' products and parts thereof, of wood, including staves</t>
  </si>
  <si>
    <t>Wood: tools, tool bodies, tool handles, broom or brush bodies and handles, boot and shoe lasts and trees, of wood</t>
  </si>
  <si>
    <t>Wood: windows, French-windows and their frames</t>
  </si>
  <si>
    <t>Wood: doors and their frames and thresholds</t>
  </si>
  <si>
    <t>Wood: shuttering for concrete constructional work</t>
  </si>
  <si>
    <t>Wood: shingles and shakes</t>
  </si>
  <si>
    <t>Wood: posts and beams</t>
  </si>
  <si>
    <t>Wood: assembled flooring panels, for mosaic floors</t>
  </si>
  <si>
    <t>Wood: assembled flooring panels, multilayer, other than mosaic</t>
  </si>
  <si>
    <t>Wood: assembled flooring panels, other than multilayer or mosaic</t>
  </si>
  <si>
    <t>Wood: builders' joinery and carpentry of wood n.e.c. in heading no. 4418</t>
  </si>
  <si>
    <t>Wood: table and kitchenware</t>
  </si>
  <si>
    <t>Wood: statuettes and other ornaments of wood</t>
  </si>
  <si>
    <t>Wood: marquetry and inlaid wood, caskets and cases for jewellery or cutlery and similar articles of wood, wooden articles of furniture not falling in chapter 94</t>
  </si>
  <si>
    <t>Wood: clothes hangers</t>
  </si>
  <si>
    <t>Wood: articles of wood n.e.c. in heading no. 4414 to 4420 (excluding clothes hangers)</t>
  </si>
  <si>
    <t>Cork: natural cork, raw or simply prepared</t>
  </si>
  <si>
    <t>Cork: waste cork, crushed, granulated or ground cork</t>
  </si>
  <si>
    <t>Cork: natural cork, debacked or roughly squared, or in rectangular (including square) blocks, plates, sheets or strip, (including sharp-edged blanks for corks or stoppers)</t>
  </si>
  <si>
    <t>Cork: corks and stoppers, of natural cork</t>
  </si>
  <si>
    <t>Cork: articles of natural cork other than corks and stoppers</t>
  </si>
  <si>
    <t>Cork: blocks, plates, sheets and strip, tiles of any shape, solid cylinders (including discs), of agglomerated cork (with or without a binding substance)</t>
  </si>
  <si>
    <t>Cork: articles of agglomerated cork (with or without a binding substance), n.e.c. in heading no. 4504</t>
  </si>
  <si>
    <t>Plaiting materials, plaits and similar products of plaiting materials: mats, matting and screens, of bamboo</t>
  </si>
  <si>
    <t>Plaiting materials, plaits and similar products of plaiting materials: mats, matting and screens, of rattan</t>
  </si>
  <si>
    <t>Plaiting materials, plaits and similar products of plaiting materials: mats, matting and screens, of vegetable materials other than bamboo or rattan</t>
  </si>
  <si>
    <t>Plaiting materials, plaits and similar products of plaiting materials: (not mats, matting or screens), of bamboo</t>
  </si>
  <si>
    <t>Plaiting materials, plaits and similar products of plaiting materials: (not mats, matting or screens), of rattan</t>
  </si>
  <si>
    <t>Plaiting materials, plaits and similar products of plaiting materials: (not mats, matting or screens), of vegetable materials other than bamboo or rattan</t>
  </si>
  <si>
    <t>Plaiting materials, plaits and similar products of plaiting materials: products of non-vegetable materials</t>
  </si>
  <si>
    <t>Basketwork, wickerwork and other articles: of bamboo, made directly to shape from plaiting materials or made up from goods of heading no. 4601</t>
  </si>
  <si>
    <t>Basketwork, wickerwork and other articles: of rattan, made directly to shape from plaiting materials or made up from goods of heading no. 4601</t>
  </si>
  <si>
    <t>Basketwork, wickerwork and other articles: of vegetable materials (not bamboo or rattan), made directly to shape from plaiting materials or made up from goods of heading no. 4601: articles of loofah</t>
  </si>
  <si>
    <t>Basketwork, wickerwork and other articles: of non-vegetable materials, made directly to shape from plaiting materials or made up from goods of heading no. 4601</t>
  </si>
  <si>
    <t>Wood pulp: mechanical wood pulp</t>
  </si>
  <si>
    <t>Wood pulp: chemical wood pulp, dissolving grades</t>
  </si>
  <si>
    <t>Wood pulp: chemical wood pulp, soda or sulphate, (other than dissolving grades), unbleached, of coniferous wood</t>
  </si>
  <si>
    <t>Wood pulp: chemical wood pulp, soda or sulphate, (other than dissolving grades), unbleached, of non-coniferous wood</t>
  </si>
  <si>
    <t>Wood pulp: chemical wood pulp, soda or sulphate, (other than dissolving grades), semi-bleached or bleached, of coniferous wood</t>
  </si>
  <si>
    <t>Wood pulp: chemical wood pulp, soda or sulphate, (other than dissolving grades), semi-bleached or bleached, of non-coniferous wood</t>
  </si>
  <si>
    <t>Wood pulp: chemical wood pulp, sulphite, (other than dissolving grades), unbleached, of coniferous wood</t>
  </si>
  <si>
    <t>Wood pulp: chemical wood pulp, sulphite, (other than dissolving grades), unbleached, of non-coniferous wood</t>
  </si>
  <si>
    <t>Wood pulp: chemical wood pulp, sulphite, (other than dissolving grades), semi-bleached or bleached, of coniferous wood</t>
  </si>
  <si>
    <t>Wood pulp: chemical wood pulp, sulphite, (other than dissolving grades), semi-bleached or bleached, of non-coniferous wood</t>
  </si>
  <si>
    <t>Wood pulp: obtained by a combination of mechanical and chemical pulping processes</t>
  </si>
  <si>
    <t>Pulp: cotton linters pulp</t>
  </si>
  <si>
    <t>Pulp: of fibres derived from recovered (waste and scrap) paper or paperboard</t>
  </si>
  <si>
    <t>Pulp: of bamboo</t>
  </si>
  <si>
    <t>Pulp: of fibrous cellulosic material (other than of bamboo or fibres derived from recovered (waste and scrap) paper or paperboard or from cotton linters pulp), mechanical</t>
  </si>
  <si>
    <t>Pulp: of fibrous cellulosic material (other than of bamboo or fibres derived from recovered (waste and scrap) paper or paperboard or from cotton linters pulp), chemical</t>
  </si>
  <si>
    <t>Pulp: of fibrous cellulosic material (other than of bamboo or fibres derived from recovered (waste and scrap) paper or paperboard or from cotton linters pulp), semi-chemical</t>
  </si>
  <si>
    <t>Paper or paperboard: waste and scrap, of unbleached kraft paper or paperboard or corrugated paper or paperboard</t>
  </si>
  <si>
    <t>Paper or paperboard: waste and scrap, paper or paperboard made mainly of bleached chemical pulp, not coloured in the mass</t>
  </si>
  <si>
    <t>Paper or paperboard: waste and scrap, paper or paperboard made mainly of mechanical pulp (e.g. newspapers, journals and similar printed matter)</t>
  </si>
  <si>
    <t>Paper or paperboard: waste and scrap, of paper or paperboard n.e.c. in heading no. 4707 and of unsorted waste and scrap</t>
  </si>
  <si>
    <t>Newsprint: made of fibres by a chemi-mechanical process or of a weight, per m2, of more than 57g but not more than 65g, in rolls or sheets</t>
  </si>
  <si>
    <t>Hand-made paper or paperboard</t>
  </si>
  <si>
    <t>Uncoated paper and paperboard (not 4801 or 4803): of a kind used as a base for photo-sensitive, heat-sensitive or electro-sensitive paper or paperboard, in rolls or sheets</t>
  </si>
  <si>
    <t>Uncoated paper and paperboard (not 4801 or 4803): wallpaper base, in rolls or sheets</t>
  </si>
  <si>
    <t>Uncoated paper and paperboard (not 4801 or 4803): printing, writing or graphic, 10% or less by weight of mechanical or chemi-mechanical processed fibre, weighing less than 40g/m2, in rolls or sheets</t>
  </si>
  <si>
    <t>Uncoated paper and paperboard (not 4801 or 4803): printing, writing or graphic, 10% or less by weight of mechanical or chemi-mechanical processed fibre, weighing 40g/m2 to 150g/m2, in rolls</t>
  </si>
  <si>
    <t>Uncoated paper and paperboard (not 4801 or 4803): printing, writing or graphic, 10% or less by weight of mechanical or chemi-mechanical processed fibre, weight 40-150g/m2, in sheets 435mm or less by 297mm or less (unfolded)</t>
  </si>
  <si>
    <t>Uncoated paper and paperboard (not 4801 or 4803): printing, writing or graphic, 10% or less by weight of mechanical or chemi-mechanical processed fibre, weight 40-150g/m2, n.e.c. in item no. 4802.55 or 4802.56</t>
  </si>
  <si>
    <t>Uncoated paper and paperboard (not 4801 or 4803): printing, writing or graphic, 10% or less by weight of mechanical or chemi-mechanical processed fibre, weighing more than 150g/m2, rolls over 15cm wide or sheets one side over 36cm, other side over 15cm</t>
  </si>
  <si>
    <t>Uncoated paper and paperboard (not 4801 or 4803): over 10% by weight of mechanical or chemi-mechanical processed fibre, in rolls</t>
  </si>
  <si>
    <t>Uncoated paper and paperboard (not 4801 or 4803): over 10% by weight of mechanical or chemi-mechanical processed fibre, in sheets 435mm or less by 297mm or less (unfolded)</t>
  </si>
  <si>
    <t>Uncoated paper and paperboard (not 4801 or 4803): over 10% by weight of mechanical or chemi-mechanical processed fibre, other than rolls, other than sheets 435mm or less by 297mm or less (unfolded)</t>
  </si>
  <si>
    <t>Tissue, towel, napkin stock or similar: for household or sanitary use, cellulose, wadding webs of cellulose fibres, in rolls exceeding 36cm in width or rectangular sheets with one side more than 36cm in unfolded state</t>
  </si>
  <si>
    <t>Kraft paper and paperboard: kraftliner, uncoated, unbleached, in rolls or sheets, other than that of heading no. 4802 or 4803</t>
  </si>
  <si>
    <t>Kraft paper and paperboard: kraftliner, uncoated, bleached, in rolls or sheets, other than that of heading no. 4802 or 4803</t>
  </si>
  <si>
    <t>Kraft paper and paperboard: sack kraft paper, uncoated, unbleached, in rolls or sheets, other than that of heading no. 4802 or 4803</t>
  </si>
  <si>
    <t>Kraft paper and paperboard: sack kraft paper, uncoated, bleached, in rolls or sheets, other than that of heading no. 4802 or 4803</t>
  </si>
  <si>
    <t>Kraft paper and paperboard: uncoated, unbleached, weight 150g/m2 or less, in rolls or sheets, other than that of heading no. 4802 or 4803</t>
  </si>
  <si>
    <t>Kraft paper and paperboard: uncoated, bleached, weight 150g/m2 or less, in rolls or sheets, other than that of heading no. 4802 or 4803</t>
  </si>
  <si>
    <t>Kraft paper and paperboard: uncoated, unbleached, weight more than 150g/m2 but less than 225g/m2, in rolls or sheets, other than that of heading no. 4802 or 4803</t>
  </si>
  <si>
    <t>Kraft paper and paperboard: uncoated, weight between 150 and 225g/m2, bleached uniformly throughout, more than 95% of total fibre content consists of chemically processed wood fibres, in rolls or sheets</t>
  </si>
  <si>
    <t>Kraft paper and paperboard: uncoated, weight more than 150g/m2 but less than 225g/m2, in rolls or sheets, n.e.c. in item no. 4804.4, other than that of heading no. 4802 or 4803</t>
  </si>
  <si>
    <t>Kraft paper and paperboard: uncoated, unbleached, weight 225g/m2 or more, in rolls or sheets, other than that of heading no. 4802 or 4803</t>
  </si>
  <si>
    <t>Kraft paper and paperboard: uncoated, weight 225g/m2 or more, bleached uniformly throughout, more than 95% of total fibre content consists of chemically processed wood fibres, in rolls or sheets</t>
  </si>
  <si>
    <t>Kraft paper and paperboard: uncoated, weight 225g/m2 or more, in rolls or sheets, n.e.c. in item no. 4804.5, other than that of heading no. 4802 or 4803</t>
  </si>
  <si>
    <t>Paper and paperboard: uncoated, semi-chemical fluting paper, rolls or sheets</t>
  </si>
  <si>
    <t>Paper and paperboard: uncoated, straw fluting paper, rolls or sheets</t>
  </si>
  <si>
    <t>Paper and paperboard: uncoated, fluting paper other than semi-chemical or straw, rolls or sheets</t>
  </si>
  <si>
    <t>Paper &amp; paperboard: uncoated, testliner (recycled linerboard), weight 150g/m2, or less, in rolls or sheets</t>
  </si>
  <si>
    <t>Paper &amp; paperboard: uncoated, testliner (recycled linerboard), weight over 150g/m2, in rolls or sheets</t>
  </si>
  <si>
    <t>Paper and paperboard: sulphite wrapping paper, uncoated, in rolls or sheets</t>
  </si>
  <si>
    <t>Paper and paperboard: filter paper and paperboard, uncoated, in rolls or sheets</t>
  </si>
  <si>
    <t>Paper and paperboard: felt paper and paperboard, uncoated, in rolls or sheets</t>
  </si>
  <si>
    <t>Paper and paperboard: uncoated, weight 150g/m2 or less, in rolls or sheets, n.e.c. in heading no.4805</t>
  </si>
  <si>
    <t>Paper and paperboard: uncoated, weight more than 150g/m2 but less than 225 g/m2, in rolls or sheets, n.e.c. in heading no. 4805</t>
  </si>
  <si>
    <t>Paper and paperboard: uncoated, weight 225/m2 or more, in rolls or sheets, n.e.c. in heading no. 4805</t>
  </si>
  <si>
    <t>Paper: vegetable parchment, in rolls or sheets</t>
  </si>
  <si>
    <t>Paper: greaseproof papers, in rolls or sheets</t>
  </si>
  <si>
    <t>Paper: tracing papers, in rolls or sheets</t>
  </si>
  <si>
    <t>Paper: glassine and other glazed transparent or translucent papers, in rolls or sheets</t>
  </si>
  <si>
    <t>Paper and paperboard: composite (made by sticking layers together with an adhesive), not surface-coated or impregnated, whether or not internally reinforced, in rolls or sheets</t>
  </si>
  <si>
    <t>Paper and paperboard: corrugated (with or without glued flat surface sheets), whether or not perforated, in rolls or sheets, other than that of heading no. 4803 or 4818</t>
  </si>
  <si>
    <t>Paper and paperboard: sack kraft paper, creped or crinkled, whether or not embossed or perforated, in rolls or sheets, other than that of heading no. 4803 or 4818</t>
  </si>
  <si>
    <t>Paper and paperboard: kraft paper (other than sack), creped or crinkled, whether or not embossed or perforated, in rolls or sheets, other than that of heading no. 4803 or 4818</t>
  </si>
  <si>
    <t>Paper and paperboard: (other than kraft paper), whether or not embossed or perforated, in rolls or sheets, other than that of heading no. 4803 or 4818</t>
  </si>
  <si>
    <t>Paper: self-copy paper, whether or not printed, in rolls exceeding 36cm wide or in rectangular sheets with at least one side exceeding 36cm in unfolded state</t>
  </si>
  <si>
    <t>Paper: copying and transfer paper (including coated or impregnated paper for duplicator stencils or offset plates), whether or not printed, in rolls exceeding 36cm wide or rectangular sheets with a side exceeding 36cm</t>
  </si>
  <si>
    <t>Paper and paperboard: coated with kaolin or other inorganic substances, for printing &amp; writing, graphics, containing no, or not more than 10% by weight of total fibres obtained by mechanical or chemi-mechanical process,  in rolls</t>
  </si>
  <si>
    <t>Paper and paperboard: coated with kaolin or other inorganic substances, for printing/writing/graphics, having 10% or less by weight of total fibres got mechanical/chemi-mechanical process, sheets,  sides 435mm or less by 297mm or less, unfolded,</t>
  </si>
  <si>
    <t>Paper and paperboard: coated with kaolin or other inorganic substances, for printing/writing/graphics, having 10% or less by weight of total fibres got by mechanical/chemi-mechanical process, sides exceeding 435mm and 297mm, unfolded, sheets</t>
  </si>
  <si>
    <t>Paper and paperboard: coated with kaolin or other inorganic substances only, having more than 10% of mechanical or chemi-mechanical processed fibres, for writing, printing or other graphic purposes, light-weight coated paper, in rolls or sheets</t>
  </si>
  <si>
    <t>Paper and paperboard: coated with kaolin or other inorganic substances only, having more than 10% of mechanically processed fibres, (excluding light-weight paper), for writing, printing or other graphic purposes, in rolls or sheets</t>
  </si>
  <si>
    <t>Kraft paper and paperboard: uniformly bleached throughout, coated with inorganic substances, more than 95% of chemically processed wood fibres, weight 150g/m2 or less, for non-graphic purposes, in rolls or sheets</t>
  </si>
  <si>
    <t>Kraft paper and paperboard: uniformly bleached throughout, coated with inorganic substances, more than 95% of chemically processed wood fibres, weight more than 150g/m2, for non-graphic purposes, in rolls or sheets</t>
  </si>
  <si>
    <t>Kraft paper and paperboard: coated with kaolin or other inorganic substances only, for non-graphic purposes, n.e.c. in item no. 4810.31 and 4810.32, in rolls or sheets</t>
  </si>
  <si>
    <t>Paper and paperboard: multi-ply, coated with kaolin or other inorganic substances only, for non-graphic purposes, n.e.c. in heading no. 4810, in rolls or sheets</t>
  </si>
  <si>
    <t>Paper and paperboard: coated with inorganic substances only, whether or not surface-coloured, surface-decorated or printed, n.e.c. in heading no. 4810, in rolls or sheets</t>
  </si>
  <si>
    <t>Paper and paperboard: tarred, bituminised or asphalted, in rolls or sheets, other than goods of heading no. 4803, 4809, or 4810</t>
  </si>
  <si>
    <t>Paper and paperboard: self-adhesive, in rolls or sheets, other than goods of heading no. 4803, 4809, or 4810</t>
  </si>
  <si>
    <t>Paper and paperboard: gummed or adhesive paper and paperboard (excluding self-adhesive), in rolls or sheets, other than goods of heading no. 4803, 4809, or 4810</t>
  </si>
  <si>
    <t>Paper and paperboard: coated, impregnated or covered with plastics (excluding adhesives), bleached, weighing more than 150g/m2, other than goods of heading no. 4803, 4809, or 4810</t>
  </si>
  <si>
    <t>Paper and paperboard: coated, impregnated or covered with plastics (excluding adhesives), other than bleached and weighing more than 150g/m2, other than goods of heading no. 4803, 4809, or 4810</t>
  </si>
  <si>
    <t>Paper and paperboard: coated or impregnated with wax, paraffin wax, stearin, oil or glycerol, other than goods of heading no. 4803, 4809, or 4810</t>
  </si>
  <si>
    <t>Paper, paperboard, cellulose wadding and webs of soft cellulose fibres: coated, impregnated, covered, surface-decorated or surface-coloured, n.e.c. in heading no. 4811, in rolls or sheets</t>
  </si>
  <si>
    <t>Paper pulp: filter blocks, slabs and plates of paper pulp</t>
  </si>
  <si>
    <t>Paper, cigarette: in the form of booklets or tubes</t>
  </si>
  <si>
    <t>Paper, cigarette: in rolls of a width not exceeding 5cm</t>
  </si>
  <si>
    <t>Paper, cigarette: (other than in rolls of a width not exceeding 5cm, or in booklets or tubes)</t>
  </si>
  <si>
    <t>Wallpaper and similar wall coverings: ingrain paper</t>
  </si>
  <si>
    <t>Wallpaper and similar wall coverings: coated or covered on the face side, with a grained, embossed, coloured, design-printed or otherwise decorated layer of plastics</t>
  </si>
  <si>
    <t>Wallpaper and similar wall coverings and window transparencies: of paper, n.e.c. in heading no. 4814</t>
  </si>
  <si>
    <t>Paper: self-copy paper (other than those of heading no. 4809), whether or not put up in boxes</t>
  </si>
  <si>
    <t>Paper: carbon paper and other copying or transfer papers (other than those of heading no. 4809), n.e.c. in item no. 4816.20</t>
  </si>
  <si>
    <t>Paper and paperboard: envelopes</t>
  </si>
  <si>
    <t>Paper and paperboard: letter cards, plain postcards and correspondence cards</t>
  </si>
  <si>
    <t>Paper and paperboard: boxes, pouches, wallets and writing compendiums containing an assortment of paper stationery</t>
  </si>
  <si>
    <t>Paper: toilet paper</t>
  </si>
  <si>
    <t>Paper articles: handkerchiefs, cleansing or facial tissues and towels</t>
  </si>
  <si>
    <t>Paper articles: tablecloths and serviettes, of paper, cellulose wadding or fibres</t>
  </si>
  <si>
    <t>Paper articles: sanitary towels and tampons, napkins and napkin liners for babies and similar sanitary articles</t>
  </si>
  <si>
    <t>Paper articles: apparel and clothing accessories of paper, cellulose wadding or fibres</t>
  </si>
  <si>
    <t>Paper articles: articles of paper, cellulose wadding or fibres n.e.c. in heading no. 4818</t>
  </si>
  <si>
    <t>Paper and paperboard: cartons, boxes and cases, of corrugated paper or paperboard</t>
  </si>
  <si>
    <t>Paper and paperboard: folding cartons, boxes and cases, of non-corrugated paper or paperboard</t>
  </si>
  <si>
    <t>Paper and paperboard: sacks and bags of paper, paperboard, cellulose wadding or fibres, having a base of a width of 40cm or more</t>
  </si>
  <si>
    <t>Paper and paperboard: sacks and bags, including cones, of paper, paperboard, cellulose wadding or fibres, having a base width less than 40cm</t>
  </si>
  <si>
    <t>Paper and paperboard: packing containers, including record sleeves, of paper, paperboard, cellulose wadding or fibres, n.e.c. in heading no. 4819</t>
  </si>
  <si>
    <t>Paper and paperboard: box files, letter trays, storage boxes and similar articles, used in offices, shops or the like of paper, paperboard, cellulose wadding or webs of cellulose fibres</t>
  </si>
  <si>
    <t>Paper and paperboard: registers, account books, note books, order books, receipt books, letter pads, memorandum pads, diaries and similar articles</t>
  </si>
  <si>
    <t>Paper and paperboard: exercise books</t>
  </si>
  <si>
    <t>Paper and paperboard: binders, folders and file covers</t>
  </si>
  <si>
    <t>Paper and paperboard: manifold business forms and interleaved carbon sets</t>
  </si>
  <si>
    <t>Paper and paperboard: albums for samples or for collections</t>
  </si>
  <si>
    <t>Paper or paperboard: stationery n.e.c. in heading no. 4820</t>
  </si>
  <si>
    <t>Paper and paperboard: labels or all kinds, printed</t>
  </si>
  <si>
    <t>Paper and paperboard: labels of all kinds, unprinted</t>
  </si>
  <si>
    <t>Paper pulp, paper or paperboard: bobbins, spools, cops and similar supports, of a kind used for winding textile yarn (whether or not perforated or hardened)</t>
  </si>
  <si>
    <t>Paper pulp, paper or paperboard: bobbins, spools, cops and similar supports, other than of a kind used for winding textile yarn (whether or not perforated or hardened)</t>
  </si>
  <si>
    <t>Paper and paperboard: filter paper and paperboard</t>
  </si>
  <si>
    <t>Paper and paperboard: rolls, sheets and dials, printed for self-recording apparatus</t>
  </si>
  <si>
    <t>Paper and paperboard: trays, dishes, plates, cups and the like, of bamboo paper or paperboard</t>
  </si>
  <si>
    <t>Paper and paperboard: trays, dishes, plates, cups and the like, of paper or paperboard other than of bamboo</t>
  </si>
  <si>
    <t>Paper pulp: moulded or pressed articles or paper pulp</t>
  </si>
  <si>
    <t>Paper pulp, paper, paperboard, cellulose wadding or webs of cellulose fibres: articles n.e.c. in heading no. 4823</t>
  </si>
  <si>
    <t>Printed matter: in single sheets, whether or not folded</t>
  </si>
  <si>
    <t>Printed matter: dictionaries, encyclopaedias and serial instalments thereof</t>
  </si>
  <si>
    <t>Printed matter: books, brochures, leaflets and similar printed matter n.e.c. in item no. 4901.10 or 4901.91</t>
  </si>
  <si>
    <t>Newspapers, journals and periodicals: whether or not illustrated or containing advertising material, appearing at least four times a week</t>
  </si>
  <si>
    <t>Newspapers, journals and periodicals: whether or not illustrated or containing advertising material, appearing less frequently than four times a week</t>
  </si>
  <si>
    <t>Printed matter: children's picture, drawing or colouring books</t>
  </si>
  <si>
    <t>Music: printed or in manuscript, whether or not bound or illustrated</t>
  </si>
  <si>
    <t>Globes: printed</t>
  </si>
  <si>
    <t>Maps and hydrographic or similar charts: printed in book form, including atlases, topographical plans and similar</t>
  </si>
  <si>
    <t>Maps and hydrographic or similar charts: (printed other than in book form), including wall maps, topographical plans and similar</t>
  </si>
  <si>
    <t>Plans and drawings: for architectural, engineering, industrial, commercial, topographical or similar, being originals drawn by hand: hand-written texts: photo- graphic reproductions: their carbon copies</t>
  </si>
  <si>
    <t>Unused postage, revenue or similar stamps of current or new issue in the country in which they have, or will have, a recognised face value: stamp-impressed paper: cheque forms: banknotes, stock, share or bond certificates and the like of similar title</t>
  </si>
  <si>
    <t>Printed matter: transfers (decalcomanias), vitrifiable</t>
  </si>
  <si>
    <t>Printed matter: transfers (decalcomanias), other than vitrifiable</t>
  </si>
  <si>
    <t>Printed or illustrated postcards: printed cards bearing personal greetings, messages or announcements, whether or not illustrated, with or without envelopes or trimmings</t>
  </si>
  <si>
    <t>Calendars: printed, of any kind, including calendar blocks</t>
  </si>
  <si>
    <t>Printed matter: trade advertising material, commercial catalogues and the like</t>
  </si>
  <si>
    <t>Printed matter: pictures, designs and photographs, n.e.c. in item no. 4911.10</t>
  </si>
  <si>
    <t>Printed matter: n.e.c. in heading no. 4911</t>
  </si>
  <si>
    <t>Silk: silk-worm cocoons suitable for reeling</t>
  </si>
  <si>
    <t>Silk: raw silk (not thrown)</t>
  </si>
  <si>
    <t>Silk waste (including cocoons unsuitable for reeling, yarn waste and garneted stock)</t>
  </si>
  <si>
    <t>Silk: yarn (other than yarn spun from silk waste), not put up for retail sale</t>
  </si>
  <si>
    <t>Silk: yarn spun from silk waste, not put up for retail sale</t>
  </si>
  <si>
    <t>Silk yarn and yarn spun from silk waste: put up for retail sale, and silk-worm gut</t>
  </si>
  <si>
    <t>Silk: woven fabrics of noil silk</t>
  </si>
  <si>
    <t>Silk: woven fabrics, containing 85% or more by weight of silk or of silk waste other than noil silk</t>
  </si>
  <si>
    <t>Silk: woven fabrics n.e.c. in heading no. 5007</t>
  </si>
  <si>
    <t>Wool: (not carded or combed), greasy (including fleece-washed wool), shorn</t>
  </si>
  <si>
    <t>Wool: (other than shorn), greasy (including fleece-washed wool), not carded or combed</t>
  </si>
  <si>
    <t>Wool: (not carded or combed), degreased, (not carbonised), shorn</t>
  </si>
  <si>
    <t>Wool: (not carded or combed), degreased, (not carbonised), (other than shorn)</t>
  </si>
  <si>
    <t>Wool: (not carded or combed), carbonised</t>
  </si>
  <si>
    <t>Hair: fine animal hair, not carded or combed, of kashmir (cashmere) goats</t>
  </si>
  <si>
    <t>Hair: fine animal hair, not carded or combed, other than of kashmir (cashmere) goats</t>
  </si>
  <si>
    <t>Hair: coarse animal hair, not carded or combed</t>
  </si>
  <si>
    <t>Wool and hair: noils of wool or of fine animal hair, including yarn waste, but excluding garnetted stock</t>
  </si>
  <si>
    <t>Wool and hair: waste of wool or of fine animal hair, including yarn waste, but excluding garnetted stock and noils of wool or of fine animal hair</t>
  </si>
  <si>
    <t>Wool and hair: waste of coarse animal hair, including yarn waste, but excluding garnetted stock</t>
  </si>
  <si>
    <t>Wool and hair: garnetted stock of wool or of fine or coarse animal hair</t>
  </si>
  <si>
    <t>Wool: carded</t>
  </si>
  <si>
    <t>Wool: wool tops and other combed wool, in fragments</t>
  </si>
  <si>
    <t>Wool: wool tops and other combed wool, other than in fragments</t>
  </si>
  <si>
    <t>Hair: fine animal hair, carded or combed, of kashmir (cashmere) goats</t>
  </si>
  <si>
    <t>Hair: fine animal hair, carded or combed, other than of kashmir (cashmere) goats</t>
  </si>
  <si>
    <t>Hair: coarse animal hair, carded or combed</t>
  </si>
  <si>
    <t>Yarn: of carded wool, containing 85% or more by weight of wool, not put up for retail sale</t>
  </si>
  <si>
    <t>Yarn: of carded wool, containing less than 85% by weight of wool, not put up for retail sale</t>
  </si>
  <si>
    <t>Yarn: of combed wool, containing 85% or more by weight of wool, not put up for retail sale</t>
  </si>
  <si>
    <t>Yarn: of combed wool, containing less than 85% by weight of wool, not put up for retail sale</t>
  </si>
  <si>
    <t>Yarn: of fine animal hair, carded, not put up for retail sale</t>
  </si>
  <si>
    <t>Yarn: of fine animal hair, combed, not put up for retail sale</t>
  </si>
  <si>
    <t>Yarn: of wool or of fine animal hair, containing 85% or more by weight of wool or fine animal hair, put up for retail sale</t>
  </si>
  <si>
    <t>Yarn: of wool or of fine animal hair, containing less than 85% by weight of wool or fine animal hair, put up for retail sale</t>
  </si>
  <si>
    <t>Yarn: of coarse animal hair or of horsehair (including gimped horsehair yarn), whether or not put up for retail sale</t>
  </si>
  <si>
    <t>Fabrics, woven: of carded wool or of carded fine animal hair, containing 85% or more by weight of wool or of fine animal hair, of a weight not exceeding 300g/m2</t>
  </si>
  <si>
    <t>Fabrics, woven: of carded wool or of carded fine animal hair, containing 85% or more by weight of wool or of fine animal hair, of a weight exceeding 300g/m2</t>
  </si>
  <si>
    <t>Fabrics, woven: of carded wool or carded fine animal hair, containing less than 85% by weight of wool or fine animal hair, mixed mainly or solely with man-made filaments</t>
  </si>
  <si>
    <t>Fabrics, woven: of carded wool or carded fine animal hair, containing less than 85% by weight of wool or fine animal hair, mixed mainly or solely with man-made staple fibres</t>
  </si>
  <si>
    <t>Fabrics, woven: of carded wool or carded fine animal hair, containing less than 85% by weight of wool or fine animal hair, mixed mainly or solely with fibres n.e.c. in heading no. 5111</t>
  </si>
  <si>
    <t>Fabrics, woven: of combed wool or combed fine animal hair, containing 85% or more by weight of wool or fine animal hair, of a weight not exceeding 200g/m2</t>
  </si>
  <si>
    <t>Fabrics, woven: of combed wool or combed fine animal hair, containing 85% or more by weight of wool or fine animal hair, of a weight exceeding 200g/m2</t>
  </si>
  <si>
    <t>Fabrics, woven: of combed wool or combed fine animal hair, containing less than 85% by weight of wool or fine animal hair, mixed mainly or solely with man-made filaments</t>
  </si>
  <si>
    <t>Fabrics, woven: of combed wool or combed fine animal hair, containing less than 85% by weight of wool or fine animal hair, mixed mainly or solely with man-made staple fibres</t>
  </si>
  <si>
    <t>Fabrics, woven: of combed wool or combed fine animal hair, containing less than 85% by weight of wool or fine animal hair, mixed mainly or solely with fibres n.e.c. in heading no. 5112</t>
  </si>
  <si>
    <t>Fabrics, woven: of coarse animal hair or of horsehair</t>
  </si>
  <si>
    <t>Cotton: not carded or combed</t>
  </si>
  <si>
    <t>Cotton: yarn waste (including thread waste)</t>
  </si>
  <si>
    <t>Cotton: garnetted stock waste</t>
  </si>
  <si>
    <t>Cotton: waste other than garnetted stock and yarn (including thread) waste</t>
  </si>
  <si>
    <t>Cotton: carded or combed</t>
  </si>
  <si>
    <t>Cotton: sewing thread, containing 85% or more by weight of cotton, not put up for retail sale</t>
  </si>
  <si>
    <t>Cotton: sewing thread, containing less than 85% by weight of cotton, not put up for retail sale</t>
  </si>
  <si>
    <t>Cotton: sewing thread, put up for retail sale</t>
  </si>
  <si>
    <t>Cotton yarn: (not sewing thread), single, of uncombed fibres, 85% or more by weight of cotton, measuring 714.29 decitex or more, (not exceeding 14 metric number), not for retail sale</t>
  </si>
  <si>
    <t>Cotton yarn: (not sewing thread), single, of uncombed fibres, 85% or more by weight of cotton, less than 714.29 but not less than 232.56 decitex (exceeding 14 but not exceeding 43 metric number), not for retail sale</t>
  </si>
  <si>
    <t>Cotton yarn: (not sewing thread), single, of uncombed fibres, 85% or more by weight of cotton, less than 232.56 but not less than 192.31 decitex (exceeding 43 but not exceeding 52 metric number), not for retail sale</t>
  </si>
  <si>
    <t>Cotton yarn: (not sewing thread), single, of uncombed fibres, 85% or more by weight of cotton, less than 192.31 but not less than 125 decitex (exceeding 52 but not exceeding 80 metric number), not for retail sale</t>
  </si>
  <si>
    <t>Cotton yarn: (not sewing thread), single, of uncombed fibres, 85% or more by weight of cotton, measuring less than 125 decitex (exceeding 80 metric number), not for retail sale</t>
  </si>
  <si>
    <t>Cotton yarn: (not sewing thread), single, of combed fibres, 85% or more by weight of cotton, measuring 714.29 decitex or more, (not exceeding 14 metric number), not for retail sale</t>
  </si>
  <si>
    <t>Cotton yarn: (not sewing thread), single, of combed fibres, 85% or more by weight of cotton, less than 714.29 but not less than 232.56 decitex (exceeding 14 but not exceeding 43 metric number), not for retail sale</t>
  </si>
  <si>
    <t>Cotton yarn: (not sewing thread), single, of combed fibres, 85% or more by weight of cotton, less than 232.56 but not less than 192.31 decitex (exceeding 43 but not exceeding 52 metric number), not for retail sale</t>
  </si>
  <si>
    <t>Cotton yarn: (not sewing thread), single, of combed fibres, 85% or more by weight of cotton, less than 192.31 but not less than 125 decitex (exceeding 52 but not exceeding 80 metric number), not for retail sale</t>
  </si>
  <si>
    <t>Cotton yarn: (not sewing thread), single, of combed fibres, 85% or more by weight of cotton, less than 125 but not less than 106.38 decitex (over 80 but not over 94 metric number), not for retail sale</t>
  </si>
  <si>
    <t>Cotton yarn: (not sewing thread), single, of combed fibres, 85% or more by weight of cotton, less than 106.38 but not less than 83.33 decitex (over 94 but not over 120 metric number), not for retail sale</t>
  </si>
  <si>
    <t>Cotton yarn: (not sewing thread), single, of combed fibres, 85% or more by weight of cotton, measuring less than 83.33 decitex (exceeding 120 metric number), not for retail sale</t>
  </si>
  <si>
    <t>Cotton yarn: (not sewing thread), multiple or cabled, of uncombed fibres, 85% or more by weight of cotton, 714.29 decitex or more (not exceeding 14 metric number) per single yarn, not for retail sale</t>
  </si>
  <si>
    <t>Cotton yarn: (not sewing thread), multiple or cabled, of uncombed fibres, 85% or more by weight of cotton, 714.28 to 232.56 decitex (15 to 43 metric number) per single yarn, not for retail sale</t>
  </si>
  <si>
    <t>Cotton yarn: (not sewing thread), multiple or cabled, of uncombed fibres, 85% or more by weight of cotton, 232.55 to 192.31 decitex (44 to 52 metric number) per single yarn, not for retail sale</t>
  </si>
  <si>
    <t>Cotton yarn: (not sewing thread), multiple or cabled, of uncombed fibres, 85% or more by weight of cotton, 192.30 to 125 decitex (53 to 80 metric number) per single yarn, not for retail sale</t>
  </si>
  <si>
    <t>Cotton yarn: (not sewing thread), multiple or cabled, of uncombed fibres, 85% or more by weight of cotton, less than 125 decitex (exceeding 80 metric number), per single yarn, not for retail sale</t>
  </si>
  <si>
    <t>Cotton yarn: (not sewing thread), multiple or cabled, of combed fibres, 85% or more by weight of cotton, 714.29 decitex or more (not exceeding 14 metric number) per single yarn, not for retail sale</t>
  </si>
  <si>
    <t>Cotton yarn: (not sewing thread), multiple or cabled, of combed fibres, 85% or more by weight of cotton, 714.28 to 232.56 decitex (15 to 43 metric number) per single yarn, not for retail sale</t>
  </si>
  <si>
    <t>Cotton yarn: (not sewing thread), multiple or cabled, of combed fibres, 85% or more by weight of cotton, 232.55 to 192.31 decitex (44 to 52 metric number) per single yarn, not for retail sale</t>
  </si>
  <si>
    <t>Cotton yarn: (not sewing thread), multiple or cabled, of combed fibres, 85% or more by weight of cotton, 192.30 to 125 decitex (53 to 80 metric number) per single yarn, not for retail sale</t>
  </si>
  <si>
    <t>Cotton yarn: (not sewing thread), multiple or cabled, of combed fibres, 85% or more by weight of cotton, 124 to 106.38 decitex (81 to 94 metric number) per single yarn, not for retail sale</t>
  </si>
  <si>
    <t>Cotton yarn: (not sewing thread), multiple or cabled, of combed fibres, 85% or more by weight of cotton, 106.37 to 83.33 decitex (95 to 120 metric number) per single yarn, not for retail sale</t>
  </si>
  <si>
    <t>Cotton yarn: (not sewing thread), multiple or cabled, of combed fibres, 85% or more by weight of cotton, less than 83.33 decitex (exceeding 120 metric number) per single yarn, not for retail sale</t>
  </si>
  <si>
    <t>Cotton yarn: (not sewing thread), single, of uncombed fibres, less than 85% by weight of cotton, measuring 714.29 decitex or more (not exceeding 14 metric number), not for retail sale</t>
  </si>
  <si>
    <t>Cotton yarn: (not sewing thread), single, of uncombed fibres, less than 85% by weight of cotton, less than 714.29 but not less than 232.56 decitex (exceeding 14 but not exceeding 43 metric number), not for retail sale</t>
  </si>
  <si>
    <t>Cotton yarn: (not sewing thread), single, of uncombed fibres, less than 85% by weight of cotton, less than 232.56 but not less than 192.31 decitex (exceeding 43 but not exceeding 52 metric number), not for retail sale</t>
  </si>
  <si>
    <t>Cotton yarn: (not sewing thread), single, of uncombed fibres, less than 85% by weight of cotton, less than 192.31 but not less than 125 decitex (exceeding 52 but not exceeding 80 metric number), not for retail sale</t>
  </si>
  <si>
    <t>Cotton yarn: (not sewing thread), single, of uncombed fibres, less than 85% by weight of cotton, measuring less than 125 decitex (exceeding 80 metric number), not for retail sale</t>
  </si>
  <si>
    <t>Cotton yarn: (not sewing thread), single, of combed fibres, less than 85% by weight of cotton, measuring 714.29 decitex or more, (not exceeding 14 metric number), not for retail sale</t>
  </si>
  <si>
    <t>Cotton yarn: (not sewing thread), single, of combed fibres, less than 85% by weight of cotton, less than 714.29 but not less than 232.56 decitex (exceeding 14 but not exceeding 43 metric number), not for retail sale</t>
  </si>
  <si>
    <t>Cotton yarn: (not sewing thread), single, of combed fibres, less than 85% by weight of cotton, less than 232.56 but not less than 192.31 decitex (exceeding 43 but not exceeding 52 metric number), not for retail sale</t>
  </si>
  <si>
    <t>Cotton yarn: (not sewing thread), single, of combed fibres, less than 85% by weight of cotton, less than 192.31 but not less than 125 decitex (exceeding 52 but not exceeding 80 metric number), not for retail sale</t>
  </si>
  <si>
    <t>Cotton yarn: (not sewing thread), single, of combed fibres, less than 85% by weight of cotton, measuring less than 125 decitex (exceeding 80 metric number), not for retail sale</t>
  </si>
  <si>
    <t>Cotton yarn: (not sewing thread), multiple or cabled, of uncombed fibres, less than 85% by weight of cotton, 714.29 decitex or more (not exceeding 14 metric number) per single yarn, not for retail sale</t>
  </si>
  <si>
    <t>Cotton yarn: (not sewing thread), multiple or cabled, of uncombed fibres, less than 85% by weight of cotton, 714.28 to 232.56 decitex (15 to 43 metric number) per single yarn, not for retail sale</t>
  </si>
  <si>
    <t>Cotton yarn: (not sewing thread), multiple or cabled, of uncombed fibres, less than 85% by weight of cotton, 232.55 to 192.31 decitex (44 to 52 metric number) per single yarn, not for retail sale</t>
  </si>
  <si>
    <t>Cotton yarn: (not sewing thread), multiple or cabled, of uncombed fibres, less than 85% by weight of cotton, 192.30 to 125 decitex (53 to 80 metric number) per single yarn, not for retail sale</t>
  </si>
  <si>
    <t>Cotton yarn: (not sewing thread), multiple or cabled, of uncombed fibres, less than 85% by weight of cotton, less than 125 decitex (exceeding 80 metric number) per single yarn, not for retail sale</t>
  </si>
  <si>
    <t>Cotton yarn: (not sewing thread), multiple or cabled, of combed fibres, less than 85% by weight of cotton, 714.29 decitex or more (not exceeding 14 metric number) per single yarn, not for retail sale</t>
  </si>
  <si>
    <t>Cotton yarn: (not sewing thread), multiple or cabled, of combed fibres, less than 85% by weight of cotton, 714.28 to 232.56 decitex (15 to 43 metric number) per single yarn, not for retail sale</t>
  </si>
  <si>
    <t>Cotton yarn: (not sewing thread), multiple or cabled, of combed fibres, less than 85% by weight of cotton, 232.55 to 192.31 decitex (44 to 52 metric number) per single yarn, not for retail sale</t>
  </si>
  <si>
    <t>Cotton yarn: (not sewing thread), multiple or cabled, of combed fibres, less than 85% by weight of cotton, 192.30 to 125 decitex (53 to 80 metric number) per single yarn, not for retail sale</t>
  </si>
  <si>
    <t>Cotton yarn: (not sewing thread), multiple or cabled, of combed fibres, less than 85% by weight of cotton, less than 125 decitex (exceeding 80 metric number) per single yarn, not for retail sale</t>
  </si>
  <si>
    <t>Cotton yarn: (not sewing thread), containing 85% or more by weight of cotton, put up for retail sale</t>
  </si>
  <si>
    <t>Cotton yarn: (not sewing thread), containing less than 85% by weight of cotton, put up for retail sale</t>
  </si>
  <si>
    <t>Fabrics, woven: containing 85% or more by weight of cotton, unbleached, plain weave, weighing not more than 100g/m2</t>
  </si>
  <si>
    <t>Fabrics, woven: containing 85% or more by weight of cotton, unbleached, plain weave, weighing more than 100g/m2 but not more than 200g/m2</t>
  </si>
  <si>
    <t>Fabrics, woven: containing 85% or more by weight of cotton, unbleached, 3-thread or 4-thread twill, including cross twill, weighing not more than 200g/m2</t>
  </si>
  <si>
    <t>Fabrics, woven: containing 85% or more by weight of cotton, unbleached, of weaves n.e.c. in item no. 5208.1, weighing not more than 200g/m2</t>
  </si>
  <si>
    <t>Fabrics, woven: containing 85% or more by weight of cotton, bleached, plain weave, weighing not more than 100g/m2</t>
  </si>
  <si>
    <t>Fabrics, woven: containing 85% or more by weight of cotton, bleached, plain weave, weighing more than 100g/m2 but not more than 200g/m2</t>
  </si>
  <si>
    <t>Fabrics, woven: containing 85% or more by weight of cotton, bleached, 3-thread or 4-thread twill, including cross twill, weighing not more than 200g/m2</t>
  </si>
  <si>
    <t>Fabrics, woven: containing 85% or more by weight of cotton, bleached, of weaves n.e.c. in item no. 5208.2, weighing not more than 200g/m2</t>
  </si>
  <si>
    <t>Fabrics, woven: containing 85% or more by weight of cotton, dyed, plain weave, weighing not more than 100g/m2</t>
  </si>
  <si>
    <t>Fabrics, woven: containing 85% or more by weight of cotton, dyed, plain weave, weighing more than 100g/m2 but not more than 200g/m2</t>
  </si>
  <si>
    <t>Fabrics, woven: containing 85% or more by weight of cotton, dyed, 3-thread or 4-thread twill, including cross twill, weighing not more than 200g/m2</t>
  </si>
  <si>
    <t>Fabrics, woven: containing 85% or more by weight of cotton, dyed, of weaves n.e.c. in item no. 5208.3 weighing not more than 200g/m2</t>
  </si>
  <si>
    <t>Fabrics, woven: containing 85% or more by weight of cotton, of yarns of different colours, plain weave, weighing not more than 100g/m2</t>
  </si>
  <si>
    <t>Fabrics, woven: containing 85% or more by weight of cotton, of yarns of different colours, weighing more than 100g/m2 but not more than 200g/m2</t>
  </si>
  <si>
    <t>Fabrics, woven: containing 85% or more by weight of cotton, of yarns of different colours, 3-thread or 4-thread twill, including cross twill, weighing not more than 200g/m2</t>
  </si>
  <si>
    <t>Fabrics, woven: containing 85% or more by weight of cotton, of yarns of different colours, of weaves n.e.c. in item no. 5208.4, weighing not more than 200g/m2</t>
  </si>
  <si>
    <t>Fabrics, woven: containing 85% or more by weight of cotton, printed, plain weave, weighing not more than 100g/m2</t>
  </si>
  <si>
    <t>Fabrics, woven: containing 85% or more by weight of cotton, printed, plain weave, weighing more than 100g/m2 but not more than 200g/m2</t>
  </si>
  <si>
    <t>Fabrics, woven: containing 85% or more by weight of cotton, printed, of weaves n.e.c. in item no. 5208.5, weighing not more than 200g/m2</t>
  </si>
  <si>
    <t>Fabrics, woven: containing 85% or more by weight of cotton, unbleached, plain weave, weighing more than 200g/m2</t>
  </si>
  <si>
    <t>Fabrics, woven: containing 85% or more by weight of cotton, unbleached, 3-thread or 4-thread twill, including cross twill, weighing more than 200g/m2</t>
  </si>
  <si>
    <t>Fabrics, woven: containing 85% or more by weight of cotton, unbleached, of weaves n.e.c. in item no. 5209.1, weighing more than 200g/m2</t>
  </si>
  <si>
    <t>Fabrics, woven: containing 85% or more by weight of cotton, bleached, plain weave, weighing more than 200g/m2</t>
  </si>
  <si>
    <t>Fabrics, woven: containing 85% or more by weight of cotton, bleached, 3-thread or 4-thread twill, including cross twill, weighing more than 200g/m2</t>
  </si>
  <si>
    <t>Fabrics, woven: containing 85% or more by weight of cotton, bleached, of weaves n.e.c. in item no. 5209.2, weighing more than 200g/m2</t>
  </si>
  <si>
    <t>Fabrics, woven: containing 85% or more by weight of cotton, dyed, plain weave, weighing more than 200g/m2</t>
  </si>
  <si>
    <t>Fabrics, woven: containing 85% or more by weight of cotton, dyed, 3-thread or 4-thread twill, including cross twill, weighing more than 200g/m2</t>
  </si>
  <si>
    <t>Fabrics, woven: containing 85% or more by weight of cotton, dyed, of weaves n.e.c. in item no. 5209.3, weighing more than 200g/m2</t>
  </si>
  <si>
    <t>Fabrics, woven: containing 85% or more by weight of cotton, of yarns of different colours, plain weave, weighing more than 200g/m2</t>
  </si>
  <si>
    <t>Fabrics, woven: containing 85% or more by weight of cotton, of yarns of different colours, weighing more than 200g/m2, denim</t>
  </si>
  <si>
    <t>Fabrics, woven: containing 85% or more by weight of cotton, of yarns of different colours, 3-thread or 4-thread twill, including cross twill, weighing more than 200g/m2</t>
  </si>
  <si>
    <t>Fabrics, woven: containing 85% or more by weight of cotton, of yarns of different colours, of weaves n.e.c. in item no. 5209.4, weighing more than 200g/m2</t>
  </si>
  <si>
    <t>Fabrics, woven: containing 85% or more by weight of cotton, printed, plain weave, weighing more than 200g/m2</t>
  </si>
  <si>
    <t>Fabrics, woven: containing 85% or more by weight of cotton, printed, 3-thread or 4-thread twill, including cross twill, weighing more than 200g/m2</t>
  </si>
  <si>
    <t>Fabrics, woven: containing 85% or more by weight of cotton, printed, of weaves n.e.c. in item no. 5209.5, weighing more than 200g/m2</t>
  </si>
  <si>
    <t>Fabrics, woven: containing less than 85% by weight of cotton, mixed mainly or solely with man-made fibres, unbleached, plain weave, weighing 200g/m2 or less</t>
  </si>
  <si>
    <t>Fabrics, woven: containing less than 85% by weight of cotton, mixed mainly or solely with man-made fibres, unbleached, of weaves n.e.c. in item no. 5210.1, weighing 200g/m2 or less</t>
  </si>
  <si>
    <t>Fabrics, woven: containing less than 85% by weight of cotton, mixed mainly or solely with man-made fibres, bleached, plain weave, weighing 200g/m2 or less</t>
  </si>
  <si>
    <t>Fabrics, woven: containing less than 85% by weight of cotton, mixed mainly or solely with man-made fibres, weighing 200g/m2 or less, bleached, of weaves n.e.c. in item no. 5210.2</t>
  </si>
  <si>
    <t>Fabrics, woven: containing less than 85% by weight of cotton, mixed mainly or solely with man-made fibres, weighing 200g/m2 or less, dyed, plain weave</t>
  </si>
  <si>
    <t>Fabrics, woven: containing less than 85% by weight of cotton, mixed mainly or solely with man-made fibres, weighing 200g/m2 or less, dyed, 3-thread or 4-thread twill, including cross twill</t>
  </si>
  <si>
    <t>Fabrics, woven: containing less than 85% by weight of cotton, mixed mainly or solely with man-made fibres, weighing 200g/m2 or less, dyed, of weaves n.e.c. in item no. 5210.3</t>
  </si>
  <si>
    <t>Fabrics, woven: containing less than 85% by weight of cotton, mixed mainly or solely with man-made fibres, weighing 200g/m2 or less, of yarns of different colours, plain weave</t>
  </si>
  <si>
    <t>Fabrics, woven: containing less than 85% by weight of cotton, mixed mainly or solely with man-made fibres, weighing 200g/m2 or less, of yarns of different colours, of weaves n.e.c. in item no. 5210.4</t>
  </si>
  <si>
    <t>Fabrics, woven: containing less than 85% by weight of cotton, mixed mainly or solely with man-made fibres, weighing 200g/m2 or less, printed, plain weave</t>
  </si>
  <si>
    <t>Fabrics, woven: containing less than 85% by weight of cotton, mixed mainly or solely with man-made fibres, weighing 200g/m2 or less, printed, of weaves n.e.c. in item no. 5210.5</t>
  </si>
  <si>
    <t>Fabrics, woven: containing less than 85% by weight of cotton, mixed mainly or solely with man-made fibres, unbleached, plain weave, weighing more than 200g/m2</t>
  </si>
  <si>
    <t>Fabrics, woven: containing less than 85% by weight of cotton, mixed mainly or solely with man-made fibres, unbleached, 3- or 4-thread twill, including cross twill, weighing more than 200g/m2</t>
  </si>
  <si>
    <t>Fabrics, woven: containing less than 85% by weight of cotton, mixed mainly or solely with man-made fibres, unbleached, of weaves n.e.c. in item no. 5211.1, weighing more than 200g/m2</t>
  </si>
  <si>
    <t>Fabrics, woven: containing less than 85% by weight of cotton, mixed mainly or solely with man-made fibres, weighing more than 200g/m2, bleached</t>
  </si>
  <si>
    <t>Fabrics, woven: containing less than 85% by weight of cotton, mixed mainly or solely with man-made fibres, weighing more than 200g/m2, dyed, plain weave</t>
  </si>
  <si>
    <t>Fabrics, woven: containing less than 85% by weight of cotton, mixed mainly or solely with man-made fibres, weighing more than 200g/m2, dyed, 3-thread or 4-thread twill, including cross twill</t>
  </si>
  <si>
    <t>Fabrics, woven: containing less than 85% by weight of cotton, mixed mainly or solely with man-made fibres, weighing more than 200g/m2, dyed, of weaves n.e.c. in item no. 5211.3</t>
  </si>
  <si>
    <t>Fabrics, woven: containing less than 85% by weight of cotton, mixed mainly or solely with man-made fibres, weighing more than 200g/m2, of yarns of different colours, plain weave</t>
  </si>
  <si>
    <t>Fabrics, woven: containing less than 85% by weight of cotton, mixed mainly or solely with man-made fibres, weighing more than 200g/m2, of yarns of different colours, denim</t>
  </si>
  <si>
    <t>Fabrics, woven: containing less than 85% by weight of cotton, mixed mainly or solely with man-made fibres, weighing more than 200g/m2, of yarns of different colours, 3-thread or 4-thread twill, including cross twill</t>
  </si>
  <si>
    <t>Fabrics, woven: containing less than 85% by weight of cotton, mixed mainly or solely with man-made fibres, weighing more than 200g/m2, of yarns of different colours, of weaves n.e.c. in item no. 5211.4</t>
  </si>
  <si>
    <t>Fabrics, woven: containing less than 85% by weight of cotton, mixed mainly or solely with man-made fibres, weighing more than 200g/m2, printed, plain weave</t>
  </si>
  <si>
    <t>Fabrics, woven: containing less than 85% by weight of cotton, mixed mainly or solely with man-made fibres, weighing more than 200g/m2, printed, 3-thread or 4-thread twill, including cross twill</t>
  </si>
  <si>
    <t>Fabrics, woven: containing less than 85% by weight of cotton, mixed mainly or solely with man-made fibres, weighing more than 200g/m2, printed, of weaves n.e.c. in item no. 5211.5</t>
  </si>
  <si>
    <t>Fabrics, woven: of cotton, unbleached, weighing not more than 200g/m2, n.e.c. in chapter 52</t>
  </si>
  <si>
    <t>Fabrics, woven: of cotton, bleached, weighing not more than 200g/m2, n.e.c. in chapter 52</t>
  </si>
  <si>
    <t>Fabrics, woven: of cotton, dyed, weighing not more than 200g/m2, n.e.c. in chapter 52</t>
  </si>
  <si>
    <t>Fabrics, woven: of cotton, of yarns of different colours, weighing not more than 200g/m2, n.e.c. in chapter 52</t>
  </si>
  <si>
    <t>Fabrics, woven: of cotton, printed, weighing not more than 200g/m2, n.e.c. in chapter 52</t>
  </si>
  <si>
    <t>Fabrics, woven: of cotton, unbleached, weighing more than  200g/m2, n.e.c. in chapter 52</t>
  </si>
  <si>
    <t>Fabrics, woven: of cotton, bleached, weighing more than 200g/m2, n.e.c. in chapter 52</t>
  </si>
  <si>
    <t>Fabrics, woven: of cotton, dyed, weighing more than 200g/m2, n.e.c. in chapter 52</t>
  </si>
  <si>
    <t>Fabrics, woven: of cotton, of yarns of different colours, weighing more than 200g/m2, n.e.c. in chapter 52</t>
  </si>
  <si>
    <t>Fabrics, woven: of cotton, printed, weighing more than 200g/m2, n.e.c. in chapter 52</t>
  </si>
  <si>
    <t>Flax: raw or retted, but not spun</t>
  </si>
  <si>
    <t>Flax: broken or scutched, but not spun</t>
  </si>
  <si>
    <t>Flax: hackled or otherwise processed, but not spun</t>
  </si>
  <si>
    <t>Flax: tow and waste, including yarn waste and garnetted stock</t>
  </si>
  <si>
    <t>Hemp (cannabis sativa L.): raw or retted, but not spun</t>
  </si>
  <si>
    <t>Hemp (cannabis sativa L.): processed (other than retted) (but not spun), true hemp tow and waste (including yarn waste and garnetted stock)</t>
  </si>
  <si>
    <t>Jute and other textile bast fibres: raw or retted, but not spun, (excluding flax, hemp (cannabis sativa L.), and ramie)</t>
  </si>
  <si>
    <t>Jute and other textile bast fibres: processed but not spun, tow and waste of these fibres, including yarn waste and garnetted stock (excluding flax, hemp (cannabis sativa L.), and ramie)</t>
  </si>
  <si>
    <t>Coconut, abaca (Manila hemp or Musa textilis Nee), ramie and other vegetable textile fibres n.e.c., raw or processed but not spun: tow, noils and waste of these fibres (including yarn waste and garnetted stock)</t>
  </si>
  <si>
    <t>Yarn: of flax, single</t>
  </si>
  <si>
    <t>Yarn: of flax, multiple (folded) or cabled</t>
  </si>
  <si>
    <t>Yarn: of jute or of other textile bast fibres, single</t>
  </si>
  <si>
    <t>Yarn: of jute or of other textile bast fibres, multiple (folded) or cabled</t>
  </si>
  <si>
    <t>Yarn: of coir</t>
  </si>
  <si>
    <t>Yarn: of hemp (cannabis sativa L.)</t>
  </si>
  <si>
    <t>Yarn: of vegetable textile fibres n.e.c. in heading no. 5306, 5307 and 5308</t>
  </si>
  <si>
    <t>Fabrics, woven: of flax, containing 85% or more flax, unbleached or bleached</t>
  </si>
  <si>
    <t>Fabrics, woven: of flax, containing 85% or more flax, other than bleached or unbleached</t>
  </si>
  <si>
    <t>Fabrics, woven: of flax, containing less than 85% flax, unbleached or bleached</t>
  </si>
  <si>
    <t>Fabrics, woven: of flax, containing less than 85% flax, other than unbleached or bleached</t>
  </si>
  <si>
    <t>Fabrics, woven: of jute or of other textile bast fibres of heading no. 5303, unbleached</t>
  </si>
  <si>
    <t>Fabrics, woven: of jute or of other textile bast fibres of heading no. 5303, other than unbleached</t>
  </si>
  <si>
    <t>Fabrics, woven: of vegetable textile fibres n.e.c. in heading no. 5309 and 5310, woven fabrics of paper yarn</t>
  </si>
  <si>
    <t>Sewing thread: of synthetic filaments, whether or not put up for retail sale</t>
  </si>
  <si>
    <t>Sewing thread: of artificial filaments, whether or not put up for retail sale</t>
  </si>
  <si>
    <t>Yarn, synthetic: filament, monofilament (less than 67 decitex), of high tenacity nylon or other polyamides, of aramids, not for retail sale, not sewing thread</t>
  </si>
  <si>
    <t>Yarn, synthetic: filament, monofilament (less than 67 decitex), of high tenacity nylon or other polyamides, other than aramids, not for retail sale, not sewing thread</t>
  </si>
  <si>
    <t>Yarn, synthetic: filament, monofilament (less than 67 decitex), of high tenacity polyesters, not for retail sale, not sewing thread</t>
  </si>
  <si>
    <t>Yarn, synthetic: filament, monofilament (less than 67 decitex), textured, of nylon or other polyamides, measuring per single yarn not more than 50 decitex, not for retail sale, not sewing thread</t>
  </si>
  <si>
    <t>Yarn, synthetic: filament, monofilament (less than 67 decitex), textured, of nylon or other polyamides, measuring per single yarn more than 50 decitex, not for retail sale, not sewing thread</t>
  </si>
  <si>
    <t>Yarn, synthetic: filament, monofilament (less than 67 decitex), textured, of polyesters, not for retail sale, not sewing thread</t>
  </si>
  <si>
    <t>Yarn, synthetic: filament, monofilament (less than 67 decitex), textured, of polypropylene, not for retail sale, not sewing thread</t>
  </si>
  <si>
    <t>Yarn, synthetic: filament, monofilament (less than 67 decitex), textured, other than of nylon or other polymides, polyesters, or polypropylene, not for retail sale, not sewing thread</t>
  </si>
  <si>
    <t>Yarn, synthetic: filament, monofilament (less than 67 decitex), other than high tenacity or textured yarn, elastomeric, single, untwisted or twisted 50 turns or less per metre, not for retail sale, not sewing thread</t>
  </si>
  <si>
    <t>Yarn, synthetic: filament, monofilament (less than 67 decitex), of nylon or other polymides (not high tenacity or textured), single, untwisted or twisted 50 turns or less per metre, not for retail sale, not sewing thread</t>
  </si>
  <si>
    <t>Yarn, synthetic: filament, monofilament (less than 67 decitex), of polyesters (not high tenacity or textured), partially oriented, single, untwisted or twisted 50 turns or less per metre, not for retail sale, not sewing thread</t>
  </si>
  <si>
    <t>Yarn, synthetic: filament, monofilament (less than 67 decitex), polyesters (not high tenacity or textured), not partially oriented, single, untwisted or twisted 50 turns or less per metre, not for retail sale, not sewing thread</t>
  </si>
  <si>
    <t>Yarn, synthetic: filament, monofilament (less than 67 decitex), of polypropylene (not high tenacity or textured), single, untwisted or twisted 50 turns or less per metre, not for retail sale, not sewing thread</t>
  </si>
  <si>
    <t>Yarn, synthetic: filament, monofilament (less than 67 decitex), other than high tenacity or textured yarn, single, untwisted or twisted 50 turns or less per metre, n.e.c. in heading no. 5402, not for retail sale, not sewing thread</t>
  </si>
  <si>
    <t>Yarn, synthetic: filament, monofilament (less than 67 decitex), of nylon or other polymides (not high tenacity or textured), single, twisted more than 50 turns per metre, not for retail sale, not sewing thread</t>
  </si>
  <si>
    <t>Yarn, synthetic: filament, monofilament (less than 67 decitex), of polyesters (not high tenacity or textured), single, twisted more than 50 turns per metre, not for retail sale, not sewing thread</t>
  </si>
  <si>
    <t>Yarn, synthetic: filament, monofilament (less than 67 decitex), other than high tenacity or textured yarn, single, twisted more than 50 turns per metre, n.e.c. in heading no. 5402, not for retail sale, not sewing thread</t>
  </si>
  <si>
    <t>Yarn, synthetic: filament, monofilament (less than 67 decitex), of nylon or other polymides (not high tenacity or textured), multiple (folded) or cabled, not for retail sale, not sewing thread</t>
  </si>
  <si>
    <t>Yarn, synthetic: filament, monofilament (less than 67 decitex), of polyesters (not high tenacity or textured), multiple (folded) or cabled, not for retail sale, not sewing thread</t>
  </si>
  <si>
    <t>Yarn, synthetic: filament, monofilament (less than 67 decitex), other than high tenacity or textured yarn, multiple (folded) or cabled, n.e.c. in heading no. 5402, not for retail sale, not sewing thread</t>
  </si>
  <si>
    <t>Yarn, artificial: filament, monofilament (less than 67 decitex), of high tenacity viscose rayon, not for retail sale, not sewing thread</t>
  </si>
  <si>
    <t>Yarn, artificial: filament, monofilament (less than 67 decitex), of viscose rayon (not high tenacity), single, untwisted or twisted 120 turns per metre or less, not for retail sale, not sewing thread</t>
  </si>
  <si>
    <t>Yarn, artificial: filament, monofilament (less than 67 decitex), of viscose rayon (not high tenacity), single, twisted more than 120 turns per metre, not for retail sale, not sewing thread</t>
  </si>
  <si>
    <t>Yarn, artificial: filament, monofilament (less than 67 decitex), of cellulose acetate, single, not for retail sale, not sewing thread</t>
  </si>
  <si>
    <t>Yarn, artificial: filament, monofilament (less than 67 decitex), single, n.e.c. in heading no. 5403, not for retail sale, not sewing thread</t>
  </si>
  <si>
    <t>Yarn, artificial: filament, monofilament (less than 67 decitex), of viscose rayon (not high tenacity), multiple (folded) or cabled, not for retail sale, not sewing thread</t>
  </si>
  <si>
    <t>Yarn, artificial: filament, monofilament (less than 67 decitex), of cellulose acetate, multiple (folded) or cabled, not for retail sale, not sewing thread</t>
  </si>
  <si>
    <t>Yarn, artificial: filament, monofilament (less than 67 decitex), multiple (folded) or cabled, n.e.c. in heading no. 5403, not for retail sale, not sewing thread</t>
  </si>
  <si>
    <t>Elastomeric monofilament: of 67 decitex or more and of which no cross-sectional dimension exceeds 1mm</t>
  </si>
  <si>
    <t>Monofilament of polypropylene: of 67 decitex or more and of which no cross-sectional dimension exceeds 1mm</t>
  </si>
  <si>
    <t>Monofilament n.e.c. in heading no 5404: of 67 decitex or more and of which no cross-sectional dimension exceeds 1mm</t>
  </si>
  <si>
    <t>Filament, synthetic: strip and the like (e.g.. artificial straw), of synthetic textile materials of an apparent width not exceeding 5mm</t>
  </si>
  <si>
    <t>Monofilament, synthetic: of 67 decitex or more and of which no cross-sectional dimension exceeds 1mm, strip and the like (e.g. artificial straw), of synthetic textile materials with width not over 5mm</t>
  </si>
  <si>
    <t>Man-made filament yarn (other than sewing thread), put up for retail sale</t>
  </si>
  <si>
    <t>Fabrics, woven: from high tenacity yarn, of nylon, other polyamides or of polyesters</t>
  </si>
  <si>
    <t>Fabrics, woven: from strip or the like, of synthetic textile materials</t>
  </si>
  <si>
    <t>Fabrics, woven: from synthetic filament yarn, adhesive or thermal bonded</t>
  </si>
  <si>
    <t>Fabrics, woven: containing 85% or more by weight of filaments of nylon or other polyamides, unbleached or bleached</t>
  </si>
  <si>
    <t>Fabrics, woven: containing 85% or more by weight of filaments of nylon or other polyamides, dyed</t>
  </si>
  <si>
    <t>Fabrics, woven: containing 85% or more by weight of filaments of nylon or other polyamides, of yarns of different colours</t>
  </si>
  <si>
    <t>Fabrics, woven: containing 85% or more by weight of filaments of nylon or other polyamides, printed</t>
  </si>
  <si>
    <t>Fabrics, woven: containing 85% or more by weight of textured polyester filaments, unbleached or bleached</t>
  </si>
  <si>
    <t>Fabrics, woven: containing 85% or more by weight of textured polyester filaments, dyed</t>
  </si>
  <si>
    <t>Fabrics, woven: containing 85% or more by weight of textured polyester filaments, of yarns of different colours</t>
  </si>
  <si>
    <t>Fabrics, woven: containing 85% or more by weight of textured polyester filaments, printed</t>
  </si>
  <si>
    <t>Fabrics, woven: containing 85% or more by weight of non-textured polyester filaments</t>
  </si>
  <si>
    <t>Fabrics, woven: containing less than 85% by weight of non-textured polyester filaments</t>
  </si>
  <si>
    <t>Fabrics, woven: containing 85% or more by weight of synthetic filaments (excluding nylon or other polyamides and polyesters), unbleached or bleached</t>
  </si>
  <si>
    <t>Fabrics, woven: containing 85% or more by weight of synthetic filaments (excluding nylon or other polyamides and polyesters), dyed</t>
  </si>
  <si>
    <t>Fabrics, woven: containing 85% or more by weight of synthetic filaments (excluding nylon or other polyamides and polyesters), of yarns of different colours</t>
  </si>
  <si>
    <t>Fabrics, woven: containing 85% or more by weight of synthetic filaments (excluding nylon or other polyamides and polyesters), printed</t>
  </si>
  <si>
    <t>Fabrics, woven: of synthetic filament yarn, containing less than 85% by weight of synthetic filaments, mixed mainly or solely with cotton, bleached or unbleached</t>
  </si>
  <si>
    <t>Fabrics, woven: of synthetic filament yarn, containing less than 85% by weight of synthetic filaments, mixed mainly or solely with cotton, dyed</t>
  </si>
  <si>
    <t>Fabrics, woven: of synthetic filament yarn, containing less than 85% by weight of synthetic filaments, mixed mainly or solely with cotton, of yarns of different colours</t>
  </si>
  <si>
    <t>Fabrics, woven: of synthetic filament yarn, containing less than 85% by weight of synthetic filaments, printed</t>
  </si>
  <si>
    <t>Fabrics, woven: of synthetic filament yarn, bleached or unbleached, n.e.c. in heading no. 5407</t>
  </si>
  <si>
    <t>Fabrics, woven: of synthetic filament yarn, dyed, n.e.c. in heading 5407</t>
  </si>
  <si>
    <t>Fabrics, woven: of synthetic filament yarn, of yarns of different colours, n.e.c. in heading no. 5407</t>
  </si>
  <si>
    <t>Fabrics, woven: of synthetic filament yarn, printed, n.e.c. in heading no. 5407</t>
  </si>
  <si>
    <t>Fabrics, woven: of viscose rayon, high tenacity, artificial filament yarn</t>
  </si>
  <si>
    <t>Fabrics, woven: of artificial filament yarn, containing 85% or more by weight of artificial filament, strip or the like, bleached or unbleached</t>
  </si>
  <si>
    <t>Fabrics, woven: of artificial filament yarn, containing 85% or more by weight of artificial filament, strip or the like, dyed</t>
  </si>
  <si>
    <t>Fabrics, woven: containing 85% or more by weight of artificial filament, strip or the like, of yarns of different colours</t>
  </si>
  <si>
    <t>Fabrics, woven: of artificial filament yarn, containing 85% or more by weight of artificial filament, strip or the like, printed</t>
  </si>
  <si>
    <t>Fabrics, woven: of artificial filament yarn, of artificial monofilament, strip and the like, n.e.c. in heading no. 5408, unbleached or bleached</t>
  </si>
  <si>
    <t>Fabrics, woven: of artificial filament yarn, of artificial monofilament, strip and the like, n.e.c. in heading no. 5408, dyed</t>
  </si>
  <si>
    <t>Fabrics, woven: of artificial filament yarn, of artificial monofilament, strip and the like, n.e.c. in heading no. 5408, of yarns of different colours</t>
  </si>
  <si>
    <t>Fabrics, woven: of artificial filament yarn, of artificial monofilament, strip and the like, n.e.c. in heading no. 5408, printed</t>
  </si>
  <si>
    <t>Fibres: synthetic filament tow, of nylon or other polyamides</t>
  </si>
  <si>
    <t>Fibres: synthetic filament tow, of polyesters</t>
  </si>
  <si>
    <t>Fibres: synthetic filament tow, acrylic or modacrylic</t>
  </si>
  <si>
    <t>Fibres: synthetic filament tow, of polypropylene</t>
  </si>
  <si>
    <t>Fibres: synthetic filament tow, of synthetic materials n.e.c. in heading no. 5501</t>
  </si>
  <si>
    <t>Fibres: artificial filament tow</t>
  </si>
  <si>
    <t>Fibres: synthetic staple fibres, of aramids, not carded, combed or otherwise processed for spinning</t>
  </si>
  <si>
    <t>Fibres: synthetic staple fibres, of nylon or other polyamides other than aramids, not carded, combed or otherwise processed for spinning</t>
  </si>
  <si>
    <t>Fibres: synthetic staple fibres, of polyesters, not carded, combed or otherwise processed for spinning</t>
  </si>
  <si>
    <t>Fibres: synthetic staple fibres, acrylic or modacrylic, not carded, combed or otherwise processed for spinning</t>
  </si>
  <si>
    <t>Fibres: synthetic staple fibres, of polypropylene, not carded, combed or otherwise processed for spinning</t>
  </si>
  <si>
    <t>Fibres: synthetic staple fibres, of synthetic materials n.e.c. in heading no. 5503, not carded, combed or otherwise processed for spinning</t>
  </si>
  <si>
    <t>Fibres: artificial staple fibres, of viscose, not carded, combed or otherwise processed for spinning</t>
  </si>
  <si>
    <t>Fibres: artificial staple fibres, other than of viscose, not carded, combed or otherwise processed for spinning</t>
  </si>
  <si>
    <t>Fibres: waste (including noils, yarn waste and garnetted stock), of synthetic fibres</t>
  </si>
  <si>
    <t>Fibres: waste (including noils, yarn waste and garnetted stock), of artificial fibres</t>
  </si>
  <si>
    <t>Fibres: synthetic staple fibres, of nylon or other polyamides, carded, combed or otherwise processed for spinning</t>
  </si>
  <si>
    <t>Fibres: synthetic staple fibres, of polyesters, carded, combed or otherwise processed for spinning</t>
  </si>
  <si>
    <t>Fibres: synthetic staple fibres, acrylic or modacrylic, carded, combed or otherwise processed for spinning</t>
  </si>
  <si>
    <t>Fibres: synthetic staple fibres, n.e.c. in heading no. 5506, carded, combed or otherwise processed for spinning</t>
  </si>
  <si>
    <t>Fibres: artificial staple fibres, carded, combed or otherwise processed for spinning</t>
  </si>
  <si>
    <t>Sewing thread: of synthetic staple fibres, whether or not put up for retail sale</t>
  </si>
  <si>
    <t>Sewing thread: of artificial staple fibres, whether or not put up for retail sale</t>
  </si>
  <si>
    <t>Yarn: (not sewing thread), single, of synthetic staple fibres, containing 85% or more by weight of nylon or other polyamides, not put up for retail sale</t>
  </si>
  <si>
    <t>Yarn: (not sewing thread), multiple (folded) or cabled yarn, of synthetic staple fibres, containing 85% or more by weight of nylon or other polyamides, not put up for retail sale</t>
  </si>
  <si>
    <t>Yarn: (not sewing thread), single, of synthetic staple fibres, containing 85% or more by weight of polyester, not put up for retail sale</t>
  </si>
  <si>
    <t>Yarn: (not sewing thread), multiple (folded) or cabled yarn, of synthetic staple fibres, containing 85% or more by weight of polyester, not put up for retail sale</t>
  </si>
  <si>
    <t>Yarn: (not sewing thread), single, of synthetic staple fibres, containing 85% or more by weight of acrylic or modacrylic, not put up for retail sale</t>
  </si>
  <si>
    <t>Yarn: (not sewing thread), multiple (folded) or cabled, of synthetic staple fibres, containing 85% or more by weight of acrylic or modacrylic, not put up for retail sale</t>
  </si>
  <si>
    <t>Yarn: (not sewing thread), single, containing 85% or more by weight of synthetic staple fibres, n.e.c. in heading no. 5509, not put up for retail sale</t>
  </si>
  <si>
    <t>Yarn: (not sewing thread), multiple (folded) or cabled yarn, containing 85% or more by weight of synthetic staple fibres, n.e.c. in heading no. 5509, not put up for retail sale</t>
  </si>
  <si>
    <t>Yarn: (not sewing thread), of polyester staple fibres, mixed mainly or solely with artificial staple fibres, not put up for retail sale</t>
  </si>
  <si>
    <t>Yarn: (not sewing thread), of polyester staple fibres, mixed mainly or solely with wool or fine animal hair, not put up for retail sale</t>
  </si>
  <si>
    <t>Yarn: (not sewing thread), of polyester staple fibres, mixed mainly or solely with cotton, not put up for retail sale</t>
  </si>
  <si>
    <t>Yarn: (not sewing thread), of polyester staple fibres, mixed mainly or solely with fibres n.e.c. in item no. 5509.5, not put up for retail sale</t>
  </si>
  <si>
    <t>Yarn: (not sewing thread), of acrylic or modacrylic staple fibres, mixed mainly or solely with wool or fine animal hair, not put up for retail sale</t>
  </si>
  <si>
    <t>Yarn: (not sewing thread), of acrylic or modacrylic staple fibres, mixed mainly or solely with cotton, not put up for retail sale</t>
  </si>
  <si>
    <t>Yarn: (not sewing thread), of acrylic or modacrylic staple fibres, mixed mainly or solely with fibres n.e.c. in item no. 5509.6, not put up for retail sale</t>
  </si>
  <si>
    <t>Yarn: (not sewing thread), of synthetic staple fibres, mixed mainly or solely with wool or fine animal hair, n.e.c. in heading no. 5509, not put up for retail sale</t>
  </si>
  <si>
    <t>Yarn: (not sewing thread), of synthetic staple fibres, mixed mainly or solely with cotton, n.e.c. in heading no. 5509, not put up for retail sale</t>
  </si>
  <si>
    <t>Yarn: (not sewing thread), of synthetic staple fibres, mixed mainly or solely with fibres (other than wool, fine animal hair or cotton), n.e.c. in heading no. 5509, not put up for retail sale</t>
  </si>
  <si>
    <t>Yarn: (not sewing thread), single, of artificial staple fibres, containing 85% or more by weight of artificial staple fibres, not put up for retail sale</t>
  </si>
  <si>
    <t>Yarn: (not sewing thread), multiple (folded) or cabled yarn, of artificial staple fibres, containing 85% or more by weight of artificial staple fibres, not put up for retail sale</t>
  </si>
  <si>
    <t>Yarn: (not sewing thread), of artificial staple fibres, mixed mainly or solely with wool or fine animal hair, not put up for retail sale</t>
  </si>
  <si>
    <t>Yarn: (not sewing thread), of artificial staple fibres, mixed mainly or solely with cotton, not put up for retail sale</t>
  </si>
  <si>
    <t>Yarn: (not sewing thread), of artificial staple fibres, mixed mainly or solely with fibres (other than wool, fine animal hair or cotton), not put up for retail sale</t>
  </si>
  <si>
    <t>Yarn: (not sewing thread), of synthetic staple fibres, containing 85% or more by weight of synthetic staple fibres, put up for retail sale</t>
  </si>
  <si>
    <t>Yarn: (not sewing thread), of synthetic staple fibres, containing less than 85% by weight of synthetic staple fibres, put up for retail sale</t>
  </si>
  <si>
    <t>Yarn: (not sewing thread), of artificial staple fibres, put up for retail sale</t>
  </si>
  <si>
    <t>Fabrics, woven: of synthetic staple fibres, containing 85% or more by weight of polyester staple fibres, unbleached or bleached</t>
  </si>
  <si>
    <t>Fabrics, woven: of synthetic staple fibres, containing 85% or more by weight of polyester staple fibres, other than unbleached or bleached</t>
  </si>
  <si>
    <t>Fabrics, woven: of synthetic staple fibres, containing 85% or more by weight of acrylic or modacrylic staple fibres, unbleached or bleached</t>
  </si>
  <si>
    <t>Fabrics, woven: of synthetic staple fibres, containing 85% or more by weight of acrylic or modacrylic staple fibres, other than unbleached or bleached</t>
  </si>
  <si>
    <t>Fabrics, woven: of synthetic staple fibres, containing 85% or more by weight of such fibres n.e.c. in heading no. 5512, unbleached or bleached</t>
  </si>
  <si>
    <t>Fabrics, woven: of synthetic staple fibres, containing 85% or more by weight of such fibres n.e.c. in heading no. 5512, other than unbleached or bleached</t>
  </si>
  <si>
    <t>Fabrics, woven: plain weave, of polyester staple fibres, containing less than 85% by weight of such fibres, mixed mainly or solely with cotton, of a weight not exceeding 170g/m2, unbleached or bleached</t>
  </si>
  <si>
    <t>Fabrics, woven: 3-thread or 4-thread twill, of polyester staple fibres, containing less than 85% by weight of such, mixed mainly or solely with cotton, not exceeding 170g/m2, unbleached or bleached</t>
  </si>
  <si>
    <t>Fabrics, woven: of polyester staple fibres, containing less than 85% by weight of such fibres, mixed mainly or solely with cotton, not exceeding 170g/m2, unbleached or bleached</t>
  </si>
  <si>
    <t>Fabrics, woven: containing less than 85% by weight of synthetic staple fibres (other than polyesters), mixed mainly or solely with cotton, not exceeding 170g/m2, unbleached or bleached</t>
  </si>
  <si>
    <t>Fabrics, woven: plain weave, dyed, containing less than 85% by weight of polyester staple fibres, mixed mainly or solely with cotton, not exceeding 170g/m2</t>
  </si>
  <si>
    <t>Fabrics, woven: dyed, containing less than 85% by weight of polyester staple fibres, mixed mainly or solely with cotton, not exceeding 170g/m2</t>
  </si>
  <si>
    <t>Fabrics, woven: dyed, containing less than 85% by weight of synthetic staple fibres (other than polyesters), mixed mainly or solely with cotton, not exceeding 170g/m2</t>
  </si>
  <si>
    <t>Fabrics, woven: plain weave, of yarns of different colours, containing less than 85% by weight of polyester staple fibres, mixed mainly or solely with cotton, not exceeding 170g/m2</t>
  </si>
  <si>
    <t>Fabrics, woven: of yarns of different colours, containing less than 85% of synthetic staple fibres (other than polyester, plain weave), mixed mainly or solely with cotton, not exceeding 170g/m2</t>
  </si>
  <si>
    <t>Fabrics, woven: plain weave, printed, of polyester staple fibres, containing less than 85% by weight of such fibres, mixed mainly or solely with cotton, not exceeding 170g/m2</t>
  </si>
  <si>
    <t>Fabrics, woven: printed, containing less than 85% by weight of synthetic staple fibres (other than polyester, plain weave), mixed mainly or solely with cotton, not exceeding 170g/m2</t>
  </si>
  <si>
    <t>Fabrics, woven: plain weave, unbleached or bleached, containing less than 85% by weight of polyester staple fibres, mixed mainly or solely with cotton, exceeding 170g/m2</t>
  </si>
  <si>
    <t>Fabrics, woven: 3- or 4-thread twill, including cross twill, unbleached or bleached, containing less than 85% by weight of polyester staple fibres, mixed mainly or solely with cotton, over 170g/m2</t>
  </si>
  <si>
    <t>Fabrics, woven: unbleached or bleached, containing less than 85% by weight of synthetic staple fibres n.e.c. in item no. 55.14.1, mixed mainly or solely with cotton, exceeding 170g/m2</t>
  </si>
  <si>
    <t>Fabrics, woven: plain weave, dyed, containing less than 85% by weight of polyester staple fibres, mixed mainly or solely with cotton, exceeding 170g/m2</t>
  </si>
  <si>
    <t>Fabrics, woven: 3- or 4-thread twill, including cross twill, dyed, containing less than 85% by weight of polyester staple fibres, mixed mainly or solely with cotton, exceeding 170g/m2</t>
  </si>
  <si>
    <t>Fabrics, woven: dyed, containing less than 85% by weight of polyester staple fibres, mixed mainly or solely with cotton, exceeding 170g/m2, n.e.c. in  heading no. 5514</t>
  </si>
  <si>
    <t>Fabrics, woven: dyed, containing less than 85% by weight of synthetic staple fibres (other than polyesters), mixed mainly or solely with cotton, exceeding 170g/m2</t>
  </si>
  <si>
    <t>Fabrics, woven: of yarns of different colours, containing less than 85% by weight of synthetic staple fibres, mixed mainly or solely with cotton, exceeding 170g/m2</t>
  </si>
  <si>
    <t>Fabrics, woven: plain weave, printed, containing less than 85% by weight of polyester staple fibres, mixed mainly or solely with cotton, exceeding 170g/m2</t>
  </si>
  <si>
    <t>Fabrics, woven: 3- or 4-thread twill, including cross twill, printed, containing less than 85% by weight of polyester staple fibres, mixed mainly or solely with cotton, exceeding 170g/m2</t>
  </si>
  <si>
    <t>Fabrics, woven: printed, containing less than 85% by weight of polyester staple fibres, mixed mainly or solely with cotton, weight exceeding 170g/m2, n.e.c. in heading no. 5514</t>
  </si>
  <si>
    <t>Fabrics, woven: printed, containing less than 85% by weight of synthetic staple fibres (other than polyesters), mixed mainly or solely with cotton, exceeding 170g/m2</t>
  </si>
  <si>
    <t>Fabrics, woven: of polyester staple fibres n.e.c. in chapter 55, mixed mainly or solely with viscose rayon staple fibres</t>
  </si>
  <si>
    <t>Fabrics, woven: of polyester staple fibres n.e.c. in chapter 55, mixed mainly or solely with man-made filaments</t>
  </si>
  <si>
    <t>Fabrics, woven: of polyester staple fibres n.e.c. in chapter 55, mixed mainly or solely with wool or fine animal hair</t>
  </si>
  <si>
    <t>Fabrics, woven: of polyester staple fibres n.e.c. in chapter 55, mixed mainly or solely with fibres n.e.c. in item no. 5515.1</t>
  </si>
  <si>
    <t>Fabrics, woven: of acrylic or modacrylic staple fibres n.e.c. in chapter 55, mixed mainly or solely with man-made filaments</t>
  </si>
  <si>
    <t>Fabrics, woven: of acrylic or modacrylic staple fibres n.e.c. in chapter 55, mixed mainly or solely with wool or fine animal hair</t>
  </si>
  <si>
    <t>Fabrics, woven: of acrylic or modacrylic staple fibres n.e.c. in chapter 55, mixed mainly or solely with fibres n.e.c. in item no. 5515.2</t>
  </si>
  <si>
    <t>Fabrics, woven: of synthetic staple fibres n.e.c. in chapter 55, mixed mainly or solely with man-made filaments</t>
  </si>
  <si>
    <t>Fabrics, woven: of synthetic staple fibres n.e.c. in chapter 55, mixed mainly or solely with fibres n.e.c. in heading no. 5515</t>
  </si>
  <si>
    <t>Fabrics, woven: unbleached or bleached, containing 85% or more by weight of artificial staple fibres</t>
  </si>
  <si>
    <t>Fabrics, woven: dyed, containing 85% or more by weight of artificial staple fibres</t>
  </si>
  <si>
    <t>Fabrics, woven: of yarns of different colours, containing 85% or more by weight of artificial staple fibres</t>
  </si>
  <si>
    <t>Fabrics, woven: printed, containing 85% or more by weight of artificial staple fibres</t>
  </si>
  <si>
    <t>Fabrics, woven: unbleached or bleached, containing less than 85% by weight of artificial staple fibres, mixed mainly or solely with manmade filaments</t>
  </si>
  <si>
    <t>Fabrics, woven: dyed, containing less than 85% by weight of artificial staple fibres, mixed mainly or solely with man-made filaments</t>
  </si>
  <si>
    <t>Fabrics, woven: of yarns of different colours, containing less than 85% by weight of artificial staple fibres, mixed mainly or solely with man-made filaments</t>
  </si>
  <si>
    <t>Fabrics, woven: printed, containing less than 85% by weight of artificial staple fibres, mixed mainly or solely with man-made filaments</t>
  </si>
  <si>
    <t>Fabrics, woven: unbleached or bleached, containing less than 85% by weight of artificial staple fibres, mixed mainly or solely with wool or fine animal hair</t>
  </si>
  <si>
    <t>Fabrics, woven: dyed, containing less than 85% by weight of artificial staple fibres, mixed mainly or solely with wool or fine animal hair</t>
  </si>
  <si>
    <t>Fabrics, woven: of yarns of different colours, containing less than 85% by weight of artificial staple fibres, mixed mainly or solely with wool or fine animal hair</t>
  </si>
  <si>
    <t>Fabrics, woven: printed, containing less than 85% by weight of artificial staple fibres, mixed mainly or solely with wool or fine animal hair</t>
  </si>
  <si>
    <t>Fabrics, woven: unbleached or bleached, containing less than 85% by weight of artificial staple fibres, mixed mainly or solely with cotton</t>
  </si>
  <si>
    <t>Fabrics, woven: dyed, containing less than 85% by weight of artificial staple fibres, mixed mainly or solely with cotton</t>
  </si>
  <si>
    <t>Fabrics, woven: of yarns of different colours, containing less than 85% by weight of artificial staple fibres, mixed mainly or solely with cotton</t>
  </si>
  <si>
    <t>Fabrics, woven: printed, containing less than 85% by weight of artificial staple fibres, mixed mainly or solely with cotton</t>
  </si>
  <si>
    <t>Fabrics, woven: unbleached or bleached, of artificial staple fibres, n.e.c. in heading no. 5516</t>
  </si>
  <si>
    <t>Fabrics, woven: dyed, of artificial staple fibres, n.e.c. in heading no. 5516</t>
  </si>
  <si>
    <t>Fabrics, woven: of yarns of different colours, of artificial staple fibres, n.e.c. in heading no. 5516</t>
  </si>
  <si>
    <t>Fabrics, woven: printed, of artificial staple fibres, n.e.c. in heading no. 5516</t>
  </si>
  <si>
    <t>Wadding, other articles thereof, sanitary towels and tampons, napkins and napkin liners for babies and similar</t>
  </si>
  <si>
    <t>Wadding: other articles thereof, of cotton</t>
  </si>
  <si>
    <t>Wadding: other articles thereof, of man-made fibres</t>
  </si>
  <si>
    <t>Wadding: other articles thereof, other than of cotton or man-made fibres</t>
  </si>
  <si>
    <t>Wadding: textile flock and dust and mill neps</t>
  </si>
  <si>
    <t>Felt: needleloom felt and stitch-bonded fibre fabrics, whether or not impregnated, coated, covered or laminated</t>
  </si>
  <si>
    <t>Felt: of wool or fine animal hair (excluding needleloom felt or stitch-bonded fibre fabrics), not impregnated, coated, covered nor laminated</t>
  </si>
  <si>
    <t>Felt: of textile materials other than wool or fine animal hair (excluding needleloom felt and stitch-bonded fibre fabrics), not impregnated, coated, covered or laminated</t>
  </si>
  <si>
    <t>Felt: impregnated, coated, covered or laminated (excluding needleloom felt and stitch-bonded fibre fabrics)</t>
  </si>
  <si>
    <t>Nonwovens: whether or not impregnated, coated, covered or laminated, of man-made filaments, (weighing not more than 25g/m2)</t>
  </si>
  <si>
    <t>Nonwovens: whether or not impregnated, coated, covered or laminated, of man-made filaments, (weighing more than 25g/m2 but not more than 70g/m2)</t>
  </si>
  <si>
    <t>Nonwovens: whether or not impregnated, coated, covered or laminated, of man-made filaments, (weighing more than 70g/m2 but not more than 150g/m2)</t>
  </si>
  <si>
    <t>Nonwovens: whether or not impregnated, coated, covered or laminated, of man-made filaments, (weighing more than 150g/m2)</t>
  </si>
  <si>
    <t>Nonwovens: whether or not impregnated, coated, covered or laminated, not of man-made filaments, (weighing not more than 25g/m2)</t>
  </si>
  <si>
    <t>Nonwovens: whether or not impregnated, coated, covered or laminated, not of man-made filaments, (weighing more than 25g/m2 but not more than 70g/m2)</t>
  </si>
  <si>
    <t>Nonwovens: whether or not impregnated, coated, covered or laminated, not of man-made filaments, (weighing more than 70g/m2 but not more than 150g/m2)</t>
  </si>
  <si>
    <t>Nonwovens: whether or not impregnated, coated, covered or laminated, not of man-made filaments, (weighing more than 150g/m2)</t>
  </si>
  <si>
    <t>Rubber thread and cord: textile covered</t>
  </si>
  <si>
    <t>Yarn: textile yarn, strip, and the like of heading no. 5404 or 5405, impregnated, coated, covered, or sheathed with rubber or plastics, n.e.c. in heading no. 5604</t>
  </si>
  <si>
    <t>Yarn: metallised, whether or not gimped, of textile yarn, or strip or the like of heading no. 5404 or 5405, combined with metal in the form of thread, strip or powder or covered with metal</t>
  </si>
  <si>
    <t>Yarn and strip and the like of heading no. 5404 or 5405: gimped, (other than those of heading no. 5406 and gimped horsehair yarn): chenille yarn (including flock chenille yarn): loop wale-yarn</t>
  </si>
  <si>
    <t>Twine: binder or baler twine, of sisal or other textile fibres of the genus agave</t>
  </si>
  <si>
    <t>Twine, cordage, ropes, cables: of sisal or other textile fibres of the genus agave (excluding binder or baler twine), whether or not plaited, braided or rubber or plastic impregnated, coated, covered or sheathed</t>
  </si>
  <si>
    <t>Twine: binder or baler twine, of polyethylene or polypropylene</t>
  </si>
  <si>
    <t>Twine, cordage, ropes, cables: of polyethylene or polypropylene (excluding binder or baler twine), whether or not plaited, braided or rubber or plastic impregnated, coated, covered or sheathed</t>
  </si>
  <si>
    <t>Twine, cordage, ropes, cables: of synthetic fibres other than polyethylene or polypropylene, whether or not plaited, braided or impregnated, coated, covered or sheathed with rubber or plastics</t>
  </si>
  <si>
    <t>Twine, cordage, ropes, cables: of materials n.e.c. in heading no. 5607, whether or not plaited, braided or impregnated, coated, covered, or sheathed with rubber or plastics</t>
  </si>
  <si>
    <t>Twine, cordage or rope: fishing nets, made up, of man made textile materials</t>
  </si>
  <si>
    <t>Twine, cordage or rope: knotted netting, for other than fishing, of man-made textile materials</t>
  </si>
  <si>
    <t>Twine, cordage or rope: knotted netting, of other than man-made textiles</t>
  </si>
  <si>
    <t>Yarn: articles of yarn, strip or the like of heading no. 5404 and 5405, twine, cordage, rope or cables n.e.c. or included</t>
  </si>
  <si>
    <t>Carpets and other textile floor coverings: knotted, of wool or fine animal hair, whether or not made up</t>
  </si>
  <si>
    <t>Carpets and other textile floor coverings: knotted, of textile materials (other than wool or fine animal hair), whether or not made up</t>
  </si>
  <si>
    <t>Carpets and other textile floor coverings: woven, (not tufted or flocked), whether or not made up, including kelem, schumacks, karamanie and similar hand-woven rugs</t>
  </si>
  <si>
    <t>Carpets and other textile floor coverings: woven, (not tufted or flocked), whether or not made up, of coconut fibres (coir)</t>
  </si>
  <si>
    <t>Carpets and other textile floor coverings: woven, (not tufted or flocked), of wool or fine animal hair, of pile construction, not made up, n.e.c. in item no. 5702.10 or 5702.20</t>
  </si>
  <si>
    <t>Carpets and other textile floor coverings: woven, (not tufted or flocked), of man-made textile materials, of pile construction, not made up, n.e.c. in item no. 5702.10 or 5702.20</t>
  </si>
  <si>
    <t>Carpets and other textile floor coverings: woven, (not tufted or flocked), of textile materials (other than man-made, wool or fine animal hair), of pile construction, not made up, n.e.c. in item no. 5702.10 or 5702.20</t>
  </si>
  <si>
    <t>Carpets and other textile floor coverings: woven, (not tufted or flocked), of wool or fine animal hair, of pile construction, made up, n.e.c. in item no. 5702.10 or 5702.20</t>
  </si>
  <si>
    <t>Carpets and other textile floor coverings: woven, (not tufted or flocked), of man-made textile materials, of pile construction, made up, n.e.c. in item no. 5702.10 or 5702.20</t>
  </si>
  <si>
    <t>Carpets and other textile floor coverings: woven, (not tufted or flocked), of textile materials (other than man-made, wool or fine animal hair), of pile construction, made up, n.e.c. in item no. 5702.10 or 5702.20</t>
  </si>
  <si>
    <t>Carpets and other textile floor coverings: woven, (not tufted or flocked), not of pile construction, not made up, n.e.c. in item no. 5702.10 or 5702.20</t>
  </si>
  <si>
    <t>Carpets and other textile floor coverings: woven, (not tufted or flocked), of wool or fine animal hair, (not of pile construction), made up, n.e.c. in item no. 5702.10 or 5702.20</t>
  </si>
  <si>
    <t>Carpets and other textile floor coverings: woven, (not tufted or flocked), of man-made textile materials, (not of pile construction), made up, n.e.c. in item no. 5702.10 or 5702.20</t>
  </si>
  <si>
    <t>Carpets and other textile floor coverings: woven, (not tufted or flocked), of textile materials (other than man-made or wool or fine animal hair, not of pile construction), made up, n.e.c. in item no. 5702.10 or 5702.20</t>
  </si>
  <si>
    <t>Carpets and other textile floor coverings: tufted, of wool or fine animal hair, whether or not made up</t>
  </si>
  <si>
    <t>Carpets and other textile floor coverings: tufted, of nylon or other polyamides, whether or not made up</t>
  </si>
  <si>
    <t>Carpets and other textile floor coverings: tufted, of man-made textile materials (other than polyamides), whether or not made up</t>
  </si>
  <si>
    <t>Carpets and other textile floor coverings: tufted, of textile materials (other than man-made, wool or fine animal hair), whether or not made up</t>
  </si>
  <si>
    <t>Textile floor coverings: felt tiles, (not tufted or flocked), whether or not made up, having a maximum surface area of 0.3m2</t>
  </si>
  <si>
    <t>Carpets and other textile floor coverings: of felt, (not tufted or flocked), whether or not made up, other than tiles having a maximum surface area of 0.3m2</t>
  </si>
  <si>
    <t>Carpets and other textile floor coverings: n.e.c. in chapter 57, whether or not made up</t>
  </si>
  <si>
    <t>Fabrics: woven pile, of wool or fine animal hair, other than fabrics of heading no. 5802 or 5806</t>
  </si>
  <si>
    <t>Fabrics: woven pile, of cotton, uncut weft pile fabrics, other than fabrics of heading no. 5802 or 5806</t>
  </si>
  <si>
    <t>Fabrics: woven pile, of cotton, cut corduroy, other than fabrics of heading no. 5802 or 5806</t>
  </si>
  <si>
    <t>Fabrics: woven pile, of cotton, weft pile fabrics other than uncut and corduroy, other than fabrics of heading no. 5802 or 5806</t>
  </si>
  <si>
    <t>Fabrics: woven pile, of cotton, warp pile fabrics, epingle (uncut), other than fabrics of heading no. 5802 or 5806</t>
  </si>
  <si>
    <t>Fabrics: woven pile, of cotton, warp pile fabrics, cut, other than fabrics of heading no. 5802 or 5806</t>
  </si>
  <si>
    <t>Fabrics: chenille, of cotton, other than fabrics of heading no. 5802 or 5806</t>
  </si>
  <si>
    <t>Fabrics: woven pile, of man-made fibres, uncut weft pile fabrics, other than fabrics of heading no. 5802 or 5806</t>
  </si>
  <si>
    <t>Fabrics: woven pile, of man-made fibres, cut corduroy, other than fabrics of heading no. 5802 or 5806</t>
  </si>
  <si>
    <t>Fabrics: woven pile, of man-made fibres, other weft pile fabrics, other than fabrics of heading no. 5802 or 5806</t>
  </si>
  <si>
    <t>Fabrics: woven pile, of man-made fibres, warp pile fabrics, epingle (uncut), other than fabrics of heading no. 5802 or 5806</t>
  </si>
  <si>
    <t>Fabrics: woven pile, of man-made fibres, warp pile fabrics, cut, other than fabrics of heading no. 5802 or 5806</t>
  </si>
  <si>
    <t>Fabrics: chenille, of man-made fibres, other than fabrics of heading no. 5802 or 5806</t>
  </si>
  <si>
    <t>Fabrics: woven pile and chenille, of textile materials n.e.c. in heading no. 5801, other than fabrics of heading no. 5802 or 5806</t>
  </si>
  <si>
    <t>Fabrics: terry towelling and similar woven terry fabrics, of cotton, unbleached, excluding narrow fabrics of heading no. 5806</t>
  </si>
  <si>
    <t>Fabrics: terry towelling and similar woven terry fabrics, of cotton, bleached, excluding narrow fabrics of heading no. 5806</t>
  </si>
  <si>
    <t>Fabrics: terry towelling and similar woven terry fabrics, of textile materials, excluding cotton, excluding narrow fabrics of heading no. 5806</t>
  </si>
  <si>
    <t>Fabrics: tufted textile fabrics, excluding products of heading no. 5703</t>
  </si>
  <si>
    <t>Gauze: other than narrow fabrics of heading no. 5806</t>
  </si>
  <si>
    <t>Tulles and other net fabrics: excluding woven, knitted or crocheted fabrics, (other than fabrics of headings 60.02 to 60.06)</t>
  </si>
  <si>
    <t>Lace: mechanically made, of man-made fibres in the piece, in strips or in motifs, (other than fabrics of headings 60.02 to 60.06)</t>
  </si>
  <si>
    <t>Lace: mechanically made, of textile materials, (other than man-made fibres), in the piece, in strips or motifs, (other than fabrics of headings 60.02 to 60.06)</t>
  </si>
  <si>
    <t>Lace: hand-made, in the piece, in strips or motifs, (other than fabrics of headings 60.02 to 60.06)</t>
  </si>
  <si>
    <t>Tapestries: hand-woven, (gobelins, flanders, aubusson, beauvais and the like) and needle-worked tapestries (e.g. petit point, cross-stitch) whether or not made up</t>
  </si>
  <si>
    <t>Fabrics: woven pile (including terry towelling and similar terry fabrics) and chenille fabrics (excluding goods of heading no. 5807)</t>
  </si>
  <si>
    <t>Fabrics: narrow (excluding pile fabrics), containing by weight 5% or more of elastomeric yarn or rubber thread</t>
  </si>
  <si>
    <t>Fabrics: narrow woven fabrics, n.e.c. in heading no. 5806, of cotton (excluding goods of heading no. 5807)</t>
  </si>
  <si>
    <t>Fabrics, narrow woven fabrics, n.e.c. in heading no. 5806, of man-made fibres (excluding goods of heading no. 5807)</t>
  </si>
  <si>
    <t>Fabrics: narrow woven fabrics, n.e.c. in heading no. 5806, of textile materials n.e.c. in item no. 5806.3 (excluding goods of heading no. 5807)</t>
  </si>
  <si>
    <t>Fabrics: narrow woven, consisting of warp without weft, assembled by means of an adhesive (bolducs)</t>
  </si>
  <si>
    <t>Labels, badges and similar articles: woven, of textile materials, in the piece, in strips or cut to shape or size, not embroidered</t>
  </si>
  <si>
    <t>Labels, badges and similar articles: (other than woven), of textile materials, in the piece, in strips or cut to shape or size, not embroidered</t>
  </si>
  <si>
    <t>Braids: in the piece</t>
  </si>
  <si>
    <t>Ornamental trimmings: tassels, pompons and similar articles: ornamental trimmings in the piece, without embroidery, other than knitted or crocheted</t>
  </si>
  <si>
    <t>Fabrics, woven: of metal thread and metallised yarn of heading no. 5605, of a kind used in apparel, as furnishing fabrics or similar purposes: n.e.c. or included</t>
  </si>
  <si>
    <t>Embroidery: without visible ground, in the piece, in strips or in motifs</t>
  </si>
  <si>
    <t>Embroidery: with visible ground, of cotton, in the piece, in strips or in motifs</t>
  </si>
  <si>
    <t>Embroidery: with visible ground, of man-made fibres, in the piece, in strips or in motifs</t>
  </si>
  <si>
    <t>Embroidery: with visible ground, of textile materials (other than cotton and man-made fibres), in the piece, in strips or in motifs</t>
  </si>
  <si>
    <t>Quilted textile products: in the piece, composed of one or more layers of textile materials assembled with padding by stitching or otherwise (excluding embroidery of heading no. 5810)</t>
  </si>
  <si>
    <t>Textile fabrics: coated with gum or amylaceous substances, of a kind used for the outer covers of books or the like</t>
  </si>
  <si>
    <t>Textile fabrics: coated with gum or amylaceous substances, tracing cloth, prepared painting canvas, buckram and similar stiffened textile fabrics for hat foundations, (excluding book covers)</t>
  </si>
  <si>
    <t>Textile fabrics: tyrecord of high tenacity yarn of nylon or other polyamides</t>
  </si>
  <si>
    <t>Textile fabrics: tyrecord of high tenacity yarn of polyester</t>
  </si>
  <si>
    <t>Textile fabrics: tyrecord of high tenacity yarn of viscose rayon</t>
  </si>
  <si>
    <t>Textile fabrics: impregnated, coated, covered or laminated with poly(vinyl chloride)</t>
  </si>
  <si>
    <t>Textile fabrics: impregnated, coated, covered or laminated with polyurethane</t>
  </si>
  <si>
    <t>Textile fabrics: impregnated, coated, covered or laminated with plastics, (excluding polyvinyl chloride, polyurethane and those of heading no. 5902)</t>
  </si>
  <si>
    <t>Linoleum, whether or not cut to shape</t>
  </si>
  <si>
    <t>Textiles floor coverings: consisting of a coating or covering applied on a textile backing, whether or not cut to shape, other than linoleum</t>
  </si>
  <si>
    <t>Textile wall coverings of fabrics impregnated, coated, covered or laminated</t>
  </si>
  <si>
    <t>Textile fabrics, rubberised: (excluding those of heading no. 5902), adhesive tape of a width not exceeding 20cm</t>
  </si>
  <si>
    <t>Textile fabrics, rubberised: (excluding those of heading no. 5902 and adhesive tape of a width not exceeding 20cm), knitted or crocheted</t>
  </si>
  <si>
    <t>Textile fabrics, rubberised: (excluding those of heading no. 5902 and adhesive tape of a width not exceeding 20cm), not knitted or crocheted</t>
  </si>
  <si>
    <t>Textile fabrics: otherwise impregnated, coated or covered,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</si>
  <si>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</si>
  <si>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</si>
  <si>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Textiles: transmission or conveyor belts or belting, of textile material, whether or not impregnated, coated, covered or laminated with plastics, or reinforced with metal or other material</t>
  </si>
  <si>
    <t>Textile fabric, felt &amp; felt-lined woven fabrics, coated/covered/laminated with rubber, leather or other material, for card clothing, similar fabrics used for technical purposes, including rubber impregnated narrow velvet fabrics to cover weaving spindles</t>
  </si>
  <si>
    <t>Textile products and articles for technical uses: bolting cloth, whether or not made up</t>
  </si>
  <si>
    <t>Textiles: fabrics and felts, endless or fitted with linking devices, of a kind used in paper-making or similar machines, weighing less than 650g/m2</t>
  </si>
  <si>
    <t>Textiles: fabrics and felts, endless or fitted with linking devices, of a kind used in paper-making or similar machines, weighing 650g/m2 or more</t>
  </si>
  <si>
    <t>Textile products and articles for technical uses: straining cloth of a kind used in oil presses and the like, including that of human hair</t>
  </si>
  <si>
    <t>Textile products and articles for technical uses: n.e.c. in heading no. 5911</t>
  </si>
  <si>
    <t>Fabrics: long pile fabrics, knitted or crocheted</t>
  </si>
  <si>
    <t>Fabrics: looped pile fabrics, of cotton, knitted or crocheted</t>
  </si>
  <si>
    <t>Fabrics: looped pile fabrics, of man-made fibres, knitted or crocheted</t>
  </si>
  <si>
    <t>Fabrics: looped pile fabrics, of textile materials (other than cotton or man-made fibres), knitted or crocheted</t>
  </si>
  <si>
    <t>Fabrics: pile fabrics (excluding long pile and loop pile), of cotton, knitted or crocheted</t>
  </si>
  <si>
    <t>Fabrics: pile fabrics (excluding long pile and loop pile), of man-made fibres, knitted or crocheted</t>
  </si>
  <si>
    <t>Fabrics: pile fabrics (excluding long pile and loop pile), of textile materials (other than cotton or man-made fibres), knitted or crocheted</t>
  </si>
  <si>
    <t>Fabrics: knitted or crocheted, other than those of heading 60.01, of a width not exceeding 30 cm, containing by weight 5% or more of elastomeric yarn but not containing rubber thread</t>
  </si>
  <si>
    <t>Fabrics: knitted or crocheted, other than those of heading 60.01, of a width not exceeding 30 cm, containing by weight 5% or more of elastomeric yarn or rubber thread</t>
  </si>
  <si>
    <t>Fabrics: knitted or crocheted fabrics, other than those of heading 60.01 and 60.02, of a width not exceeding 30 cm, of wool or fine animal hair</t>
  </si>
  <si>
    <t>Fabrics: knitted or crocheted fabrics, other than those of heading 60.01 and 60.02, of a width not exceeding 30 cm, of cotton</t>
  </si>
  <si>
    <t>Fabrics: knitted or crocheted fabrics, other than those of heading 60.01 and 60.02, of a width not exceeding 30 cm, of synthetic fibres</t>
  </si>
  <si>
    <t>Fabrics: knitted or crocheted fabrics, other than those of heading 60.01 and 60.02, of a width not exceeding 30 cm, of artificial fibres</t>
  </si>
  <si>
    <t>Fabrics: knitted or crocheted fabrics, other than those of heading 60.01 and 60.02, of a width not exceeding 30 cm, other than of wool and fine animal hair, cotton, synthetic or artificial fibres</t>
  </si>
  <si>
    <t>Fabrics: knitted or crocheted fabrics of a width exceeding 30 cm, other than those of heading 60.01, containing by weight 5% or more of elastomeric yarn but not containing rubber thread</t>
  </si>
  <si>
    <t>Fabrics: knitted or crocheted, other than those of heading 60.01, of a width exceeding 30 cm, containing by weight 5% or more of elastomeric yarn or rubber thread,</t>
  </si>
  <si>
    <t>Fabrics: warp knit (including those made on galloon knitting machines), other than those of headings 60.01 to 60.04, of cotton, unbleached or bleached</t>
  </si>
  <si>
    <t>Fabrics: warp knit (including those made on galloon knitting machines), other than those of headings 60.01 to 60.04, of cotton, dyed</t>
  </si>
  <si>
    <t>Fabrics: warp knit (including those made on galloon knitting machines), other than those of headings 60.01 to 60.04, of cotton, yarns of different colours</t>
  </si>
  <si>
    <t>Fabrics: warp knit (including those made on galloon knitting machines), other than those of headings 60.01 to 60.04, of cotton, printed</t>
  </si>
  <si>
    <t>Fabrics: warp knit (including those made on galloon knitting machines), other than those of headings 60.01 to 60.04, of synthetic fibres, bleached or unbleached</t>
  </si>
  <si>
    <t>Fabrics: warp knit (including those made on galloon knitting machines), other than those of headings 60.01 to 60.04, of synthetic fibres, dyed</t>
  </si>
  <si>
    <t>Fabrics: warp knit (including those made on galloon knitting machines), other than those of headings 60.01 to 60.04, of synthetic fibres, of yarns of different colours</t>
  </si>
  <si>
    <t>Fabrics: warp knit (including those made on galloon knitting machines), other than those of headings 60.01 to 60.04, of synthetic fibres, printed</t>
  </si>
  <si>
    <t>Fabrics: warp knit (including those made on galloon knitting machines), other than those of headings 60.01 to 60.04, of artificial fibres, bleached or unbleached</t>
  </si>
  <si>
    <t>Fabrics: warp knit (including those made on galloon knitting machines), other than those of headings 60.01 to 60.04, of artificial fibres, dyed</t>
  </si>
  <si>
    <t>Fabrics: warp knit (including those made on galloon knitting machines), other than those of headings 60.01 to 60.04, of artificial fibres, of yarns of different colours</t>
  </si>
  <si>
    <t>Fabrics: warp knit (including those made on galloon knitting machines), other than those of headings 60.01 to 60.04, of artificial fibres, printed</t>
  </si>
  <si>
    <t>Fabrics: warp knit (including those made on galloon knitting machines), other than those of headings 60.01 to 60.04, excluding those made from cotton or synthetic or artificial fibres</t>
  </si>
  <si>
    <t>Fabrics: knitted or crocheted fabrics, other than those of headings 60.01 to 60.04, of wool or fine animal hair</t>
  </si>
  <si>
    <t>Fabrics: knitted or crocheted fabrics, other than those of headings 60.01 to 60.04, of cotton, unbleached or bleached</t>
  </si>
  <si>
    <t>Fabrics: knitted or crocheted fabrics, other than those of headings 60.01 to 60.04, of cotton, dyed</t>
  </si>
  <si>
    <t>Fabrics: knitted or crocheted fabrics, other than those of headings 60.01 to 60.04, of cotton, of yarns of different colours</t>
  </si>
  <si>
    <t>Fabrics: knitted or crocheted fabrics, other than those of headings 60.01 to 60.04, of cotton, printed</t>
  </si>
  <si>
    <t>Fabrics: knitted or crocheted fabrics, other than those of headings 60.01 to 60.04, of synthetic fibres, unbleached or bleached</t>
  </si>
  <si>
    <t>Fabrics: knitted or crocheted fabrics, other than those of headings 60.01 to 60.04, of synthetic fibres, dyed</t>
  </si>
  <si>
    <t>Fabrics: knitted or crocheted fabrics, other than those of headings 60.01 to 60.04, of synthetic fibres, of yarns of different colours</t>
  </si>
  <si>
    <t>Fabrics: knitted or crocheted fabrics, other than those of headings 60.01 to 60.04, of synthetic fibres, printed</t>
  </si>
  <si>
    <t>Fabrics: knitted or crocheted fabrics, other than those of headings 60.01 to 60.04, of artificial fibres, unbleached or bleached</t>
  </si>
  <si>
    <t>Fabrics: knitted or crocheted fabrics, other than those of headings 60.01 to 60.04, of artificial fibres, dyed</t>
  </si>
  <si>
    <t>Fabrics: knitted or crocheted fabrics, other than those of headings 60.01 to 60.04, of artificial fibres, of yarns of different colours</t>
  </si>
  <si>
    <t>Fabrics: knitted or crocheted fabrics, other than those of headings 60.01 to 60.04, of artificial fibres, printed</t>
  </si>
  <si>
    <t>Fabrics: knitted or crocheted fabrics, other than those of headings 60.01 to 60.04,and other than those made of wool, fine animal hair, cotton, synthetic or artificial fibres</t>
  </si>
  <si>
    <t>Coats: men's or boys' overcoats, car-coats, capes, anoraks, wind-jackets and similar articles, of cotton, knitted or crocheted (excluding those of heading no. 6103)</t>
  </si>
  <si>
    <t>Coats: men's or boys' overcoats, car-coats, capes, anoraks, wind-jackets and similar articles, of man-made fibres, knitted or crocheted, (excluding those of heading no. 6103)</t>
  </si>
  <si>
    <t>Coats: men's or boys' overcoats, car-coats, capes, anoraks, wind-jackets and similar articles, of textile materials n.e.c. in heading no. 6101, knitted or crocheted (excluding those of heading no. 6103)</t>
  </si>
  <si>
    <t>Coats: women's or girls' overcoats, car-coats, capes, anoraks, wind-jackets and similar articles, of wool or fine animal hair, knitted or crocheted (excluding those of heading no. 6104)</t>
  </si>
  <si>
    <t>Coats: women's or girls' overcoats, car-coats, capes, anoraks, wind-jackets and similar articles, of cotton, knitted or crocheted (excluding those of heading no. 6104)</t>
  </si>
  <si>
    <t>Coats: women's or girls' overcoats, car-coats, capes, anoraks, wind-jackets and similar articles, of man-made fibres, knitted or crocheted (excluding those of heading no. 6104)</t>
  </si>
  <si>
    <t>Coats: women's or girls' overcoats, car-coats, capes, anoraks, wind-jackets and similar articles, of textile materials n.e.c. in heading no. 6102, knitted or crocheted (excluding those of heading no. 6104)</t>
  </si>
  <si>
    <t>Suits: men's or boys', knitted or crocheted</t>
  </si>
  <si>
    <t>Ensembles: men's or boys', of cotton, knitted or crocheted</t>
  </si>
  <si>
    <t>Ensembles: men's or boys', of synthetic fibres, knitted or crocheted</t>
  </si>
  <si>
    <t>Ensembles: men's or boys', of textile materials (other than cotton or synthetic fibres), knitted or crocheted</t>
  </si>
  <si>
    <t>Jackets and blazers: men's or boys', of wool or fine animal hair, knitted or crocheted</t>
  </si>
  <si>
    <t>Jackets and blazers: men's or boys', of cotton, knitted or crocheted</t>
  </si>
  <si>
    <t>Jackets and blazers: men's or boys', of synthetic fibres, knitted or crocheted</t>
  </si>
  <si>
    <t>Jackets and blazers: men's or boys', of textile materials (other than wool or fine animal hair, cotton or synthetic fibres), knitted or crocheted</t>
  </si>
  <si>
    <t>Trousers, bib and brace overalls, breeches and shorts: men's or boys', of wool or fine animal hair, knitted or crocheted</t>
  </si>
  <si>
    <t>Trousers, bib and brace overalls, breeches and shorts: men's or boys', of cotton, knitted or crocheted</t>
  </si>
  <si>
    <t>Trousers, bib and brace overalls, breeches and shorts: men's or boys', of synthetic fibres, knitted or crocheted</t>
  </si>
  <si>
    <t>Trousers, bib and brace overalls, breeches and shorts: men's or boys', of textile materials (other than wool or fine animal hair, cotton or synthetic fibres), knitted or crocheted</t>
  </si>
  <si>
    <t>Suits: women's or girls', of synthetic fibres, knitted or crocheted</t>
  </si>
  <si>
    <t>Suits: women's or girls', of textile materials (other than synthetic fibres), knitted or crocheted</t>
  </si>
  <si>
    <t>Ensembles: women's or girls', of cotton, knitted or crocheted</t>
  </si>
  <si>
    <t>Ensembles: women's or girls', of synthetic fibres, knitted or crocheted</t>
  </si>
  <si>
    <t>Ensembles: women's or girls', of textile materials (other than cotton or synthetic fibres), knitted or crocheted</t>
  </si>
  <si>
    <t>Jackets: women's or girls', of wool or fine animal hair, knitted or crocheted</t>
  </si>
  <si>
    <t>Jackets: women's or girls', of cotton, knitted or crocheted</t>
  </si>
  <si>
    <t>Jackets: women's or girls', of synthetic fibres, knitted or crocheted</t>
  </si>
  <si>
    <t>Jackets: women's or girls', of textile materials (other than wool or fine animal hair, cotton or synthetic fibres), knitted or crocheted</t>
  </si>
  <si>
    <t>Dresses: women's or girls', of wool or fine animal hair, knitted or crocheted</t>
  </si>
  <si>
    <t>Dresses: women's or girls', of cotton, knitted or crocheted</t>
  </si>
  <si>
    <t>Dresses: women's or girls', of synthetic fibres, knitted or crocheted</t>
  </si>
  <si>
    <t>Dresses: women's or girls', of artificial fibres, knitted or crocheted</t>
  </si>
  <si>
    <t>Dresses: women's or girls', of textile materials (other than wool or fine animal hair, cotton, synthetic or artificial fibres), knitted or crocheted</t>
  </si>
  <si>
    <t>Skirts and divided skirts: women's or girls', of wool or fine animal hair, knitted or crocheted</t>
  </si>
  <si>
    <t>Skirts and divided skirts: women's or girls', of cotton, knitted or crocheted</t>
  </si>
  <si>
    <t>Skirts and divided skirts: women's or girls', of synthetic fibres, knitted or crocheted</t>
  </si>
  <si>
    <t>Skirts and divided skirts: women's or girls', of textile materials (other than wool or fine animal hair, cotton or synthetic fibres), knitted or crocheted</t>
  </si>
  <si>
    <t>Trousers, bib and brace overalls, breeches and shorts: women's or girls', of wool or fine animal hair, knitted or crocheted</t>
  </si>
  <si>
    <t>Trousers, bib and brace overalls, breeches and shorts: women's or girls', of cotton, knitted or crocheted</t>
  </si>
  <si>
    <t>Trousers, bib and brace overalls, breeches and shorts: women's or girls', of synthetic fibres, knitted or crocheted</t>
  </si>
  <si>
    <t>Trousers, bib and brace overalls, breeches and shorts: women's or girls', of textile materials (other than wool or fine animal hair, cotton or synthetic fibres), knitted or crocheted</t>
  </si>
  <si>
    <t>Shirts: men's or boys', of cotton, knitted or crocheted</t>
  </si>
  <si>
    <t>Shirts: men's or boys', of man-made fibres, knitted or crocheted</t>
  </si>
  <si>
    <t>Shirts: men's or boys', of textile materials (other than cotton or man-made fibres), knitted or crocheted</t>
  </si>
  <si>
    <t>Blouses, shirts and shirt-blouses: women's or girls', of cotton, knitted or crocheted</t>
  </si>
  <si>
    <t>Blouses, shirts and shirt-blouses: women's or girls', of man-made fibres, knitted or crocheted</t>
  </si>
  <si>
    <t>Blouses, shirts and shirt-blouses: women's or girls', of textile materials (other than cotton or man-made fibres), knitted or crocheted</t>
  </si>
  <si>
    <t>Underpants and briefs: men's or boys', of cotton, knitted or crocheted</t>
  </si>
  <si>
    <t>Underpants and briefs: men's or boys', of man-made fibres, knitted or crocheted</t>
  </si>
  <si>
    <t>Underpants and briefs: men's or boys', of textile materials (other than cotton or man-made fibres), knitted or crocheted</t>
  </si>
  <si>
    <t>Nightshirts and pyjamas: men's or boys', of cotton, knitted or crocheted</t>
  </si>
  <si>
    <t>Nightshirts and pyjamas: men's or boys', of man-made fibres, knitted or crocheted</t>
  </si>
  <si>
    <t>Nightshirts and pyjamas: men's or boys', of textile materials (other than cotton or man-made fibres), knitted or crocheted</t>
  </si>
  <si>
    <t>Bathrobes, dressing gowns and similar articles: men's or boys', of cotton, knitted or crocheted</t>
  </si>
  <si>
    <t>Bathrobes, dressing gowns and similar articles: men's or boys', of textile materials (other than cotton), knitted or crocheted</t>
  </si>
  <si>
    <t>Slips and petticoats: women's or girls', of man-made fibres, knitted or crocheted</t>
  </si>
  <si>
    <t>Slips and petticoats: women's or girls', of textile materials (other than man-made fibres), knitted or crocheted</t>
  </si>
  <si>
    <t>Briefs and panties: women's or girls', of cotton, knitted or crocheted</t>
  </si>
  <si>
    <t>Briefs and panties: women's or girls', of man-made fibres, knitted or crocheted</t>
  </si>
  <si>
    <t>Briefs and panties: women's or girls', of textile materials (other than cotton or man-made fibres), knitted or crocheted</t>
  </si>
  <si>
    <t>Nightdresses and pyjamas: women's or girls', of cotton, knitted or crocheted</t>
  </si>
  <si>
    <t>Nightdresses and pyjamas: women's or girls', of man-made fibres, knitted or crocheted</t>
  </si>
  <si>
    <t>Nightdresses and pyjamas: women's or girls', of textile materials (other than cotton or man-made fibres), knitted or crocheted</t>
  </si>
  <si>
    <t>Negligees, bathrobes, dressing gowns and similar articles: women's or girls', of cotton, knitted or crocheted</t>
  </si>
  <si>
    <t>Negligees, bathrobes, dressing gowns and similar articles: women's or girls', of man-made fibres, knitted or crocheted</t>
  </si>
  <si>
    <t>Negligees, bathrobes, dressing gowns and similar articles: women's or girls', of textile materials (other than cotton or man-made fibres), knitted or crocheted</t>
  </si>
  <si>
    <t>T-shirts, singlets and other vests: of cotton, knitted or crocheted</t>
  </si>
  <si>
    <t>T-shirts, singlets and other vests: of textile materials (other than cotton), knitted or crocheted</t>
  </si>
  <si>
    <t>Jerseys, pullovers, cardigans, waistcoats and similar articles: knitted or crocheted, of wool or fine animal hair</t>
  </si>
  <si>
    <t>Jerseys, pullovers, cardigans, waistcoats and similar articles: knitted or crocheted, of fibres from kashmir (cashmere) goats</t>
  </si>
  <si>
    <t>Jerseys, pullovers, cardigans, waistcoats and similar articles: knitted or crocheted, of fine animal hair other than that of kashmir (cashmere) goats</t>
  </si>
  <si>
    <t>Jerseys, pullovers, cardigans, waistcoats and similar articles: of cotton, knitted or crocheted</t>
  </si>
  <si>
    <t>Jerseys, pullovers, cardigans, waistcoats and similar articles: of man-made fibres, knitted or crocheted</t>
  </si>
  <si>
    <t>Jerseys, pullovers, cardigans, waistcoats and similar articles: of textile materials (other than wool or fine animal hair, cotton or man-made fibres), knitted or crocheted</t>
  </si>
  <si>
    <t>Garments and clothing accessories: babies', of cotton, knitted or crocheted</t>
  </si>
  <si>
    <t>Garments and clothing accessories: babies', of synthetic fibres, knitted or crocheted</t>
  </si>
  <si>
    <t>Garments and clothing accessories: babies', of textile materials (other than cotton or synthetic fibres), knitted or crocheted</t>
  </si>
  <si>
    <t>Track suits: of cotton, knitted or crocheted</t>
  </si>
  <si>
    <t>Track suits: of synthetic fibres, knitted or crocheted</t>
  </si>
  <si>
    <t>Track suits: of textile materials (other than cotton or synthetic fibres), knitted or crocheted</t>
  </si>
  <si>
    <t>Ski suits: knitted or crocheted</t>
  </si>
  <si>
    <t>Swimwear: men's or boys', of synthetic fibres, knitted or crocheted</t>
  </si>
  <si>
    <t>Swimwear: men's or boys', of textile materials (other than synthetic fibres), knitted or crocheted</t>
  </si>
  <si>
    <t>Swimwear: women's or girls', of synthetic fibres, knitted or crocheted</t>
  </si>
  <si>
    <t>Swimwear: women's or girls', of textile materials (other than synthetic fibres), knitted or crocheted</t>
  </si>
  <si>
    <t>Garments: made up of knitted or crocheted rubberised textile fabrics, or fabrics otherwise impregnated, coated, covered or laminated</t>
  </si>
  <si>
    <t>Garments: of cotton, knitted or crocheted, n.e.c. in chapter 61</t>
  </si>
  <si>
    <t>Garments: of man-made fibres, knitted or crocheted, n.e.c. in chapter 61</t>
  </si>
  <si>
    <t>Garments: of textile materials (other than cotton or man-made fibres), knitted or crocheted, n.e.c. in chapter 61</t>
  </si>
  <si>
    <t>Graduated compression hosiery (for example, stockings for varicose veins), knitted or crocheted</t>
  </si>
  <si>
    <t>Hosiery: panty hose and tights (other than graduated compression hosiery), of synthetic fibres, measuring per single yarn less than 67 decitex, knitted or crocheted</t>
  </si>
  <si>
    <t>Hosiery: panty hose and tights (other than graduated compression hosiery), of synthetic fibres, measuring per single yarn 67 decitex or more, knitted or crocheted</t>
  </si>
  <si>
    <t>Hosiery: panty hose and tights (other than graduated compression hosiery), of textile materials (other than synthetic fibres), knitted or crocheted</t>
  </si>
  <si>
    <t>Hosiery: women's, full-length or knee-length (other than graduated compression hosiery), measuring per single yarn less than 67 decitex, knitted or crocheted</t>
  </si>
  <si>
    <t>Hosiery and footwear: without applied soles, of wool or fine animal hair, knitted or crocheted (excluding graduated compression hosiery, panty hose, tights, women's full or knee-length hosiery measuring per single yarn less than 67 decitex)</t>
  </si>
  <si>
    <t>Hosiery and footwear: without applied soles, of cotton, knitted or crocheted (excluding graduated compression hosiery, panty hose, tights, full or knee-length hosiery measuring per single yarn less than 67 decitex)</t>
  </si>
  <si>
    <t>Hosiery and footwear: without applied soles, of synthetic fibres, knitted or crocheted (excluding graduated compression hosiery, panty hose, tights, full or knee-length hosiery measuring per single yarn less than 67 decitex)</t>
  </si>
  <si>
    <t>Hosiery and footwear: without applied soles, of textile materials n.e.c. in item no. 6115.9, knitted or crocheted (excluding graduated compression hosiery, panty hose, tights, full or knee-length hosiery measuring per single yarn less than 67 decitex)</t>
  </si>
  <si>
    <t>Gloves, mittens and mitts: knitted or crocheted, impregnated, coated or covered with plastics or rubber</t>
  </si>
  <si>
    <t>Gloves, mittens and mitts: of wool or fine animal hair, knitted or crocheted, (other than impregnated, coated or covered with plastics or rubber)</t>
  </si>
  <si>
    <t>Gloves, mittens and mitts: of cotton, knitted or crocheted, (other than impregnated, coated or covered with plastics or rubber)</t>
  </si>
  <si>
    <t>Gloves, mittens and mitts: of synthetic fibres, knitted or crocheted, (other than impregnated, coated or covered with plastics or rubber)</t>
  </si>
  <si>
    <t>Gloves, mittens and mitts: of textile materials (other than wool or fine animal hair, cotton or synthetic fibres), knitted or crocheted, (other than impregnated, coated or covered with plastics or rubber)</t>
  </si>
  <si>
    <t>Shawls, scarves, mufflers, mantillas, veils and the like: knitted or crocheted</t>
  </si>
  <si>
    <t>Clothing accessories: knitted or crocheted, n.e.c. in heading no. 6117</t>
  </si>
  <si>
    <t>Clothing: parts, knitted or crocheted</t>
  </si>
  <si>
    <t>Coats: men's or boys', overcoats, raincoats, car-coats, capes, cloaks and similar articles, of wool or fine animal hair, other than those of heading no. 6203 (not knitted or crocheted)</t>
  </si>
  <si>
    <t>Coats: men's or boys', overcoats, raincoats, car-coats, capes, cloaks and similar articles, of cotton, other than those of heading no. 6203 (not knitted or crocheted)</t>
  </si>
  <si>
    <t>Coats: men's or boys', overcoats, raincoats, car-coats, capes, cloaks and similar articles, of man-made fibres, other than those of heading no. 6203 (not knitted or crocheted)</t>
  </si>
  <si>
    <t>Coats: men's or boys', overcoats, raincoats, car-coats, capes, cloaks and similar articles, of textile materials (other than wool or fine animal hair, cotton or man-made fibres), other than those of heading no. 6203 (not knitted or crocheted)</t>
  </si>
  <si>
    <t>Anoraks (including ski-jackets), wind-cheaters, wind-jackets and similar articles: men's or boys', of wool or fine animal hair, other than those of heading no. 6203 (not knitted or crocheted)</t>
  </si>
  <si>
    <t>Anoraks (including ski-jackets), wind-cheaters, wind-jackets and similar articles: men's or boys', of cotton, other than those of heading no. 6203 (not knitted or crocheted)</t>
  </si>
  <si>
    <t>Anoraks (including ski-jackets), wind-cheaters, wind-jackets and similar articles: men's or boys', of man-made fibres, other than those of heading no. 6203 (not knitted or crocheted)</t>
  </si>
  <si>
    <t>Anoraks (including ski-jackets), wind-cheaters, wind-jackets and similar articles: men's or boys', of textile materials (other than wool or fine animal hair, cotton or man-made fibres), other than those of heading no. 6203 (not knitted or crocheted)</t>
  </si>
  <si>
    <t>Coats: women's or girls', overcoats, raincoats, car-coats, capes, cloaks and similar articles, of wool or fine animal hair, other than those of heading no. 6204 (not knitted or crocheted)</t>
  </si>
  <si>
    <t>Coats: women's or girls', overcoats, raincoats, car-coats, capes, cloaks and similar articles, of cotton, other than those of heading no. 6204 (not knitted or crocheted)</t>
  </si>
  <si>
    <t>Coats: women's or girls', overcoats, raincoats, car-coats, capes, cloaks and similar articles, of man-made fibres, other than those of heading no. 6204 (not knitted or crocheted)</t>
  </si>
  <si>
    <t>Coats: women's or girls', overcoats, raincoats, car-coats, capes, cloaks and similar articles, of textile materials (other than wool or fine animal hair, cotton or man-made fibres), other than those of heading no. 6204 (not knitted or crocheted)</t>
  </si>
  <si>
    <t>Anoraks (including ski-jackets), wind-cheaters, wind-jackets and similar articles: women's or girls', of wool or fine animal hair, other than those of heading no. 6204 (not knitted or crocheted)</t>
  </si>
  <si>
    <t>Anoraks (including ski-jackets), wind-cheaters, wind-jackets and similar articles: women's or girls', of cotton, other than those of heading no. 6204 (not knitted or crocheted)</t>
  </si>
  <si>
    <t>Anoraks (including ski-jackets), wind-cheaters, wind-jackets and similar articles: women's or girls', of man-made fibres, other than those of heading no. 6204 (not knitted or crocheted)</t>
  </si>
  <si>
    <t>Anoraks (including ski-jackets), wind-cheaters, wind-jackets and similar articles: women's or girls', of textile materials n.e.c. in item no. 6202.9, other than those of heading no. 6204, (not knitted or crocheted)</t>
  </si>
  <si>
    <t>Suits: men's or boys', of wool or fine animal hair (not knitted or crocheted)</t>
  </si>
  <si>
    <t>Suits: men's or boys', of synthetic fibres (not knitted or crocheted)</t>
  </si>
  <si>
    <t>Suits: men's or boys', of textile materials n.e.c. in item no. 6203.1 (not knitted or crocheted)</t>
  </si>
  <si>
    <t>Ensembles: men's or boys', of cotton (not knitted or crocheted)</t>
  </si>
  <si>
    <t>Ensembles: men's or boys', of synthetic fibres (not knitted or crocheted)</t>
  </si>
  <si>
    <t>Ensembles: men's or boys', of textile materials n.e.c. in item no. 6203.2 (not knitted or crocheted)</t>
  </si>
  <si>
    <t>Jackets and blazers: men's or boys', of wool or fine animal hair (not knitted or crocheted)</t>
  </si>
  <si>
    <t>Jackets and blazers: men's or boys', of cotton (not knitted or crocheted)</t>
  </si>
  <si>
    <t>Jackets and blazers: men's or boys', of synthetic fibres (not knitted or crocheted)</t>
  </si>
  <si>
    <t>Jackets and blazers: men's or boys', of textile materials n.e.c. in item no. 6203.3 (not knitted or crocheted)</t>
  </si>
  <si>
    <t>Trousers, bib and brace overalls, breeches and shorts: men's or boys', of wool or fine animal hair (not knitted or crocheted)</t>
  </si>
  <si>
    <t>Trousers, bib and brace overalls, breeches and shorts: men's or boys', of cotton (not knitted or crocheted)</t>
  </si>
  <si>
    <t>Trousers, bib and brace overalls, breeches and shorts: men's or boys', of synthetic fibres (not knitted or crocheted)</t>
  </si>
  <si>
    <t>Trousers, bib and brace overalls, breeches and shorts: men's or boys', of textile materials (other than wool, fine animal hair, cotton or synthetic fibres), (not knitted or crocheted)</t>
  </si>
  <si>
    <t>Suits: women's or girls', of wool or fine animal hair (not knitted or crocheted)</t>
  </si>
  <si>
    <t>Suits: women's or girls', of cotton (not knitted or crocheted)</t>
  </si>
  <si>
    <t>Suits: women's or girls', of synthetic fibres (not knitted or crocheted)</t>
  </si>
  <si>
    <t>Suits: women's or girls', of textile materials n.e.c. in item no. 6204.1 (not knitted or crocheted)</t>
  </si>
  <si>
    <t>Ensembles: women's or girls', of wool or fine animal hair (not knitted or crocheted)</t>
  </si>
  <si>
    <t>Ensembles: women's or girls', of cotton (not knitted or crocheted)</t>
  </si>
  <si>
    <t>Ensembles: women's or girls', of synthetic fibres (not knitted or crocheted)</t>
  </si>
  <si>
    <t>Ensembles: women's or girls', of textile materials n.e.c. in item no. 6204.2 (not knitted or crocheted)</t>
  </si>
  <si>
    <t>Jackets and blazers: women's or girls', of wool or fine animal hair (not knitted or crocheted)</t>
  </si>
  <si>
    <t>Jackets and blazers: women's or girls', of cotton (not knitted or crocheted)</t>
  </si>
  <si>
    <t>Jackets and blazers: women's or girls', of synthetic fibres (not knitted or crocheted)</t>
  </si>
  <si>
    <t>Jackets and blazers: women's or girls', of textile materials n.e.c. in item no. 6204.3 (not knitted or crocheted)</t>
  </si>
  <si>
    <t>Dresses: women's or girls', of wool or fine animal hair (not knitted or crocheted)</t>
  </si>
  <si>
    <t>Dresses: women's or girls', of cotton (not knitted or crocheted)</t>
  </si>
  <si>
    <t>Dresses: women's or girls', of synthetic fibres (not knitted or crocheted)</t>
  </si>
  <si>
    <t>Dresses: women's or girls', of artificial fibres (not knitted or crocheted)</t>
  </si>
  <si>
    <t>Dresses: women's or girls', of textile materials n.e.c. in item no. 6204.4 (not knitted or crocheted)</t>
  </si>
  <si>
    <t>Skirts and divided skirts: women's or girls', of wool or fine animal hair (not knitted or crocheted)</t>
  </si>
  <si>
    <t>Skirts and divided skirts: women's or girls', of cotton (not knitted or crocheted)</t>
  </si>
  <si>
    <t>Skirts and divided skirts: women's or girls', of synthetic fibres (not knitted or crocheted)</t>
  </si>
  <si>
    <t>Skirts and divided skirts: women's or girls', of textile materials n.e.c. in item no. 6204.5 (not knitted or crocheted)</t>
  </si>
  <si>
    <t>Trousers, bib and brace overalls, breeches and shorts: women's or girls', of wool or fine animal hair (not knitted or crocheted)</t>
  </si>
  <si>
    <t>Trousers, bib and brace overalls, breeches and shorts: women's or girls', of cotton (not knitted or crocheted)</t>
  </si>
  <si>
    <t>Trousers, bib and brace overalls, breeches and shorts: women's or girls', of synthetic fibres (not knitted or crocheted)</t>
  </si>
  <si>
    <t>Trousers, bib and brace overalls, breeches and shorts: women's or girls', of textile materials (other than wool, fine animal hair, cotton or synthetic fibres), (not knitted or crocheted)</t>
  </si>
  <si>
    <t>Shirts: men's or boys', of cotton (not knitted or crocheted)</t>
  </si>
  <si>
    <t>Shirts: men's or boys', of man-made fibres (not knitted or crocheted)</t>
  </si>
  <si>
    <t>Shirts: men's or boys', of textile materials n.e.c. in heading no. 6205 (not knitted or crocheted)</t>
  </si>
  <si>
    <t>Blouses, shirts and shirt-blouses: women's or girls', of silk or silk waste (not knitted or crocheted)</t>
  </si>
  <si>
    <t>Blouses, shirts and shirt-blouses: women's or girls', of wool or fine animal hair (not knitted or crocheted)</t>
  </si>
  <si>
    <t>Blouses, shirts and shirt-blouses: women's or girls', of cotton (not knitted or crocheted)</t>
  </si>
  <si>
    <t>Blouses, shirts and shirt-blouses: women's or girls', of man-made fibres (not knitted or crocheted)</t>
  </si>
  <si>
    <t>Blouses, shirts and shirt-blouses: women's or girls', of textile materials n.e.c. in heading no. 6206 (not knitted or crocheted)</t>
  </si>
  <si>
    <t>Underpants and briefs: men's or boys', of cotton (not knitted or crocheted)</t>
  </si>
  <si>
    <t>Underpants and briefs: men's or boys', of textile materials other than cotton (not knitted or crocheted)</t>
  </si>
  <si>
    <t>Nightshirts and pyjamas: men's or boys', of cotton (not knitted or crocheted)</t>
  </si>
  <si>
    <t>Nightshirts and pyjamas: men's or boys', of man-made fibres (not knitted or crocheted)</t>
  </si>
  <si>
    <t>Nightshirts and pyjamas: men's or boys', of textile materials other than cotton or man-made fibres (not knitted or crocheted)</t>
  </si>
  <si>
    <t>Singlets and other vests, bathrobes, dressing gowns and similar articles: men's or boys', of cotton (not knitted or crocheted)</t>
  </si>
  <si>
    <t>Singlets and other vests, bathrobes, dressing gowns and similar articles: men's or boys', of textile materials other than cotton (not knitted or crocheted)</t>
  </si>
  <si>
    <t>Slips and petticoats: women's or girls', of man-made fibres (not knitted or crocheted)</t>
  </si>
  <si>
    <t>Slips and petticoats: women's or girls', of textile materials other than man-made fibres (not knitted or crocheted)</t>
  </si>
  <si>
    <t>Nightdresses and pyjamas: women's or girls', of cotton (not knitted or crocheted)</t>
  </si>
  <si>
    <t>Nightdresses and pyjamas: women's or girls', of man-made fibres (not knitted or crocheted)</t>
  </si>
  <si>
    <t>Nightdresses and pyjamas: women's or girls', of textile materials other than cotton or man-made fibres (not knitted or crocheted)</t>
  </si>
  <si>
    <t>Singlets and other vests, briefs, panties, negligees, bathrobes, dressing gowns and similar articles: women's or girls', of cotton (not knitted or crocheted)</t>
  </si>
  <si>
    <t>Singlets and other vests, briefs, panties, negligees, bathrobes, dressing gowns and similar articles: women's or girls', of man-made fibres (not knitted or crocheted)</t>
  </si>
  <si>
    <t>Singlets and other vests, briefs, panties, negligees, bathrobes, dressing gowns and similar articles: women's or girls', of textile materials other than cotton or man-made fibres (not knitted or crocheted)</t>
  </si>
  <si>
    <t>Garments and clothing accessories: babies', of cotton (not knitted or crocheted)</t>
  </si>
  <si>
    <t>Garments and clothing accessories: babies', of synthetic fibres (not knitted or crocheted)</t>
  </si>
  <si>
    <t>Garments and clothing accessories: babies', of textile materials other than cotton or synthetic fibres (not knitted or crocheted)</t>
  </si>
  <si>
    <t>Garments: of felt or non-wovens (not knitted or crocheted)</t>
  </si>
  <si>
    <t>Garments: overcoats, raincoats, car-coats, capes, cloaks and similar articles, men's or boys', of the fabrics of heading no. 5602, 5603, 5903, 5906 or 5907 (not knitted or crocheted)</t>
  </si>
  <si>
    <t>Garments: overcoats, raincoats, car-coats, capes, cloaks and similar articles, women's or girls', of the fabrics of heading no. 5602, 5603, 5903, 5906 or 5907 (not knitted or crocheted)</t>
  </si>
  <si>
    <t>Garments: men's or boys', n.e.c. in item no. 6210.2, of the fabrics of heading no. 5602, 5603, 5903, 5906 or 5907 (not knitted or crocheted)</t>
  </si>
  <si>
    <t>Garments: women's or girls', n.e.c. in item no. 6210.3, of the fabrics of heading no. 5602, 5603, 5903, 5906 or 5907 (not knitted or crocheted)</t>
  </si>
  <si>
    <t>Swimwear: men's or boys', (not knitted or crocheted)</t>
  </si>
  <si>
    <t>Swimwear: women's or girls', (not knitted or crocheted)</t>
  </si>
  <si>
    <t>Ski suits: (not knitted or crocheted)</t>
  </si>
  <si>
    <t>Track suits and other garments n.e.c.: men's or boys', of cotton (not knitted or crocheted)</t>
  </si>
  <si>
    <t>Track suits and other garments n.e.c.: men's or boys', of man-made fibres (not knitted or crocheted)</t>
  </si>
  <si>
    <t>Track suits and other garments n.e.c.: men's or boys', of textile materials n.e.c. in item no. 6211.3 (not knitted or crocheted)</t>
  </si>
  <si>
    <t>Track suits and other garments n.e.c.: women's or girls', of wool or fine animal hair (not knitted or crocheted)</t>
  </si>
  <si>
    <t>Track suits and other garments n.e.c.: women's or girls', of cotton (not knitted or crocheted)</t>
  </si>
  <si>
    <t>Track suits and other garments n.e.c.: women's or girls', of man-made fibres (not knitted or crocheted)</t>
  </si>
  <si>
    <t>Track suits and other garments n.e.c.: women's or girls', of textile materials n.e.c. in item no. 6211.4 (not knitted or crocheted)</t>
  </si>
  <si>
    <t>Brassieres: whether or not knitted or crocheted</t>
  </si>
  <si>
    <t>Girdles and panty-girdles: whether or not knitted or crocheted</t>
  </si>
  <si>
    <t>Corselettes: whether or not knitted or crocheted</t>
  </si>
  <si>
    <t>Braces, suspenders, garters and similar articles: whether or not knitted or crocheted, n.e.c. in heading no. 6212</t>
  </si>
  <si>
    <t>Handkerchiefs: of cotton (not knitted or crocheted)</t>
  </si>
  <si>
    <t>Handkerchiefs: of textile materials other than cotton (not knitted or crocheted)</t>
  </si>
  <si>
    <t>Shawls, scarves, mufflers, mantillas, veils and the like: of silk or silk waste (not knitted or crocheted)</t>
  </si>
  <si>
    <t>Shawls, scarves, mufflers, mantillas, veils and the like: of wool or fine animal hair (not knitted or crocheted)</t>
  </si>
  <si>
    <t>Shawls, scarves, mufflers, mantillas, veils and the like: of synthetic fibres (not knitted or crocheted)</t>
  </si>
  <si>
    <t>Shawls, scarves, mufflers, mantillas, veils and the like: of artificial fibres (not knitted or crocheted)</t>
  </si>
  <si>
    <t>Shawls, scarves, mufflers, mantillas, veils and the like: of textile materials n.e.c. in heading no. 6214 (not knitted or crocheted)</t>
  </si>
  <si>
    <t>Ties, bow ties and cravats: of silk or silk waste (not knitted or crocheted)</t>
  </si>
  <si>
    <t>Ties, bow ties and cravats: of man-made fibres (not knitted or crocheted)</t>
  </si>
  <si>
    <t>Ties, bow ties and cravats: of textile materials other than silk or man-made fibres (not knitted or crocheted)</t>
  </si>
  <si>
    <t>Gloves, mittens and mitts (not knitted or crocheted)</t>
  </si>
  <si>
    <t>Clothing accessories: other than those of heading no. 6212 (not knitted or crocheted)</t>
  </si>
  <si>
    <t>Clothing: parts of garments or of clothing accessories, other than those of heading no. 6212 (not knitted or crocheted)</t>
  </si>
  <si>
    <t>Blankets: electric</t>
  </si>
  <si>
    <t>Blankets (other than electric blankets) and travelling rugs: of wool or fine animal hair</t>
  </si>
  <si>
    <t>Blankets (other than electric blankets) and travelling rugs: of cotton</t>
  </si>
  <si>
    <t>Blankets (other than electric blankets) and travelling rugs: of synthetic fibres</t>
  </si>
  <si>
    <t>Blankets and travelling rugs: n.e.c. in heading no. 6301</t>
  </si>
  <si>
    <t>Bed linen: knitted or crocheted</t>
  </si>
  <si>
    <t>Bed linen: of cotton, printed, not knitted or crocheted</t>
  </si>
  <si>
    <t>Bed linen: of man-made fibres, printed, not knitted or crocheted</t>
  </si>
  <si>
    <t>Bed linen: of textile materials (other than cotton or man-made fibres), printed, not knitted or crocheted</t>
  </si>
  <si>
    <t>Bed linen: of cotton (not printed, knitted or crocheted)</t>
  </si>
  <si>
    <t>Bed linen: of man-made fibres (not printed, knitted or crocheted)</t>
  </si>
  <si>
    <t>Bed linen: of textile materials other than cotton or man-made fibres (not printed, knitted or crocheted)</t>
  </si>
  <si>
    <t>Table linen: knitted or crocheted</t>
  </si>
  <si>
    <t>Table linen: of cotton, not knitted or crocheted</t>
  </si>
  <si>
    <t>Table linen: of man-made fibres, not knitted or crocheted</t>
  </si>
  <si>
    <t>Table linen: of textile materials (other than cotton or man-made fibres), not knitted or crocheted</t>
  </si>
  <si>
    <t>Kitchen and toilet linen: of terry towelling or similar terry fabrics, of cotton</t>
  </si>
  <si>
    <t>Toilet and kitchen linen: of cotton, excluding terry towelling or similar terry fabrics</t>
  </si>
  <si>
    <t>Toilet and kitchen linen: of man-made fibres</t>
  </si>
  <si>
    <t>Toilet and kitchen linen: of textile materials (other than cotton or man-made fibres)</t>
  </si>
  <si>
    <t>Curtains (including drapes) and interior blinds: curtain or bed valances, knitted or crocheted, of synthetic fibres</t>
  </si>
  <si>
    <t>Curtains (including drapes) and interior blinds: curtain or bed valances, knitted or crocheted, of textile materials other than synthetic fibres</t>
  </si>
  <si>
    <t>Curtains (including drapes) and interior blinds, curtain or bed valances: of cotton, not knitted or crocheted</t>
  </si>
  <si>
    <t>Curtains (including drapes) and interior blinds, curtain or bed valances: of synthetic fibres, not knitted or crocheted</t>
  </si>
  <si>
    <t>Curtains (including drapes) and interior blinds, curtain or bed valances: of textile materials other than cotton or synthetic fibres, not knitted or crocheted</t>
  </si>
  <si>
    <t>Bedspreads: knitted or crocheted</t>
  </si>
  <si>
    <t>Bedspreads: not knitted or crocheted</t>
  </si>
  <si>
    <t>Furnishing articles: excluding those of heading no. 9404, knitted or crocheted (excluding bedspreads)</t>
  </si>
  <si>
    <t>Furnishing articles: of cotton, not knitted or crocheted (excluding bedspreads and articles of heading no. 9404)</t>
  </si>
  <si>
    <t>Furnishing articles: of synthetic fibres, not knitted or crocheted (excluding bedspreads and articles of heading no. 9404)</t>
  </si>
  <si>
    <t>Furnishing articles: of textile materials other than cotton or synthetic fibres, not knitted or crocheted (excluding bedspreads and articles of heading no. 9404)</t>
  </si>
  <si>
    <t>Sacks and bags: of a kind used for the packing of goods, of jute or of other textile bast fibres of heading no. 5303</t>
  </si>
  <si>
    <t>Sacks and bags: of a kind used for the packing of goods, of cotton</t>
  </si>
  <si>
    <t>Sacks and bags: of a kind used for the packing of goods, of man-made textile materials, flexible intermediate bulk containers</t>
  </si>
  <si>
    <t>Sacks and bags: of a kind used for the packing of goods, of man-made textile materials, of polyethylene or polypropylene strip or the like, not flexible intermediate bulk containers</t>
  </si>
  <si>
    <t>Sacks and bags: of a kind used for the packing of goods, of man-made textile materials, not of polyethylene or polypropylene strip or the like, not flexible intermediate bulk containers</t>
  </si>
  <si>
    <t>Sacks and bags: of a kind used for the packing of goods, of textile materials (other than jute, cotton or man-made textile materials)</t>
  </si>
  <si>
    <t>Tarpaulins, awnings and sunblinds: of synthetic fibres</t>
  </si>
  <si>
    <t>Tarpaulins, awnings and sunblinds: of textile materials other than synthetic fibres</t>
  </si>
  <si>
    <t>Tents: of synthetic fibres</t>
  </si>
  <si>
    <t>Tents: of textile materials other than synthetic fibres</t>
  </si>
  <si>
    <t>Sails: of synthetic fibres or other textile materials</t>
  </si>
  <si>
    <t>Pneumatic mattresses: of cotton or other textile materials</t>
  </si>
  <si>
    <t>Sailboards, landcraft or camping goods: of cotton</t>
  </si>
  <si>
    <t>Sailboards, landcraft or camping goods: of textile materials other than cotton</t>
  </si>
  <si>
    <t>Cloths: floor cloths, dish-cloths, dusters and similar cleaning cloths</t>
  </si>
  <si>
    <t>Life-jackets and life-belts</t>
  </si>
  <si>
    <t>Textiles: made up articles (including dress patterns), n.e.c. in chapter 63, n.e.c. in heading no. 6307</t>
  </si>
  <si>
    <t>Fabrics, woven and yarn: in sets, whether or not with accessories, for making up into rugs, tapestries, embroidered table cloths or serviettes or similar textile articles, packaged for retail sale</t>
  </si>
  <si>
    <t>Clothing: worn, and other worn articles</t>
  </si>
  <si>
    <t>Rags: used or new, scrap twine, cordage, rope and cables and worn out articles of twine, cordage, rope or cables, of textile materials: sorted</t>
  </si>
  <si>
    <t>Rags: used or new, scrap twine, cordage, rope and cables and worn out articles of twine, cordage, rope or cables, of textile materials: other than sorted</t>
  </si>
  <si>
    <t>Footwear: waterproof with metal toe-cap, rubber or plastic outer soles and uppers (not assembled by stitch, rivet, nail, screw, plug or similar)</t>
  </si>
  <si>
    <t>Footwear: waterproof, covering the ankle (but not the knee), rubber or plastic outer soles and uppers (not assembled by stitch, rivet, nail, screw, plug or similar)</t>
  </si>
  <si>
    <t>Footwear: waterproof, n.e.c. in heading no. 6401, rubber or plastic outer soles and uppers (not assembled by stitch, rivet, nail, screw, plug or similar)</t>
  </si>
  <si>
    <t>Sports footwear: with outer soles and uppers of rubber or plastics, ski-boots, cross-country ski footwear and snowboard boots</t>
  </si>
  <si>
    <t>Sports footwear: (other than ski-boots, snowboard boots or cross-country ski footwear), with outer soles and uppers of rubber or plastics</t>
  </si>
  <si>
    <t>Footwear: with outer soles and uppers of rubber or plastics, upper straps or thongs assembled to the sole by plugs</t>
  </si>
  <si>
    <t>Footwear: n.e.c. in heading no. 6402, covering the ankle, with outer soles and uppers of rubber or plastics</t>
  </si>
  <si>
    <t>Footwear: n.e.c. in heading no. 6402, (other than just covering the ankle), with outer soles and uppers of rubber or plastics</t>
  </si>
  <si>
    <t>Sports footwear: with outer soles of rubber, plastics, leather or composition leather and uppers of leather, ski-boots, snowboard boots and cross-country ski footwear</t>
  </si>
  <si>
    <t>Sports footwear: (other than ski-boots, snowboard boots or cross-country ski footwear), with outer soles of rubber, plastics, leather or composition leather and uppers of leather</t>
  </si>
  <si>
    <t>Footwear: with outer soles of leather, uppers consisting of leather straps across instep and around the big toe</t>
  </si>
  <si>
    <t>Footwear: with metal toe-cap, outer soles of rubber, plastics, leather or composition leather, uppers of leather</t>
  </si>
  <si>
    <t>Footwear: n.e.c. in heading no. 6403, with outer soles and uppers of leather, covering the ankle</t>
  </si>
  <si>
    <t>Footwear: n.e.c. in heading no. 6403, (not covering the ankle), outer soles and uppers of leather</t>
  </si>
  <si>
    <t>Footwear: n.e.c. in heading no. 6403, covering the ankle, outer soles of rubber, plastics or composition leather, uppers of leather</t>
  </si>
  <si>
    <t>Footwear: n.e.c. in heading no. 6403, (not covering the ankle), outer soles of rubber, plastics or composition leather, uppers of leather</t>
  </si>
  <si>
    <t>Sports footwear: tennis shoes, basketball shoes, gym shoes, training shoes and the like, with outer soles of rubber or plastics and uppers of textile materials</t>
  </si>
  <si>
    <t>Footwear: (other than sportswear), with outer soles of rubber or plastics and uppers of textile materials</t>
  </si>
  <si>
    <t>Footwear: outer soles of leather or composition leather, uppers of textile materials</t>
  </si>
  <si>
    <t>Footwear: with uppers of leather or composition leather, n.e.c. in chapter 64</t>
  </si>
  <si>
    <t>Footwear: with uppers of textile materials, n.e.c. in chapter 64</t>
  </si>
  <si>
    <t>Footwear: n.e.c. in chapter 64</t>
  </si>
  <si>
    <t>Footwear: parts, uppers and parts thereof, other than stiffeners</t>
  </si>
  <si>
    <t>Footwear: parts, outer soles and heels, of rubber or plastics</t>
  </si>
  <si>
    <t>Footwear: parts, of wood</t>
  </si>
  <si>
    <t>Footwear: of materials n.e.c. in heading no. 6406</t>
  </si>
  <si>
    <t>Hat-forms, hat bodies and hoods of felt, neither blocked to shape nor with made brims: plateaux and manchons (including slit manchons) of felt</t>
  </si>
  <si>
    <t>Hat-shapes: plaited or made by assembling strips of any material, neither blocked to shape, nor with made brims, nor lined, nor trimmed</t>
  </si>
  <si>
    <t>Hats and other headgear: plaited or made by assembling strips of any material, whether or not lined or trimmed</t>
  </si>
  <si>
    <t>Hair-nets: of any material, whether or not lined or trimmed</t>
  </si>
  <si>
    <t>Hats and other headgear: knitted or crocheted, or made up from lace, felt or other textile fabrics, in the piece (but not in strips), whether or not lined or trimmed</t>
  </si>
  <si>
    <t>Headgear: safety, whether or not lined or trimmed</t>
  </si>
  <si>
    <t>Headgear: (other than safety headgear), of rubber or plastics, whether or not lined or trimmed</t>
  </si>
  <si>
    <t>Headgear: (other than safety headgear), (of materials other than rubber or plastic), whether or not lined or trimmed</t>
  </si>
  <si>
    <t>Head-bands, linings, covers, hat foundations, hat frames, peaks and chinstraps: for headgear</t>
  </si>
  <si>
    <t>Umbrellas and sun umbrellas: garden or similar umbrellas</t>
  </si>
  <si>
    <t>Umbrellas and sun umbrellas: having a telescopic shaft, (excluding garden or similar umbrellas)</t>
  </si>
  <si>
    <t>Umbrellas and sun umbrellas: n.e.c. in heading no. 6601 (including walking stick umbrellas)</t>
  </si>
  <si>
    <t>Walking-sticks, seat-sticks, whips, riding-crops and the like</t>
  </si>
  <si>
    <t>Umbrella frames: including frames mounted on shafts (sticks)</t>
  </si>
  <si>
    <t>Trimmings, accessories and parts of articles of heading no. 6601 or 6602: n.e.c. in heading no. 6603</t>
  </si>
  <si>
    <t>Skins and other parts of birds with their feathers or down: feathers, parts of feathers, down and articles thereof (other than goods of heading no. 0505 and worked quills and scapes)</t>
  </si>
  <si>
    <t>Flowers, foliage and fruit, artificial, and parts thereof: articles made of artificial flowers, foliage or fruit, of plastics</t>
  </si>
  <si>
    <t>Flowers, foliage and fruit, artificial, and parts thereof: articles made of artificial flowers, foliage or fruit, of materials other than plastics</t>
  </si>
  <si>
    <t>Human hair, dressed, thinned, bleached or otherwise worked: wool or other animal hair or other textile materials, prepared for use in making wigs or the like</t>
  </si>
  <si>
    <t>Wigs: complete, of synthetic textile materials</t>
  </si>
  <si>
    <t>False beards, eyebrows and eyelashes, switches and the like: of synthetic textile materials</t>
  </si>
  <si>
    <t>Wigs, false beards, eyebrows and eyelashes, switches and the like and other articles n.e.c.: of human hair</t>
  </si>
  <si>
    <t>Wigs, false beards, eyebrows and eyelashes, switches and the like and other articles n.e.c.: of animal hair or of textile materials other than synthetic</t>
  </si>
  <si>
    <t>Stone: setts, curbstones and flagstones, of natural stone (except slate)</t>
  </si>
  <si>
    <t>Tiles, cubes and similar articles: whether or not rectangular (including square), largest surface area of which is capable of being enclosed in square, side less than 7cm, coloured granules, chippings, powder</t>
  </si>
  <si>
    <t>Marble, travertine and alabaster: simply cut or sawn, with a flat or even surface</t>
  </si>
  <si>
    <t>Granite: articles thereof, simply cut or sawn, with a flat or even surface</t>
  </si>
  <si>
    <t>Stone: monumental or building stone, n.e.c. in item no. 6802.2, articles thereof, simply cut or sawn, with a flat or even surface</t>
  </si>
  <si>
    <t>Marble, travertine and alabaster: articles thereof, (other than simply cut or sawn, with a flat or even surface)</t>
  </si>
  <si>
    <t>Stone: calcareous (excluding marble, travertine, alabaster) articles thereof, (other than simply cut or sawn, with a flat or even surface)</t>
  </si>
  <si>
    <t>Granite: articles thereof, (other than simply cut or sawn, with a flat or even surface)</t>
  </si>
  <si>
    <t>Stone: natural (excluding marble, travertine, alabaster, other calcareous stone or granite), monumental or building stone, (other than simply cut or sawn, with a flat or even surface)</t>
  </si>
  <si>
    <t>Slate, worked: and articles of slate or of agglomerated slate</t>
  </si>
  <si>
    <t>Millstones and grindstones: for milling, grinding or pulping</t>
  </si>
  <si>
    <t>Millstones, grindstones, grinding wheels and the like: of agglomerated synthetic or natural diamond</t>
  </si>
  <si>
    <t>Millstones, grindstones, grinding wheels and the like: of other agglomerated abrasives or of ceramics</t>
  </si>
  <si>
    <t>Millstones, grindstones, grinding wheels and the like: of natural stone</t>
  </si>
  <si>
    <t>Stones: hand sharpening or polishing stones, of natural stone, agglomerated natural or artificial abrasives or ceramics, with or without parts of other materials</t>
  </si>
  <si>
    <t>Abrasive powder or grain: natural or artificial, on a base of woven textile fabric only, whether or not cut to shape or sewn or otherwise made up</t>
  </si>
  <si>
    <t>Abrasive powder or grain: natural or artificial, on a base of paper or paperboard only, whether or not cut to shape or sewn or otherwise made up</t>
  </si>
  <si>
    <t>Abrasive powder or grain: natural or artificial, on a base of materials n.e.c. in heading no. 6805, whether or not cut to shape or sewn or otherwise made up</t>
  </si>
  <si>
    <t>Slag wool, rock wool and similar mineral wools (including intermixtures thereof), in bulk, sheets or rolls</t>
  </si>
  <si>
    <t>Exfoliated vermiculite, expanded clays, foamed slag and similar expanded mineral materials (including intermixtures thereof)</t>
  </si>
  <si>
    <t>Minerals: mixtures and articles of heat-insulating, sound-insulating or sound-absorbing mineral materials, other than those of heading no. 6811 or 6812 or of chapter 69</t>
  </si>
  <si>
    <t>Asphalt or similar material: articles (e.g. petroleum bitumen or coal tar pitch) in rolls</t>
  </si>
  <si>
    <t>Asphalt or similar material: articles (e.g. petroleum bitumen or coal tar pitch) other than in rolls</t>
  </si>
  <si>
    <t>Panels, boards, tiles, blocks and the like: of vegetable fibre, of straw, shavings, chips, particles, sawdust or other waste, of wood, agglomerated with cement, plaster or other mineral binders</t>
  </si>
  <si>
    <t>Plaster, or plaster compositions: boards, sheets, panels, tiles and similar articles, faced or reinforced with paper or paperboard only, not ornamented</t>
  </si>
  <si>
    <t>Plaster, or plaster compositions: boards, sheets, panels, tiles and similar articles, (other than faced or reinforced with paper or paperboard only), not ornamented</t>
  </si>
  <si>
    <t>Plaster articles or articles of compositions based on plaster: n.e.c. in heading no. 6809</t>
  </si>
  <si>
    <t>Cement, concrete or artificial stone: building blocks or bricks, whether or not reinforced</t>
  </si>
  <si>
    <t>Cement, concrete or artificial stone: tiles, flagstones and similar, (excluding building blocks and bricks) whether or not reinforced</t>
  </si>
  <si>
    <t>Cement, concrete or artificial stone: prefabricated structural components for building or civil engineering, whether or not reinforced</t>
  </si>
  <si>
    <t>Cement, concrete or artificial stone: articles (other than prefabricated structural components for building or civil engineering), whether or not reinforced, n.e.c. in heading no. 6810</t>
  </si>
  <si>
    <t>Asbestos-cement: articles thereof</t>
  </si>
  <si>
    <t>Cellulose fibre-cement articles or the like: corrugated sheets</t>
  </si>
  <si>
    <t>Cellulose fibre-cement articles or the like: sheets, panels, tiles and similar articles, other than corrugated sheets</t>
  </si>
  <si>
    <t>Cellulose fibre-cement articles or the like: tubes, pipes and tube or pipe fittings</t>
  </si>
  <si>
    <t>Cellulose fibre-cement articles or the like: articles n.e.c. in heading no. 6811</t>
  </si>
  <si>
    <t>Fabricated crocidolite (blue asbestos) fibres, mixtures with a basis of crocidolite (blue asbestos), articles of crocidolite (blue asbestos), whether or not reinforced, not goods of heading 6811 or 6813</t>
  </si>
  <si>
    <t>Asbestos or mixtures with a basis of asbestos (other than crocidolite): clothing, clothing accessories, footwear and headgear, whether or not reinforced, not goods of heading 6811 or 6813</t>
  </si>
  <si>
    <t>Asbestos or mixtures with a basis of asbestos (other than crocidolite): paper, millboard and felt, whether or not reinforced, not goods of heading 6811 or 6813</t>
  </si>
  <si>
    <t>Asbestos or mixtures with a basis of asbestos (other than crocidolite): compressed asbestos fibre jointing, in sheets or rolls, whether or not reinforced, not goods of heading 6811 or 6813</t>
  </si>
  <si>
    <t>Asbestos or mixtures with a basis of asbestos (other than crocidolite): fibres, mixtures or articles n.e.c. in heading no. 6812, whether or not reinforced, not goods of heading 6811 or 6813</t>
  </si>
  <si>
    <t>Friction material and articles thereof (e.g. sheets, rolls, strips, segments, discs, washers, pads) not mounted: for brakes, clutches or the like, with a basis of asbestos</t>
  </si>
  <si>
    <t>Brake linings and pads: with a basis of mineral substances or cellulose (other than asbestos)</t>
  </si>
  <si>
    <t>Friction material and articles thereof (e.g. sheets, rolls, strips, segments, discs, washers, pads) not mounted: for clutches or the like (not brake linings and pads), with a basis of mineral substances or cellulose (other than asbestos)</t>
  </si>
  <si>
    <t>Mica: plates, sheets and strips of agglomerated or reconstituted mica, whether or not on a support of paper, paperboard or other materials</t>
  </si>
  <si>
    <t>Mica: worked mica and articles of mica (excluding plates, sheets and strips) whether or not on a support of paper, paperboard or other materials</t>
  </si>
  <si>
    <t>Stone articles and other mineral substances, non-electrical articles of graphite or other carbon</t>
  </si>
  <si>
    <t>Peat: articles of peat n.e.c. or included</t>
  </si>
  <si>
    <t>Stone articles and articles of other mineral substances: containing magnesite, dolomite or chromite</t>
  </si>
  <si>
    <t>Stone articles and articles of other mineral substances: n.e.c. or included in heading no. 6815</t>
  </si>
  <si>
    <t>Bricks, blocks, tiles and other ceramic goods of siliceous fossil meals (e.g. kieselguhr, tripolite or diatomite) or of similar siliceous earths</t>
  </si>
  <si>
    <t>Refractory bricks, blocks, tiles and similar refractory ceramic constructional goods: containing by weight, singly or together, more than 50% of the elements Mg, Ca or Cr, expressed as MgO, CaO or Cr2o3</t>
  </si>
  <si>
    <t>Refractory bricks, blocks, tiles and similar refractory ceramic constructional goods: containing by weight more than 50% of alumina (Al2o3), of silica (SiO2) or of a mixture or compound of these</t>
  </si>
  <si>
    <t>Refractory bricks, blocks, tiles and similar refractory ceramic constructional goods: n.e.c. in item no. 6902.1 or 6902.2</t>
  </si>
  <si>
    <t>Refractory ceramic goods: containing by weight more than 50% of graphite or other forms of carbon or of a mixture of these products, excluding those of siliceous fossil meals or similar earths</t>
  </si>
  <si>
    <t>Refractory ceramic goods: containing by weight more than 50% of alumina or of a mixture or compound of alumina and of silica, excluding those of siliceous fossil meals or similar earths</t>
  </si>
  <si>
    <t>Refractory ceramic goods: composition of which n.e.c. in heading no. 6903, other than those of siliceous fossil meals or similar earths</t>
  </si>
  <si>
    <t>Ceramic building bricks</t>
  </si>
  <si>
    <t>Ceramic flooring blocks, supports or filler tiles and the like (excluding building bricks)</t>
  </si>
  <si>
    <t>Ceramic roofing tiles</t>
  </si>
  <si>
    <t>Ceramic chimney-pots, cowls, chimney liners, architectural ornaments and other constructional goods (excluding roofing tiles)</t>
  </si>
  <si>
    <t>Ceramic pipes, conduits, guttering and pipe fittings</t>
  </si>
  <si>
    <t>Ceramic tiles, cubes and similar articles: unglazed, whether or not rectangular, the largest surface area of which is capable of being enclosed in a square the side of which is less than 7cm</t>
  </si>
  <si>
    <t>Ceramic flags and paving: unglazed</t>
  </si>
  <si>
    <t>Ceramic tiles, cubes and similar articles: glazed, whether or not rectangular or on a backing, with the largest surface area less than a 7cm square</t>
  </si>
  <si>
    <t>Ceramic flags and pavings: glazed</t>
  </si>
  <si>
    <t>Ceramic wares: for laboratory, chemical or other technical uses, of porcelain or china</t>
  </si>
  <si>
    <t>Ceramic wares: for laboratory, chemical or other technical uses, articles having a hardness equivalent to 9 or more on the Mohs scale</t>
  </si>
  <si>
    <t>Ceramic wares: for laboratory, chemical or other technical uses, other than articles having a hardness equivalent to 9 or more on the Mohs scale or of porcelain or china</t>
  </si>
  <si>
    <t>Ceramic wares: pots, jars and similar articles of a kind used for the conveyance or packing of goods and ceramic troughs, tubs and similar receptacles used in agriculture</t>
  </si>
  <si>
    <t>Ceramic sinks, wash basins, wash basin pedestals, baths, bidets, water closet pans, flushing cisterns, urinals and similar sanitary fixtures: of porcelain or china</t>
  </si>
  <si>
    <t>Ceramic sinks, wash basins, wash basin pedestals, baths, bidets, water closet pans, flushing cisterns, urinals and similar sanitary fixtures: of other than porcelain or china</t>
  </si>
  <si>
    <t>Tableware and kitchenware: of porcelain or china</t>
  </si>
  <si>
    <t>Household and toilet articles: n.e.c. in heading no. 6911, of porcelain or china</t>
  </si>
  <si>
    <t>Ceramic tableware, kitchenware, other household articles and toilet articles: other than of porcelain or china</t>
  </si>
  <si>
    <t>Ceramic statuettes and other ornamental ceramic articles, of porcelain or china</t>
  </si>
  <si>
    <t>Ceramic statuettes and other ornamental ceramic articles: other than of porcelain or china</t>
  </si>
  <si>
    <t>Ceramic articles n.e.c. in chapter 69: of porcelain or china</t>
  </si>
  <si>
    <t>Ceramic articles n.e.c. in chapter 69: other than of porcelain or china</t>
  </si>
  <si>
    <t>Glass: cullet and other waste and scrap of glass, glass in the mass</t>
  </si>
  <si>
    <t>Glass: unworked, in balls (other than microspheres of heading no. 7018)</t>
  </si>
  <si>
    <t>Glass: unworked, in rods</t>
  </si>
  <si>
    <t>Glass: unworked, in tubes, of fused quartz or other fused silica</t>
  </si>
  <si>
    <t>Glass: unworked, tubes, of glass having a linear coefficient of expansion not exceeding 5 x 10-6 per kelvin within a temperature range of 0-300 degrees C</t>
  </si>
  <si>
    <t>Glass: unworked, in tubes, other than of glass having a linear coefficient of expansion not exceeding 5 x 10-6 per kelvin within a temperature range of 0-300 degrees C, not fused quartz or other fused silica</t>
  </si>
  <si>
    <t>Glass: cast glass and rolled glass, non-wired sheets, coloured through the mass (body tinted), opacified, flashed or having an absorbent, reflecting or non-reflecting layer</t>
  </si>
  <si>
    <t>Glass: cast glass and rolled glass, non-wired sheets, (excluding those coloured throughout the mass (body tinted) opacified, flashed or having an absorbent or reflecting layer)</t>
  </si>
  <si>
    <t>Glass: cast glass and rolled glass, wired sheets, whether or not having an absorbent or reflecting layer but not otherwise worked</t>
  </si>
  <si>
    <t>Glass: cast glass and rolled glass, profiles, not otherwise worked</t>
  </si>
  <si>
    <t>Glass: drawn and blown, in sheets, coloured throughout the mass (body tinted), opacified, flashed or having an absorbent, reflecting or non-reflecting layer, but not otherwise worked</t>
  </si>
  <si>
    <t>Glass: drawn and blown, in sheets, (other than glass coloured throughout the mass (body tinted), opacified, flashed or having an absorbent, reflecting or non-reflecting layer)</t>
  </si>
  <si>
    <t>Glass: float glass and surface ground or polished glass, in sheets, non-wired, having an absorbent reflecting or non-reflecting layer</t>
  </si>
  <si>
    <t>Glass: float glass and surface ground or polished glass, in sheets, non-wired, coloured throughout the mass (body tinted), opacified, flashed or merely surface ground</t>
  </si>
  <si>
    <t>Glass: float glass and surface ground or polished glass, in sheets, non-wired, (other than coloured throughout the mass (body tinted), opacified, flashed or merely surface ground)</t>
  </si>
  <si>
    <t>Glass: float glass and surface ground or polished glass, in sheets, wired glass, whether or not having an absorbent or reflecting layer</t>
  </si>
  <si>
    <t>Glass of heading no. 7003, 7004 or 7005: bent, edge-worked, engraved, drilled, enamelled or otherwise worked, but not framed or fitted with other materials</t>
  </si>
  <si>
    <t>Glass: safety glass, toughened (tempered), of size and shape suitable for incorporation in vehicles, aircraft, spacecraft or vessels</t>
  </si>
  <si>
    <t>Glass: safety glass, toughened (tempered), (not of a size and shape suitable for incorporation in vehicles, aircraft, spacecraft or vessels)</t>
  </si>
  <si>
    <t>Glass: safety glass, laminated, of size and shape suitable for incorporation in vehicles, aircraft, spacecraft or vessels</t>
  </si>
  <si>
    <t>Glass: safety glass, laminated, (not of a size and shape suitable for incorporation in vehicles, aircraft, spacecraft or vessels)</t>
  </si>
  <si>
    <t>Glass: multiple-walled insulating units of glass</t>
  </si>
  <si>
    <t>Glass: rear-view mirrors for vehicles</t>
  </si>
  <si>
    <t>Glass mirrors: unframed, excluding rear-view mirrors for vehicles</t>
  </si>
  <si>
    <t>Glass mirrors: framed, excluding rear-view mirrors for vehicles</t>
  </si>
  <si>
    <t>Glass: ampoules, of a kind used for the conveyance or packing of goods</t>
  </si>
  <si>
    <t>Glass: stoppers, lids and other closures</t>
  </si>
  <si>
    <t>Glass: carboys, bottles, flasks, jars, pots, phials and other containers of glass, (not ampoules), used for the conveyance or packing of goods</t>
  </si>
  <si>
    <t>Glass envelopes (including bulbs and tubes): open, and glass parts thereof, without fittings, for electric lighting</t>
  </si>
  <si>
    <t>Glass envelopes (including bulbs and tubes): open, and glass parts thereof, without fittings, for cathode-ray tubes</t>
  </si>
  <si>
    <t>Glass envelopes (including bulbs and tubes): open, and glass parts thereof, without fittings, other than for electric lighting and cathode-ray tubes</t>
  </si>
  <si>
    <t>Glassware: of a kind used for table, kitchen, toilet, office, indoor decoration or similar purposes (other than of heading no. 7010 or 7018), of glass-ceramics</t>
  </si>
  <si>
    <t>Stemware drinking glasses, of lead crystal</t>
  </si>
  <si>
    <t>Stemware drinking glasses, other than of lead crystal or glass-ceramics</t>
  </si>
  <si>
    <t>Glassware: drinking glasses (not stemware), of lead crystal</t>
  </si>
  <si>
    <t>Glassware: drinking glasses (not stemware), other than of lead crystal or glass-ceramics</t>
  </si>
  <si>
    <t>Glassware of a kind used for table or kitchen purposes (not drinking glasses), of lead crystal</t>
  </si>
  <si>
    <t>Glassware of a kind used for table or kitchen purposes (not drinking glasses), of glass having a linear coefficient of expansion not exceeding 5 x 10^(-6) per Kelvin within a temperature range of 0-300 degrees C</t>
  </si>
  <si>
    <t>Glassware of a kind used for table or kitchen purposes (not drinking glasses or of glass-ceramics), of glass n.e.c. in item no. 7013.4</t>
  </si>
  <si>
    <t>Glassware: n.e.c. in heading no. 7013, of lead crystal</t>
  </si>
  <si>
    <t>Glassware: n.e.c. in heading no. 7013, other than of lead crystal</t>
  </si>
  <si>
    <t>Glassware: signalling, (not optically worked)</t>
  </si>
  <si>
    <t>Glasses for corrective spectacles: curved, bent, hollowed or the like, not optically worked</t>
  </si>
  <si>
    <t>Glasses: clock or watch and similar, glasses for non-corrective spectacles, curved, bent, hollowed etc, (not optically worked), hollow glass spheres and segments, for the manufacture of such glasses</t>
  </si>
  <si>
    <t>Glass cubes and other glass smallwares: whether or not on a backing, for mosaics or similar decorative purposes</t>
  </si>
  <si>
    <t>Multicellular or foam glass: in blocks, panels, plates, shells or similar forms: paving blocks, slabs, bricks and other articles of pressed or moulded glass</t>
  </si>
  <si>
    <t>Glassware: laboratory, hygienic or pharmaceutical, whether or not graduated or calibrated, of fused quartz or other fused silica</t>
  </si>
  <si>
    <t>Glassware: laboratory, hygienic or pharmaceutical, whether or not graduated or calibrated, having a linear co-efficient of expansion not over 5 x 10-6 per kelvin with a temperature of 0-300 degrees C</t>
  </si>
  <si>
    <t>Glassware: laboratory, hygienic or pharmaceutical, whether or not graduated or calibrated, of glass n.e.c. in heading no. 7017</t>
  </si>
  <si>
    <t>Glass: beads, imitation pearls, imitation precious or semi-precious stones and similar glass smallwares</t>
  </si>
  <si>
    <t>Glass microspheres: not exceeding 1mm in diameter</t>
  </si>
  <si>
    <t>Glass: articles thereof, statuettes and other ornaments of lamp worked glass, other than imitation jewellery</t>
  </si>
  <si>
    <t>Glass fibres: (including glass wool), chopped strands, of a length of not more than 50mm</t>
  </si>
  <si>
    <t>Glass fibres: (including glass wool), rovings</t>
  </si>
  <si>
    <t>Glass fibres: (including glass wool), slivers, yarns and threads</t>
  </si>
  <si>
    <t>Glass fibres: non-woven products, mats</t>
  </si>
  <si>
    <t>Glass fibres: non-woven products, thin sheets (voiles)</t>
  </si>
  <si>
    <t>Glass fibres: webs, mattresses, boards and similar non-woven products excluding mats and thin sheets</t>
  </si>
  <si>
    <t>Glass fibres: woven fabrics of rovings</t>
  </si>
  <si>
    <t>Glass fibres: woven fabrics (other than of rovings), of a width not exceeding 30cm</t>
  </si>
  <si>
    <t>Glass fibres: woven fabrics (other than of rovings), of a width exceeding 30cm, plain weave, weighing less than 250g/m2, of filaments measuring per single yarn not more than 136 tex</t>
  </si>
  <si>
    <t>Glass fibres: woven fabrics (other than of rovings), n.e.c. in item no. 7019.5</t>
  </si>
  <si>
    <t>Glass fibres: n.e.c. in heading no. 7019</t>
  </si>
  <si>
    <t>Glass: articles n.e.c. in chapter 70</t>
  </si>
  <si>
    <t>Pearls: natural, whether or not worked or graded (but not strung, mounted or set), temporarily strung for the convenience of transport</t>
  </si>
  <si>
    <t>Pearls: cultured, unworked, whether or not graded (but not strung, mounted or set), temporarily strung for the convenience of transport</t>
  </si>
  <si>
    <t>Pearls: cultured, worked, whether or not graded (but not strung, mounted or set), temporarily strung for the convenience of transport</t>
  </si>
  <si>
    <t>Diamonds: whether or not worked, but not mounted or set, unsorted</t>
  </si>
  <si>
    <t>Diamonds: industrial, unworked or simply sawn, cleaved or bruted, but not mounted or set</t>
  </si>
  <si>
    <t>Diamonds: industrial, (other than unworked or simply sawn, cleaved or bruted), but not mounted or set</t>
  </si>
  <si>
    <t>Diamonds: non-industrial, unworked or simply sawn, cleaved or bruted, but not mounted or set</t>
  </si>
  <si>
    <t>Diamonds: non-industrial, (other than unworked or simply sawn, cleaved or bruted), but not mounted or set</t>
  </si>
  <si>
    <t>Stones: precious (other than diamonds) and semi-precious stones, unworked or simply sawn or roughly shaped, not strung, mounted or set</t>
  </si>
  <si>
    <t>Stones: rubies, sapphires and emeralds, worked (other than simply sawn or roughly shaped), not strung, mounted or set</t>
  </si>
  <si>
    <t>Stones: precious (other than diamonds) and semi-precious stones, (other than rubies, sapphires and emeralds), worked other than simply sawn or roughly shaped, not strung, mounted or set</t>
  </si>
  <si>
    <t>Stones: precious or semi-precious, synthetic or reconstructed, piezo-electric quartz, whether or not worked or graded (but not strung, mounted or set), temporarily strung for transport convenience</t>
  </si>
  <si>
    <t>Stones: precious or semi-precious, synthetic or reconstructed, (not piezo-electric quartz), unworked or simply sawn, roughly shaped, (not strung, mounted or set), temporarily strung for transport convenience</t>
  </si>
  <si>
    <t>Stones: precious or semi-precious, synthetic or reconstructed, (not piezo-electric quartz), worked or graded or not, (but not strung, mounted or set), temporarily strung for transport convenience, n.e.c. in item no. 7104.20</t>
  </si>
  <si>
    <t>Stones: precious and semi-precious, dust and powder, of diamonds</t>
  </si>
  <si>
    <t>Stones: precious and semi-precious, dust and powder, of natural or synthetic precious or semi-precious stones, excluding diamonds</t>
  </si>
  <si>
    <t>Metals: silver powder</t>
  </si>
  <si>
    <t>Metals: silver, unwrought, (but not powder)</t>
  </si>
  <si>
    <t>Metals: silver, semi-manufactured</t>
  </si>
  <si>
    <t>Base metals clad with silver: not further worked than semi-manufactured</t>
  </si>
  <si>
    <t>Metals: gold, non-monetary, powder</t>
  </si>
  <si>
    <t>Metals: gold, non-monetary, unwrought (but not powder)</t>
  </si>
  <si>
    <t>Metals: gold, semi-manufactured</t>
  </si>
  <si>
    <t>Gold, monetary</t>
  </si>
  <si>
    <t>Base metals or silver: clad with gold, not further worked than semi-manufactured</t>
  </si>
  <si>
    <t>Metals: platinum, unwrought or in powder form</t>
  </si>
  <si>
    <t>Metals: platinum, semi-manufactured</t>
  </si>
  <si>
    <t>Metals: palladium, unwrought or in powder form</t>
  </si>
  <si>
    <t>Metals: palladium, semi-manufactured</t>
  </si>
  <si>
    <t>Metals: rhodium, unwrought or in powder form</t>
  </si>
  <si>
    <t>Metals: rhodium, semi-manufactured</t>
  </si>
  <si>
    <t>Metals: iridium, osmium, ruthenium, unwrought or in powder form</t>
  </si>
  <si>
    <t>Metals: iridium, osmium, ruthenium, semi-manufactured</t>
  </si>
  <si>
    <t>Base metals, silver or gold, clad with platinum: not further worked than semi-manufactured</t>
  </si>
  <si>
    <t>Waste and scrap of precious metal or of metal clad with precious metal: ash containing precious metal or precious metal compounds</t>
  </si>
  <si>
    <t>Waste and scrap of precious metals: of gold, including metal clad with gold but excluding sweepings containing other precious metals</t>
  </si>
  <si>
    <t>Waste and scrap of precious metals: of platinum, including metal clad with platinum but excluding sweepings containing other precious metals</t>
  </si>
  <si>
    <t>Waste and scrap of precious metals: waste and scrap of precious metals including metal clad with precious metals, other than that of gold and platinum and excluding ash which contains precious metal or precious metal compounds</t>
  </si>
  <si>
    <t>Jewellery: of silver, whether or not plated or clad with other precious metal, and parts thereof</t>
  </si>
  <si>
    <t>Jewellery: of precious metal (excluding silver) whether or not plated or clad with precious metal, and parts thereof</t>
  </si>
  <si>
    <t>Jewellery: of base metal clad with precious metal, and parts thereof</t>
  </si>
  <si>
    <t>Silversmiths' wares: and parts thereof, of silver, whether or not plated or clad with other precious metal</t>
  </si>
  <si>
    <t>Goldsmiths' wares: articles of and parts thereof, of precious metal (excluding silver) whether or not plated or clad with precious metal</t>
  </si>
  <si>
    <t>Goldsmiths' and silversmiths' wares: articles of and parts thereof, of base metal clad with precious metal</t>
  </si>
  <si>
    <t>Metal: catalysts in the form of wire cloth or grill, of platinum</t>
  </si>
  <si>
    <t>Metal: precious or metal clad with precious metal, other than that of item no. 7115.10</t>
  </si>
  <si>
    <t>Pearls: articles of natural or cultured pearls</t>
  </si>
  <si>
    <t>Stones: precious or semi-precious stones (natural, synthetic or reconstructed) articles of</t>
  </si>
  <si>
    <t>Jewellery: imitation, cuff links and studs, of base metal, whether or not plated with precious metal</t>
  </si>
  <si>
    <t>Jewellery: imitation, (excluding cuff links and studs), of base metal, whether or not plated with precious metal</t>
  </si>
  <si>
    <t>Jewellery: imitation, of other than base metal, whether or not plated with precious metal</t>
  </si>
  <si>
    <t>Coin (other than gold coin), not being legal tender</t>
  </si>
  <si>
    <t>Coin: other than coin of item no. 7118.10</t>
  </si>
  <si>
    <t>Iron: non-alloy pig iron containing by weight 0.5% or less of phosphorus, in pigs, blocks or other primary forms</t>
  </si>
  <si>
    <t>Iron: non-alloy pig iron containing by weight more than 0.5% of phosphorus, in pigs, blocks or other primary forms</t>
  </si>
  <si>
    <t>Iron: alloy pig iron, spiegeleisen, in pigs, blocks or other primary forms</t>
  </si>
  <si>
    <t>Ferro-alloys: ferro-manganese, containing by weight more than 2% of carbon</t>
  </si>
  <si>
    <t>Ferro-alloys: ferro-manganese, containing by weight 2% or less of carbon</t>
  </si>
  <si>
    <t>Ferro-alloys: ferro-silicon, containing by weight more than 55% of silicon</t>
  </si>
  <si>
    <t>Ferro-alloys: ferro-silicon, containing by weight 55% or less of silicon</t>
  </si>
  <si>
    <t>Ferro-alloys: ferro-silico-manganese</t>
  </si>
  <si>
    <t>Ferro-alloys: ferro-chromium, containing by weight more than 4% of carbon</t>
  </si>
  <si>
    <t>Ferro-alloys: ferro-chromium, containing by weight 4% or less of carbon</t>
  </si>
  <si>
    <t>Ferro-alloys: ferro-silico-chromium</t>
  </si>
  <si>
    <t>Ferro-alloys: ferro-nickel</t>
  </si>
  <si>
    <t>Ferro-alloys: ferro-molybdenum</t>
  </si>
  <si>
    <t>Ferro-alloys: ferro-tungsten and ferro-silico-tungsten</t>
  </si>
  <si>
    <t>Ferro-alloys: ferro-titanium and ferro-silico-titanium</t>
  </si>
  <si>
    <t>Ferro-alloys: ferro-vanadium</t>
  </si>
  <si>
    <t>Ferro-alloys: ferro-niobium</t>
  </si>
  <si>
    <t>Ferro-alloys: n.e.c. in heading no. 7202</t>
  </si>
  <si>
    <t>Ferrous products: obtained by direct reduction of iron ore, in lumps, pellets or similar forms</t>
  </si>
  <si>
    <t>Ferrous products: spongy ferrous products and iron having a minimum purity by weight of 99.94%, in lumps, pellets or similar forms</t>
  </si>
  <si>
    <t>Ferrous waste and scrap: of cast iron</t>
  </si>
  <si>
    <t>Ferrous waste and scrap: of stainless steel</t>
  </si>
  <si>
    <t>Ferrous waste and scrap: of alloy steel (excluding stainless)</t>
  </si>
  <si>
    <t>Ferrous waste and scrap: of tinned iron or steel</t>
  </si>
  <si>
    <t>Ferrous waste and scrap: turnings, shavings, chips, milling waste, sawdust, fillings, trimmings and stampings, whether or not in bundles</t>
  </si>
  <si>
    <t>Ferrous waste and scrap: n.e.c. in heading no. 7204</t>
  </si>
  <si>
    <t>Ferrous products: remelting scrap ingots</t>
  </si>
  <si>
    <t>Iron or steel, pig iron, spiegeleisen: granules thereof</t>
  </si>
  <si>
    <t>Alloy steel powders</t>
  </si>
  <si>
    <t>Iron or steel, pig iron, spiegeleisen: powders (excluding alloy steel)</t>
  </si>
  <si>
    <t>Iron or non-alloy steel: ingots (excluding iron of heading no. 7203)</t>
  </si>
  <si>
    <t>Iron or non-alloy steel: primary forms (excluding ingots and iron of heading no. 7203)</t>
  </si>
  <si>
    <t>Iron or non-alloy steel: semi-finished products of iron or non-alloy steel: containing by weight less than 0.25% of carbon, of rectangular (including square) cross-section, width less than twice thickness</t>
  </si>
  <si>
    <t>Iron or non-alloy steel: semi-finished products of iron or non-alloy steel: containing by weight less than 0.25% of carbon, of rectangular (other than square) cross-section</t>
  </si>
  <si>
    <t>Iron or non-alloy steel: semi-finished products of iron or non-alloy steel, containing by weight less than 0.25% of carbon, other than rectangular or square cross-section</t>
  </si>
  <si>
    <t>Iron or non-alloy steel: semi-finished products of iron or non-alloy steel, containing by weight 0.25% or more of carbon</t>
  </si>
  <si>
    <t>Iron or non-alloy steel: in coils, flat-rolled, of a width 600mm or more, hot-rolled, with patterns in relief</t>
  </si>
  <si>
    <t>Iron or non-alloy steel: in coils, without patterns in relief, flat-rolled, of a width 600mm or more, hot-rolled, pickled, of a thickness of 4.75mm or more</t>
  </si>
  <si>
    <t>Iron or non-alloy steel: in coils, without patterns in relief, flat-rolled, of a width 600mm or more, hot-rolled, pickled, of a thickness of 3mm or more but less than 4.75mm</t>
  </si>
  <si>
    <t>Iron or non-alloy steel: in coils, without patterns in relief, flat-rolled, of a width 600mm or more, hot-rolled, pickled, of a thickness of less than 3mm</t>
  </si>
  <si>
    <t>Iron or non-alloy steel: in coils, without patterns in relief, flat-rolled, of a width 600mm or more, hot-rolled, of a thickness exceeding 10mm</t>
  </si>
  <si>
    <t>Iron or non-alloy steel: in coils, without patterns in relief, flat-rolled, of a width 600mm or more, hot-rolled, of a thickness of 4.75mm or more but not exceeding 10mm</t>
  </si>
  <si>
    <t>Iron or non-alloy steel: in coils, without patterns in relief, flat-rolled, of a width 600mm or more, hot-rolled, of a thickness of 3mm or more but less than 4.75mm</t>
  </si>
  <si>
    <t>Iron or non-alloy steel: in coils, without patterns in relief, flat-rolled, of a width 600mm or more, hot-rolled, of a thickness of less than 3mm</t>
  </si>
  <si>
    <t>Iron or non-alloy steel: (not in coils), flat-rolled, of a width 600mm or more, hot-rolled, with patterns in relief</t>
  </si>
  <si>
    <t>Iron or non-alloy steel: (not in coils), flat-rolled, of a width 600mm or more, hot-rolled, without patterns in relief, of a thickness exceeding 10mm</t>
  </si>
  <si>
    <t>Iron or non-alloy steel: (not in coils), flat-rolled, of a width 600mm or more, hot-rolled, without patterns in relief, of a thickness of 4.75mm or more but not exceeding 10mm</t>
  </si>
  <si>
    <t>Iron or non-alloy steel: (not in coils), flat-rolled, of a width 600mm or more, hot-rolled, without patterns in relief, of a thickness of 3mm or more but less than 4.75mm</t>
  </si>
  <si>
    <t>Iron or non-alloy steel: (not in coils), flat-rolled, of a width 600mm or more, hot-rolled, without patterns in relief, of a thickness of less than 3mm</t>
  </si>
  <si>
    <t>Iron or non-alloy steel: flat-rolled, hot-rolled, of a width 600mm or more, n.e.c. in heading no. 7208</t>
  </si>
  <si>
    <t>Iron or non-alloy steel: in coils, flat-rolled, width 600mm or more, cold-rolled, of a thickness of 3mm or more</t>
  </si>
  <si>
    <t>Iron or non-alloy steel: in coils, flat-rolled, width 600mm or more, cold-rolled, of a thickness exceeding 1mm but less than 3mm</t>
  </si>
  <si>
    <t>Iron or non-alloy steel: in coils, flat-rolled, width 600mm or more, cold-rolled, of a thickness of 0.5mm or more but not exceeding 1mm</t>
  </si>
  <si>
    <t>Iron or non-alloy steel: in coils, flat-rolled, width 600mm or more, cold-rolled, of a thickness of less than 0.5mm</t>
  </si>
  <si>
    <t>Iron or non-alloy steel: (not in coils), flat-rolled, width 600mm or more, cold-rolled, of a thickness of 3mm or more</t>
  </si>
  <si>
    <t>Iron or non-alloy steel: (not in coils), flat-rolled, width 600mm or more, cold-rolled, of a thickness exceeding 1mm but less than 3mm</t>
  </si>
  <si>
    <t>Iron or non-alloy steel: (not in coils), flat-rolled, width 600mm or more, cold-rolled, of a thickness of 0.5mm or more but not exceeding 1mm</t>
  </si>
  <si>
    <t>Iron or non-alloy steel: (not in coils), flat-rolled, width 600mm or more, cold-rolled, of a thickness of less than 0.5mm</t>
  </si>
  <si>
    <t>Iron or non-alloy steel: flat-rolled, width 600mm or more, cold-rolled, n.e.c. in heading no. 7209</t>
  </si>
  <si>
    <t>Iron or non-alloy steel: flat-rolled, width 600mm or more, plated or coated with tin, thickness of 0.5mm or more</t>
  </si>
  <si>
    <t>Iron or non-alloy steel: flat-rolled, width 600mm or more, plated or coated with tin, thickness of less than 0.5mm</t>
  </si>
  <si>
    <t>Iron or non-alloy steel: flat-rolled, width 600mm or more, plated or coated with lead, including terne-plate</t>
  </si>
  <si>
    <t>Iron or non-alloy steel: flat-rolled, width 600mm or more, electrolytically plated or coated with zinc</t>
  </si>
  <si>
    <t>Iron or non-alloy steel: flat-rolled, width 600mm or more, corrugated, plated or coated with zinc (not electrolytically)</t>
  </si>
  <si>
    <t>Iron or non-alloy steel: flat-rolled, width 600mm or more, (not corrugated), plated or coated with zinc (not electrolytically)</t>
  </si>
  <si>
    <t>Iron or non-alloy steel: flat-rolled, width 600mm or more, plated or coated with chromium oxides or with chromium and chromium oxides</t>
  </si>
  <si>
    <t>Iron or non-alloy steel: flat-rolled, width 600mm or more, plated or coated with aluminium zinc-alloys</t>
  </si>
  <si>
    <t>Iron or non-alloy steel: flat-rolled, width 600mm or more, plated or coated with aluminium, other than plated or coated with aluminium zinc-alloys</t>
  </si>
  <si>
    <t>Iron or non-alloy steel: flat-rolled, width 600mm or more, painted, varnished or coated with plastics</t>
  </si>
  <si>
    <t>Iron or non-alloy steel: flat-rolled, width 600mm or more, plated or coated with materials n.e.c. in heading no. 7210</t>
  </si>
  <si>
    <t>Iron or non-alloy steel: flat-rolled, hot-rolled, rolled on four faces or in a closed box pass, of a width more than 150mm but less than 600mm, 4mm thick or more, not in coils, without patterns in relief</t>
  </si>
  <si>
    <t>Iron or non-alloy steel: flat-rolled, hot-rolled, of a width less than 600mm, 4.75mm thick or more, excluding those of item no. 7211.13</t>
  </si>
  <si>
    <t>Iron or non-alloy steel: flat-rolled, hot-rolled, of a width less than 600mm, less than 4.75mm thick, excluding those of item no. 7211.13</t>
  </si>
  <si>
    <t>Iron or non-alloy steel: flat-rolled, cold-rolled, of a width less than 600mm, containing by weight less than 0.25% of carbon</t>
  </si>
  <si>
    <t>Iron or non-alloy steel: flat-rolled, cold-rolled, of a width less than 600mm, containing by weight 0.25% or more of carbon</t>
  </si>
  <si>
    <t>Iron or non-alloy steel: flat-rolled, n.e.c. in heading no. 7211, width less than 600mm</t>
  </si>
  <si>
    <t>Iron or non-alloy steel: flat-rolled, width less than 600mm, plated or coated with tin</t>
  </si>
  <si>
    <t>Iron or non-alloy steel: flat-rolled, of a width less than 600mm, electrolytically plated or coated with zinc</t>
  </si>
  <si>
    <t>Iron or non-alloy steel: flat-rolled, width less than 600mm, plated or coated with zinc (not electrolytically)</t>
  </si>
  <si>
    <t>Iron or non-alloy steel: flat-rolled, width less than 600mm, painted, varnished or coated with plastics</t>
  </si>
  <si>
    <t>Iron or non-alloy steel: flat-rolled, width less than 600mm, plated or coated, (excluding tin, zinc or plastic)</t>
  </si>
  <si>
    <t>Iron or non-alloy steel: flat-rolled, width less than 600mm, clad</t>
  </si>
  <si>
    <t>Iron or non-alloy steel: bars and rods, hot-rolled, in irregularly wound coils, containing indentations, ribs, grooves or other deformations produced during the rolling process</t>
  </si>
  <si>
    <t>Iron or non-alloy steel: bars and rods, hot-rolled, in irregularly wound coils, of free-cutting steel</t>
  </si>
  <si>
    <t>Iron or non-alloy steel: bars and rods, hot-rolled, in irregularly wound coils, n.e.c. in heading no. 7213, of circular cross-section measuring less than 14mm in diameter</t>
  </si>
  <si>
    <t>Iron or non-alloy steel: bars and rods, hot-rolled, in irregularly wound coils, n.e.c. in heading no. 7213, of circular cross-section measuring 14mm or more in diameter</t>
  </si>
  <si>
    <t>Iron or non-alloy steel: bars and rods, forged, hot-rolled, hot-drawn or hot-extruded, but including those twisted after rolling</t>
  </si>
  <si>
    <t>Iron or non-alloy steel: bars and rods, hot-rolled, hot-drawn or hot-extruded, containing indentations, ribs, grooves or other deformations produced during the rolling process or twisted after rolling</t>
  </si>
  <si>
    <t>Iron or non-alloy steel: bars and rods, hot-rolled, hot-drawn or hot-extruded, including those twisted after rolling, of free-cutting steel</t>
  </si>
  <si>
    <t>Iron or non-alloy steel: bars and rods, hot-rolled, hot-drawn or hot-extruded, n.e.c. in heading no. 7214, of rectangular (other than square) cross-section</t>
  </si>
  <si>
    <t>Iron or non-alloy steel: bars and rods, hot-rolled, hot-drawn or hot-extruded, n.e.c. in heading no. 7214, other than of rectangular cross-section</t>
  </si>
  <si>
    <t>Iron or non-alloy steel: bars and rods, of free-cutting steel, cold-formed or cold-finished, n.e.c. in chapter 72</t>
  </si>
  <si>
    <t>Iron or non-alloy steel: bars and rods, n.e.c. in chapter 72, cold-formed or cold-finished, (not free-cutting)</t>
  </si>
  <si>
    <t>Iron or non-alloy steel: bars and rods, n.e.c. in chapter 72, n.e.c. in heading no. 7215</t>
  </si>
  <si>
    <t>Iron or non-alloy steel: U, I or H sections, hot-rolled, hot-drawn or extruded, of a height of less than 80mm</t>
  </si>
  <si>
    <t>Iron or non-alloy steel: L sections, hot-rolled, hot-drawn or extruded, of a height of less than 80mm</t>
  </si>
  <si>
    <t>Iron or non-alloy steel: T sections, hot-rolled, hot-drawn or extruded, of a height less than 80mm</t>
  </si>
  <si>
    <t>Iron or non-alloy steel: U sections, hot-rolled, hot-drawn or extruded, of a height of 80mm or more</t>
  </si>
  <si>
    <t>Iron or non-alloy steel: I sections, hot-rolled, hot-drawn or extruded, of a height of 80mm or more</t>
  </si>
  <si>
    <t>Iron or non-alloy steel: H sections, hot-rolled, hot-drawn or extruded, of a height of 80mm or more</t>
  </si>
  <si>
    <t>Iron or non-alloy steel: L or T sections, hot-rolled, hot-drawn or extruded, of a height of 80mm or more</t>
  </si>
  <si>
    <t>Iron or non-alloy steel: angles, shapes and sections, n.e.c. in heading no. 7216, hot-rolled, hot-drawn or extruded</t>
  </si>
  <si>
    <t>Iron or non-alloy steel: angles, shapes and sections, cold-formed or cold-finished, obtained from flat-rolled products</t>
  </si>
  <si>
    <t>Iron or non-alloy steel: angles, shapes and sections, cold-formed or cold-finished, (not obtained from flat-rolled products)</t>
  </si>
  <si>
    <t>Iron or non-alloy steel: angles, shapes and sections, n.e.c. in heading no. 7216, cold-formed or cold-finished, from flat-rolled products</t>
  </si>
  <si>
    <t>Iron or non-alloy steel: angles, shapes and sections, n.e.c. in heading no. 7216</t>
  </si>
  <si>
    <t>Iron or non-alloy steel: wire, (not plated or coated), whether or not polished</t>
  </si>
  <si>
    <t>Iron or non-alloy steel: wire, plated or coated with zinc</t>
  </si>
  <si>
    <t>Iron or non-alloy steel: wire, plated or coated with base metals (other than zinc)</t>
  </si>
  <si>
    <t>Iron or non-alloy steel: wire, n.e.c. in heading no. 7217</t>
  </si>
  <si>
    <t>Steel, stainless: ingots and other primary forms</t>
  </si>
  <si>
    <t>Steel, stainless: semi-finished products, of rectangular (other than square) cross-section</t>
  </si>
  <si>
    <t>Steel, stainless: semi-finished products, other than of rectangular cross-section</t>
  </si>
  <si>
    <t>Steel, stainless: flat-rolled, width 600mm or more, hot-rolled, in coils, of a thickness exceeding 10mm</t>
  </si>
  <si>
    <t>Steel, stainless: flat-rolled, width 600mm or more, hot-rolled, in coils, of a thickness of 4.75mm or more but not exceeding 10mm</t>
  </si>
  <si>
    <t>Steel, stainless: flat-rolled, width 600mm or more, hot-rolled, in coils, of a thickness of 3mm or more but less than 4.75mm</t>
  </si>
  <si>
    <t>Steel, stainless: flat-rolled, width 600mm or more, hot-rolled, in coils, of a thickness of less than 3mm</t>
  </si>
  <si>
    <t>Steel, stainless: flat-rolled, width 600mm or more, hot-rolled, (not in coils), of a thickness exceeding 10mm</t>
  </si>
  <si>
    <t>Steel, stainless: flat-rolled, width 600mm or more, hot-rolled, (not in coils), of a thickness of 4.75mm or more but not exceeding 10mm</t>
  </si>
  <si>
    <t>Steel, stainless: flat-rolled, width 600mm or more, hot-rolled, (not in coils), of a thickness of 3mm or more but less than 4.75mm</t>
  </si>
  <si>
    <t>Steel, stainless: flat-rolled, width 600mm or more, hot-rolled, (not in coils), of a thickness of less than 3mm</t>
  </si>
  <si>
    <t>Steel, stainless: flat-rolled, width 600mm or more, cold-rolled or cold-reduced, of a thickness of 4.75mm or more</t>
  </si>
  <si>
    <t>Steel, stainless: flat-rolled, width 600mm or more, cold-rolled, of a thickness of 3mm or more but less than 4.75mm</t>
  </si>
  <si>
    <t>Steel, stainless: flat-rolled, width 600mm or more, cold-rolled, of a thickness exceeding 1mm but less than 3mm</t>
  </si>
  <si>
    <t>Steel, stainless: flat-rolled, width 600mm or more, cold-rolled, of a thickness of 0.5mm or more but not exceeding 1mm</t>
  </si>
  <si>
    <t>Steel, stainless: flat-rolled, width 600mm or more, cold-rolled, of a thickness of less than 0.5mm</t>
  </si>
  <si>
    <t>Steel, stainless: flat-rolled, width 600mm or more, n.e.c. in heading no. 7219</t>
  </si>
  <si>
    <t>Steel, stainless: flat-rolled, width less than 600mm, hot-rolled, of a thickness of 4.75mm or more</t>
  </si>
  <si>
    <t>Steel, stainless: flat-rolled, width less than 600mm, hot-rolled, of a thickness of less than 4.75mm</t>
  </si>
  <si>
    <t>Steel, stainless: flat-rolled, width less than 600mm, cold-rolled</t>
  </si>
  <si>
    <t>Steel, stainless: flat-rolled, width less than 600mm, n.e.c. in heading no 7220</t>
  </si>
  <si>
    <t>Steel, stainless: bars and rods, hot-rolled, in irregularly wound coils</t>
  </si>
  <si>
    <t>Steel, stainless: bars and rods, hot-rolled, hot-drawn or extruded, of circular cross-section</t>
  </si>
  <si>
    <t>Steel, stainless: bars and rods, hot-rolled, hot-drawn or extruded, other than of circular cross-section</t>
  </si>
  <si>
    <t>Steel, stainless: bars and rods, cold-formed or cold-finished</t>
  </si>
  <si>
    <t>Steel, stainless: bars and rods, n.e.c. in heading no. 7222</t>
  </si>
  <si>
    <t>Steel, stainless: angles, shapes and sections</t>
  </si>
  <si>
    <t>Steel, stainless: wire</t>
  </si>
  <si>
    <t>Steel, alloy: ingots and other primary forms</t>
  </si>
  <si>
    <t>Steel, alloy: semi-finished products</t>
  </si>
  <si>
    <t>Steel, alloy: flat-rolled, width 600mm or more, of silicon-electrical steel, grain-oriented</t>
  </si>
  <si>
    <t>Steel, alloy: flat-rolled, width 600mm or more, of silicon-electrical steel, (other than grain-oriented)</t>
  </si>
  <si>
    <t>Steel, alloy: flat-rolled, width 600mm or more, hot-rolled, in coils</t>
  </si>
  <si>
    <t>Steel, alloy: flat-rolled, width 600mm or more, hot-rolled, not in coils</t>
  </si>
  <si>
    <t>Steel, alloy: flat-rolled, width 600mm or more, cold-rolled</t>
  </si>
  <si>
    <t>Steel, alloy: flat-rolled, width 600mm or more, n.e.c. in heading no. 7225, electrolytically plated or coated with zinc</t>
  </si>
  <si>
    <t>Steel, alloy: flat-rolled, width 600mm or more, n.e.c. in heading no. 7225, plated or coated with zinc (other than electrolytically)</t>
  </si>
  <si>
    <t>Steel, alloy: flat-rolled, width 600mm or more, n.e.c. in heading no. 7225, (other than plated or coated with zinc)</t>
  </si>
  <si>
    <t>Steel, alloy: flat-rolled, width less than 600mm, of silicon-electrical steel, grain-oriented</t>
  </si>
  <si>
    <t>Steel, alloy: flat-rolled, width less than 600mm, of silicon-electrical steel, other than grain-oriented</t>
  </si>
  <si>
    <t>Steel, alloy: flat-rolled, width less than 600mm, of high speed steel</t>
  </si>
  <si>
    <t>Steel, alloy: flat-rolled, width less than 600mm, (excluding silicon-electrical or high speed steel), hot-rolled</t>
  </si>
  <si>
    <t>Steel, alloy: flat-rolled, width less than 600mm, (excluding silicon-electrical or high speed steel), cold-rolled</t>
  </si>
  <si>
    <t>Steel, alloy: flat-rolled, width less than 600mm, n.e.c. in item no. 7226.9</t>
  </si>
  <si>
    <t>Steel, alloy: bars and rods, hot-rolled, in irregularly wound coils, of high speed steel</t>
  </si>
  <si>
    <t>Steel, alloy: bars and rods, hot-rolled, in irregularly wound coils, of silico-manganese steel</t>
  </si>
  <si>
    <t>Steel, alloy: bars and rods, hot-rolled, in irregularly wound coils, n.e.c. in heading no. 7227</t>
  </si>
  <si>
    <t>Steel, alloy: bars and rods, of high speed steel</t>
  </si>
  <si>
    <t>Steel, alloy: bars and rods, of silico-manganese steel</t>
  </si>
  <si>
    <t>Steel, alloy: bars and rods, hot-rolled, hot-drawn or extruded</t>
  </si>
  <si>
    <t>Steel, alloy: bars and rods, forged</t>
  </si>
  <si>
    <t>Steel, alloy: bars and rods, cold-formed or cold-finished</t>
  </si>
  <si>
    <t>Steel, alloy: bars and rods n.e.c. in heading no. 7228</t>
  </si>
  <si>
    <t>Steel, alloy: angles, shapes and sections</t>
  </si>
  <si>
    <t>Steel, alloy or non-alloy: hollow drill bars and rods</t>
  </si>
  <si>
    <t>Steel, alloy: wire, of silico-manganese steel</t>
  </si>
  <si>
    <t>Steel, alloy: wire, of materials other than silico-manganese steel</t>
  </si>
  <si>
    <t>Iron or steel: sheet piling, whether or not drilled, punched or made from assembled elements</t>
  </si>
  <si>
    <t>Iron or steel: angles, shapes and sections, welded</t>
  </si>
  <si>
    <t>Iron or steel, railway or tramway track construction material: rails</t>
  </si>
  <si>
    <t>Iron or steel, railway or tramway track construction material: switch blades, crossing frogs, point rods and other crossing pieces</t>
  </si>
  <si>
    <t>Iron or steel, railway or tramway track construction material: fish-plates and sole plates</t>
  </si>
  <si>
    <t>Iron or steel, railway or tramway track construction material: n.e.c. in heading no. 7302</t>
  </si>
  <si>
    <t>Cast iron: tubes, pipes and hollow profiles</t>
  </si>
  <si>
    <t>Iron or steel (excluding cast iron): seamless, line pipe of a kind used for oil or gas pipelines, of stainless steel</t>
  </si>
  <si>
    <t>Iron or steel (excluding cast iron or stainless steel): seamless, line pipe of a kind used for oil or gas pipelines</t>
  </si>
  <si>
    <t>Steel, stainless: seamless, drill pipe, of a kind used in drilling for oil or gas</t>
  </si>
  <si>
    <t>Iron or steel (excluding cast iron or stainless steel): seamless, drill pipe, of a kind used in drilling for oil or gas</t>
  </si>
  <si>
    <t>Steel, stainless: seamless, casing and tubing, of a kind used in drilling for oil or gas</t>
  </si>
  <si>
    <t>Iron or steel (excluding cast iron or stainless steel): seamless, casing and tubing, of a kind used in drilling for oil or gas</t>
  </si>
  <si>
    <t>Iron or non-alloy steel (excluding cast iron): seamless, cold-drawn or cold-rolled, tubes, pipes and hollow profiles of circular cross-section</t>
  </si>
  <si>
    <t>Iron or non-alloy steel (excluding cast iron): seamless, (excluding cold-drawn or cold-rolled), tubes, pipes and hollow profiles of circular cross-section</t>
  </si>
  <si>
    <t>Steel, stainless: cold-drawn or cold-rolled (cold-reduced), tubes and pipes of circular cross-section</t>
  </si>
  <si>
    <t>Steel, stainless: (excluding cold-drawn or cold-rolled), tubes pipes and hollow profiles of circular cross-section</t>
  </si>
  <si>
    <t>Steel, alloy (not stainless steel): seamless, cold-drawn or cold-rolled (cold-reduced), tubes, pipes and hollow profiles of circular cross-section</t>
  </si>
  <si>
    <t>Steel, alloy (not stainless steel): (excluding cold-drawn or cold-rolled), tubes, pipes and hollow profiles of circular cross-section</t>
  </si>
  <si>
    <t>Iron or steel (excluding cast iron): seamless, tubes, pipes and hollow profiles, seamless, n.e.c. in heading no. 7304</t>
  </si>
  <si>
    <t>Iron or steel (excluding cast iron): line pipe of a kind used for oil or gas pipelines (not seamless), longitudinally submerged arc welded, having circular cross-sections, external diameter exceeds 406.4mm</t>
  </si>
  <si>
    <t>Iron or steel (excluding cast iron): line pipe of a kind used for oil or gas pipelines (not seamless), longitudinally welded (not submerged arc welded), having circular cross-sections, external diameter exceeds 406.4mm</t>
  </si>
  <si>
    <t>Iron or steel (excluding cast iron): line pipe of a kind used for oil or gas pipelines (not seamless), (not longitudinally welded), having circular cross-sections, external diameter exceeds 406.4mm</t>
  </si>
  <si>
    <t>Iron or steel (excluding cast iron): casing of a kind used in drilling for oil or gas (not seamless), having circular cross-sections, external diameter exceeds 406.4mm</t>
  </si>
  <si>
    <t>Iron or steel (excluding cast iron): tubes and pipes (other than line pipe or casing of a kind used for oil or gas pipelines), longitudinally welded, having circular cross-sections, external diameter exceeds 406.4mm, (not seamless)</t>
  </si>
  <si>
    <t>Iron or steel (excluding cast iron): tubes and pipes (other than line pipe or casing of a kind used for oil or gas pipelines), welded (not longitudinally welded), having circular cross-sections, external diameter exceeds 406.4mm, (not seamless)</t>
  </si>
  <si>
    <t>Iron or steel (excluding cast iron): tubes and pipes n.e.c. in heading no. 7305, having circular cross-sections, external diameter exceeds 406.4mm, (not seamless)</t>
  </si>
  <si>
    <t>Steel: stainless: line pipe of a kind used for oil or gas pipelines n.e.c. in chapter 73, welded, (not seamless)</t>
  </si>
  <si>
    <t>Iron or steel (excluding cast iron): line pipe of a kind used for oil or gas pipelines (other than of stainless steel or seamless), n.e.c. in chapter 73</t>
  </si>
  <si>
    <t>Steel, stainless: casing and tubing of a kind used in drilling for oil and gas, n.e.c. in chapter 73, welded, (not seamless)</t>
  </si>
  <si>
    <t>Iron or steel (excluding cast iron): casing and tubing of a kind used in drilling for oil and gas (other than stainless steel or seamless), n.e.c. in chapter 73</t>
  </si>
  <si>
    <t>Iron or non-alloy steel (excluding cast iron): tubes and pipes (not seamless), welded, of circular cross-section, n.e.c. in chapter 73</t>
  </si>
  <si>
    <t>Steel, stainless: tubes, pipes and hollow profiles, welded, of circular cross-section, n.e.c. in chapter 73</t>
  </si>
  <si>
    <t>Steel, alloy: tubes, pipes and hollow profiles (other than stainless steel or seamless), welded, of circular cross-section, n.e.c. in chapter 73</t>
  </si>
  <si>
    <t>Iron or steel (excluding cast iron): tubes, pipes and hollow profiles (not seamless), welded, of square or rectangular cross-section, n.e.c. in chapter 73</t>
  </si>
  <si>
    <t>Iron or steel (excluding cast iron): tubes, pipes and hollow profiles (not seamless), n.e.c. in chapter 73, welded, of non-circular cross-section (not square or rectangular cross-section)</t>
  </si>
  <si>
    <t>Iron or steel (excluding cast iron): tubes, pipes and hollow profiles (not seamless), n.e.c. in chapter 73</t>
  </si>
  <si>
    <t>Cast iron: cast fittings, of non-malleable cast iron</t>
  </si>
  <si>
    <t>Iron or steel: cast fittings, other than of non-malleable cast iron</t>
  </si>
  <si>
    <t>Steel, stainless: tube or pipe fittings, flanges, of stainless steel</t>
  </si>
  <si>
    <t>Steel, stainless: tube or pipe fittings, threaded elbows, bends and sleeves</t>
  </si>
  <si>
    <t>Steel, stainless: tube or pipe fittings, butt welding fittings</t>
  </si>
  <si>
    <t>Steel, stainless: tube or pipe fittings, n.e.c. in item no. 7307.2</t>
  </si>
  <si>
    <t>Iron or steel: tube or pipe fittings, flanges, other than stainless steel</t>
  </si>
  <si>
    <t>Iron or steel: tube or pipe fittings, threaded elbows, bends and sleeves, other than stainless steel</t>
  </si>
  <si>
    <t>Iron or steel: tube or pipe fittings, butt welding fittings, other than stainless steel</t>
  </si>
  <si>
    <t>Iron or steel: tube or pipe fittings, n.e.c. in item no. 7307.9, other than stainless steel</t>
  </si>
  <si>
    <t>Iron or steel: structures and parts thereof: bridges and bridge-sections</t>
  </si>
  <si>
    <t>Iron or steel: structures and parts thereof, towers and lattice masts</t>
  </si>
  <si>
    <t>Iron or steel: structures and parts thereof, doors, windows and their frames and thresholds for doors</t>
  </si>
  <si>
    <t>Iron or steel: structures and parts thereof, props and similar equipment for scaffolding, shuttering or pit-propping</t>
  </si>
  <si>
    <t>Iron or steel: structures and parts thereof, n.e.c. in heading no. 7308</t>
  </si>
  <si>
    <t>Reservoirs, tanks, vats and similar containers: for any material (excluding compressed or liquefied gas), of iron or steel, capacity exceeding 300l, whether or not lined or heat insulated</t>
  </si>
  <si>
    <t>Tanks, casks, drums, cans, boxes and similar containers, for any material (excluding compressed or liquefied gas), 50l or more capacity but not exceeding 300l</t>
  </si>
  <si>
    <t>Cans: which are to be closed by soldering or crimping, for any material (excluding compressed or liquefied gas), less than 50l capacity, of iron or steel</t>
  </si>
  <si>
    <t>Tanks, casks, drums, boxes and similar containers for any material (excluding compressed or liquefied gas) less than 50l capacity, n.e.c. in item no. 7310.2, of iron or steel</t>
  </si>
  <si>
    <t>Containers for compressed or liquefied gas, of iron or steel</t>
  </si>
  <si>
    <t>Iron or steel: stranded wire, ropes and cables, not electrically insulated</t>
  </si>
  <si>
    <t>Iron or steel: plaited bands, slings and the like, not electrically insulated</t>
  </si>
  <si>
    <t>Iron of steel: barbed wire, twisted hoop or single flat wire and loosely twisted double wire, used for fencing</t>
  </si>
  <si>
    <t>Iron or steel: woven cloth, endless bands for machinery, of stainless steel</t>
  </si>
  <si>
    <t>Iron or steel: woven cloth, of stainless steel, (other than endless bands for machinery)</t>
  </si>
  <si>
    <t>Iron or steel: woven cloth, other than of stainless steel</t>
  </si>
  <si>
    <t>Iron or steel wire: grill, netting and fencing, welded at intersections, of wire with a maximum cross-sectional dimension of 3mm or more and mesh size 100cm2 or more</t>
  </si>
  <si>
    <t>Iron or steel wire: grill, netting and fencing, welded at the intersection, n.e.c. in item no. 7314.20, plated or coated with zinc</t>
  </si>
  <si>
    <t>Iron or steel wire: grill, netting and fencing, welded at the intersection, n.e.c. in item no. 7314.20, (other than plated or coated with zinc)</t>
  </si>
  <si>
    <t>Iron or steel wire: grill, netting and fencing, plated or coated with zinc</t>
  </si>
  <si>
    <t>Iron or steel wire: grill, netting and fencing, coated with plastic</t>
  </si>
  <si>
    <t>Iron or steel wire: grill, netting and fencing, coated with materials other than zinc or plastic</t>
  </si>
  <si>
    <t>Iron or steel: expanded metal</t>
  </si>
  <si>
    <t>Chain: articulated link, roller, of iron or steel</t>
  </si>
  <si>
    <t>Chain: articulated link, (other than roller), of iron or steel</t>
  </si>
  <si>
    <t>Chain: articulated link parts, of iron or steel</t>
  </si>
  <si>
    <t>Chain: skid, articulated link chain and parts thereof, of iron or steel</t>
  </si>
  <si>
    <t>Chain: stud-link chain, of iron or steel</t>
  </si>
  <si>
    <t>Chain: welded link chain, of iron or steel</t>
  </si>
  <si>
    <t>Chain: n.e.c. in heading no. 7315, of iron or steel</t>
  </si>
  <si>
    <t>Chain: parts n.e.c. in heading no. 7315, of iron or steel</t>
  </si>
  <si>
    <t>Iron or steel: anchors, grapnels and parts thereof</t>
  </si>
  <si>
    <t>Iron or steel: nails, tacks, drawing pins, corrugated nails, staples (not those of heading no. 8305) and the like, with heads of other material or not, but excluding articles with heads of copper</t>
  </si>
  <si>
    <t>Iron or steel: threaded coach screws</t>
  </si>
  <si>
    <t>Iron or steel: threaded wood screws other than coach screws</t>
  </si>
  <si>
    <t>Iron or steel: threaded screw hooks and screw rings</t>
  </si>
  <si>
    <t>Iron or steel: threaded self-tapping screws</t>
  </si>
  <si>
    <t>Iron or steel: threaded screws and bolts n.e.c. in item no. 7318.1, whether or not with their nuts or washers</t>
  </si>
  <si>
    <t>Iron or steel: threaded nuts</t>
  </si>
  <si>
    <t>Iron or steel: threaded screws, bolts and nuts n.e.c. in item no. 7318.1</t>
  </si>
  <si>
    <t>Iron or steel: non-threaded spring washers and other lock washers</t>
  </si>
  <si>
    <t>Iron or steel: non-threaded washers, excluding spring and lock</t>
  </si>
  <si>
    <t>Iron or steel: non-threaded rivets</t>
  </si>
  <si>
    <t>Iron or steel: non-threaded cotters and cotter-pins</t>
  </si>
  <si>
    <t>Iron or steel: non-threaded articles, n.e.c. in item no. 7318.2</t>
  </si>
  <si>
    <t>Safety pins, of iron or steel</t>
  </si>
  <si>
    <t>Pins (other than safety pins), of iron or steel, not elsewhere specified or included</t>
  </si>
  <si>
    <t>Sewing and knitting needles, bodkins, crochet hooks, embroidery stilettos and similar articles, for use in the hand, of iron or steel</t>
  </si>
  <si>
    <t>Iron or steel: leaf-springs and leaves therefor</t>
  </si>
  <si>
    <t>Iron or steel: helical springs and leaves for springs</t>
  </si>
  <si>
    <t>Iron or steel: springs n.e.c. in heading no. 7320</t>
  </si>
  <si>
    <t>Cooking appliances and plate warmers: for gas fuel or for both gas and other fuels, of iron or steel</t>
  </si>
  <si>
    <t>Cooking appliances and plate warmers: for liquid fuel, of iron or steel</t>
  </si>
  <si>
    <t>Cooking appliances and plate warmers: for solid fuel and fuels other than gas or liquid, of iron or steel</t>
  </si>
  <si>
    <t>Domestic appliances: non-electric, (other than cookers and plate warmers), for gas fuel or for both gas and other fuels, of iron or steel</t>
  </si>
  <si>
    <t>Domestic appliances: non-electric, (other than cookers and plate warmers), for liquid fuel, of iron or steel</t>
  </si>
  <si>
    <t>Domestic appliances: non-electric, (other than cookers and plate warmers), for solid fuel and fuels other than gas or liquid, of iron or steel</t>
  </si>
  <si>
    <t>Domestic appliances: non-electric, parts thereof, of iron or steel</t>
  </si>
  <si>
    <t>Radiators and parts thereof: for central heating, (not electrically heated), of cast iron</t>
  </si>
  <si>
    <t>Radiators and parts thereof: for central heating, (not electrically heated), of iron or steel other than cast iron</t>
  </si>
  <si>
    <t>Air heaters and hot air distributors, (not electrically heated), incorporating a motor-driven fan or blower and parts thereof, of iron or steel</t>
  </si>
  <si>
    <t>Iron or steel: wool, pot scourers and scouring or polishing pads, gloves and the like</t>
  </si>
  <si>
    <t>Cast iron: table, kitchen and other household articles and parts thereof, of cast iron, not enamelled</t>
  </si>
  <si>
    <t>Cast iron: table, kitchen and other household articles and parts thereof, of cast iron, enamelled</t>
  </si>
  <si>
    <t>Steel, stainless: table, kitchen and other household articles and parts thereof</t>
  </si>
  <si>
    <t>Iron (excluding cast) or steel: table, kitchen and other household articles and parts thereof, enamelled</t>
  </si>
  <si>
    <t>Iron or steel: table, kitchen and other household articles and parts thereof, of iron or steel n.e.c. in heading no. 7323</t>
  </si>
  <si>
    <t>Steel: sinks and wash basins, of stainless steel</t>
  </si>
  <si>
    <t>Cast iron, baths, whether or not enamelled</t>
  </si>
  <si>
    <t>Iron (other than cast) or steel: baths</t>
  </si>
  <si>
    <t>Iron or steel: sanitary ware and parts thereof, excluding sinks, wash basins and baths</t>
  </si>
  <si>
    <t>Iron: articles of non-malleable cast iron</t>
  </si>
  <si>
    <t>Iron: grinding balls and similar articles for mills, other than of non-malleable cast iron</t>
  </si>
  <si>
    <t>Iron or steel: cast articles, excluding grinding balls and similar articles for mills, other than of non-malleable cast iron</t>
  </si>
  <si>
    <t>Iron or steel: grinding balls and similar articles for mills, forged or stamped, but not further worked</t>
  </si>
  <si>
    <t>Iron or steel: articles n.e.c. in item no. 7326.11, forged or stamped, but not further worked</t>
  </si>
  <si>
    <t>Iron or steel: wire articles</t>
  </si>
  <si>
    <t>Iron or steel: articles n.e.c. in heading no. 7326</t>
  </si>
  <si>
    <t>Copper mattes: cement copper (precipitated copper)</t>
  </si>
  <si>
    <t>Copper: unrefined, copper anodes for electrolytic refining</t>
  </si>
  <si>
    <t>Copper: refined, unwrought, cathodes and sections of cathodes</t>
  </si>
  <si>
    <t>Copper: refined, unwrought, wire-bars</t>
  </si>
  <si>
    <t>Copper: refined, unwrought, billets</t>
  </si>
  <si>
    <t>Copper: refined, unwrought, n.e.c. in item no. 7403.1</t>
  </si>
  <si>
    <t>Copper: copper-zinc base alloys (brass) unwrought</t>
  </si>
  <si>
    <t>Copper: copper-tin base alloys (bronze) unwrought</t>
  </si>
  <si>
    <t>Copper: copper alloys n.e.c. in heading no. 7403 (other than master alloys of heading no. 7405)</t>
  </si>
  <si>
    <t>Copper: waste and scrap</t>
  </si>
  <si>
    <t>Copper: master alloys of copper</t>
  </si>
  <si>
    <t>Copper: powders of non-lamellar structure</t>
  </si>
  <si>
    <t>Copper: powders of lamellar structure, flakes</t>
  </si>
  <si>
    <t>Copper: bars, rods and profiles, of refined copper</t>
  </si>
  <si>
    <t>Copper: bars, rods and profiles, of copper-zinc base alloys (brass)</t>
  </si>
  <si>
    <t>Copper: bars, rods and profiles, of copper alloys (other than copper-zinc base alloys)</t>
  </si>
  <si>
    <t>Copper: wire, of refined copper, of which the maximum cross-sectional dimension exceeds 6mm</t>
  </si>
  <si>
    <t>Copper: wire, of refined copper, of which the maximum cross-sectional dimension is 6mm or less</t>
  </si>
  <si>
    <t>Copper: wire, of copper-zinc base alloys (brass)</t>
  </si>
  <si>
    <t>Copper: wire, of copper-nickel base alloys (cupro-nickel) or copper-nickel-zinc base alloys (nickel silver)</t>
  </si>
  <si>
    <t>Copper: wire, of copper alloys (other than copper-zinc base alloys, copper-nickel base alloys or copper-nickel-zinc base alloys)</t>
  </si>
  <si>
    <t>Copper: strip, of a thickness exceeding 0.15mm, of refined copper, in coils</t>
  </si>
  <si>
    <t>Copper: plates and sheets, of a thickness exceeding 0.15mm, of refined copper, not in coils</t>
  </si>
  <si>
    <t>Copper: strip, of a thickness exceeding 0.15mm, of copper-zinc base alloys (brass), in coils</t>
  </si>
  <si>
    <t>Copper: plates and sheets, of a thickness exceeding 0.15mm, of copper-zinc base alloys (brass), not in coils</t>
  </si>
  <si>
    <t>Copper: strip, of a thickness exceeding 0.15mm, of copper-tin base alloys (bronze), in coils</t>
  </si>
  <si>
    <t>Copper: plates and sheets, of a thickness exceeding 0.15mm, of copper-tin base alloys, not in coils</t>
  </si>
  <si>
    <t>Copper: plates, sheets and strip, of a thickness exceeding 0.15mm, of copper-nickel base alloys (cupro-nickel) or copper-nickel-zinc base alloys (nickel silver)</t>
  </si>
  <si>
    <t>Copper: plates, sheets and strip, of a thickness exceeding 0.15mm, of copper alloys (other than copper-zinc base alloys, copper-tin base alloys, copper-nickel base alloys or copper-nickel-zinc base alloys)</t>
  </si>
  <si>
    <t>Copper: foil, not backed, of a thickness not exceeding 0.15mm, of refined copper</t>
  </si>
  <si>
    <t>Copper: foil, not backed, of a thickness not exceeding 0.15mm, of copper alloys</t>
  </si>
  <si>
    <t>Copper: foil, backed with paper, paperboard, plastics or similar backing material, of a thickness (excluding any backing) not exceeding 0.15mm, of refined copper</t>
  </si>
  <si>
    <t>Copper: foil, backed with paper, paperboard, plastics or similar backing material, of a thickness (excluding any backing) not exceeding 0.15mm, of copper alloys</t>
  </si>
  <si>
    <t>Copper: tubes and pipes, of refined copper</t>
  </si>
  <si>
    <t>Copper: tubes and pipes, of copper-zinc base alloys (brass)</t>
  </si>
  <si>
    <t>Copper: tubes and pipes, of copper-nickel base alloys (cupro-nickel) or copper-nickel-zinc base alloys (nickel silver)</t>
  </si>
  <si>
    <t>Copper: tubes and pipes, of copper alloys (other than copper-zinc, copper-nickel base alloys (cupro-nickel) or copper-nickel-zinc base alloys (nickel-silver))</t>
  </si>
  <si>
    <t>Copper: tube or pipe fittings (e.g. couplings, elbows, sleeves) of refined copper</t>
  </si>
  <si>
    <t>Copper: tube or pipe fittings (e.g. couplings, elbows, sleeves) of copper alloys</t>
  </si>
  <si>
    <t>Copper: stranded wire, cables, plaited bands and the like, not electrically insulated</t>
  </si>
  <si>
    <t>Copper: nails and tacks, drawing pins, staples and similar articles of copper or with heads of copper</t>
  </si>
  <si>
    <t>Copper: washers, (including spring washers), not threaded</t>
  </si>
  <si>
    <t>Copper: rivets, cotters, cotter-pins and similar articles, not threaded</t>
  </si>
  <si>
    <t>Copper: screws, bolts and nuts, threaded</t>
  </si>
  <si>
    <t>Copper: articles n.e.c. in heading no. 7415</t>
  </si>
  <si>
    <t>Copper: pot scourers and scouring or polishing pads, gloves and the like</t>
  </si>
  <si>
    <t>Copper: table, kitchen or other household articles and parts thereof, (other than pot scourers and scouring or polishing pads, gloves and the like)</t>
  </si>
  <si>
    <t>Copper: sanitary ware and parts thereof</t>
  </si>
  <si>
    <t>Copper: chain and parts thereof</t>
  </si>
  <si>
    <t>Copper: cast, moulded, stamped or forged, but not further worked</t>
  </si>
  <si>
    <t>Copper: articles n.e.c. in heading no. 7419</t>
  </si>
  <si>
    <t>Nickel: nickel mattes</t>
  </si>
  <si>
    <t>Nickel: oxide sinters and other intermediate products of nickel metallurgy</t>
  </si>
  <si>
    <t>Nickel: unwrought, not alloyed</t>
  </si>
  <si>
    <t>Nickel: unwrought, alloys</t>
  </si>
  <si>
    <t>Nickel: waste and scrap</t>
  </si>
  <si>
    <t>Nickel: powders and flakes</t>
  </si>
  <si>
    <t>Nickel: bars, rods and profiles, not alloyed</t>
  </si>
  <si>
    <t>Nickel: bars, rods and profiles, of nickel alloys</t>
  </si>
  <si>
    <t>Nickel: wire, not alloyed</t>
  </si>
  <si>
    <t>Nickel: wire, of nickel alloys</t>
  </si>
  <si>
    <t>Nickel: plates, sheets, strip and foil, not alloyed</t>
  </si>
  <si>
    <t>Nickel: plates, sheets, strip and foil, of nickel alloys</t>
  </si>
  <si>
    <t>Nickel: tubes and pipes, not alloyed</t>
  </si>
  <si>
    <t>Nickel: tubes and pipes, of nickel alloys</t>
  </si>
  <si>
    <t>Nickel: tube and pipe fittings</t>
  </si>
  <si>
    <t>Nickel: other articles thereof n.e.c., cloth, grill and netting, of nickel wire</t>
  </si>
  <si>
    <t>Nickel: other articles thereof n.e.c., (other than cloth, grill and netting, of nickel wire)</t>
  </si>
  <si>
    <t>Aluminium: unwrought, (not alloyed)</t>
  </si>
  <si>
    <t>Aluminium: unwrought, alloys</t>
  </si>
  <si>
    <t>Aluminium: waste and scrap</t>
  </si>
  <si>
    <t>Aluminium: powders of non-lamellar structure</t>
  </si>
  <si>
    <t>Aluminium: powders of lamellar structure, flakes</t>
  </si>
  <si>
    <t>Aluminium: (not alloyed), bars, rods and profiles</t>
  </si>
  <si>
    <t>Aluminium: alloys, hollow profiles</t>
  </si>
  <si>
    <t>Aluminium: alloys, bars, rods and profiles, other than hollow</t>
  </si>
  <si>
    <t>Aluminium: (not alloyed), wire, maximum cross-sectional dimension exceeds 7mm</t>
  </si>
  <si>
    <t>Aluminium: (not alloyed), wire, maximum cross-sectional dimension is 7mm or less</t>
  </si>
  <si>
    <t>Aluminium: alloys, wire, maximum cross-sectional dimension exceeding 7mm</t>
  </si>
  <si>
    <t>Aluminium: alloys, wire, maximum cross-sectional dimension is 7mm or less</t>
  </si>
  <si>
    <t>Aluminium: plates, sheets and strip, thickness exceeding 0.2mm, (not alloyed), rectangular (including square)</t>
  </si>
  <si>
    <t>Aluminium: plates, sheets and strip, thickness exceeding 0.2mm, alloys, rectangular (including square)</t>
  </si>
  <si>
    <t>Aluminium: plates, sheets and strip, thickness exceeding 0.2mm, not alloyed, (not rectangular or square)</t>
  </si>
  <si>
    <t>Aluminium: plates, sheets and strip, thickness exceeding 0.2mm, alloys, (not rectangular or square)</t>
  </si>
  <si>
    <t>Aluminium: foil, (not backed), rolled (but not further worked), of a thickness not exceeding 0.2mm</t>
  </si>
  <si>
    <t>Aluminium: foil, (not backed), of a thickness not exceeding 0.2mm, not rolled</t>
  </si>
  <si>
    <t>Aluminium: foil, backed with paper, paperboard, plastics or similar backing materials, of a thickness (excluding any backing) not exceeding 0.2mm</t>
  </si>
  <si>
    <t>Aluminium: tubes and pipes, not alloyed</t>
  </si>
  <si>
    <t>Aluminium: tubes and pipes, alloys</t>
  </si>
  <si>
    <t>Aluminium: tube or pipe fittings (e.g. couplings, elbows, sleeves)</t>
  </si>
  <si>
    <t>Aluminium: structures (excluding prefabricated buildings of heading no. 9406) and parts of structures, doors, windows and their frames and thresholds for doors</t>
  </si>
  <si>
    <t>Aluminium: structures (excluding prefabricated buildings of heading no. 9406) and parts of structures, n.e.c. in heading no. 7610, plates, rods, profiles, tubes and the like</t>
  </si>
  <si>
    <t>Aluminium: reservoirs, tanks, vats and similar containers, for material (not compressed or liquefied gas), of a capacity over 300l, whether or not lined, not fitted with mechanical/thermal equipment</t>
  </si>
  <si>
    <t>Aluminium: collapsible tubular containers, for any material, (not compressed or liquefied gas), 300l capacity or less, whether or not lined, not fitted with mechanical/thermal equipment</t>
  </si>
  <si>
    <t>Aluminium: casks, drums, cans, boxes and the like for any material (not compressed or liquefied gas), 300l capacity or less, whether or not lined or heat-insulated, no mechanical or thermal equipment</t>
  </si>
  <si>
    <t>Aluminium: containers for compressed or liquefied gas</t>
  </si>
  <si>
    <t>Aluminium: stranded wire, cables, plaited bands and the like, (not electrically insulated), with steel core</t>
  </si>
  <si>
    <t>Aluminium: stranded wire, cables, plaited bands and the like, (not electrically insulated), other than steel core</t>
  </si>
  <si>
    <t>Aluminium: pot scourers and scouring or polishing pads, gloves and the like</t>
  </si>
  <si>
    <t>Aluminium: table, kitchen or other household articles and parts thereof, n.e.c. in item no. 7615.11</t>
  </si>
  <si>
    <t>Aluminium: sanitary ware and parts thereof</t>
  </si>
  <si>
    <t>Aluminium: nails, tacks, staples (other than those of heading no. 8305) screws, bolts, nuts, screw hooks, rivets, cotters, cotter-pins, washers and similar articles</t>
  </si>
  <si>
    <t>Aluminium: articles n.e.c. in heading no. 7616, cloth, grill, netting and fencing, of aluminium wire</t>
  </si>
  <si>
    <t>Aluminium: n.e.c. in heading no. 7616</t>
  </si>
  <si>
    <t>Lead: unwrought, refined</t>
  </si>
  <si>
    <t>Lead: unwrought, unrefined, containing by weight antimony as the principal other element</t>
  </si>
  <si>
    <t>Lead: unwrought, unrefined, not containing by weight antimony as the principal other element</t>
  </si>
  <si>
    <t>Lead: waste and scrap</t>
  </si>
  <si>
    <t>Lead: sheets, strip and foil, of a thickness (excluding any backing) not exceeding 0.2mm</t>
  </si>
  <si>
    <t>Lead: plates, sheets, strip and foil, of a thickness (excluding any backing) exceeding 0.2mm</t>
  </si>
  <si>
    <t>Lead: powders and flakes</t>
  </si>
  <si>
    <t>Lead: articles n.e.c. in chapter 78</t>
  </si>
  <si>
    <t>Zinc: unwrought, (not alloyed), containing by weight 99.99% or more of zinc</t>
  </si>
  <si>
    <t>Zinc: unwrought, (not alloyed), containing by weight less than 99.99% of zinc</t>
  </si>
  <si>
    <t>Zinc: unwrought, alloys</t>
  </si>
  <si>
    <t>Zinc: waste and scrap</t>
  </si>
  <si>
    <t>Zinc dust</t>
  </si>
  <si>
    <t>Zinc: powders and flakes</t>
  </si>
  <si>
    <t>Zinc: bars, rods, profiles and wire</t>
  </si>
  <si>
    <t>Zinc: plates, sheets, strip and foil</t>
  </si>
  <si>
    <t>Zinc: articles n.e.c. in chapter 79</t>
  </si>
  <si>
    <t>Tin: unwrought, not alloyed</t>
  </si>
  <si>
    <t>Tin: unwrought, alloys</t>
  </si>
  <si>
    <t>Tin: waste and scrap</t>
  </si>
  <si>
    <t>Tin: bars, rods, profiles and wire</t>
  </si>
  <si>
    <t>Tin: articles n.e.c. in chapter 80</t>
  </si>
  <si>
    <t>Tungsten (wolfram): articles thereof, including waste and scrap, powders</t>
  </si>
  <si>
    <t>Tungsten (wolfram): unwrought, including bars and rods obtained simply by sintering</t>
  </si>
  <si>
    <t>Tungsten (wolfram): wire</t>
  </si>
  <si>
    <t>Tungsten (wolfram): waste and scrap</t>
  </si>
  <si>
    <t>Tungsten (wolfram): articles n.e.c. in heading no. 8101</t>
  </si>
  <si>
    <t>Molybdenum: articles thereof, including waste and scrap, powders</t>
  </si>
  <si>
    <t>Molybdenum: unwrought, including bars and rods obtained simply by sintering</t>
  </si>
  <si>
    <t>Molybdenum: bars and rods, other than those obtained simply by sintering, profiles, plates, sheets, strip and foil</t>
  </si>
  <si>
    <t>Molybdenum: wire</t>
  </si>
  <si>
    <t>Molybdenum: waste and scrap</t>
  </si>
  <si>
    <t>Molybdenum: articles n.e.c. in heading no. 8102</t>
  </si>
  <si>
    <t>Tantalum: unwrought, including bars and rods obtained simply by sintering, powders</t>
  </si>
  <si>
    <t>Tantalum: waste and scrap</t>
  </si>
  <si>
    <t>Tantalum: articles n.e.c. in heading no. 8103</t>
  </si>
  <si>
    <t>Magnesium: unwrought, containing at least 99.8% by weight of magnesium</t>
  </si>
  <si>
    <t>Magnesium: unwrought, containing less than 99.8% by weight of magnesium</t>
  </si>
  <si>
    <t>Magnesium: waste and scrap</t>
  </si>
  <si>
    <t>Magnesium: raspings, turnings and granules, graded according to size, powders</t>
  </si>
  <si>
    <t>Magnesium: articles n.e.c. in heading no. 8104</t>
  </si>
  <si>
    <t>Cobalt: mattes and other intermediate products of cobalt metallurgy, unwrought cobalt, powders</t>
  </si>
  <si>
    <t>Cobalt: waste and scrap</t>
  </si>
  <si>
    <t>Cobalt: articles n.e.c. in heading no. 8105</t>
  </si>
  <si>
    <t>Bismuth: articles thereof, including waste and scrap</t>
  </si>
  <si>
    <t>Cadmium: unwrought, powders</t>
  </si>
  <si>
    <t>Cadmium: waste and scrap</t>
  </si>
  <si>
    <t>Cadmium: other than unwrought, n.e.c. in heading no. 8107</t>
  </si>
  <si>
    <t>Titanium: unwrought, powders</t>
  </si>
  <si>
    <t>Titanium: waste and scrap</t>
  </si>
  <si>
    <t>Titanium: other than unwrought, n.e.c. in heading no. 8108</t>
  </si>
  <si>
    <t>Zirconium: unwrought, powders</t>
  </si>
  <si>
    <t>Zirconium: waste and scrap</t>
  </si>
  <si>
    <t>Zirconium: other than unwrought, n.e.c. in heading no. 8109</t>
  </si>
  <si>
    <t>Antimony and articles thereof: unwrought antimony, powders</t>
  </si>
  <si>
    <t>Antimony: waste and scrap</t>
  </si>
  <si>
    <t>Antimony and articles thereof: wrought, other than waste and scrap</t>
  </si>
  <si>
    <t>Manganese: articles thereof, including waste and scrap</t>
  </si>
  <si>
    <t>Beryllium and articles thereof: unwrought beryllium, powders</t>
  </si>
  <si>
    <t>Beryllium: waste and scrap</t>
  </si>
  <si>
    <t>Beryllium and articles thereof: wrought other than waste and scrap</t>
  </si>
  <si>
    <t>Chromium and articles thereof: unwrought chromium, powders</t>
  </si>
  <si>
    <t>Chromium: waste and scrap</t>
  </si>
  <si>
    <t>Chromium and articles thereof: wrought other than waste and scrap</t>
  </si>
  <si>
    <t>Thallium and articles thereof: unwrought thallium, powders</t>
  </si>
  <si>
    <t>Thallium: waste and scrap</t>
  </si>
  <si>
    <t>Thallium and articles thereof: other than unwrought thallium, powders or waste and scrap</t>
  </si>
  <si>
    <t>Gallium, germanium, hafnium, indium, niobium (columbium), rhenium and vanadium: articles thereof, unwrought, including waste and scrap, powders</t>
  </si>
  <si>
    <t>Gallium, germanium, hafnium, indium, niobium (columbium), rhenium and vanadium: articles thereof, other than unwrought including waste and scrap and powders</t>
  </si>
  <si>
    <t>Cermets: articles thereof, including waste and scrap</t>
  </si>
  <si>
    <t>Tools, hand: spades and shovels</t>
  </si>
  <si>
    <t>Tools, hand: forks</t>
  </si>
  <si>
    <t>Tools, hand: mattocks, picks, hoes and rakes</t>
  </si>
  <si>
    <t>Tools, hand: axes, bill hooks and similar hewing tools, of a kind used in agriculture, horticulture or forestry</t>
  </si>
  <si>
    <t>Tools, hand: one-handed secateurs (including poultry shears)</t>
  </si>
  <si>
    <t>Tools, hand: hedge shears, two-handed pruning shears and similar two-handed shears</t>
  </si>
  <si>
    <t>Tools, hand: n.e.c. in heading no. 8201, of a kind used in agriculture, horticulture or forestry</t>
  </si>
  <si>
    <t>Tools, hand: hand saws</t>
  </si>
  <si>
    <t>Tools, hand: band saw blades</t>
  </si>
  <si>
    <t>Tools, hand: circular saw blades (including slitting or slotting saw blades), with working part of steel</t>
  </si>
  <si>
    <t>Tools, hand: circular saw blades (including slitting or slotting saw blades), with working part of materials (other than steel)</t>
  </si>
  <si>
    <t>Tools, hand: chain saw blades</t>
  </si>
  <si>
    <t>Tools, hand: straight saw blades, for working metal</t>
  </si>
  <si>
    <t>Tools, hand: saw blades n.e.c. in heading no. 8202</t>
  </si>
  <si>
    <t>Tools, hand: files, rasps and similar tools</t>
  </si>
  <si>
    <t>Tools, hand: pliers (including cutting pliers), pincers, tweezers and similar tools</t>
  </si>
  <si>
    <t>Tools, hand: metal cutting shears and similar tools</t>
  </si>
  <si>
    <t>Tools, hand: pipe-cutters, bolt croppers, perforating punches and similar tools</t>
  </si>
  <si>
    <t>Tools, hand: hand-operated spanners and wrenches (including torque meter wrenches but not including tap wrenches), non-adjustable</t>
  </si>
  <si>
    <t>Tools, hand: hand-operated spanners and wrenches (including torque meter wrenches but not including tap wrenches), adjustable</t>
  </si>
  <si>
    <t>Tools, hand: interchangeable spanner sockets, with or without handles</t>
  </si>
  <si>
    <t>Tools, hand: drilling, threading or tapping tools</t>
  </si>
  <si>
    <t>Tools, hand: hammers and sledge hammers</t>
  </si>
  <si>
    <t>Tools, hand: planes, chisels, gauges and similar cutting tools for working wood</t>
  </si>
  <si>
    <t>Tools, hand: screwdrivers</t>
  </si>
  <si>
    <t>Tools, hand: household</t>
  </si>
  <si>
    <t>Tools, hand: other than household tools</t>
  </si>
  <si>
    <t>Tools, hand: blow lamps</t>
  </si>
  <si>
    <t>Tools, hand: vices, clamps and the like</t>
  </si>
  <si>
    <t>Tools, hand: anvils, portable forges, hand or pedal-operated grinding wheels with frameworks</t>
  </si>
  <si>
    <t>Tools, hand: sets, of articles of two or more of the foregoing items</t>
  </si>
  <si>
    <t>Tools, hand: two or more of heading no. 8202 to 8205, put up in sets for retail sale</t>
  </si>
  <si>
    <t>Tools, interchangeable: rock drilling or earth boring tools, with working part of cermets, whether or not power operated</t>
  </si>
  <si>
    <t>Tools, interchangeable: rock drilling or earth boring tools, with working part (other than of cermets), whether or not power operated, including parts</t>
  </si>
  <si>
    <t>Tools, interchangeable: (for machine or hand tools, whether or not power-operated), dies for drawing or extruding metal</t>
  </si>
  <si>
    <t>Tools, interchangeable: (for machine or hand tools, whether or not power-operated), tools for pressing, stamping or punching</t>
  </si>
  <si>
    <t>Tools, interchangeable: (for machine or hand tools, whether or not power-operated), tools for tapping or threading</t>
  </si>
  <si>
    <t>Tools, interchangeable: (for machine or hand tools, whether or not power-operated), tools for drilling (other than rock)</t>
  </si>
  <si>
    <t>Tools, interchangeable: (for machine or hand tools, whether or not power-operated), for boring or broaching</t>
  </si>
  <si>
    <t>Tools, interchangeable: (for machine or hand tools, whether or not power-operated), for milling</t>
  </si>
  <si>
    <t>Tools, interchangeable: (for machine or hand tools, whether or not power-operated), for turning</t>
  </si>
  <si>
    <t>Tools, interchangeable: (for machine or hand tools, whether or not power-operated), for screw-driving or uses n.e.c. in heading no. 8207</t>
  </si>
  <si>
    <t>Tools: knives and cutting blades, for machines or for mechanical appliances, for metal working</t>
  </si>
  <si>
    <t>Tools: knives and cutting blades, for wood working machines or mechanical appliances</t>
  </si>
  <si>
    <t>Tools: knives and cutting blades, for kitchen appliances or for machines used by the food industry</t>
  </si>
  <si>
    <t>Tools: knives and cutting blades, for agricultural, horticultural or forestry machines or mechanical appliances</t>
  </si>
  <si>
    <t>Tools: knives and cutting blades, for machines or mechanical appliances, n.e.c. in heading no. 8208</t>
  </si>
  <si>
    <t>Tools: plates, sticks, tips and the like for tools, unmounted, of sintered metal carbides or cermets</t>
  </si>
  <si>
    <t>Tools: hand-operated mechanical appliances, weighing 10kg or less, used in the preparation, conditioning or serving of food or drink</t>
  </si>
  <si>
    <t>Knives: with cutting blades, serrated or not (including pruning knives), sets of assorted articles, excluding knives and blades of heading no. 8208</t>
  </si>
  <si>
    <t>Knives: table knives, having fixed cutting blades, serrated or not, excluding knives and blades of heading no. 8208</t>
  </si>
  <si>
    <t>Knives: having fixed cutting blades, (other than table knives), serrated or not, excluding knives and blades of heading no. 8208</t>
  </si>
  <si>
    <t>Knives: with cutting blades, (having other than fixed blades), serrated or not, excluding knives and blades of heading no. 8208</t>
  </si>
  <si>
    <t>Blades: cutting, serrated or not, excluding those of heading no. 8208</t>
  </si>
  <si>
    <t>Knives: with handles of base metal</t>
  </si>
  <si>
    <t>Razors</t>
  </si>
  <si>
    <t>Razors: safety razor blades, including razor blade blanks in strips</t>
  </si>
  <si>
    <t>Razors: parts n.e.c. in heading no. 8212</t>
  </si>
  <si>
    <t>Scissors: tailors' shears, similar shears and blades therefor</t>
  </si>
  <si>
    <t>Cutlery: paper knives, letter openers, erasing knives, pencil sharpeners and blades therefor</t>
  </si>
  <si>
    <t>Manicure or pedicure sets and instruments: (including nail files)</t>
  </si>
  <si>
    <t>Cutlery: hair clippers and mincing knives</t>
  </si>
  <si>
    <t>Cutlery: sets of assorted articles (e.g. spoons, forks, ladles, skimmers, cake-servers, fish-knives, butter-knives, sugar tongs and similar), with at least one article plated with precious metal</t>
  </si>
  <si>
    <t>Cutlery: sets of assorted articles (e.g. spoons, forks, ladles, skimmers, cake-servers, fish-knives, butter knives, sugar tongs and similar), not plated with precious metal</t>
  </si>
  <si>
    <t>Cutlery: (e.g. spoons, forks, ladles, skimmers, cake-servers, fish-knives, butter-knives, sugar tongs and similar), plated with precious metal, not in sets</t>
  </si>
  <si>
    <t>Cutlery: other than plated with precious metal</t>
  </si>
  <si>
    <t>Padlocks: (key, combination or electrically operated), of base metal</t>
  </si>
  <si>
    <t>Locks: of a kind used for motor vehicles (key, combination or electrically operated), of base metal</t>
  </si>
  <si>
    <t>Locks: of a kind used for furniture (key, combination or electrically operated), of base metal</t>
  </si>
  <si>
    <t>Locks: (other than those for motor vehicles or furniture), (key, combination or electrically operated), of base metal</t>
  </si>
  <si>
    <t>Clasps and frames with clasps: incorporating locks, of base metal</t>
  </si>
  <si>
    <t>Locks: parts of padlocks, locks, clasps and frames with clasps incorporating locks, of base metal</t>
  </si>
  <si>
    <t>Keys: presented separately, of base metal</t>
  </si>
  <si>
    <t>Hinges: suitable for furniture, doors, staircases, windows, blinds, coachwork, saddlery, trunks, chests, caskets or the like, of base metal</t>
  </si>
  <si>
    <t>Castors: with mountings, of base metal</t>
  </si>
  <si>
    <t>Mountings, fittings and similar articles: for motor vehicles, of base metal</t>
  </si>
  <si>
    <t>Mountings, fittings and similar articles: of base metal, suitable for buildings</t>
  </si>
  <si>
    <t>Mountings, fittings and similar articles: suitable for furniture of base metal</t>
  </si>
  <si>
    <t>Mountings, fittings and similar articles: suitable for other than buildings or furniture, of base metal</t>
  </si>
  <si>
    <t>Hat-racks, hat-pegs, brackets and similar fixtures, of base metal</t>
  </si>
  <si>
    <t>Automatic door closures: of base metal</t>
  </si>
  <si>
    <t>Safes: armoured or reinforced, strong-boxes, doors and safe deposit lockers for strong-rooms, cash or deed boxes and the like, of base metal</t>
  </si>
  <si>
    <t>Office equipment: filing cabinets, card-index cabinets, paper trays, paper rests, pen trays, office-stamp stands and similar office or desk equipment, of base metal, other than office furniture of heading no. 9403</t>
  </si>
  <si>
    <t>Stationery: fittings for loose-leaf binders or files, of base metal</t>
  </si>
  <si>
    <t>Stationery: staples in strips, (e.g. for offices, upholstery, packaging), of base metal</t>
  </si>
  <si>
    <t>Stationery: letter clips, letter corners, paper clips, indexing tags and similar office articles, including parts, of base metal</t>
  </si>
  <si>
    <t>Bells, gongs and the like: non-electric, of base metal</t>
  </si>
  <si>
    <t>Statuettes and other ornaments: of base metal plated with precious metal</t>
  </si>
  <si>
    <t>Statuettes and other ornaments: of base metal other than plated with precious metal</t>
  </si>
  <si>
    <t>Photograph, picture or similar frames, mirrors: of base metal</t>
  </si>
  <si>
    <t>Tubing: flexible, with or without fittings, of iron or steel</t>
  </si>
  <si>
    <t>Tubing: flexible, with or without fittings of base metal, other than those of iron or steel</t>
  </si>
  <si>
    <t>Hooks, eyes and eyelets: of base metal, of a kind used for clothing, footwear, awnings, handbags, travel goods or other made up articles</t>
  </si>
  <si>
    <t>Rivets: tubular or bifurcated, of base metal</t>
  </si>
  <si>
    <t>Clasps, frames with clasps, buckles, buckle clasps: of base metal, of a kind used for clothing, footwear, awnings, handbags, travel goods or other made up articles, including parts</t>
  </si>
  <si>
    <t>Stoppers: corks, of base metal</t>
  </si>
  <si>
    <t>Stoppers: caps and lids, of base metal</t>
  </si>
  <si>
    <t>Sign plates, name-plates, address-plates and similar plates, numbers, letters and other symbols: of base metal, excluding those of heading no. 9405</t>
  </si>
  <si>
    <t>Electrodes: coated, of base metal, for electric arc-welding</t>
  </si>
  <si>
    <t>Wire: cored, of base metal, for electric arc-welding</t>
  </si>
  <si>
    <t>Rods and wire: coated rods and cored wire, of base metal, for soldering, brazing or welding by flame</t>
  </si>
  <si>
    <t>Wires, rods, tubes, plates, electrodes of base metal or metal carbides: of a kind used for soldering, brazing, welding: wires and rods for metal spraying: n.e.c. in item no. 8311</t>
  </si>
  <si>
    <t>Nuclear reactors</t>
  </si>
  <si>
    <t>Machinery and apparatus: for isotopic separation, and parts thereof</t>
  </si>
  <si>
    <t>Fuel elements (cartridges): non-irradiated</t>
  </si>
  <si>
    <t>Nuclear reactors: parts thereof</t>
  </si>
  <si>
    <t>Boilers: watertube boilers with a steam production exceeding 45t per hour</t>
  </si>
  <si>
    <t>Boilers: watertube boilers with a steam production not exceeding 45t per hour</t>
  </si>
  <si>
    <t>Boilers: vapour generating boilers, including hybrid boilers n.e.c. in heading no. 8402</t>
  </si>
  <si>
    <t>Boilers: super-heated water boilers</t>
  </si>
  <si>
    <t>Boilers: parts of steam or other vapour generating boilers</t>
  </si>
  <si>
    <t>Boilers: central heating boilers (excluding those of heading no. 8402)</t>
  </si>
  <si>
    <t>Boilers: parts of central heating boilers (excluding those of heading no. 8402)</t>
  </si>
  <si>
    <t>Boilers: auxiliary plant, for use with boilers of heading no. 8402 or 8403 (e.g. economisers, super-heaters, soot removers, gas recoverers)</t>
  </si>
  <si>
    <t>Boilers: condensers, for steam or other vapour power units</t>
  </si>
  <si>
    <t>Boilers: parts of auxiliary plant, for use with boilers of heading no. 8402 and 8403 and parts of condensers for steam or other vapour power units</t>
  </si>
  <si>
    <t>Generators: producer gas, water gas, acetylene gas and similar water process gas generators, with or without their purifiers</t>
  </si>
  <si>
    <t>Generators: parts of producer gas, water gas, acetylene gas and similar water process gas generators, with or without their purifiers</t>
  </si>
  <si>
    <t>Turbines: steam and other vapour turbines, for marine propulsion</t>
  </si>
  <si>
    <t>Turbines: steam and other vapour turbines, (for other than marine propulsion), of an output exceeding 40MW</t>
  </si>
  <si>
    <t>Turbines: steam and other vapour turbines, (for other than marine propulsion), of an output not exceeding 40MW</t>
  </si>
  <si>
    <t>Turbines: parts of steam and other vapour turbines</t>
  </si>
  <si>
    <t>Engines: for aircraft, spark-ignition reciprocating or rotary internal combustion piston engines</t>
  </si>
  <si>
    <t>Engines: outboard motors for marine propulsion, spark-ignition reciprocating or rotary internal combustion piston engines</t>
  </si>
  <si>
    <t>Engines: for marine propulsion, (other than outboard motors), spark-ignition reciprocating or rotary internal combustion piston engines</t>
  </si>
  <si>
    <t>Engines: reciprocating piston engines, of a kind used for the propulsion of vehicles of chapter 87, of a cylinder capacity not exceeding 50cc</t>
  </si>
  <si>
    <t>Engines: reciprocating piston engines, of a kind used for the propulsion of vehicles of chapter 87, of a cylinder capacity exceeding 50cc but not exceeding 250cc</t>
  </si>
  <si>
    <t>Engines: reciprocating piston engines, of a kind used for the propulsion of vehicles of chapter 87, of a cylinder capacity exceeding 250cc but not exceeding 1000cc</t>
  </si>
  <si>
    <t>Engines: reciprocating piston engines, of a kind used for the propulsion of vehicles of chapter 87, of a cylinder capacity exceeding 1000cc</t>
  </si>
  <si>
    <t>Engines: rotary internal combustion piston engines, for other than aircraft or marine propulsion</t>
  </si>
  <si>
    <t>Engines: for marine propulsion, compression-ignition internal combustion piston engines (diesel or semi-diesel engines)</t>
  </si>
  <si>
    <t>Engines: compression-ignition internal combustion piston engines (diesel or semi-diesel engines), of a kind used for the propulsion of vehicles of chapter 87</t>
  </si>
  <si>
    <t>Engines: compression-ignition internal combustion piston engines (diesel or semi-diesel engines), of a kind used for other than marine propulsion or the vehicles of chapter 87</t>
  </si>
  <si>
    <t>Engines: parts of aircraft engines (spark-ignition reciprocating or rotary internal combustion piston engines)</t>
  </si>
  <si>
    <t>Engines: parts, suitable for use solely or principally with spark-ignition internal combustion piston engines (for other than aircraft)</t>
  </si>
  <si>
    <t>Engines: parts for internal combustion piston engines (excluding spark-ignition)</t>
  </si>
  <si>
    <t>Turbines: hydraulic turbines and water wheels, of a power not exceeding 1000kW</t>
  </si>
  <si>
    <t>Turbines: hydraulic turbines and water wheels, of a power exceeding 1000kW but not exceeding 10000kW</t>
  </si>
  <si>
    <t>Turbines: hydraulic turbines and water wheels, of a power exceeding 10000kW</t>
  </si>
  <si>
    <t>Turbines: parts of hydraulic turbines and water wheels, including regulators</t>
  </si>
  <si>
    <t>Turbo-jets: of a thrust not exceeding 25kN</t>
  </si>
  <si>
    <t>Turbo-jets: of a thrust exceeding 25kN</t>
  </si>
  <si>
    <t>Turbo-propellers: of a power not exceeding 1100kW</t>
  </si>
  <si>
    <t>Turbo-propellers: of a power exceeding 1100kW</t>
  </si>
  <si>
    <t>Turbines: gas-turbines (excluding turbo-jets and turbo-propellers), of a power not exceeding 5000kW</t>
  </si>
  <si>
    <t>Turbines: gas-turbines (excluding turbo-jets and turbo-propellers), of a power exceeding 5000kW</t>
  </si>
  <si>
    <t>Turbines: parts of turbo-jets and turbo-propellers</t>
  </si>
  <si>
    <t>Turbines: parts of gas turbines (excluding turbo-jets and turbo-propellers)</t>
  </si>
  <si>
    <t>Engines: reaction engines, other than turbo-jets</t>
  </si>
  <si>
    <t>Engines: hydraulic power engines and motors, linear acting (cylinders)</t>
  </si>
  <si>
    <t>Engines: hydraulic power engines and motors, other than linear acting (cylinders)</t>
  </si>
  <si>
    <t>Engines: pneumatic power engines and motors, linear acting (cylinders)</t>
  </si>
  <si>
    <t>Engines: pneumatic power engines and motors, other than linear acting (cylinders)</t>
  </si>
  <si>
    <t>Engines: pneumatic power engines and motors, n.e.c. in heading no. 8412</t>
  </si>
  <si>
    <t>Engines: parts, for engines and motors of heading no. 8412</t>
  </si>
  <si>
    <t>Pumps: fitted or designed to be fitted with a measuring device, for dispensing fuel or lubricants, of the type used in filling-stations or in garages</t>
  </si>
  <si>
    <t>Pumps: for liquids, fitted or designed to be fitted with a measuring device, other than pumps for dispensing fuel or lubricants</t>
  </si>
  <si>
    <t>Pumps: hand, fitted or designed to be fitted with a measuring device, for liquids, other than those of item no. 8413.11 or 8413.19</t>
  </si>
  <si>
    <t>Pumps: fuel, lubricating or cooling medium pumps for internal combustion piston engines</t>
  </si>
  <si>
    <t>Pumps: concrete pumps</t>
  </si>
  <si>
    <t>Pumps: reciprocating positive displacement pumps, n.e.c. in heading no. 8413, for liquids</t>
  </si>
  <si>
    <t>Pumps: rotary positive displacement pumps, n.e.c. in heading no. 8413, for liquids</t>
  </si>
  <si>
    <t>Pumps: centrifugal, n.e.c. in heading no. 8413, for liquids</t>
  </si>
  <si>
    <t>Pumps and liquid elevators: n.e.c. in heading no. 8413</t>
  </si>
  <si>
    <t>Liquid elevators</t>
  </si>
  <si>
    <t>Pumps: parts thereof</t>
  </si>
  <si>
    <t>Liquid elevators: parts thereof</t>
  </si>
  <si>
    <t>Pumps: vacuum</t>
  </si>
  <si>
    <t>Pumps: hand or foot-operated air pumps</t>
  </si>
  <si>
    <t>Compressors: of a kind used in refrigerating equipment</t>
  </si>
  <si>
    <t>Compressors: air compressors mounted on a wheeled chassis for towing</t>
  </si>
  <si>
    <t>Fans: table, floor, wall, window, ceiling or roof fans, with a self-contained electric motor of an output not exceeding 125W</t>
  </si>
  <si>
    <t>Fans: n.e.c. in item no. 8414.51</t>
  </si>
  <si>
    <t>Hoods: ventilating or recycling hoods incorporating a fan, whether or not fitted with filters, having a maximum horizontal side not exceeding 120cm</t>
  </si>
  <si>
    <t>Pumps and compressors: for air, vacuum or gas, n.e.c. in heading no. 8414</t>
  </si>
  <si>
    <t>Pumps and compressors: parts, of air or vacuum pumps, air or other gas compressors and fans, ventilating or recycling hoods incorporating a fan</t>
  </si>
  <si>
    <t>Air conditioning machines: comprising a motor-driven fan and elements for changing the temperature and humidity, window or wall types, self-contained or split-system</t>
  </si>
  <si>
    <t>Air conditioning machines: comprising a motor driven fan and elements for changing the temperature and humidity, of a kind used for persons, in motor vehicles</t>
  </si>
  <si>
    <t>Air conditioning machines: containing a motor driven fan, other than window or wall types, incorporating a refrigerating unit and a valve for reversal of the cooling/heat cycle (reversible heat pumps)</t>
  </si>
  <si>
    <t>Air conditioning machines: containing a motor driven fan, other than window or wall types, incorporating a refrigerating unit</t>
  </si>
  <si>
    <t>Air conditioning machines: containing a motor driven fan, other than window or wall types, not incorporating a refrigerating unit</t>
  </si>
  <si>
    <t>Air conditioning machines: with motor driven fan and elements for temperature control, parts thereof</t>
  </si>
  <si>
    <t>Furnaces: furnace burners, for liquid fuel</t>
  </si>
  <si>
    <t>Furnaces: furnace burners, for pulverized solid fuel or gas, including combination burners</t>
  </si>
  <si>
    <t>Furnace accessories: mechanical stokers, mechanical grates, mechanical ash dischargers and similar appliances</t>
  </si>
  <si>
    <t>Furnaces: parts of furnace burners, for liquid fuel, pulverized solid fuel or gas, mechanical stokers, grates, ash dischargers and the like</t>
  </si>
  <si>
    <t>Furnaces and ovens: non-electric, for the roasting, melting or other heat-treatment of ores, pyrites or of metals, for industrial or laboratory use</t>
  </si>
  <si>
    <t>Ovens: non-electric, bakery ovens, including biscuit ovens</t>
  </si>
  <si>
    <t>Furnaces and ovens: including incinerators, non-electric, for industrial or laboratory use, n.e.c. in heading no. 8417</t>
  </si>
  <si>
    <t>Furnaces and ovens: parts of non-electric furnaces and ovens (including incinerators), of industrial or laboratory use</t>
  </si>
  <si>
    <t>Refrigerators and freezers: combined refrigerator-freezers, fitted with separate external doors, electric or other</t>
  </si>
  <si>
    <t>Refrigerators: for household use, compression-type, electric or other</t>
  </si>
  <si>
    <t>Refrigerators: household, electric or not, other than compression-type</t>
  </si>
  <si>
    <t>Freezers: of the chest type, not exceeding 800l capacity</t>
  </si>
  <si>
    <t>Freezers: of the upright type, not exceeding 900l capacity</t>
  </si>
  <si>
    <t>Furniture incorporating refrigerating or freezing equipment: for storage and display, n.e.c. in item no. 8418.1, 8418.2, 8418.3 or 8418.4 (chests, cabinets, display counters, show-cases and the like)</t>
  </si>
  <si>
    <t>Heat pumps: other than air conditioning machines of heading no. 8415</t>
  </si>
  <si>
    <t>Refrigerating or freezing equipment: n.e.c. in heading no. 8418</t>
  </si>
  <si>
    <t>Refrigerating or freezing equipment: parts, furniture designed to receive refrigerating or freezing equipment</t>
  </si>
  <si>
    <t>Refrigerating or freezing equipment: parts thereof, other than furniture</t>
  </si>
  <si>
    <t>Heaters: instantaneous gas water heaters, for domestic or other purposes</t>
  </si>
  <si>
    <t>Heaters: instantaneous or storage water heaters, non-electric, other than instantaneous gas water heaters</t>
  </si>
  <si>
    <t>Sterilizers: for medical, surgical or laboratory use, not used for domestic purposes</t>
  </si>
  <si>
    <t>Dryers: for agricultural products, not used for domestic purposes</t>
  </si>
  <si>
    <t>Dryers: for wood, paper pulp, paper or paperboard, not used for domestic purposes</t>
  </si>
  <si>
    <t>Dryers: for products n.e.c. in heading no. 8419, not used for domestic purposes</t>
  </si>
  <si>
    <t>Distilling or rectifying plant: not used for domestic purposes</t>
  </si>
  <si>
    <t>Heat exchange units: not used for domestic purposes</t>
  </si>
  <si>
    <t>Machinery: for liquefying air or gas, not used for domestic purposes</t>
  </si>
  <si>
    <t>Machinery, plant and equipment: for making hot drinks, for cooking or heating food</t>
  </si>
  <si>
    <t>Machinery, plant and laboratory equipment: for treating materials by change of temperature, other than for making hot drinks or cooking or heating food</t>
  </si>
  <si>
    <t>Machinery, plant and laboratory equipment: parts of equipment for treating materials by a process involving a change of temperature</t>
  </si>
  <si>
    <t>Machines: calendering or other rolling machines, for other than metal or glass</t>
  </si>
  <si>
    <t>Machines: parts, cylinders for calendering or other rolling machines, for other than metal or glass</t>
  </si>
  <si>
    <t>Machines: parts, (other than cylinders), for calendering or other rolling machines, for other than metal or glass</t>
  </si>
  <si>
    <t>Centrifuges: cream separators</t>
  </si>
  <si>
    <t>Centrifuges: clothes-dryers</t>
  </si>
  <si>
    <t>Centrifuges: n.e.c. in heading no. 8421, including centrifugal dryers (but not clothes-dryers)</t>
  </si>
  <si>
    <t>Machinery: for filtering or purifying water</t>
  </si>
  <si>
    <t>Machinery: for filtering or purifying beverages other than water</t>
  </si>
  <si>
    <t>Machinery: filtering or purifying machinery, oil or petrol filters for internal combustion engines</t>
  </si>
  <si>
    <t>Machinery: for filtering or purifying liquids, n.e.c. in item no. 8421.2</t>
  </si>
  <si>
    <t>Machinery: intake air filters for internal combustion engines</t>
  </si>
  <si>
    <t>Machinery: for filtering or purifying gases, other than intake air filters for internal combustion engines</t>
  </si>
  <si>
    <t>Centrifuges: parts thereof, including parts for centrifugal dryers</t>
  </si>
  <si>
    <t>Machinery: parts for filtering or purifying liquids or gases</t>
  </si>
  <si>
    <t>Dish washing machines: of the household type</t>
  </si>
  <si>
    <t>Dish washing machines: of other than household type</t>
  </si>
  <si>
    <t>Machinery: for cleaning or drying bottles or other containers</t>
  </si>
  <si>
    <t>Machinery: for filling, closing, sealing, capsuling or labelling bottles, cans, bags or other containers, machinery for aerating beverages</t>
  </si>
  <si>
    <t>Machinery: for packing or wrapping</t>
  </si>
  <si>
    <t>Machinery: parts of machinery of heading no. 8422</t>
  </si>
  <si>
    <t>Weighing machines: personal (including baby scales) and household scales</t>
  </si>
  <si>
    <t>Weighing machines: scales for continuous weighing of goods on conveyors</t>
  </si>
  <si>
    <t>Weighing machines: constant weight scales and scales for discharging a predetermined weight of material into a bag or container, including hopper scales</t>
  </si>
  <si>
    <t>Weighing machines: having a maximum weighing capacity not exceeding 30kg (excluding balances of a sensitivity of 5cg or better)</t>
  </si>
  <si>
    <t>Weighing machines: having a maximum weighing capacity exceeding 30kg but not exceeding 5000kg</t>
  </si>
  <si>
    <t>Weighing machines: having a maximum weighing capacity exceeding 5000kg</t>
  </si>
  <si>
    <t>Weighing machines: weights of all kinds, parts of weighing machinery</t>
  </si>
  <si>
    <t>Fire extinguishers: whether or not charged</t>
  </si>
  <si>
    <t>Spray guns and similar appliances</t>
  </si>
  <si>
    <t>Mechanical appliances: steam or sand blasting machines and similar jet projecting machines</t>
  </si>
  <si>
    <t>Mechanical appliances: for projecting, dispersing or spraying liquids or powders, for agricultural or horticultural use, whether or not hand-operated</t>
  </si>
  <si>
    <t>Mechanical appliances: for projecting, dispersing or spraying liquids or powders, for other than agricultural or horticultural use, whether or not hand-operated</t>
  </si>
  <si>
    <t>Mechanical appliances: parts of machines projecting, dispersing or spraying liquids or powders, whether or not hand-operated</t>
  </si>
  <si>
    <t>Pulley tackle and hoists: powered by an electric motor (excluding skip hoists or hoists of a kind used for raising vehicles)</t>
  </si>
  <si>
    <t>Pulley tackle and hoists: not powered by an electric motor (excluding skip hoists or hoists of a kind used for raising vehicles)</t>
  </si>
  <si>
    <t>Winches and capstans: powered by an electric motor</t>
  </si>
  <si>
    <t>Winches and capstans: not powered by an electric motor</t>
  </si>
  <si>
    <t>Jacks: built-in jacking systems of a type used in garages, for raising vehicles</t>
  </si>
  <si>
    <t>Jacks and hoists: hydraulic, of a kind used for raising vehicles</t>
  </si>
  <si>
    <t>Jacks and hoists: (other than hydraulic), of a kind used for raising vehicles</t>
  </si>
  <si>
    <t>Cranes: overhead travelling cranes on fixed support</t>
  </si>
  <si>
    <t>Cranes: mobile lifting frames on tyres and straddle carriers</t>
  </si>
  <si>
    <t>Cranes: transporter, gantry and bridge cranes</t>
  </si>
  <si>
    <t>Cranes: tower cranes</t>
  </si>
  <si>
    <t>Cranes: portal or pedestal jib cranes</t>
  </si>
  <si>
    <t>Cranes: self-propelled derricks and cranes, on tyres, n.e.c. in heading no. 8426</t>
  </si>
  <si>
    <t>Cranes: self-propelled derricks and cranes, not on tyres, n.e.c. in heading no. 8426</t>
  </si>
  <si>
    <t>Cranes and derricks: designed for mounting on road vehicles</t>
  </si>
  <si>
    <t>Cranes and derricks: for other than mounting on road vehicles, n.e.c. in heading no. 8426</t>
  </si>
  <si>
    <t>Fork-lift and other works trucks: fitted with lifting or handling equipment, self-propelled by electric motor</t>
  </si>
  <si>
    <t>Fork-lift and other works trucks: fitted with lifting or handling equipment, self-propelled by other than electric motor</t>
  </si>
  <si>
    <t>Fork-lift and other works trucks: fitted with lifting or handling equipment, not self-propelled</t>
  </si>
  <si>
    <t>Lifts and skip hoists</t>
  </si>
  <si>
    <t>Elevators and conveyors: pneumatic</t>
  </si>
  <si>
    <t>Elevators and conveyors: continuous-action, for goods and materials, specially designed for underground use, n.e.c. in item no. 8428.20</t>
  </si>
  <si>
    <t>Elevators and conveyors: continuous-action, for goods or materials, bucket type, n.e.c. in item no. 8428.20 or 8428.31</t>
  </si>
  <si>
    <t>Elevators and conveyors: continuous-action, for goods or materials, belt type, n.e.c. in item no. 8428.20 or 8428.31</t>
  </si>
  <si>
    <t>Elevators and conveyors: continuous-action, for goods or materials, n.e.c. in item no. 8428.20, 8428.31, 8428.32 or 8428.33</t>
  </si>
  <si>
    <t>Escalators and moving walkways</t>
  </si>
  <si>
    <t>Teleferics, chair-lifts, ski-draglines, traction mechanisms for funiculars</t>
  </si>
  <si>
    <t>Lifting, handling, loading or unloading machinery: n.e.c. in heading no. 8425, 8426, 8427 or 8428</t>
  </si>
  <si>
    <t>Bulldozers and angledozers: self-propelled, track laying</t>
  </si>
  <si>
    <t>Bulldozers and angledozers: self-propelled, other than track laying</t>
  </si>
  <si>
    <t>Graders and levellers</t>
  </si>
  <si>
    <t>Scrapers: self-propelled</t>
  </si>
  <si>
    <t>Tamping machines and road rollers: self-propelled</t>
  </si>
  <si>
    <t>Front-end shovel loaders</t>
  </si>
  <si>
    <t>Mechanical shovels, excavators and shovel loaders: with a 360 degree revolving super structure</t>
  </si>
  <si>
    <t>Mechanical shovels, excavators and shovel loaders: n.e.c. in item no. 8429.50</t>
  </si>
  <si>
    <t>Pile-drivers and pile-extractors</t>
  </si>
  <si>
    <t>Snow-ploughs and snow-blowers</t>
  </si>
  <si>
    <t>Coal or rock cutters and tunnelling machinery: self-propelled</t>
  </si>
  <si>
    <t>Coal or rock cutters and tunnelling machinery: not self-propelled</t>
  </si>
  <si>
    <t>Boring or sinking machinery: self-propelled, n.e.c. in heading no. 8430</t>
  </si>
  <si>
    <t>Boring and sinking machinery: not self-propelled</t>
  </si>
  <si>
    <t>Machinery: for handling earth, minerals or ores, self-propelled, n.e.c. in heading no. 8430</t>
  </si>
  <si>
    <t>Machinery: for tamping or compacting, not self-propelled</t>
  </si>
  <si>
    <t>Machinery: for moving, levelling, scraping, grading, excavating earth minerals or ores: not self propelled n.e.c in 84.30</t>
  </si>
  <si>
    <t>Machinery: parts of the machinery of heading no. 8425</t>
  </si>
  <si>
    <t>Machinery: parts of the machinery of heading no. 8427</t>
  </si>
  <si>
    <t>Lifts, skip hoists or escalators: parts thereof</t>
  </si>
  <si>
    <t>Machinery: parts of the machinery of heading no. 8428, (other than lifts, skip hoists or escalators)</t>
  </si>
  <si>
    <t>Machinery parts: buckets, shovels, grabs and grips, for the machinery of heading no. 8426 and 8430</t>
  </si>
  <si>
    <t>Machinery parts: bulldozer or angledozer blades</t>
  </si>
  <si>
    <t>Boring or sinking machinery: parts of the machinery of item no. 8430.41 or 8430.41</t>
  </si>
  <si>
    <t>Machinery: parts of machines handling earth, minerals or ores and n.e.c. in heading no. 8431</t>
  </si>
  <si>
    <t>Ploughs: for soil preparation</t>
  </si>
  <si>
    <t>Harrows: disc harrows</t>
  </si>
  <si>
    <t>Harrows: (excluding disc), scarifiers, cultivators, weeders and hoes</t>
  </si>
  <si>
    <t>Seeders, planters and transplanters</t>
  </si>
  <si>
    <t>Spreaders and distributors: for manure and fertilizers, for agricultural, horticultural or forestry use</t>
  </si>
  <si>
    <t>Rollers: for lawns or sports-grounds</t>
  </si>
  <si>
    <t>Machinery: parts of machinery for soil preparation or cultivation or for rollers for lawns or sports-grounds</t>
  </si>
  <si>
    <t>Mowers: lawn, parks or sports-grounds, powered, with the cutting device rotating in a horizontal plane</t>
  </si>
  <si>
    <t>Mowers: for lawns, parks or sports-grounds, other than with the cutting device rotating in a horizontal plane</t>
  </si>
  <si>
    <t>Mowers: n.e.c. in item no. 8433.1 (including cutter bars for tractor mounting)</t>
  </si>
  <si>
    <t>Haymaking machinery</t>
  </si>
  <si>
    <t>Balers: straw or fodder balers, including pick-up balers</t>
  </si>
  <si>
    <t>Combine harvester-threshers</t>
  </si>
  <si>
    <t>Threshing machinery: other than combine harvester-threshers</t>
  </si>
  <si>
    <t>Harvesting machinery: for roots or tubers</t>
  </si>
  <si>
    <t>Harvesting machinery: n.e.c. in heading no. 8433</t>
  </si>
  <si>
    <t>Machines: for cleaning, sorting or grading eggs, fruit or other agricultural produce</t>
  </si>
  <si>
    <t>Harvesting machinery: parts, including parts of threshing machinery, straw or fodder balers and grass or hay mowers</t>
  </si>
  <si>
    <t>Milking machines</t>
  </si>
  <si>
    <t>Dairy machinery</t>
  </si>
  <si>
    <t>Milking machines and dairy machinery: parts thereof</t>
  </si>
  <si>
    <t>Presses, crushers and similar machinery: used in the manufacture of wine, cider, fruit juices or similar beverages</t>
  </si>
  <si>
    <t>Presses, crushers and similar machinery: parts, used in the manufacture of wine, cider, fruit juices or similar beverages</t>
  </si>
  <si>
    <t>Machinery: for preparing animal feeding stuffs</t>
  </si>
  <si>
    <t>Poultry incubators and brooders</t>
  </si>
  <si>
    <t>Poultry-keeping machinery: other than incubators and brooders</t>
  </si>
  <si>
    <t>Machinery: for agricultural, horticultural or forestry use and n.e.c. in heading no. 8436</t>
  </si>
  <si>
    <t>Machinery: parts of poultry-keeping machinery or poultry incubators and brooders</t>
  </si>
  <si>
    <t>Machinery: parts of that machinery for agricultural, horticultural or forestry use n.e.c. in heading no. 8436</t>
  </si>
  <si>
    <t>Machines: for cleaning, sorting or grading seed, grain or dried leguminous vegetables</t>
  </si>
  <si>
    <t>Machinery: for use in the milling industry or for the working of cereals or dried leguminous vegetables, other than farm-type machinery</t>
  </si>
  <si>
    <t>Machines: parts of those for cleaning, sorting or grading seed, grain or dried leguminous vegetables or for milling or working cereals or dried leguminous vegetables (not farm-type machinery)</t>
  </si>
  <si>
    <t>Machinery: industrial, for bakery and for the manufacture of macaroni, spaghetti or similar products</t>
  </si>
  <si>
    <t>Machinery: industrial, for the manufacture of confectionery, cocoa or chocolate</t>
  </si>
  <si>
    <t>Machinery: industrial, for sugar manufacture</t>
  </si>
  <si>
    <t>Machinery: industrial, brewery machinery</t>
  </si>
  <si>
    <t>Machinery: industrial, for the preparation of meat or poultry</t>
  </si>
  <si>
    <t>Machinery: industrial, for the preparation of fruits, nuts or vegetables</t>
  </si>
  <si>
    <t>Machinery: used in the industrial preparation or manufacture of food or drink, n.e.c. in heading no. 8438</t>
  </si>
  <si>
    <t>Machinery: parts of those machines used in the industrial preparation or manufacture of food or drink</t>
  </si>
  <si>
    <t>Machinery: for making pulp of fibrous cellulosic material</t>
  </si>
  <si>
    <t>Machinery: for making paper or paperboard</t>
  </si>
  <si>
    <t>Machinery: for finishing paper or paperboard</t>
  </si>
  <si>
    <t>Machinery: parts of machinery for making pulp of fibrous cellulosic material</t>
  </si>
  <si>
    <t>Machinery: parts of machinery for making or finishing paper or paperboard</t>
  </si>
  <si>
    <t>Book-binding machinery: including book-sewing machines</t>
  </si>
  <si>
    <t>Book-binding machinery: including book-sewing machines, parts thereof</t>
  </si>
  <si>
    <t>Machines: cutting, of all kinds, for making up paper pulp, paper or paperboard</t>
  </si>
  <si>
    <t>Machines: for making bags, sacks or envelopes of paper pulp, paper or paperboard</t>
  </si>
  <si>
    <t>Machines: for making cartons, boxes, cases, tubes, drums or similar containers (other than by moulding), of paper pulp, paper or paperboard</t>
  </si>
  <si>
    <t>Machines: for moulding articles, in paper pulp, paper or paperboard</t>
  </si>
  <si>
    <t>Machinery: n.e.c. in heading no. 8441, for making up paper pulp, paper or paperboard</t>
  </si>
  <si>
    <t>Machinery: parts of machinery for making up paper pulp, paper or paperboard, including cutting machines of all kinds</t>
  </si>
  <si>
    <t>Machinery, apparatus and equipment (excluding machine-tools of heading no. 8456 to 8465) for preparing or making printing components</t>
  </si>
  <si>
    <t>Machinery, apparatus and equipment (excluding machine-tools of heading no. 8456 to 8465) for preparing or making printing components: parts thereof</t>
  </si>
  <si>
    <t>Plates, cylinders and other printing components: lithographic stones prepared for printing purposes (for example, planed, grained or polished)</t>
  </si>
  <si>
    <t>Printing machinery: offset, reel-fed</t>
  </si>
  <si>
    <t>Printing machinery: offset, sheet-fed, office type (sheet size not exceeding 22 x 36cm in the unfolded state)</t>
  </si>
  <si>
    <t>Printing machinery: offset, n.e.c. in item no. 8443.1</t>
  </si>
  <si>
    <t>Printing machinery: letterpress, reel-fed, excluding flexographic printing</t>
  </si>
  <si>
    <t>Printing machinery: letterpress, other than reel-fed, excluding flexographic printing</t>
  </si>
  <si>
    <t>Printing machinery: flexographic</t>
  </si>
  <si>
    <t>Printing machinery: gravure</t>
  </si>
  <si>
    <t>Printing machinery: used for printing by means of plates, cylinders and other printing components of heading 84.42, n.e.c. in item no. 8443.1</t>
  </si>
  <si>
    <t>Printing, copying, and facsimile machines: machines which perform two or more of the functions of printing, copying or facsimile transmission, capable of connecting to an automatic data processing machine or to a network</t>
  </si>
  <si>
    <t>Printing, copying, and facsimile machines: single-function printing, copying or facsimile machines, capable of connecting to an automatic data processing machine or to a network</t>
  </si>
  <si>
    <t>Printing, copying, and facsimile machines: single-function printing, copying or facsimile machines, not capable of connecting to an automatic data processing machine or to a network</t>
  </si>
  <si>
    <t>Printing machinery used for printing by means of plates, cylinders and other printing components of heading 8442: parts and accessories</t>
  </si>
  <si>
    <t>Printing machinery: parts and accessories, n.e.c. in item no. 8443.91</t>
  </si>
  <si>
    <t>Textile machinery: for extruding, drawing, texturing or cutting man-made textile materials</t>
  </si>
  <si>
    <t>Textile machinery: carding machines for preparing textile fibres</t>
  </si>
  <si>
    <t>Textile machinery: combing machines for preparing textile fibres</t>
  </si>
  <si>
    <t>Textile machinery: drawing or roving machines for preparing textile fibres</t>
  </si>
  <si>
    <t>Textile machinery: n.e.c. in heading no. 8445, for preparing textile fibres</t>
  </si>
  <si>
    <t>Textile machinery: spinning machines</t>
  </si>
  <si>
    <t>Textile machinery: doubling or twisting machines</t>
  </si>
  <si>
    <t>Textile machinery: winding (including weft-winding) or reeling machines</t>
  </si>
  <si>
    <t>Textile machinery: involved in textile fibre or textile yarn preparation and n.e.c. in heading no. 8445</t>
  </si>
  <si>
    <t>Weaving machines (looms): for weaving fabrics of a width 30cm or less</t>
  </si>
  <si>
    <t>Weaving machines (looms): for weaving fabrics of a width exceeding 30cm, shuttle type, power looms</t>
  </si>
  <si>
    <t>Weaving machines (looms): for weaving fabrics of a width exceeding 30cm, shuttle type, other than power looms</t>
  </si>
  <si>
    <t>Weaving machines (looms): for weaving fabrics of a width exceeding 30cm, shuttleless type</t>
  </si>
  <si>
    <t>Knitting machines: circular, with cylinder diameter not exceeding 165mm</t>
  </si>
  <si>
    <t>Knitting machines: circular, with cylinder diameter exceeding 165mm</t>
  </si>
  <si>
    <t>Knitting machines: flat, stitch-bonding machines</t>
  </si>
  <si>
    <t>Machines: for making gimped yarn, tulle, lace, embroidery, trimmings, braid or net and machines for tufting</t>
  </si>
  <si>
    <t>Machinery, auxiliary: dobbies and jacquards, card reducing, copying, punching or assembling machines for use therewith</t>
  </si>
  <si>
    <t>Machinery, auxiliary: for machines of heading no. 8444, 8445, 8446 or 8447, n.e.c. in item no. 8448.11</t>
  </si>
  <si>
    <t>Machines: parts and accessories of machines or auxiliary machinery of heading no. 8444</t>
  </si>
  <si>
    <t>Machines, card clothing: parts and accessories</t>
  </si>
  <si>
    <t>Machines: parts and accessories of machines or auxiliary machinery for preparing textile fibres, other than card clothing</t>
  </si>
  <si>
    <t>Machines: parts and accessories of machines or auxiliary machinery, spindles, spindle flyers, spinning rings and ring travellers</t>
  </si>
  <si>
    <t>Machines: parts and accessories of machines or auxiliary machinery of heading no. 8445, n.e.c. in item no. 8448.3</t>
  </si>
  <si>
    <t>Weaving machines (looms): parts including their auxiliary machinery, and accessories thereof, reeds for looms, healds and heald-frames</t>
  </si>
  <si>
    <t>Weaving machines (looms): parts including their auxiliary machinery, and accessories thereof n.e.c. in item no. 8448.4</t>
  </si>
  <si>
    <t>Machines: parts and accessories of machines of heading no. 8447 or auxiliary machinery, sinkers, needles and other articles used in forming stitches</t>
  </si>
  <si>
    <t>Machines: parts and accessories of machines or auxiliary machinery of heading no. 8447, other than sinkers, needles and other articles used in forming stitches</t>
  </si>
  <si>
    <t>Machinery: for manufacture or finishing felt or non-wovens in the piece or in shapes, including machinery for making felt hats, blocks for making hats</t>
  </si>
  <si>
    <t>Washing machines: household or laundry-type, fully-automatic, (of a dry linen capacity not exceeding 10kg)</t>
  </si>
  <si>
    <t>Washing machines: household or laundry-type, with built-in centrifugal drier, (not fully-automatic), of a dry linen capacity not exceeding 10kg</t>
  </si>
  <si>
    <t>Washing machines: household or laundry-type, not fully-automatic, without built-in centrifugal drier, of a dry linen capacity not exceeding 10kg</t>
  </si>
  <si>
    <t>Washing machines: household or laundry-type, of a dry linen capacity exceeding 10kg</t>
  </si>
  <si>
    <t>Washing machines: parts for household or laundry-type</t>
  </si>
  <si>
    <t>Dry-cleaning machines</t>
  </si>
  <si>
    <t>Drying machines: of a dry linen capacity not exceeding 10kg</t>
  </si>
  <si>
    <t>Drying machines: of a dry linen capacity exceeding 10kg</t>
  </si>
  <si>
    <t>Ironing machines and presses (including fusing presses)</t>
  </si>
  <si>
    <t>Machines: for washing, bleaching or dyeing</t>
  </si>
  <si>
    <t>Machines: for reeling, unreeling, folding, cutting or pinking textile fabrics</t>
  </si>
  <si>
    <t>Machinery: for wringing, dressing, finishing, coating or impregnating textile yarns, fabrics or made up textile articles: for applying paste to base fabric used in manufacture of floor coverings</t>
  </si>
  <si>
    <t>Machinery: parts, of the machinery of heading no. 8451</t>
  </si>
  <si>
    <t>Sewing machines: of the household type</t>
  </si>
  <si>
    <t>Sewing machines: (not household type), automatic units</t>
  </si>
  <si>
    <t>Sewing machines: not household or automatic unit type</t>
  </si>
  <si>
    <t>Sewing machine needles</t>
  </si>
  <si>
    <t>Sewing machine furniture: bases and covers and parts thereof</t>
  </si>
  <si>
    <t>Sewing machines: parts n.e.c. in item no. 8452.4</t>
  </si>
  <si>
    <t>Machinery: for preparing, tanning or working hides, skins or leather, other than sewing machines</t>
  </si>
  <si>
    <t>Machinery: for making or repairing footwear, other than sewing machines</t>
  </si>
  <si>
    <t>Machinery: for making or repairing articles of hides, skins or leather, other than sewing machines</t>
  </si>
  <si>
    <t>Machinery: parts of those for preparing, tanning or working hides, skins or leather, for making or repairing footwear or other articles of hides, skin or leather, other than sewing machines</t>
  </si>
  <si>
    <t>Converters: of a type used in metallurgy or in metal foundries</t>
  </si>
  <si>
    <t>Ingot moulds and ladles: of a kind used in metallurgy or in metal foundries</t>
  </si>
  <si>
    <t>Casting machines: of a kind used in metallurgy or in metal foundries</t>
  </si>
  <si>
    <t>Machines: parts of converters, ladles, ingot moulds and casting machines, of a kind used in metallurgy or in metal foundries</t>
  </si>
  <si>
    <t>Metal-rolling mills: tube mills</t>
  </si>
  <si>
    <t>Metal-rolling mills: hot or combination hot and cold rolling mills</t>
  </si>
  <si>
    <t>Metal-rolling mills: cold</t>
  </si>
  <si>
    <t>Metal-rolling mills: rolls thereof</t>
  </si>
  <si>
    <t>Metal-rolling mills: parts thereof</t>
  </si>
  <si>
    <t>Machine-tools: operated by laser or other light or photon beam processes, for working any material by removal of material</t>
  </si>
  <si>
    <t>Machine-tools: operated by ultrasonic processes, for working any material by removal of material</t>
  </si>
  <si>
    <t>Machine-tools: operated by electro-discharge processes, for working any material by removal of material</t>
  </si>
  <si>
    <t>Machine tools: operated by electro-chemical, electron beam, ionic beam or plasma-arc processes, for working any material by removal of material</t>
  </si>
  <si>
    <t>Machining centres: for working metal</t>
  </si>
  <si>
    <t>Machines: unit construction machines (single station), for working metal</t>
  </si>
  <si>
    <t>Metal machines: multi-station transfer machines, for working metal</t>
  </si>
  <si>
    <t>Lathes: for removing metal, horizontal, numerically controlled</t>
  </si>
  <si>
    <t>Lathes: for removing metal, horizontal, other than numerically controlled</t>
  </si>
  <si>
    <t>Lathes: for removing metal, numerically controlled, other than horizontal lathes</t>
  </si>
  <si>
    <t>Lathes: for removing metal, other than horizontal or numerically controlled lathes</t>
  </si>
  <si>
    <t>Machine-tools: way-type unit head machines, for drilling, boring, milling, threading or tapping by removing metal, other than lathes of heading no. 8458</t>
  </si>
  <si>
    <t>Machine-tools: for drilling by removing metal, numerically controlled</t>
  </si>
  <si>
    <t>Machine-tools: for drilling by removing metal, other than numerically controlled</t>
  </si>
  <si>
    <t>Machine-tools: for boring-milling by removing metal, numerically controlled</t>
  </si>
  <si>
    <t>Machine-tools: for boring-milling by removing metal, other than numerically controlled</t>
  </si>
  <si>
    <t>Machine-tools: for boring by removing metal, n.e.c. in item no. 8459.31 and 8459.39</t>
  </si>
  <si>
    <t>Machine-tools: for milling by removing metal, knee-type, numerically controlled</t>
  </si>
  <si>
    <t>Machine-tools: for milling by removing metal, knee-type, other than numerically controlled</t>
  </si>
  <si>
    <t>Machine-tools: for milling by removing metal, (not knee-type), numerically controlled</t>
  </si>
  <si>
    <t>Machine-tools: for milling by removing metal, not knee-type, other than numerically controlled</t>
  </si>
  <si>
    <t>Machine-tools: for threading or tapping by removing metal</t>
  </si>
  <si>
    <t>Machine-tools: flat-surface grinding machines, in which positioning in any one axis can be set up to an accuracy of 0.01mm or better, numerically controlled</t>
  </si>
  <si>
    <t>Machine-tools: flat-surface grinding machines, in which positioning in any one axis can be set up to an accuracy of 0.01mm or better, other than numerically controlled</t>
  </si>
  <si>
    <t>Machine-tools: grinding machines (other than flat-surface), in which positioning in any one axis can be set up to at least an accuracy of 0.01mm, numerically controlled</t>
  </si>
  <si>
    <t>Machine-tools: grinding machines (other than flat-surface), in which positioning in any one axis can be set up to at least an accuracy of 0.01mm, other than numerically controlled</t>
  </si>
  <si>
    <t>Machine-tools: sharpening (tool or cutter grinding) machines, numerically controlled</t>
  </si>
  <si>
    <t>Machine-tools: sharpening (tool or cutter grinding) machines, other than numerically controlled</t>
  </si>
  <si>
    <t>Machine-tools: for honing or lapping</t>
  </si>
  <si>
    <t>Machine-tools: for deburring, polishing or otherwise finishing metal, sintered metal carbides or cermets by means of grinding stones, abrasives or polishing products, n.e.c. in heading no. 8460</t>
  </si>
  <si>
    <t>Machine-tools: shaping or slotting machines, working by removing metal, sintered metal carbides or cermets</t>
  </si>
  <si>
    <t>Machine-tools: broaching machines, working by removing metal, sintered metal carbides or cermets</t>
  </si>
  <si>
    <t>Machine-tools: gear cutting, gear grinding or gear finishing machines, working by removing metal, sintered metal carbides or cermets</t>
  </si>
  <si>
    <t>Machine-tools: sawing or cutting-off machines, working by removing metal, sintered metal carbides or cermets</t>
  </si>
  <si>
    <t>Machine-tools: planing machines, and other machine-tools n.e.c. in heading no. 8461: working by removing metal, sinistered metal carbides or cerments.</t>
  </si>
  <si>
    <t>Machine-tools: forging or die-stamping machines (including presses) and hammers, for working metal</t>
  </si>
  <si>
    <t>Machine-tools: bending, folding, straightening or flattening machines (including presses), numerically controlled, for working metal</t>
  </si>
  <si>
    <t>Machine-tools: bending, folding, straightening or flattening machines (including presses), (other than numerically controlled), for working metal</t>
  </si>
  <si>
    <t>Machine-tools: shearing machines (including presses), (other than combined punching and shearing machines), numerically controlled, for working metal</t>
  </si>
  <si>
    <t>Machine-tools: shearing machines (including presses), (other than combined punching and shearing machines, other than numerically controlled), for working metal</t>
  </si>
  <si>
    <t>Machine-tools: punching or notching machines (including presses), including combined punching and shearing machines, numerically controlled, for working metal</t>
  </si>
  <si>
    <t>Machine-tools: punching or notching machines (including presses), including combined punching and shearing machines, (not numerically controlled), for working metal</t>
  </si>
  <si>
    <t>Machine-tools: presses for working metal or metal carbides, n.e.c. in heading no. 8462, hydraulic presses</t>
  </si>
  <si>
    <t>Machine-tools: presses for working metal or metal carbides, n.e.c. in heading no. 8462, other than hydraulic presses</t>
  </si>
  <si>
    <t>Machine-tools: for working metal, sintered metal carbides or cermets, without removing material, draw-benches for bars, tubes, profiles, wire or the like</t>
  </si>
  <si>
    <t>Machine-tools: for working metal, sintered metal carbides or cermets, without removing material, thread rolling machines</t>
  </si>
  <si>
    <t>Machine-tools: machines for working wire, without removing material</t>
  </si>
  <si>
    <t>Machine-tools: for working metal, sintered metal carbides or cermets, without removing material, n.e.c. in heading no. 8463</t>
  </si>
  <si>
    <t>Machine-tools: sawing machines, for working stone, ceramics, concrete, asbestos-cement or like mineral materials or for cold working glass</t>
  </si>
  <si>
    <t>Machine-tools: grinding or polishing machines, for working stone, ceramics, concrete, asbestos-cement or like mineral materials or for cold working glass</t>
  </si>
  <si>
    <t>Machine-tools: for working stone, ceramics, concrete, asbestos-cement or like mineral materials or for cold working glass, (other than sawing, grinding or polishing machines)</t>
  </si>
  <si>
    <t>Machine-tools: which can carry out different types of machining operations without tool change between such operations, for working wood, cork, bone, hard rubber, hard plastics or similar</t>
  </si>
  <si>
    <t>Machine-tools: sawing machines, for working wood, cork, bone, hard rubber, hard plastics or similar hard materials</t>
  </si>
  <si>
    <t>Machine-tools: planing, milling or moulding (by cutting) machines, for working wood, cork, bone, hard rubber, hard plastics or similar hard materials</t>
  </si>
  <si>
    <t>Machine-tools: grinding, sanding or polishing machines, for working wood, cork, bone, hard rubber, hard plastics or similar hard materials</t>
  </si>
  <si>
    <t>Machine-tools: bending or assembling machines, for working wood, cork, bone, hard rubber, hard plastics or similar hard materials</t>
  </si>
  <si>
    <t>Machine-tools: drilling or morticing machines, for working wood, cork, bone, hard rubber, hard plastics or similar hard materials</t>
  </si>
  <si>
    <t>Machine-tools: splitting, slicing or paring machines, for working wood, cork, bone, hard rubber, hard plastics or similar hard materials</t>
  </si>
  <si>
    <t>Machine-tools: for working wood, cork, bone, hard rubber, hard plastics or similar hard materials, n.e.c. in heading no. 8465</t>
  </si>
  <si>
    <t>Machine-tools: parts and accessories, tool holders and self-opening dieheads</t>
  </si>
  <si>
    <t>Machine-tools: parts and accessories, work holders</t>
  </si>
  <si>
    <t>Machine-tools: parts and accessories, dividing heads and other special attachments for machine-tools</t>
  </si>
  <si>
    <t>Machine-tools: parts and accessories, for the machines of heading no. 8464, n.e.c. in heading no. 8466</t>
  </si>
  <si>
    <t>Machine-tools: parts and accessories, for the machines of heading no. 8465, n.e.c. in heading no. 8466</t>
  </si>
  <si>
    <t>Machine-tools: parts and accessories, for the machines of heading no. 8456 to 8461, n.e.c. in heading no. 8466</t>
  </si>
  <si>
    <t>Machine-tools: parts and accessories, for the machines of heading no. 8462 or 8463, n.e.c. in heading no. 8466</t>
  </si>
  <si>
    <t>Tools: for working in the hand, pneumatic, rotary type (including combined rotary-percussion)</t>
  </si>
  <si>
    <t>Tools: for working in the hand, pneumatic, other than rotary type</t>
  </si>
  <si>
    <t>Tools: for working in the hand, with self-contained electric motor: drills of all kinds</t>
  </si>
  <si>
    <t>Tools: for working in the hand, with self-contained electric motor: saws</t>
  </si>
  <si>
    <t>Tools: for working in the hand, with self-contained electric motor: other than saws and drills</t>
  </si>
  <si>
    <t>Tools: for working in the hand, chain saws with self-contained non-electric motor</t>
  </si>
  <si>
    <t>Tools: for working in the hand, (other than chain saws), hydraulic or with self-contained non-electric motor, (not pneumatic)</t>
  </si>
  <si>
    <t>Tools: for working in the hand, parts of chain saws, with self-contained non-electric motor</t>
  </si>
  <si>
    <t>Tools: for working in the hand, parts of pneumatic tools</t>
  </si>
  <si>
    <t>Tools: for working in the hand, parts thereof for other than chain saws and pneumatic tools</t>
  </si>
  <si>
    <t>Machinery and apparatus: hand-held blow pipes for soldering, brazing or welding, whether or not capable of cutting</t>
  </si>
  <si>
    <t>Machinery and apparatus: gas operated machinery and apparatus n.e.c. in item no. 8468.10, for soldering, brazing or welding, whether or not capable of cutting</t>
  </si>
  <si>
    <t>Machinery and apparatus: for soldering, brazing or welding, whether or not capable of cutting, n.e.c. in heading no. 8468</t>
  </si>
  <si>
    <t>Machinery and apparatus: parts, soldering, brazing or welding, whether or not capable of cutting, parts thereof</t>
  </si>
  <si>
    <t>Typewriters (other than printers of heading no. 8443) and word-processing machines</t>
  </si>
  <si>
    <t>Calculating machines: electronic calculators capable of operation without an external source of electric power and pocket-size data recording, reproducing and displaying machines with calculating functions</t>
  </si>
  <si>
    <t>Calculating machines: electronic, incorporating a printing device, needing an external source of power</t>
  </si>
  <si>
    <t>Calculating machines: electronic, (not incorporating a printing device), needing an external power source</t>
  </si>
  <si>
    <t>Calculating machines: non-electronic</t>
  </si>
  <si>
    <t>Cash registers</t>
  </si>
  <si>
    <t>Machines incorporating a calculating device: n.e.c. in heading no. 8470</t>
  </si>
  <si>
    <t>Automatic data processing machines: portable, weighing not more than 10kg, consisting of at least a central processing unit, a keyboard and a display</t>
  </si>
  <si>
    <t>Automatic data processing machines: comprising in the same housing at least a central processing unit and an input and output unit, whether or not combined, n.e.c. in item no. 8471.30</t>
  </si>
  <si>
    <t>Automatic data processing machines: presented in the form of systems, n.e.c. in item no. 8471.30 or 8471.41</t>
  </si>
  <si>
    <t>Units of automatic data processing machines: processing units other than those of item no. 8471.41 or 8471.49, whether or not containing in the same housing one or two of the following types of unit: storage units, input units or output units</t>
  </si>
  <si>
    <t>Units of automatic data processing machines: input or output units, whether or not containing storage units in the same housing</t>
  </si>
  <si>
    <t>Units of automatic data processing machines: storage units</t>
  </si>
  <si>
    <t>Units of automatic data processing machines: n.e.c. in item no. 8471.50, 8471.60 or 8471.70</t>
  </si>
  <si>
    <t>Magnetic or optical readers, machines for transcribing data onto data media in coded form and machines for processing such data, not elsewhere specified or included</t>
  </si>
  <si>
    <t>Office machines: duplicating machines</t>
  </si>
  <si>
    <t>Office machines: for sorting or folding mail or for inserting mail in envelopes or bands, machines for opening, closing or sealing mail and machines for affixing or cancelling postage stamps</t>
  </si>
  <si>
    <t>Office machines: not elsewhere classified</t>
  </si>
  <si>
    <t>Typewriters and word-processing machines: parts and accessories of the machines of heading 84.69 (other than covers, carrying cases and the like)</t>
  </si>
  <si>
    <t>Calculating machines: parts and accessories of the electronic calculating machines of item no. 8470.10, 8470.21 or 8470.29 (other than covers, carrying cases and the like)</t>
  </si>
  <si>
    <t>Machinery: parts and accessories of the machines of item no. 8470.30. 8470.50 or 8470.90 (other than covers, carrying cases and the like)</t>
  </si>
  <si>
    <t>Machinery: parts and accessories of the machines of heading no. 8471 (other than covers, carrying cases and the like)</t>
  </si>
  <si>
    <t>Machinery: parts and accessories of the machines of heading no. 8472 (other than covers, carrying cases and the like)</t>
  </si>
  <si>
    <t>Machines: parts and accessories equally suitable for use with machines of two or more of the headings 8469 to 8472 (other than covers, carrying cases and the like)</t>
  </si>
  <si>
    <t>Machines: for sorting, screening, separating or washing earth, stone, ores or other mineral substances</t>
  </si>
  <si>
    <t>Machines: for crushing or grinding earth, stone, ores or other mineral substances</t>
  </si>
  <si>
    <t>Machines: concrete or mortar mixers</t>
  </si>
  <si>
    <t>Machines: for mixing mineral substances with bitumen</t>
  </si>
  <si>
    <t>Machines: for mixing or kneading mineral substances, excluding concrete mixers and machines for mixing mineral substances with bitumen</t>
  </si>
  <si>
    <t>Machines: for agglomerating, shaping or moulding solid mineral fuels, ceramic paste, unhardened cements, plastering materials in powder or paste form, machines for forming foundry moulds of sand</t>
  </si>
  <si>
    <t>Machines, for sorting, screening, separating, washing, crushing etc mineral substances, for agglomerating, shaping or moulding solid fuels, ceramic pastes etc, for forming foundry moulds of sand: parts</t>
  </si>
  <si>
    <t>Machines: for assembling electric or electronic lamps, tubes, valves or flashbulbs, in glass envelopes</t>
  </si>
  <si>
    <t>Machines: for manufacturing or hot working glass or glassware, for making optical fibres and preforms thereof</t>
  </si>
  <si>
    <t>Machines: for manufacturing or hot working glass or glassware, not for making optical fibres and preforms thereof</t>
  </si>
  <si>
    <t>Machines: parts, of those for assembling electric or electronic lamps, tubes, valves or flashbulbs, in glass envelopes and manufacturing or hot working glass or glassware</t>
  </si>
  <si>
    <t>Machines: automatic beverage-vending machines, incorporating heating or refrigerating devices</t>
  </si>
  <si>
    <t>Machines: automatic beverage-vending machines, not incorporating heating or refrigerating devices</t>
  </si>
  <si>
    <t>Machines: automatic goods-vending machines, (e.g. postage stamp, cigarette, food or money-changing machines, excluding beverage-vending machines), incorporating heating or refrigerating devices</t>
  </si>
  <si>
    <t>Machines: automatic goods-vending machines, (e.g. postage stamp, cigarette, food or money-changing machines, excluding beverage-vending machines), not incorporating heating or refrigerating devices</t>
  </si>
  <si>
    <t>Machines: parts of automatic goods-vending machines</t>
  </si>
  <si>
    <t>Machinery: injection-moulding machines, for working rubber or plastics or for the manufacture of products from these materials</t>
  </si>
  <si>
    <t>Machinery: extruders, for working rubber or plastics or for the manufacture of products from these materials</t>
  </si>
  <si>
    <t>Machinery: blow moulding machines, for working rubber or plastics or for the manufacture of products from these materials</t>
  </si>
  <si>
    <t>Machinery: vacuum moulding machines and other thermoforming machines, for working rubber or plastics or for the manufacture of products from these materials</t>
  </si>
  <si>
    <t>Machinery: for moulding or retreading pneumatic tyres or for moulding or otherwise forming inner tubes</t>
  </si>
  <si>
    <t>Machinery: for moulding or forming, for working rubber or plastics or for the manufacture of products from these materials, n.e.c. in this chapter</t>
  </si>
  <si>
    <t>Machinery: for working rubber or plastics or for the manufacture of products from these materials, n.e.c. in this chapter</t>
  </si>
  <si>
    <t>Machinery: parts of the machines of heading no. 8477, n.e.c. in item no. 8477.90</t>
  </si>
  <si>
    <t>Machinery: for preparing or making up tobacco, n.e.c. in this chapter</t>
  </si>
  <si>
    <t>Machinery: parts of those for preparing or making up tobacco, n.e.c. in this chapter</t>
  </si>
  <si>
    <t>Machinery and mechanical appliances: for public works, building or the like</t>
  </si>
  <si>
    <t>Machinery: for the extraction or preparation of animal or fixed vegetable fats or oils</t>
  </si>
  <si>
    <t>Machinery and mechanical appliances: presses for the manufacture of particle or fibre building board of wood or other ligneous materials and other machinery for treating wood or cork</t>
  </si>
  <si>
    <t>Machines: for making rope or cable</t>
  </si>
  <si>
    <t>Machinery and mechanical appliances: industrial robots, n.e.c. or included</t>
  </si>
  <si>
    <t>Machinery and mechanical appliances: evaporative air coolers</t>
  </si>
  <si>
    <t>Machines and mechanical appliances: for treating metal, including electric wire coil-winders</t>
  </si>
  <si>
    <t>Machines: for mixing, kneading, crushing, grinding, screening, sifting, homogenising, emulsifying or stirring</t>
  </si>
  <si>
    <t>Machines and mechanical appliances: having individual functions, n.e.c. or included in this chapter</t>
  </si>
  <si>
    <t>Machines and mechanical appliances: parts, of those having individual functions</t>
  </si>
  <si>
    <t>Moulding boxes: for metal foundry</t>
  </si>
  <si>
    <t>Mould bases: for metal, metal carbides, glass, mineral materials, rubber or plastics</t>
  </si>
  <si>
    <t>Moulding patterns: of metal, metal carbides, glass, mineral materials, rubber or plastics</t>
  </si>
  <si>
    <t>Moulds: for metal or metal carbides, injection or compression types</t>
  </si>
  <si>
    <t>Moulds: for metal or metal carbides, other than injection or compression types</t>
  </si>
  <si>
    <t>Moulds: for glass</t>
  </si>
  <si>
    <t>Moulds: for mineral materials</t>
  </si>
  <si>
    <t>Moulds: for rubber or plastics, injection or compression types</t>
  </si>
  <si>
    <t>Moulds: for rubber or plastics, other than injection or compression types</t>
  </si>
  <si>
    <t>Valves: pressure reducing, for pipes, boiler shells, tanks, vats or the like</t>
  </si>
  <si>
    <t>Valves: for oleohydraulic or pneumatic transmissions</t>
  </si>
  <si>
    <t>Valves: check (nonreturn) valves, for pipes, boiler shells, tanks, vats or the like</t>
  </si>
  <si>
    <t>Valves: safety or relief valves, for pipes, boiler shells, tanks, vats or the like</t>
  </si>
  <si>
    <t>Taps, cocks, valves and similar appliances: for pipes, boiler shells, tanks, vats or the like, including thermostatically controlled valves</t>
  </si>
  <si>
    <t>Taps, cocks, valves and similar appliances: parts thereof</t>
  </si>
  <si>
    <t>Ball bearings</t>
  </si>
  <si>
    <t>Bearings: tapered roller bearings, including cone and tapered roller assemblies</t>
  </si>
  <si>
    <t>Bearings: spherical roller bearings</t>
  </si>
  <si>
    <t>Bearings: needle roller bearings</t>
  </si>
  <si>
    <t>Bearings: cylindrical roller bearings n.e.c. in heading no. 8482</t>
  </si>
  <si>
    <t>Bearings: n.e.c. in heading no. 8482, including combined ball/roller</t>
  </si>
  <si>
    <t>Bearings: parts, balls, needles and rollers</t>
  </si>
  <si>
    <t>Bearings: parts, (other than balls, needles and rollers)</t>
  </si>
  <si>
    <t>Transmission shafts (including cam shafts and crank shafts) and cranks</t>
  </si>
  <si>
    <t>Bearing housings, incorporating ball or roller bearings</t>
  </si>
  <si>
    <t>Bearing housings, not incorporating ball or roller bearings and plain shaft bearings</t>
  </si>
  <si>
    <t>Gears and gearing: (not toothed wheels, chain sprockets and other transmission elements presented separately): ball or roller screws: gear boxes and other speed changers, including torque converters</t>
  </si>
  <si>
    <t>Pulleys and flywheels, including pulley blocks</t>
  </si>
  <si>
    <t>Clutches and shaft couplings (including universal joints)</t>
  </si>
  <si>
    <t>Transmission components: toothed wheels, chain sprockets and other transmission elements presented separately: parts</t>
  </si>
  <si>
    <t>Gaskets and similar joints: of metal sheeting combined with other material or two or more layers of metal</t>
  </si>
  <si>
    <t>Seals: mechanical</t>
  </si>
  <si>
    <t>Gasket sets or assortments of gaskets and similar joints: dissimilar in composition, put up in pouches, envelopes or similar packings</t>
  </si>
  <si>
    <t>Machines and apparatus of a kind used solely or principally for the manufacture of semiconductor boules or wafers</t>
  </si>
  <si>
    <t>Machines and apparatus of a kind used solely or principally for the manufacture of semiconductor devices or of electronic integrated circuits</t>
  </si>
  <si>
    <t>Machines and apparatus of a kind used solely or principally for the manufacture of flat panel displays</t>
  </si>
  <si>
    <t>Machines and apparatus of a kind used solely or principally for the manufacture or repair of masks and reticles, assembling semiconductor devices or electronic integrated circuits, or for lifting, handling, loading or unloading items of heading 8486</t>
  </si>
  <si>
    <t>Machines and apparatus of heading 8486: parts and accessories</t>
  </si>
  <si>
    <t>Ships' or boats' propellers and blades therefor</t>
  </si>
  <si>
    <t>Machinery parts: not containing electrical connectors, insulators, coils, contacts or other electrical features, n.e.c. in chapter 84</t>
  </si>
  <si>
    <t>Electric motors: of an output not exceeding 37.5W</t>
  </si>
  <si>
    <t>Electric motors: universal AC/DC of an output exceeding 37.5W</t>
  </si>
  <si>
    <t>Electric motors and generators: DC, of an output not exceeding 750W</t>
  </si>
  <si>
    <t>Electric motors and generators: DC, of an output exceeding 750W but not exceeding 75kW</t>
  </si>
  <si>
    <t>Electric motors and generators: DC, of an output exceeding 75kW but not exceeding 375kW</t>
  </si>
  <si>
    <t>Electric motors and generators: DC, of an output exceeding 375kW</t>
  </si>
  <si>
    <t>Electric motors: AC motors, single-phase</t>
  </si>
  <si>
    <t>Electric motors: AC motors, multi-phase, of an output not exceeding 750W</t>
  </si>
  <si>
    <t>Electric motors: AC motors, multi-phase, of an output exceeding 750W but not exceeding 75kW</t>
  </si>
  <si>
    <t>Electric motors: AC motors, multi-phase, of an output exceeding 75kW</t>
  </si>
  <si>
    <t>Generators: AC generators, (alternators), of an output not exceeding 75kVA</t>
  </si>
  <si>
    <t>Electric generators: AC generators, (alternators), of an output exceeding 75kVA but not exceeding 375kVA</t>
  </si>
  <si>
    <t>Electric generators: AC generators, (alternators), of an output exceeding 375kVA but not exceeding 750kVA</t>
  </si>
  <si>
    <t>Electric generators: AC generators, (alternators), of an output exceeding 750kVA</t>
  </si>
  <si>
    <t>Electric generating sets: with compression-ignition internal combustion piston engines (diesel or semi-diesel engines), of an output not exceeding 75kVA</t>
  </si>
  <si>
    <t>Electric generating sets: with compression-ignition internal combustion piston engines (diesel or semi-diesel engines), of an output exceeding 75kVA but not exceeding 375kVA</t>
  </si>
  <si>
    <t>Electric generating sets: with compression-ignition internal combustion piston engines (diesel or semi-diesel engines), of an output exceeding 375kVA</t>
  </si>
  <si>
    <t>Electric generating sets: with spark-ignition internal combustion piston engines</t>
  </si>
  <si>
    <t>Electric generating sets: wind-powered, (excluding those with spark-ignition or compression-ignition internal combustion piston engines)</t>
  </si>
  <si>
    <t>Electric generating sets: (excluding those with spark-ignition or compression-ignition internal combustion piston engines), other than wind powered</t>
  </si>
  <si>
    <t>Electric rotary converters</t>
  </si>
  <si>
    <t>Electric motors and generators: parts suitable for use solely or principally with the machines of heading no. 8501 or 8502</t>
  </si>
  <si>
    <t>Discharge lamps or tubes: ballasts therefor</t>
  </si>
  <si>
    <t>Electrical transformers: liquid dielectric, having a power handling capacity not exceeding 650kVA</t>
  </si>
  <si>
    <t>Electrical transformers: liquid dielectric, having a power handling capacity exceeding 650kVA but not exceeding 10,000kVA</t>
  </si>
  <si>
    <t>Electrical transformers: liquid dielectric, having a power handling capacity exceeding 10,000kVA</t>
  </si>
  <si>
    <t>Electrical transformers: n.e.c. in item no. 8504.2, having a power handling capacity not exceeding 1kVA</t>
  </si>
  <si>
    <t>Transformers: n.e.c. in item no. 8504.2, having a power handling capacity exceeding 1kVA but not exceeding 16kVA</t>
  </si>
  <si>
    <t>Transformers: n.e.c. in item no. 8504.2, having a power handling capacity exceeding 16kVA but not exceeding 500kVA</t>
  </si>
  <si>
    <t>Transformers: n.e.c. in item no. 8504.2, having a power handling capacity exceeding 500kVA</t>
  </si>
  <si>
    <t>Electrical static converters</t>
  </si>
  <si>
    <t>Electrical inductors: n.e.c. in heading no. 8504</t>
  </si>
  <si>
    <t>Electrical transformers, static converters and inductors: parts thereof</t>
  </si>
  <si>
    <t>Magnets: permanent magnets and articles intended to become permanent magnets after magnetisation, of metal</t>
  </si>
  <si>
    <t>Magnets: permanent magnets and articles intended to become permanent magnets after magnetisation, other than of metal</t>
  </si>
  <si>
    <t>Magnets: electro-magnetic couplings, clutches and brakes</t>
  </si>
  <si>
    <t>Magnets: electro-magnets, holding devices and parts n.e.c. in heading no. 8505</t>
  </si>
  <si>
    <t>Cells and batteries: primary, manganese dioxide</t>
  </si>
  <si>
    <t>Cells and batteries: primary, mercuric oxide</t>
  </si>
  <si>
    <t>Cells and batteries: primary, silver oxide</t>
  </si>
  <si>
    <t>Cells and batteries: primary, lithium</t>
  </si>
  <si>
    <t>Cells and batteries: primary, air-zinc</t>
  </si>
  <si>
    <t>Cells and batteries: primary, (other than manganese dioxide, mercuric oxide, silver oxide, lithium or air-zinc)</t>
  </si>
  <si>
    <t>Cells and batteries: primary, parts thereof</t>
  </si>
  <si>
    <t>Electric accumulators: lead-acid, of a kind used for starting piston engines, including separators, whether or not rectangular (including square)</t>
  </si>
  <si>
    <t>Electric accumulators: lead-acid, (other than for starting piston engines), including separators, whether or not rectangular (including square)</t>
  </si>
  <si>
    <t>Electric accumulators: nickel-cadmium, including separators, whether or not rectangular (including square)</t>
  </si>
  <si>
    <t>Electric accumulators: nickel-iron, including separators, whether or not rectangular (including square)</t>
  </si>
  <si>
    <t>Electric accumulators: n.e.c. in heading no. 8507, including separators, whether or not rectangular (including square)</t>
  </si>
  <si>
    <t>Electric accumulators: parts n.e.c. in heading no. 8507</t>
  </si>
  <si>
    <t>Vacuum cleaners, with self-contained electric motor, of a power not exceeding 1,500 W and having a dust bag or other receptacle capacity not exceeding 20L</t>
  </si>
  <si>
    <t>Vacuum cleaners, with self-contained electric motor, n.e.c. in item no. 8508.1</t>
  </si>
  <si>
    <t>Vacuum cleaners, other than with a self-contained electric motor</t>
  </si>
  <si>
    <t>Parts of vacuum cleaners</t>
  </si>
  <si>
    <t>Electro-mechanical domestic appliances: food grinders and mixers, fruit or vegetable juice extractors, with self-contained electric motor</t>
  </si>
  <si>
    <t>Electro-mechanical domestic appliances: with self-contained electric motor, other than vacuum cleaners of heading 85.08, n.e.c. in heading no. 8509</t>
  </si>
  <si>
    <t>Electro-mechanical domestic appliances: parts for the appliances of heading no. 8509</t>
  </si>
  <si>
    <t>Shavers: with self-contained electric motor</t>
  </si>
  <si>
    <t>Hair clippers: with a self-contained electric motor</t>
  </si>
  <si>
    <t>Hair-removing appliances: with self-contained electric motor</t>
  </si>
  <si>
    <t>Shavers and hair clippers: parts of those with self-contained electric motor</t>
  </si>
  <si>
    <t>Ignition or starting equipment: spark plugs, of a kind used for spark or compression-ignition internal combustion engines</t>
  </si>
  <si>
    <t>Ignition or starting equipment: ignition magnetos, magneto-dynamos and magnetic flywheels, of a kind used for spark or compression-ignition internal combustion engines</t>
  </si>
  <si>
    <t>Ignition or starting equipment: distributors and ignition coils of a kind used for spark-ignition or compression-ignition internal combustion engines</t>
  </si>
  <si>
    <t>Ignition or starting equipment: starter motors and dual purpose starter-generators, of a kind used for spark or compression-ignition internal combustion engines</t>
  </si>
  <si>
    <t>Ignition or starting equipment: generators n.e.c. in heading no. 8511, of a kind used for spark or compression-ignition internal combustion engines</t>
  </si>
  <si>
    <t>Ignition or starting equipment: n.e.c. in heading no. 8511, of a kind used for spark or compression-ignition internal combustion engines</t>
  </si>
  <si>
    <t>Ignition or starting equipment: parts of the equipment of heading no. 8511, for use in spark-ignition or compression-ignition internal combustion engines</t>
  </si>
  <si>
    <t>Lighting or visual signalling equipment: electrical, of a kind used on bicycles, excluding articles of heading no. 8539</t>
  </si>
  <si>
    <t>Lighting or visual signalling equipment: electrical, of a kind used on motor vehicles (excluding articles of heading no. 8539)</t>
  </si>
  <si>
    <t>Sound signalling equipment: electrical, used on cycles or motor vehicles (excluding articles of heading no. 8539)</t>
  </si>
  <si>
    <t>Windscreen wipers, defrosters and demisters: electrical, of kinds used for cycles or motor vehicles</t>
  </si>
  <si>
    <t>Lighting or signalling equipment: electrical, (excluding articles of heading no. 8539), windscreen wipers, defrosters and demisters: parts, of those kinds used for cycles or motor vehicles</t>
  </si>
  <si>
    <t>Lamps: portable, electric, designed to function by their own source of energy (excluding lighting equipment of heading no. 8512)</t>
  </si>
  <si>
    <t>Lamps: parts of portable, electric lamps of heading no. 8513, designed to function by their own source of energy</t>
  </si>
  <si>
    <t>Furnaces and ovens: electric, for industrial or laboratory use, resistance heated</t>
  </si>
  <si>
    <t>Furnaces and ovens: electric, for industrial or laboratory use, functioning by induction or dielectric loss</t>
  </si>
  <si>
    <t>Furnaces and ovens: electric, for industrial or laboratory use, other than those functioning by induction, dielectric loss or resistance heated</t>
  </si>
  <si>
    <t>Heating equipment: for the heat treatment of materials by induction or dielectric loss, industrial or laboratory, other than furnaces and ovens</t>
  </si>
  <si>
    <t>Furnaces, ovens and heating equipment: parts of the industrial or laboratory equipment of heading no. 8514</t>
  </si>
  <si>
    <t>Brazing or soldering machines and apparatus: soldering irons and guns, whether or not capable of cutting</t>
  </si>
  <si>
    <t>Brazing or soldering machines and apparatus: other than soldering irons and guns, whether or not capable of cutting</t>
  </si>
  <si>
    <t>Welding machines and apparatus: for resistance welding of metal, fully or partly automatic, whether or not capable of cutting</t>
  </si>
  <si>
    <t>Welding machines and apparatus: for resistance welding of metal, other than fully or partly automatic, whether or not capable of cutting</t>
  </si>
  <si>
    <t>Welding machines and apparatus: for arc (including plasma arc) welding of metals, fully or partly automatic, whether or not capable of cutting</t>
  </si>
  <si>
    <t>Welding machines and apparatus: for arc (including plasma arc) welding of metals, other than fully or partly automatic, whether or not capable of cutting</t>
  </si>
  <si>
    <t>Welding machines and apparatus: n.e.c. in heading no. 8515, whether or not capable of cutting</t>
  </si>
  <si>
    <t>Welding, brazing or soldering machines: parts of the machines of heading no. 8515</t>
  </si>
  <si>
    <t>Heaters: electric, instantaneous or storage water and immersion heaters</t>
  </si>
  <si>
    <t>Heating apparatus: electric storage heating radiators</t>
  </si>
  <si>
    <t>Heating apparatus: electric soil heating apparatus and space heating apparatus (excluding storage heating radiators)</t>
  </si>
  <si>
    <t>Hair-dressing apparatus: electro-thermic hair dryers</t>
  </si>
  <si>
    <t>Hair-dressing apparatus: electro-thermic, other than hair dryers</t>
  </si>
  <si>
    <t>Hand-drying apparatus: electro-thermic</t>
  </si>
  <si>
    <t>Smoothing irons: electric</t>
  </si>
  <si>
    <t>Ovens: microwave, of a kind used for domestic purposes</t>
  </si>
  <si>
    <t>Ovens, cookers, cooking plates, boiling rings, grillers and roasters: of a kind used for domestic purposes (excluding microwaves)</t>
  </si>
  <si>
    <t>Electro-thermic appliances: coffee or tea makers, of a kind used for domestic purposes</t>
  </si>
  <si>
    <t>Electro-thermic appliances: toasters, of a kind used for domestic purposes</t>
  </si>
  <si>
    <t>Electro-thermic appliances: n.e.c. in heading no. 8516, used for domestic purposes</t>
  </si>
  <si>
    <t>Resistors: electric heating, other than those of heading no. 8545</t>
  </si>
  <si>
    <t>Electro-thermic appliances: parts, of heating resistors, of water, space and soil heaters, hair-dressing apparatus, hand dryers, smoothing irons and other domestic appliances of heading no. 8516</t>
  </si>
  <si>
    <t>Line telephone sets with cordless handsets</t>
  </si>
  <si>
    <t>Telephones for cellular networks or for other wireless networks</t>
  </si>
  <si>
    <t>Telephone sets n.e.c. in item no. 8517.1</t>
  </si>
  <si>
    <t>Base stations</t>
  </si>
  <si>
    <t>Communication apparatus (excluding telephone sets or base stations): machines for the reception, conversion and transmission or regeneration of voice, images or other data, including switching and routing apparatus</t>
  </si>
  <si>
    <t>Communication apparatus (excluding telephone sets or base stations): machines for the transmission or reception of  voice, images or other data (including wired/wireless networks), n.e.c. in item no. 8517.6</t>
  </si>
  <si>
    <t>Telephone sets and other apparatus for the transmission or reception of voice, images or other data, via a wired or wireless network: parts</t>
  </si>
  <si>
    <t>Microphones and stands therefor</t>
  </si>
  <si>
    <t>Loudspeakers: single, mounted in their enclosures</t>
  </si>
  <si>
    <t>Loudspeakers: multiple, mounted in the same enclosure</t>
  </si>
  <si>
    <t>Loudspeakers: not mounted in their enclosures</t>
  </si>
  <si>
    <t>Headphones and earphones, whether or not combined with a microphone, and sets consisting of a microphone and one or more loudspeakers</t>
  </si>
  <si>
    <t>Amplifiers: audio-frequency electric</t>
  </si>
  <si>
    <t>Amplifier sets: electric sound</t>
  </si>
  <si>
    <t>Microphones, headphones, earphones, amplifier equipment: parts of the equipment of heading no. 8518</t>
  </si>
  <si>
    <t>Sound recording or reproducing apparatus: operated by coins, banknotes, bank cards, tokens or by other means of payment</t>
  </si>
  <si>
    <t>Sound recording or reproducing apparatus: turntables (record-decks)</t>
  </si>
  <si>
    <t>Sound recording or reproducing apparatus: telephone answering machines</t>
  </si>
  <si>
    <t>Sound recording or reproducing apparatus: using magnetic, optical or semiconductor media, n.e.c. in item no 8519.20, 8519.30 or 8519.50</t>
  </si>
  <si>
    <t>Sound recording or reproducing apparatus: n.e.c. in heading no 8519</t>
  </si>
  <si>
    <t>Video recording or reproducing apparatus: magnetic tape-type</t>
  </si>
  <si>
    <t>Video recording or reproducing apparatus: other than magnetic tape-type</t>
  </si>
  <si>
    <t>Sound recording or reproducing apparatus: parts and accessories thereof, pick-up cartridges</t>
  </si>
  <si>
    <t>Sound recording or reproducing apparatus: parts and accessories thereof, other than pick-up cartridges</t>
  </si>
  <si>
    <t>Magnetic media: cards incorporating a magnetic stripe, whether or not recorded, excluding products of Chapter 37</t>
  </si>
  <si>
    <t>Magnetic media: other than cards incorporating a magnetic stripe, whether or not recorded, excluding products of Chapter 37</t>
  </si>
  <si>
    <t>Optical media, whether or not recorded, excluding products of Chapter 37</t>
  </si>
  <si>
    <t>Semiconductor media: solid-state non-volatile storage devices, whether or not recorded, excluding products of Chapter 37</t>
  </si>
  <si>
    <t>Semiconductor media: smart cards, whether or not recorded, excluding products of Chapter 37</t>
  </si>
  <si>
    <t>Semiconductor media: other than smart cards, whether or not recorded, excluding products of Chapter 37</t>
  </si>
  <si>
    <t>Media n.e.c. in heading 8523, whether or not recorded, excluding products of Chapter 37</t>
  </si>
  <si>
    <t>Transmission apparatus for radio-broadcasting or television, whether or not incorporating sound recording or reproducing apparatus, not incorporating reception apparatus</t>
  </si>
  <si>
    <t>Transmission apparatus for radio-broadcasting or television, whether or not incorporating sound recording or reproducing apparatus, incorporating reception apparatus</t>
  </si>
  <si>
    <t>Television cameras, digital cameras and video camera recorders</t>
  </si>
  <si>
    <t>Radar apparatus</t>
  </si>
  <si>
    <t>Radio navigational aid apparatus</t>
  </si>
  <si>
    <t>Radio remote control apparatus</t>
  </si>
  <si>
    <t>Radio broadcast receivers capable of operating without an external power source: pocket-size radio cassette-players</t>
  </si>
  <si>
    <t>Radio broadcast receivers capable of operating without an external power source: apparatus (other than pocket-size radio cassette-players), combined with sound recording or reproducing apparatus</t>
  </si>
  <si>
    <t>Radio broadcast receivers capable of operating without an external power source: n.e.c. in item no. 8527.1</t>
  </si>
  <si>
    <t>Radio-broadcast receivers not capable of operating without an external source of power, of a kind used in motor vehicles: combined with sound recording or reproducing apparatus</t>
  </si>
  <si>
    <t>Radio-broadcast receivers not capable of operating without an external source of power, of a kind used in motor vehicles: not combined with sound recording or reproducing apparatus</t>
  </si>
  <si>
    <t>Radio-broadcast receivers n.e.c. in heading no. 8527: combined with sound recording or reproducing apparatus</t>
  </si>
  <si>
    <t>Radio-broadcast receivers n.e.c. in heading no. 8527: not combined with sound recording or reproducing apparatus but combined with a clock</t>
  </si>
  <si>
    <t>Radio-broadcast receivers n.e.c. in heading no. 8527: not combined with sound recording or reproducing apparatus and not combined with a clock</t>
  </si>
  <si>
    <t>Cathode-ray tube monitors: of a kind solely or principally used in an automatic data processing system of heading 84.71</t>
  </si>
  <si>
    <t>Cathode-ray tube monitors: other than of a kind solely or principally used in an automatic data processing system of heading 84.71</t>
  </si>
  <si>
    <t>Monitors other than cathode-ray tube: of a kind solely or principally used in an automatic data processing system of heading 84.71</t>
  </si>
  <si>
    <t>Monitors other than cathode-ray tube: other than of a kind solely or principally used in an automatic data processing system of heading 84.71</t>
  </si>
  <si>
    <t>Projectors: of a kind solely or principally used in an automatic data processing system of heading 84.71</t>
  </si>
  <si>
    <t>Projectors: other than of a kind solely or principally used in an automatic data processing system of heading 84.71</t>
  </si>
  <si>
    <t>Reception apparatus for television, whether or not incorporating radio-broadcast receivers or sound or video recording or reproducing apparatus: not designed to incorporate a video display or screen</t>
  </si>
  <si>
    <t>Reception apparatus for television, whether or not incorporating radio-broadcast receivers or sound or video recording or reproducing apparatus: incorporating a colour video display or screen</t>
  </si>
  <si>
    <t>Reception apparatus for television, whether or not incorporating radio-broadcast receivers or sound or video recording or reproducing apparatus: incorporating a black and white or other monochrome video display or screen</t>
  </si>
  <si>
    <t>Reception and transmission apparatus: aerials and aerial reflectors of all kinds and parts suitable for use therewith</t>
  </si>
  <si>
    <t>Reception and transmission apparatus: for use with the apparatus of heading no. 8525 to 8528, excluding aerials and aerial reflectors</t>
  </si>
  <si>
    <t>Signalling, safety or traffic control equipment: for railways or tramways (excluding those of heading no. 8608)</t>
  </si>
  <si>
    <t>Signalling, safety or traffic control equipment: for roads, inland waterways, parking facilities, port installations or airfields (excluding those of heading no. 8608)</t>
  </si>
  <si>
    <t>Signalling apparatus: parts of safety, traffic control equipment for railways, tramways, roads, inland waterways, airfields, parking facilities, port instalments (excluding those of heading no. 8608)</t>
  </si>
  <si>
    <t>Signalling apparatus: electric, sound or visual, burglar or fire alarms and similar, other than those of heading no. 8512 or 8530</t>
  </si>
  <si>
    <t>Signalling apparatus: electric, sound or visual, indicator panels incorporating liquid crystal devices (LCD) or light emitting diodes (LED), excluding those of heading no. 8512 or 8530</t>
  </si>
  <si>
    <t>Signalling apparatus: electric, sound or visual, apparatus n.e.c. in heading no. 8531, excluding those of heading no. 8512 or 8530</t>
  </si>
  <si>
    <t>Signalling apparatus: parts of the electric, sound or visual apparatus of heading no. 8531</t>
  </si>
  <si>
    <t>Electrical capacitors: fixed, designed for use in 50/60 Hz circuits and having a reactive power handling capacity of not less than 0.5 kvar (power capacitors)</t>
  </si>
  <si>
    <t>Electrical capacitors: fixed, tantalum</t>
  </si>
  <si>
    <t>Electrical capacitors: fixed, aluminium electrolytic</t>
  </si>
  <si>
    <t>Electrical capacitors: fixed, ceramic dielectric, single layer</t>
  </si>
  <si>
    <t>Electrical capacitors: fixed, ceramic dielectric, multilayer</t>
  </si>
  <si>
    <t>Electrical capacitors: fixed, dielectric of paper or plastics</t>
  </si>
  <si>
    <t>Electrical capacitors: fixed, n.e.c. in heading no. 8532</t>
  </si>
  <si>
    <t>Electrical capacitors: variable or adjustable (pre-set) capacitors</t>
  </si>
  <si>
    <t>Electrical capacitors: parts of the capacitors of heading no. 8532</t>
  </si>
  <si>
    <t>Electrical resistors: fixed carbon resistors, composition or film types (including rheostats and potentiometers but excluding heating resistors)</t>
  </si>
  <si>
    <t>Electrical resistors: fixed, for a power handling capacity not exceeding 20W (including rheostats and potentiometers but excluding heating resistors and carbon resistors)</t>
  </si>
  <si>
    <t>Electrical resistors: fixed, for a power handling capacity exceeding 20W (including rheostats and potentiometers but excluding heating resistors and carbon resistors)</t>
  </si>
  <si>
    <t>Electrical resistors: wirewound variable, including rheostats and potentiometers, for a power handling capacity not exceeding 20W (excluding heating)</t>
  </si>
  <si>
    <t>Electrical resistors: wirewound variable, including rheostats and potentiometers, for a power handling capacity exceeding 20W (excluding heating)</t>
  </si>
  <si>
    <t>Electrical resistors: variable, including rheostats and potentiometers (excluding heating)</t>
  </si>
  <si>
    <t>Resistors: parts of the resistors of heading no. 8533</t>
  </si>
  <si>
    <t>Circuits: printed</t>
  </si>
  <si>
    <t>Electrical apparatus: fuses, for a voltage exceeding 1000 volts</t>
  </si>
  <si>
    <t>Electrical apparatus: automatic circuit breakers, for a voltage exceeding 1000 volts but less than 72.5kV</t>
  </si>
  <si>
    <t>Electrical apparatus: automatic circuit breakers, for a voltage of 72.5kV or more</t>
  </si>
  <si>
    <t>Electrical apparatus: isolating and make-and-break switches, for a voltage exceeding 1000 volts</t>
  </si>
  <si>
    <t>Electrical apparatus: lightning arresters, voltage limiters and surge suppressors (for a voltage exceeding 1000 volts)</t>
  </si>
  <si>
    <t>Electrical apparatus: n.e.c. in heading no. 8535, for switching or protecting electrical circuits, for a voltage exceeding 1000 volts</t>
  </si>
  <si>
    <t>Electrical apparatus: fuses, for a voltage not exceeding 1000 volts</t>
  </si>
  <si>
    <t>Electrical apparatus: automatic circuit breakers, for a voltage not exceeding 1000 volts</t>
  </si>
  <si>
    <t>Electrical apparatus: for protecting electrical circuits, n.e.c. in heading no. 8536, for a voltage not exceeding 1000 volts</t>
  </si>
  <si>
    <t>Electrical apparatus: relays, (for a voltage not exceeding 60 volts)</t>
  </si>
  <si>
    <t>Electrical apparatus: relays, for a voltage exceeding 60 volts</t>
  </si>
  <si>
    <t>Electrical apparatus: switches n.e.c. in heading no. 8536, for a voltage not exceeding 1000 volts</t>
  </si>
  <si>
    <t>Electrical apparatus: lamp-holders, for a voltage not exceeding 1000 volts</t>
  </si>
  <si>
    <t>Electrical apparatus: plugs and sockets, for a voltage not exceeding 1000 volts</t>
  </si>
  <si>
    <t>Connectors for optical fibres, optical fibre bundles or cables</t>
  </si>
  <si>
    <t>Electrical apparatus: n.e.c. in heading no. 8536, for switching or protecting electrical circuits, for a voltage not exceeding 1000 volts</t>
  </si>
  <si>
    <t>Boards, panels, consoles, desks and other bases: for electric control or the distribution of electricity, (other than switching apparatus of heading no. 8517), for a voltage not exceeding 1000 volts</t>
  </si>
  <si>
    <t>Boards, panels, consoles, desks and other bases: for electric control or the distribution of electricity, (other than switching apparatus of heading no. 8517), for a voltage exceeding 1000 volts</t>
  </si>
  <si>
    <t>Electrical apparatus: parts (e.g. boards, panels, consoles, desks, cabinets, other bases), for goods of heading no. 8537, not equipped with their apparatus</t>
  </si>
  <si>
    <t>Electrical apparatus: parts suitable for use solely or principally with the apparatus of heading no. 8535, 8536 or 8537</t>
  </si>
  <si>
    <t>Lamps: sealed beam units</t>
  </si>
  <si>
    <t>Lamps: filament, (excluding ultra-violet or infra-red), tungsten halogen</t>
  </si>
  <si>
    <t>Lamps: filament, (excluding ultra-violet or infra-red), of a power not exceeding 200W and for a voltage exceeding 100 volts, other than tungsten halogen</t>
  </si>
  <si>
    <t>Lamps: filament, (excluding ultra-violet or infra-red), n.e.c. in item no. 8539.2</t>
  </si>
  <si>
    <t>Lamps: discharge, (excluding ultra-violet), fluorescent, hot cathode</t>
  </si>
  <si>
    <t>Lamps: discharge, (excluding ultra-violet), mercury or sodium vapour lamps, metal halide lamps</t>
  </si>
  <si>
    <t>Lamps: discharge, (excluding ultra-violet, excluding fluorescent, hot cathode)</t>
  </si>
  <si>
    <t>Lamps: arc-lamps</t>
  </si>
  <si>
    <t>Lamps: ultra-violet or infra-red lamps, (excluding arc-lamps)</t>
  </si>
  <si>
    <t>Lamps: parts of the lamps of heading no. 8539</t>
  </si>
  <si>
    <t>Tubes: cathode-ray television picture tubes, including video monitor cathode-ray tubes, colour</t>
  </si>
  <si>
    <t>Tubes: cathode-ray television picture tubes, including video monitor cathode-ray tubes, black and white or other monochrome</t>
  </si>
  <si>
    <t>Tubes: television camera tubes, image converters and intensifiers, other photo-cathode tubes</t>
  </si>
  <si>
    <t>Tubes: data/graphic display, colour, with a phosphor dot screen pitch smaller than 0.4mm</t>
  </si>
  <si>
    <t>Tubes: data/graphic display, black and white or other monochrome</t>
  </si>
  <si>
    <t>Tubes: cathode ray, n.e.c. in heading no. 8540</t>
  </si>
  <si>
    <t>Tubes: microwave, magnetrons, excluding grid-controlled tubes</t>
  </si>
  <si>
    <t>Tubes: microwave, klystrons, excluding grid-controlled tubes</t>
  </si>
  <si>
    <t>Tubes: microwave, other than magnetrons and klystrons, (for example travelling wave tubes, carlinotrons), excluding grid-controlled tubes</t>
  </si>
  <si>
    <t>Valves and tubes: receiver or amplifier</t>
  </si>
  <si>
    <t>Valves and tubes: n.e.c. in heading no. 8540</t>
  </si>
  <si>
    <t>Tubes: parts of cathode-ray tubes</t>
  </si>
  <si>
    <t>Valves and tubes: parts of the valves and tubes of heading no. 8540, excluding parts of cathode-ray tubes</t>
  </si>
  <si>
    <t>Electrical apparatus: diodes, other than photosensitive or light emitting diodes</t>
  </si>
  <si>
    <t>Electrical apparatus: transistors, (other than photosensitive), with a dissipation rate of less than 1W</t>
  </si>
  <si>
    <t>Electrical apparatus: transistors, (other than photosensitive), with a dissipation rate of 1W or more</t>
  </si>
  <si>
    <t>Electrical apparatus: thyristors, diacs and triacs, other than photosensitive devices</t>
  </si>
  <si>
    <t>Electrical apparatus: photosensitive, including photovoltaic cells, whether or not assembled in modules or made up into panels, light emitting diodes</t>
  </si>
  <si>
    <t>Electrical apparatus: photosensitive semiconductor devices n.e.c. in heading no. 8541, including photovoltaic cells, whether or not assembled in modules or made up into panels</t>
  </si>
  <si>
    <t>Crystals: mounted piezo-electric</t>
  </si>
  <si>
    <t>Electrical apparatus: parts for diodes, transistors and similar semiconductor devices and photosensitive semiconductor devices</t>
  </si>
  <si>
    <t>Electronic integrated circuits: processors and controllers, whether or not combined with memories, converters, logic circuits, amplifiers, clock and timing circuits, or other circuits</t>
  </si>
  <si>
    <t>Electronic integrated circuits: memories</t>
  </si>
  <si>
    <t>Electronic integrated circuits: amplifiers</t>
  </si>
  <si>
    <t>Electronic integrated circuits: n.e.c. in heading no. 8542</t>
  </si>
  <si>
    <t>Parts of electronic integrated circuits</t>
  </si>
  <si>
    <t>Electrical machines and apparatus: particle accelerators</t>
  </si>
  <si>
    <t>Electrical machines and apparatus: signal generators</t>
  </si>
  <si>
    <t>Electrical machines and apparatus: for electroplating, electrolysis or electrophoresis</t>
  </si>
  <si>
    <t>Electrical machines and apparatus: having individual functions, not specified or included elsewhere in this chapter, n.e.c. in heading no. 8543</t>
  </si>
  <si>
    <t>Electrical machines and apparatus: parts of the electrical goods of heading no. 8543</t>
  </si>
  <si>
    <t>Insulated electric conductors: winding wire, of copper</t>
  </si>
  <si>
    <t>Insulated electric conductors: winding wire, (of other than copper)</t>
  </si>
  <si>
    <t>Insulated electric conductors: co-axial cable and other co-axial electric conductors</t>
  </si>
  <si>
    <t>Insulated electric conductors: ignition wiring sets and other wiring sets of a kind used in vehicles, aircraft or ships</t>
  </si>
  <si>
    <t>Insulated electric conductors: for a voltage not exceeding 1000 volts, fitted with connectors</t>
  </si>
  <si>
    <t>Insulated electric conductors: for a voltage not exceeding 1000 volts, not fitted with connectors</t>
  </si>
  <si>
    <t>Insulated electric conductors: for a voltage exceeding 1000 volts</t>
  </si>
  <si>
    <t>Insulated electric conductors: optical fibre cables</t>
  </si>
  <si>
    <t>Carbon electrodes: with or without metal, of a kind used for furnaces</t>
  </si>
  <si>
    <t>Carbon electrodes: with or without metal, of a kind used for other than furnaces</t>
  </si>
  <si>
    <t>Carbon brushes: with or without metal, used for electrical purposes</t>
  </si>
  <si>
    <t>Carbon: lamp carbons, battery carbons and other articles of graphite or other carbon, with or without metal, of a kind used for electrical purposes</t>
  </si>
  <si>
    <t>Electrical insulators: of glass</t>
  </si>
  <si>
    <t>Electrical insulators: of ceramics</t>
  </si>
  <si>
    <t>Electrical insulators: other than of glass and ceramics</t>
  </si>
  <si>
    <t>Insulating fittings: of ceramics, for electrical machines, of insulating material only (except minor assembly parts), excluding those of heading no. 8546</t>
  </si>
  <si>
    <t>Insulating fittings: of plastics, for electrical machines, of insulating material only (except minor assembly parts), excluding those of heading no. 8546</t>
  </si>
  <si>
    <t>Insulating fittings: (other than of ceramics or plastics), for electrical machines, appliances and equipment, excluding insulators of heading no. 8546</t>
  </si>
  <si>
    <t>Waste and scrap of primary cells, primary batteries and electric accumulators: spent primary cells, spent primary batteries and spent electric accumulators</t>
  </si>
  <si>
    <t>Electrical parts of machinery or apparatus: n.e.c. in chapter 85</t>
  </si>
  <si>
    <t>Rail locomotives: powered from an external source of electricity</t>
  </si>
  <si>
    <t>Rail locomotives: powered by electric accumulators</t>
  </si>
  <si>
    <t>Rail locomotives: diesel-electric powered</t>
  </si>
  <si>
    <t>Rail locomotives and locomotive tenders: other than diesel-electric powered</t>
  </si>
  <si>
    <t>Railway or tramway coaches, vans and trucks: self-propelled, powered from an external source of electricity (excluding those of heading no. 8604)</t>
  </si>
  <si>
    <t>Railway or tramway coaches, vans and trucks: self-propelled, powered other than from an external source of electricity (excluding those of heading no. 8604)</t>
  </si>
  <si>
    <t>Railway or tramway maintenance or service vehicles: whether or not self-propelled (e.g. workshops, cranes, ballast tampers, trackliners, testing coaches and track inspection vehicles)</t>
  </si>
  <si>
    <t>Railway or tramway coaches: passenger coaches, luggage vans, post office coaches and other special purpose railway or tramway coaches, not self-propelled (excluding those of heading no. 8604)</t>
  </si>
  <si>
    <t>Railway or tramway goods vans and wagons: tank wagons and the like, not self-propelled</t>
  </si>
  <si>
    <t>Railway or tramway goods vans and wagons: self-discharging, not self-propelled, excluding those of item no. 8606.10</t>
  </si>
  <si>
    <t>Railway or tramway goods vans and wagons: covered and closed, not self-propelled</t>
  </si>
  <si>
    <t>Railway or tramway goods vans and wagons: open, with non-removable sides of a height exceeding 60cm, not self-propelled</t>
  </si>
  <si>
    <t>Railway or tramway goods vans and wagons: n.e.c. in heading no. 8606, not self-propelled</t>
  </si>
  <si>
    <t>Railway or tramway locomotives or rolling stock: parts, driving bogies and bissel-bogies</t>
  </si>
  <si>
    <t>Railway or tramway locomotives or rolling stock: parts, bogies and bissel-bogies (excluding driving bogies and bissel-bogies)</t>
  </si>
  <si>
    <t>Railway or tramway locomotives or rolling stock: parts, axles and wheels, and parts thereof</t>
  </si>
  <si>
    <t>Railway or tramway locomotives or rolling stock: parts, air brakes and parts thereof</t>
  </si>
  <si>
    <t>Railway or tramway locomotives or rolling stock: parts, brakes (other than air brakes) and parts thereof</t>
  </si>
  <si>
    <t>Railway or tramway locomotives or rolling stock: parts, hooks and other coupling devices, buffers and parts thereof</t>
  </si>
  <si>
    <t>Railway or tramway locomotives: parts n.e.c. in heading no. 8607</t>
  </si>
  <si>
    <t>Railway or tramway rolling stock: parts n.e.c. in heading no. 8607</t>
  </si>
  <si>
    <t>Railway or tramway track fixtures and fittings: mechanical (including electro-mechanical) signalling, safety or traffic control equipment for railways, tramways, roads, inland waterways, parking facilities, port installations or airfields: parts thereof</t>
  </si>
  <si>
    <t>Containers: (including containers for transport of fluids) specially designed and equipped for carriage by one or more modes of transport</t>
  </si>
  <si>
    <t>Tractors: pedestrian controlled</t>
  </si>
  <si>
    <t>Tractors: road, for semi-trailers</t>
  </si>
  <si>
    <t>Tractors: track-laying</t>
  </si>
  <si>
    <t>Tractors: n.e.c. in heading no 8701 (other than tractors of heading no 8709)</t>
  </si>
  <si>
    <t>Vehicles: public transport type (carries 10 or more passengers), compression-ignition internal combustion piston engine (diesel or semi-diesel)</t>
  </si>
  <si>
    <t>Vehicles: public transport type (carries 10 or more passengers), other than compression-ignition internal combustion piston engine (diesel or semi-diesel)</t>
  </si>
  <si>
    <t>Vehicles: specially designed for travelling on snow, golf cars and similar vehicles</t>
  </si>
  <si>
    <t>Vehicles: spark-ignition internal combustion reciprocating piston engine, cylinder capacity not exceeding 1000cc</t>
  </si>
  <si>
    <t>Vehicles: spark-ignition internal combustion reciprocating piston engine, cylinder capacity exceeding 1000cc but not exceeding 1500cc</t>
  </si>
  <si>
    <t>Vehicles: spark-ignition internal combustion reciprocating piston engine, cylinder capacity exceeding 1500cc but not exceeding 3000cc</t>
  </si>
  <si>
    <t>Vehicles: spark-ignition internal combustion reciprocating piston engine, cylinder capacity exceeding 3000cc</t>
  </si>
  <si>
    <t>Vehicles: compression-ignition internal combustion piston engine (diesel or semi-diesel), cylinder capacity not exceeding 1500cc</t>
  </si>
  <si>
    <t>Vehicles: compression-ignition internal combustion piston engine (diesel or semi-diesel), cylinder capacity exceeding 1500cc but not exceeding 2500cc</t>
  </si>
  <si>
    <t>Vehicles: compression-ignition internal combustion piston engine (diesel or semi-diesel), cylinder capacity exceeding 2500cc</t>
  </si>
  <si>
    <t>Vehicles: for transport of persons (other than those of heading no. 8702) n.e.c. in heading no. 8703, including station wagons and racing cars</t>
  </si>
  <si>
    <t>Vehicles: dumpers, designed for off-highway use, for transport of goods</t>
  </si>
  <si>
    <t>Vehicles: compression-ignition internal combustion piston engine (diesel or semi-diesel), for transport of goods, (of a gvw not exceeding 5 tonnes), n.e.c. in item no 8704.1</t>
  </si>
  <si>
    <t>Vehicles: compression-ignition internal combustion piston engine (diesel or semi-diesel), for transport of goods, (of a g.v.w. exceeding 5 tonnes but not exceeding 20 tonnes), n.e.c. in item no 8704.1</t>
  </si>
  <si>
    <t>Vehicles: compression-ignition internal combustion piston engine (diesel or semi-diesel), for transport of goods, (of a g.v.w. exceeding 20 tonnes), n.e.c. in item no 8704.1</t>
  </si>
  <si>
    <t>Vehicles: spark-ignition internal combustion piston engine, for transport of goods, (of a g.v.w. not exceeding 5 tonnes), n.e.c. in item no 8704.1</t>
  </si>
  <si>
    <t>Vehicles: spark-ignition internal combustion piston engine, for transport of goods, (of a g.v.w. exceeding 5 tonnes), n.e.c. in item no 8704.1</t>
  </si>
  <si>
    <t>Vehicles: for transport of goods, n.e.c. in heading no. 8704</t>
  </si>
  <si>
    <t>Vehicles: crane lorries</t>
  </si>
  <si>
    <t>Vehicles: mobile drilling derricks</t>
  </si>
  <si>
    <t>Vehicles: fire fighting vehicles</t>
  </si>
  <si>
    <t>Vehicles: concrete-mixer lorries</t>
  </si>
  <si>
    <t>Vehicles: break-down lorries, road-sweepers, spraying lorries, mobile workshops, mobile radiological units, and other special purpose vehicles n.e.c. in heading no. 8705</t>
  </si>
  <si>
    <t>Chassis: fitted with engines, for the motor vehicles of heading no. 8701 to 8705</t>
  </si>
  <si>
    <t>Vehicles: bodies (including cabs) for the motor vehicles of heading no. 8703</t>
  </si>
  <si>
    <t>Vehicles: bodies (including cabs) for the motor vehicles of heading no. 8701, 8702, 8704 or 8705</t>
  </si>
  <si>
    <t>Vehicles: bumpers and parts thereof, for the vehicles of heading no. 8701 to 8705</t>
  </si>
  <si>
    <t>Vehicles: parts of bodies, safety seat belts</t>
  </si>
  <si>
    <t>Vehicles: parts and accessories, of bodies, other than safety seat belts</t>
  </si>
  <si>
    <t>Vehicle parts: brakes, servo-brakes and parts thereof</t>
  </si>
  <si>
    <t>Vehicle parts: gear boxes and parts thereof</t>
  </si>
  <si>
    <t>Vehicle parts: drive-axles with differential, whether or not provided with other transmission components, and non-driving axles: parts thereof</t>
  </si>
  <si>
    <t>Vehicle parts: road wheels and parts and accessories thereof</t>
  </si>
  <si>
    <t>Vehicle parts: suspension systems and parts thereof (including shock-absorbers)</t>
  </si>
  <si>
    <t>Vehicle parts: radiators and parts thereof</t>
  </si>
  <si>
    <t>Vehicle parts: silencers (mufflers) and exhaust pipes: parts thereof</t>
  </si>
  <si>
    <t>Vehicle parts: clutches and parts thereof</t>
  </si>
  <si>
    <t>Vehicle parts: steering wheels, steering columns and steering boxes: parts thereof</t>
  </si>
  <si>
    <t>Vehicle parts: safety airbags with inflater system: parts thereof</t>
  </si>
  <si>
    <t>Vehicle parts and accessories: n.e.c. in heading no. 8708</t>
  </si>
  <si>
    <t>Vehicles: electrical, self-propelled, (not fitted with lifting or handling equipment), of the type used for short distance transport of goods in factories, warehouses, dock areas or airports</t>
  </si>
  <si>
    <t>Vehicles: (not electrical), self-propelled, without handling equipment, used for short distance transport of goods in factories, airports and such, and tractors of the type used on railway station platforms</t>
  </si>
  <si>
    <t>Vehicles: parts of the vehicles of heading no. 8709</t>
  </si>
  <si>
    <t>Tanks and other armoured fighting vehicles: motorised, whether or not fitted with weapons, and parts of such vehicles</t>
  </si>
  <si>
    <t>Motorcycles (including mopeds) and cycles: fitted with an auxiliary motor, with reciprocating internal combustion piston engine not exceeding 50cc, with or without side-cars: side-cars</t>
  </si>
  <si>
    <t>Motorcycles (including mopeds) and cycles: fitted with an auxiliary motor, reciprocating internal combustion piston engine, of cylinder capacity exceeding 50cc but not exceeding 250cc, with or without side-cars: side-cars</t>
  </si>
  <si>
    <t>Motorcycles (including mopeds) and cycles: fitted with an auxiliary motor, reciprocating internal combustion piston engine, of cylinder capacity exceeding 250cc but not exceeding 500cc, with or without side-cars: side-cars</t>
  </si>
  <si>
    <t>Motorcycles (including mopeds) and cycles: fitted with auxiliary motor, reciprocating internal combustion piston engine of cylinder capacity exceeding 500cc but not exceeding 800cc, with or without sidecars: side-cars</t>
  </si>
  <si>
    <t>Motorcycles (including mopeds) and cycles: fitted with auxiliary motor, with reciprocating internal combustion piston engine of a cylinder capacity exceeding 800cc, with or without side-cars: side-cars</t>
  </si>
  <si>
    <t>Motorcycles (including mopeds) and cycles: n.e.c. in heading no. 8711, fitted with auxiliary motor, with or without side-cars: side-cars</t>
  </si>
  <si>
    <t>Bicycles and other cycles: including delivery tricycles, not motorised</t>
  </si>
  <si>
    <t>Carriages for disabled persons: not mechanically propelled</t>
  </si>
  <si>
    <t>Carriages for disabled persons: mechanically propelled</t>
  </si>
  <si>
    <t>Motorcycles (including mopeds): parts, saddles</t>
  </si>
  <si>
    <t>Motorcycles (including mopeds): parts, other than saddles</t>
  </si>
  <si>
    <t>Carriages for disabled persons: parts and accessories thereof</t>
  </si>
  <si>
    <t>Cycles: frames and forks, and parts thereof</t>
  </si>
  <si>
    <t>Cycles: parts thereof, wheel rims and spokes</t>
  </si>
  <si>
    <t>Cycles: parts thereof, hubs (other than coaster braking hubs and hubbrakes), and free-wheel sprocket-wheels</t>
  </si>
  <si>
    <t>Cycles: parts thereof, brakes, including coaster braking hubs and hub-brakes, and parts thereof</t>
  </si>
  <si>
    <t>Cycles: parts thereof, saddles</t>
  </si>
  <si>
    <t>Cycles: parts, pedals and crank-gear, and parts thereof</t>
  </si>
  <si>
    <t>Cycles: parts thereof, n.e.c. in item no. 8714.9</t>
  </si>
  <si>
    <t>Baby carriages and parts thereof</t>
  </si>
  <si>
    <t>Trailers and semi-trailers: of the caravan type, for housing or camping</t>
  </si>
  <si>
    <t>Trailers and semi-trailers: self-loading or self-unloading, for agricultural purposes</t>
  </si>
  <si>
    <t>Tanker trailers and tanker semi-trailers</t>
  </si>
  <si>
    <t>Trailers and semi-trailers: (other than tanker type)</t>
  </si>
  <si>
    <t>Trailers and semi-trailers: n.e.c. in item no. 8716.3</t>
  </si>
  <si>
    <t>Vehicles: n.e.c. in heading no. 8716</t>
  </si>
  <si>
    <t>Trailers, semi-trailers and other vehicles not mechanically propelled: parts thereof for heading no. 8716</t>
  </si>
  <si>
    <t>Balloons and dirigibles: gliders, hang gliders and other non-powered aircraft.</t>
  </si>
  <si>
    <t>Helicopters: of an unladen weight not exceeding 2000kg</t>
  </si>
  <si>
    <t>Helicopters: of an unladen weight exceeding 2000kg</t>
  </si>
  <si>
    <t>Aeroplanes and other aircraft: of an unladen weight not exceeding 2000kg</t>
  </si>
  <si>
    <t>Aeroplanes and other aircraft: of an unladen weight exceeding 2000kg but not exceeding 15,000kg</t>
  </si>
  <si>
    <t>Aeroplanes and other aircraft: of an unladen weight exceeding 15,000kg</t>
  </si>
  <si>
    <t>Spacecraft: (including satellites) and suborbital and spacecraft launch vehicles</t>
  </si>
  <si>
    <t>Aircraft and spacecraft: propellers and rotors and parts thereof</t>
  </si>
  <si>
    <t>Aircraft and spacecraft: under-carriages and parts thereof</t>
  </si>
  <si>
    <t>Aircraft and spacecraft: parts of aeroplanes or helicopters n.e.c. in heading no. 8803</t>
  </si>
  <si>
    <t>Aircraft and spacecraft: parts thereof n.e.c. in chapter 88</t>
  </si>
  <si>
    <t>Parachutes (including dirigible parachutes and paragliders) and rotochutes: parts thereof and accessories thereto</t>
  </si>
  <si>
    <t>Aircraft launching gear, deck-arrestor or similar gear and parts thereof</t>
  </si>
  <si>
    <t>Ground flying trainers and parts thereof: air combat simulators and parts thereof</t>
  </si>
  <si>
    <t>Ground flying trainers and parts thereof: other than air combat simulators and parts thereof</t>
  </si>
  <si>
    <t>Cruise ships, excursion boats and similar vessels, principally designed for the transport of persons, ferry boats of all kinds</t>
  </si>
  <si>
    <t>Tankers</t>
  </si>
  <si>
    <t>Vessels, refrigerated: other than tankers</t>
  </si>
  <si>
    <t>Vessels: n.e.c. in heading no. 8901, for the transport of goods and other vessels for the transport of both persons and goods</t>
  </si>
  <si>
    <t>Fishing vessels, factory ships and other vessels: for processing or preserving fishery products</t>
  </si>
  <si>
    <t>Yachts and other vessels: for pleasure or sports, rowing boats and canoes, inflatable</t>
  </si>
  <si>
    <t>Sailboats: with or without auxiliary motor, for pleasure or sports, other than inflatable</t>
  </si>
  <si>
    <t>Motorboats: (other than outboard motorboats), for pleasure or sports, other than inflatable</t>
  </si>
  <si>
    <t>Yachts and other vessels: for pleasure or sports, rowing boats and canoes, n.e.c. in heading no. 8903, other than inflatable</t>
  </si>
  <si>
    <t>Tugs and pusher craft</t>
  </si>
  <si>
    <t>Dredgers</t>
  </si>
  <si>
    <t>Floating or submersible drilling or production platforms</t>
  </si>
  <si>
    <t>Vessels: light, fire-floats, floating cranes and other vessels, the navigability of which is subsidiary to their main function, floating docks</t>
  </si>
  <si>
    <t>Vessels: warships</t>
  </si>
  <si>
    <t>Vessels: other, including lifeboats other than rowing boats, other than warships</t>
  </si>
  <si>
    <t>Rafts: inflatable</t>
  </si>
  <si>
    <t>Floating structures: tanks, coffer-dams, landing stages, buoys and beacons</t>
  </si>
  <si>
    <t>Vessels and other floating structures: for breaking up</t>
  </si>
  <si>
    <t>Optical fibres, optical fibre bundles and cables: excluding those of heading no. 8544</t>
  </si>
  <si>
    <t>Optical elements: polarising material, sheets and plates thereof</t>
  </si>
  <si>
    <t>Lenses, contact: unmounted, of any material, excluding elements of glass not optically worked</t>
  </si>
  <si>
    <t>Lenses, spectacle: unmounted, of glass, excluding elements of glass not optically worked</t>
  </si>
  <si>
    <t>Lenses, spectacle: unmounted, of materials other than glass</t>
  </si>
  <si>
    <t>Optical elements: lenses n.e.c. in heading no. 9001, prisms, mirrors and other optical elements, unmounted, of any material (excluding elements of glass not optically worked)</t>
  </si>
  <si>
    <t>Lenses: objective, for cameras, projectors or photographic enlargers or reducers, mounted, being parts or fittings for instruments or apparatus, of any material (excluding glass not optically worked)</t>
  </si>
  <si>
    <t>Lenses: objective, (other than for cameras, projectors or photographic enlargers or reducers), mounted, of any material (excluding elements of glass not optically worked)</t>
  </si>
  <si>
    <t>Filters: mounted as parts or fittings for instruments or apparatus, of any material (excluding elements of glass not optically worked)</t>
  </si>
  <si>
    <t>Optical elements: n.e.c. in heading no. 9002 (e.g. prisms and mirrors), mounted, being parts or fittings for instruments or apparatus, of any material (excluding elements of glass not optically worked)</t>
  </si>
  <si>
    <t>Frames and mountings: for spectacles, goggles or the like, of plastics</t>
  </si>
  <si>
    <t>Frames and mountings: for spectacles, goggles or the like, of materials other than plastics</t>
  </si>
  <si>
    <t>Frames and mountings: parts for spectacles, goggles or the like</t>
  </si>
  <si>
    <t>Sunglasses: corrective, protective or other</t>
  </si>
  <si>
    <t>Spectacles, goggles and the like: (other than sunglasses) corrective, protective or other</t>
  </si>
  <si>
    <t>Binoculars</t>
  </si>
  <si>
    <t>Monoculars: other optical telescopes and astronomical instruments, excluding instruments for radio-astronomy</t>
  </si>
  <si>
    <t>Binoculars, monoculars, other optical telescopes, astronomical instruments (excluding those of radio-astronomy): parts and accessories (including mountings)</t>
  </si>
  <si>
    <t>Cameras, photographic (excluding cinematographic): of a kind used for preparing printing plates or cylinders</t>
  </si>
  <si>
    <t>Cameras, photographic (excluding cinematographic): specially designed for underwater use, aerial survey, medical or surgical examination of internal organs: comparison cameras for forensic or criminological use</t>
  </si>
  <si>
    <t>Cameras, photographic (excluding cinematographic): instant print cameras</t>
  </si>
  <si>
    <t>Cameras, photographic (excluding cinematographic): with a through-the-lens viewfinder, single lens reflex (SLR), for a roll film of a width not exceeding 35mm</t>
  </si>
  <si>
    <t>Cameras, photographic (excluding cinematographic): of a kind (not SLR) for roll film of a width less than 35mm</t>
  </si>
  <si>
    <t>Cameras, photographic (excluding cinematographic): of a kind (not SLR) for roll film of a width of 35mm</t>
  </si>
  <si>
    <t>Cameras, photographic (excluding cinematographic): of a kind (not SLR) for roll film n.e.c. in heading no. 9006</t>
  </si>
  <si>
    <t>Photographic flashlight apparatus: discharge lamp (electronic)</t>
  </si>
  <si>
    <t>Photographic flashlight apparatus: n.e.c. in heading no. 9006</t>
  </si>
  <si>
    <t>Cameras, photographic (excluding cinematographic): parts and accessories</t>
  </si>
  <si>
    <t>Photographic flashlight apparatus: parts and accessories, for other than cameras</t>
  </si>
  <si>
    <t>Cameras, cinematographic: whether or not incorporating sound recording apparatus, for film of less than 16mm width or for double-8mm film</t>
  </si>
  <si>
    <t>Cameras, cinematographic: whether or not incorporating sound recording apparatus, for film n.e.c. in item no. 9007.11</t>
  </si>
  <si>
    <t>Projectors, cinematographic: whether or not incorporating sound recording or reproducing apparatus</t>
  </si>
  <si>
    <t>Cameras, cinematographic: parts and accessories, whether or not incorporating sound recording apparatus</t>
  </si>
  <si>
    <t>Projectors, cinematographic: parts and accessories, whether or not incorporating sound reproducing apparatus</t>
  </si>
  <si>
    <t>Projectors, image: slide (excluding cinematographic)</t>
  </si>
  <si>
    <t>Projectors, image: microfilm, microfiche or other microform readers, whether or not capable of producing copies</t>
  </si>
  <si>
    <t>Projectors, image: (other than slide projectors and microfilm, microfiche or other microform readers), (excluding cinematographic)</t>
  </si>
  <si>
    <t>Photographic (excluding cinematographic) enlargers and reducers</t>
  </si>
  <si>
    <t>Photographic (excluding cinematographic) enlargers and reducers and image projectors: parts and accessories</t>
  </si>
  <si>
    <t>Photographic laboratory apparatus and equipment: for automatically developing photographic (including cinematographic) film or paper in rolls or for automatically exposing developed film to rolls of paper</t>
  </si>
  <si>
    <t>Photographic laboratory apparatus and equipment: n.e.c. in item no. 9010.10, for photographic (including cinematographic) laboratories: negatoscopes</t>
  </si>
  <si>
    <t>Photographic laboratory apparatus and equipment (including cinematographic): projection screens</t>
  </si>
  <si>
    <t>Photographic laboratory apparatus and equipment (including cinematographic): parts and accessories</t>
  </si>
  <si>
    <t>Microscopes, compound optical: stereoscopic microscopes</t>
  </si>
  <si>
    <t>Microscopes, compound optical: for photomicrography, cinephotomicrography or microprojection</t>
  </si>
  <si>
    <t>Microscopes, compound optical: (other than stereoscopic and microscopes for photomicrography, cinephotomicrography or microprojection)</t>
  </si>
  <si>
    <t>Dejar por ahora.</t>
  </si>
  <si>
    <t>Microscopes, compound optical: parts and accessories (including those for photomicrography, cinephotomicrography or microprojection)</t>
  </si>
  <si>
    <t>Microscopes (excluding optical microscopes): diffraction apparatus</t>
  </si>
  <si>
    <t>Microscopes (excluding optical microscopes): diffraction apparatus: parts and accessories</t>
  </si>
  <si>
    <t>Optical appliances and instruments: telescopic sights for fitting to arms: periscopes: telescopes designed to form parts of machines, appliances, instruments or apparatus of this chapter</t>
  </si>
  <si>
    <t>Lasers: other than laser diodes</t>
  </si>
  <si>
    <t>Optical devices, appliances and instruments: n.e.c. in heading no. 9013 (including liquid crystal devices)</t>
  </si>
  <si>
    <t>Optical appliances and instruments: parts and accessories for articles of heading no. 9013</t>
  </si>
  <si>
    <t>Navigational instruments and appliances: direction finding compasses</t>
  </si>
  <si>
    <t>Navigational instruments and appliances: for aeronautical or space navigation (excluding compasses)</t>
  </si>
  <si>
    <t>Navigational instruments and appliances: for navigation other than aeronautical or space navigation (excluding direction finding compasses)</t>
  </si>
  <si>
    <t>Navigational instruments and appliances: parts and accessories</t>
  </si>
  <si>
    <t>Rangefinders</t>
  </si>
  <si>
    <t>Surveying equipment: theodolites and tacheometers</t>
  </si>
  <si>
    <t>Surveying equipment: levels</t>
  </si>
  <si>
    <t>Surveying equipment: photogrammetrical surveying instruments and appliances</t>
  </si>
  <si>
    <t>Surveying equipment: articles n.e.c. in heading no. 9015, including hydrographic, oceanographic, hydrological, meteorological or geophysical instruments and appliances (excluding compasses)</t>
  </si>
  <si>
    <t>Surveying equipment: parts and accessories for articles of heading no. 9015</t>
  </si>
  <si>
    <t>Balances: of a sensitivity of 5cg or better, with or without weights</t>
  </si>
  <si>
    <t>Drafting tables and machines: whether or not automatic</t>
  </si>
  <si>
    <t>Drawing, marking-out or mathematical calculating instruments</t>
  </si>
  <si>
    <t>Mathematical equipment: micrometers, callipers and gauges</t>
  </si>
  <si>
    <t>Mathematical instruments and equipment: n.e.c. in heading no. 9017</t>
  </si>
  <si>
    <t>Drawing, marking-out equipment and mathematical instruments: parts and accessories</t>
  </si>
  <si>
    <t>Medical, surgical instruments and appliances: electro-cardiographs</t>
  </si>
  <si>
    <t>Aparatos (diagnóstico o tratamiento)</t>
  </si>
  <si>
    <t>Medical, surgical instruments and appliances: ultrasonic scanning apparatus</t>
  </si>
  <si>
    <t>Medical, surgical instruments and appliances: magnetic resonance imaging apparatus</t>
  </si>
  <si>
    <t>Medical, surgical instruments and appliances: scintigraphic apparatus</t>
  </si>
  <si>
    <t>Medical, surgical instruments and appliances: electro-diagnostic apparatus (including apparatus for functional exploratory examination or for checking physiological parameters), n.e.c. in item no. 9018.1</t>
  </si>
  <si>
    <t>Medical, surgical instruments and appliances: ultra-violet or infra-red ray apparatus</t>
  </si>
  <si>
    <t>Medical, surgical instruments and appliances: syringes, with or without needles</t>
  </si>
  <si>
    <t>Medical, surgical instruments and appliances: tubular metal needles and needles for sutures</t>
  </si>
  <si>
    <t>Medical, surgical instruments and appliances: catheters, cannulae and the like</t>
  </si>
  <si>
    <t>Dental instruments and appliances: dental drill engines, whether or not combined on a single base with other dental equipment</t>
  </si>
  <si>
    <t>Dental instruments and appliances: other than dental drill engines</t>
  </si>
  <si>
    <t>Ophthalmic instruments and appliances</t>
  </si>
  <si>
    <t>Medical, surgical or dental instruments and appliances: n.e.c. in heading no. 9018</t>
  </si>
  <si>
    <t>Mechano-therapy appliances: massage apparatus and psychological aptitude-testing apparatus</t>
  </si>
  <si>
    <t>Therapeutic respiration apparatus: ozone, oxygen, aerosol therapy apparatus: artificial respiration or other therapeutic respiration apparatus</t>
  </si>
  <si>
    <t>Breathing appliances and gas masks: excluding protective masks having neither mechanical parts nor replaceable filters and excluding apparatus of item no. 9019.20</t>
  </si>
  <si>
    <t>Orthopaedic or fracture appliances</t>
  </si>
  <si>
    <t>Dental fittings: artificial teeth</t>
  </si>
  <si>
    <t>Dental fittings: other than artificial teeth</t>
  </si>
  <si>
    <t>Artificial parts of the body</t>
  </si>
  <si>
    <t>Artificial parts of the body: excluding artificial joints</t>
  </si>
  <si>
    <t>Hearing aids (excluding parts and accessories)</t>
  </si>
  <si>
    <t>Pacemakers: for stimulating heart muscles (excluding parts and accessories)</t>
  </si>
  <si>
    <t>Appliances: worn, carried or implanted in the body, to compensate for a defect or disability</t>
  </si>
  <si>
    <t>Apparatus based on the use of x-rays: including radiography or radiotherapy apparatus, whether or not for medical, surgical, dental or veterinary uses, computed tomography apparatus</t>
  </si>
  <si>
    <t>No entiendo, la 902212 incluye las dos siguientes?? Revisar bd</t>
  </si>
  <si>
    <t>Apparatus based on the use of x-rays: including radiography or radiotherapy apparatus, for dental uses, excluding computed tomography apparatus</t>
  </si>
  <si>
    <t>Apparatus based on the use of x-rays: including radiography or radiotherapy apparatus, for medical, surgical or veterinary uses, not dental uses, excluding computed tomography apparatus</t>
  </si>
  <si>
    <t>Apparatus based on the use of x-rays, including radiography or radiotherapy apparatus: for other than medical, surgical, dental or veterinary uses</t>
  </si>
  <si>
    <t>Apparatus based on the use of alpha, beta or gamma radiations, including radiography or radiotherapy apparatus: for medical, surgical, dental or veterinary uses</t>
  </si>
  <si>
    <t>Apparatus based on the use of alpha, beta or gamma radiations, including radiography or radiotherapy apparatus: (for other than medical, surgical, dental or veterinary uses)</t>
  </si>
  <si>
    <t>X-ray tubes</t>
  </si>
  <si>
    <t>Apparatus based on use of x-rays and similar: parts and accessories (x-ray generators, tubes, high tension generators, control panels and desks, screens, examination or treatment tables, chairs and like</t>
  </si>
  <si>
    <t>Instruments, apparatus and models: designed for demonstrational purposes (in education or exhibitions), unsuitable for other uses</t>
  </si>
  <si>
    <t>Machines and appliances: for testing the hardness, strength, compressibility, elasticity or other mechanical properties of metals</t>
  </si>
  <si>
    <t>Machines and appliances: for testing the hardness, strength, compressibility, elasticity or other mechanical properties of materials other than metals</t>
  </si>
  <si>
    <t>Machines and appliances: parts and accessories for those testing hardness, strength, compressibility, elasticity or other mechanical properties of materials (e.g. metal, wood, textiles, paper, plastics)</t>
  </si>
  <si>
    <t>Thermometers and pyrometers: liquid filled, for direct reading, not combined with other instruments</t>
  </si>
  <si>
    <t>Thermometers and pyrometers: (other than liquid filled, for direct reading), not combined with other instruments</t>
  </si>
  <si>
    <t>Hydrometers and similar floating instruments, barometers, hygrometers, psychrometers, thermometers, pyrometers: recording or not, any combination of these instruments (excluding thermometers and barometers not combined with other instruments)</t>
  </si>
  <si>
    <t>Hydrometers and similar floating instruments, barometers, hygrometers, psychrometers, thermometers, pyrometers: recording or not, any combination of these instruments, parts and accessories</t>
  </si>
  <si>
    <t>Instruments and apparatus: for measuring or checking the flow or level of liquids</t>
  </si>
  <si>
    <t>Instruments and apparatus: for measuring or checking pressure</t>
  </si>
  <si>
    <t>Instruments and apparatus: for measuring or checking variables of liquids or gases (excluding pressure or the flow and level of liquids and those of heading no. 9014, 9015, 9028 and 9032)</t>
  </si>
  <si>
    <t>Instruments and apparatus: parts and accessories for those measuring or checking the flow, level, pressure or other variables of liquids or gases (excluding those of heading no. 9014, 9015, 9028 or 9032)</t>
  </si>
  <si>
    <t>Instruments and apparatus: gas or smoke analysis apparatus, for physical or chemical analysis</t>
  </si>
  <si>
    <t>Chromatographs and electrophoresis instruments</t>
  </si>
  <si>
    <t>Spectrometers, spectrophotometers and spectrographs: using optical radiations (UV, visible, IR)</t>
  </si>
  <si>
    <t>Instruments and apparatus: using optical radiations (UV, visible, IR), (other than spectrometers, spectrophotometers and spectrographs)</t>
  </si>
  <si>
    <t>Instruments and apparatus: for physical or chemical analysis, for measuring or checking viscosity, porosity, expansion, surface tension or quantities of heat, sound or light, n.e.c. in heading no. 9027</t>
  </si>
  <si>
    <t>Microtomes and parts and accessories thereof</t>
  </si>
  <si>
    <t>Meters: gas, supply or production meters, including calibrating meters thereof</t>
  </si>
  <si>
    <t>Meters: liquid supply or production meters, including calibrating meters thereof</t>
  </si>
  <si>
    <t>Meters: electricity supply or production meters, including calibrating meters thereof</t>
  </si>
  <si>
    <t>Meters: parts and accessories of gas, liquid, electricity supply or production meters, including calibrating meters thereof</t>
  </si>
  <si>
    <t>Meters and counters: revolution counters, production counters, taximeters, mileometers, pedometers and the like</t>
  </si>
  <si>
    <t>Meters: speed indicators and tachometers: stroboscopes</t>
  </si>
  <si>
    <t>Meters and counters: parts and accessories for revolution and production counters, taximeters, mileometers, pedometers and the like: speed indicators, tachometers (excluding heading no. 9015), stroboscopes</t>
  </si>
  <si>
    <t>Instruments and apparatus: for measuring or detecting ionising radiations</t>
  </si>
  <si>
    <t>Oscilloscopes and oscillographs</t>
  </si>
  <si>
    <t>Multimeters: for measuring or checking voltage, current, resistance or power, without a recording device</t>
  </si>
  <si>
    <t>Multimeters: for measuring or checking voltage, current, resistance or power, with a recording device</t>
  </si>
  <si>
    <t>Instruments and apparatus: for measuring or checking voltage, current, resistance or power, without a recording device (excluding multimeters)</t>
  </si>
  <si>
    <t>Instruments and apparatus: for measuring or checking voltage, current, resistance or power, with a recording device (excluding multimeters)</t>
  </si>
  <si>
    <t>Instruments and apparatus: specially designed for telecommunications (e.g. cross-talk meters, gain measuring instruments, distortion factor meters, psophometers)</t>
  </si>
  <si>
    <t>Instruments and apparatus: for measuring or checking semiconductor wafers or devices</t>
  </si>
  <si>
    <t>Instruments and apparatus: n.e.c. in heading no. 9030, with a recording device</t>
  </si>
  <si>
    <t>Instruments and apparatus: n.e.c. in heading no. 9030, without a recording device</t>
  </si>
  <si>
    <t>Instruments, apparatus for measuring, checking electrical quantities, not meters of heading no. 9028: parts and accessories, for measuring or detecting alpha, beta, gamma, x-ray, cosmic and other radiations</t>
  </si>
  <si>
    <t>Machines: for balancing mechanical parts</t>
  </si>
  <si>
    <t>Test benches</t>
  </si>
  <si>
    <t>Optical instruments and appliances: for inspecting semiconductor wafers or devices or for inspecting photomasks or reticles used in manufacturing semiconductor devices, n.e.c. in chapter 90</t>
  </si>
  <si>
    <t>Optical instruments and appliances: for measuring or checking, n.e.c. in chapter 90</t>
  </si>
  <si>
    <t>Instruments, appliances and machines: for measuring or checking n.e.c. in chapter 90</t>
  </si>
  <si>
    <t>Instruments, appliances and machines: parts and accessories for those measuring or checking devices of heading no. 9031</t>
  </si>
  <si>
    <t>Regulating or controlling instruments and apparatus: automatic type, thermostats</t>
  </si>
  <si>
    <t>Regulating or controlling instruments and apparatus: automatic, manostats</t>
  </si>
  <si>
    <t>Regulating or controlling instruments and apparatus: automatic, hydraulic or pneumatic</t>
  </si>
  <si>
    <t>Regulating or controlling instruments and apparatus: automatic, other than hydraulic or pneumatic</t>
  </si>
  <si>
    <t>Regulating or controlling instruments and apparatus: automatic, parts and accessories</t>
  </si>
  <si>
    <t>Machines and appliances: instruments or apparatus of chapter 90: parts and accessories n.e.c. in chapter 90</t>
  </si>
  <si>
    <t>Wrist-watches: electrically operated, with or without a stop-watch, with case of precious metal or of metal clad with precious metal, with mechanical display only</t>
  </si>
  <si>
    <t>Wrist-watches: electrically operated, with or without a stop-watch, with case of precious metal or metal clad with precious metal, without mechanical display</t>
  </si>
  <si>
    <t>Wrist-watches: (not electrically operated), automatic winding, whether or not incorporating a stop-watch facility, case of precious metal or of metal clad with precious metal</t>
  </si>
  <si>
    <t>Wrist-watches: (not electrically operated), (not automatic winding), whether or not incorporating a stop-watch facility, case of precious metal or of metal clad with precious metal</t>
  </si>
  <si>
    <t>Pocket-watches and other watches, including stop-watches: (excluding wrist-watches), with case of precious metal or of metal clad with precious metal, electrically operated</t>
  </si>
  <si>
    <t>Pocket-watches and other watches, including stop-watches: (excluding wrist-watches), with case of precious metal or of metal clad with precious metal, not electrically operated</t>
  </si>
  <si>
    <t>Wrist-watches: electrically operated, with or without a stop-watch, (other than those of heading no. 9101) with mechanical display only</t>
  </si>
  <si>
    <t>Wrist-watches: electrically operated, with or without a stop-watch, (other than those of heading no. 9101) with opto-electronic display only</t>
  </si>
  <si>
    <t>Wrist-watches: electrically operated, with or without a stop-watch, (other than those of heading no. 9101) without mechanical or opto-electronic display</t>
  </si>
  <si>
    <t>Wrist-watches: whether or not incorporating a stop-watch facility, with automatic winding</t>
  </si>
  <si>
    <t>Wrist-watches: whether or not incorporating a stop-watch facility, with other than automatic winding</t>
  </si>
  <si>
    <t>Pocket watches and other watches, including stop-watches: (excluding wrist-watches), other than those of heading no. 9101, electrically operated</t>
  </si>
  <si>
    <t>Pocket watches and other watches, including stop-watches: (excluding wrist-watches), other than those of heading no. 9101, other than electrically operated</t>
  </si>
  <si>
    <t>Clocks: with watch movements, electrically operated, excluding clocks of heading no. 9104</t>
  </si>
  <si>
    <t>Clocks: with watch movements, other than electrically operated, excluding clocks of heading no. 9104</t>
  </si>
  <si>
    <t>Clocks: instrument panel clocks and clocks of a similar type for vehicles, aircraft, spacecraft or vessels</t>
  </si>
  <si>
    <t>Clocks: (excluding those with watch movements and instrument panel clocks), alarm clocks, electrically operated</t>
  </si>
  <si>
    <t>Clocks: (excluding those with watch movements and instrument panel clocks), alarm clocks, other than electrically operated</t>
  </si>
  <si>
    <t>Clocks: (excluding those with watch movements and instrument panel clocks), wall clocks, electrically operated</t>
  </si>
  <si>
    <t>Clocks: (excluding those with watch movements and instrument panel clocks), wall clocks, other than electrically operated</t>
  </si>
  <si>
    <t>Clocks: (excluding those with watch movements and instrument panel clocks), (other than alarm or wall clocks), electrically operated</t>
  </si>
  <si>
    <t>Clocks: (excluding those with watch movements and instrument panel clocks), other than alarm or wall clocks, other than electrically operated</t>
  </si>
  <si>
    <t>Time recording apparatus: time-registers, time recorders, with clock, watch movement or synchronous motor</t>
  </si>
  <si>
    <t>Time recording apparatus: with clock or watch movement or with synchronous motor, n.e.c. in heading no. 9106</t>
  </si>
  <si>
    <t>Time switches: with clock, watch movement or synchronous motor</t>
  </si>
  <si>
    <t>Watch movements: complete and assembled, electrically operated, with mechanical display only or with a device to which a mechanical display can be incorporated</t>
  </si>
  <si>
    <t>Watch movements: complete and assembled, electrically operated, by means of solar cells, with opto-electronic display</t>
  </si>
  <si>
    <t>Watch movements: complete and assembled, electrically operated, by means of solar cells, without mechanical display or device including such or opto-electronic display</t>
  </si>
  <si>
    <t>Watch movements: complete and assembled, with automatic winding</t>
  </si>
  <si>
    <t>Watch movements: complete and assembled, not automatic winding or electrically operated</t>
  </si>
  <si>
    <t>Clock movements: complete and assembled, of alarm clocks, electrically operated</t>
  </si>
  <si>
    <t>Clock movements: complete and assembled, (other than of alarm clocks), electrically operated</t>
  </si>
  <si>
    <t>Clock movements: complete and assembled, other than electrically operated</t>
  </si>
  <si>
    <t>Watches: complete movements, unassembled or partly assembled (movement sets)</t>
  </si>
  <si>
    <t>Watches: incomplete movements, assembled</t>
  </si>
  <si>
    <t>Watches: rough movements</t>
  </si>
  <si>
    <t>Clocks: movements, whether or not complete, incomplete, assembled or unassembled</t>
  </si>
  <si>
    <t>Watch cases: of precious metal or of metal clad with precious metal</t>
  </si>
  <si>
    <t>Watch cases: of base metal, whether or not gold-plated or silver-plated</t>
  </si>
  <si>
    <t>Watch cases: n.e.c. in heading no. 9111</t>
  </si>
  <si>
    <t>Watch cases and parts thereof</t>
  </si>
  <si>
    <t>Clock cases and similar cases for other goods of chapter 91: other than watch cases</t>
  </si>
  <si>
    <t>Clock cases and similar cases for other goods of chapter 91: other than watch cases, parts thereof</t>
  </si>
  <si>
    <t>Watch straps, watch bands, watch bracelets, and parts thereof: of precious metal or of metal clad with precious metal</t>
  </si>
  <si>
    <t>Watch straps, watch bands, watch bracelets, and parts thereof: of base metal, whether or not gold- or silver-plated</t>
  </si>
  <si>
    <t>Watch straps, watch bands, watch bracelets, and parts thereof: n.e.c. in heading no. 9113</t>
  </si>
  <si>
    <t>Clock or watch parts: springs, including hairsprings</t>
  </si>
  <si>
    <t>Clock or watch parts: jewels</t>
  </si>
  <si>
    <t>Clock or watch parts: dials</t>
  </si>
  <si>
    <t>Clock or watch parts: plates and bridges</t>
  </si>
  <si>
    <t>Clock or watch parts: n.e.c. in heading no. 9114</t>
  </si>
  <si>
    <t>Musical instruments: pianos, upright, including automatic pianos</t>
  </si>
  <si>
    <t>Musical instruments: pianos, grand</t>
  </si>
  <si>
    <t>Musical instruments: harpsichords and other keyboard stringed instruments n.e.c. in heading no. 9201</t>
  </si>
  <si>
    <t>Musical instruments: string, played with a bow (e.g. violins)</t>
  </si>
  <si>
    <t>Musical instruments: string, played other than with a bow (e.g. guitars and harps)</t>
  </si>
  <si>
    <t>Musical instruments: wind, brass (e.g. trumpets)</t>
  </si>
  <si>
    <t>Musical instruments: wind, other than brass (e.g. bagpipes)</t>
  </si>
  <si>
    <t>Musical instruments: percussion (e.g. drums, xylophones, cymbals, castanets, maracas)</t>
  </si>
  <si>
    <t>Musical instruments: keyboard, (other than accordions), the sound of which is produced or must be amplified electrically</t>
  </si>
  <si>
    <t>Musical instruments: (other than keyboard), the sound of which is produced or must be amplified electrically</t>
  </si>
  <si>
    <t>Musical boxes</t>
  </si>
  <si>
    <t>Fairground and mechanical street organs, mechanical singing birds, musical saws and musical instruments n.e.c. in chapter 92: decoy calls of all kinds: whistles: call horns and other mouth-blown sound signalling instruments</t>
  </si>
  <si>
    <t>Musical instrument strings</t>
  </si>
  <si>
    <t>Musical instruments: parts and accessories for pianos</t>
  </si>
  <si>
    <t>Musical instruments: parts and accessories for string musical instruments other than keyboard instruments</t>
  </si>
  <si>
    <t>Musical instruments: parts and accessories for the musical instruments the sound of which is produced or must be amplified electrically (e.g. organs, guitars and accordions)</t>
  </si>
  <si>
    <t>Musical instruments: parts and accessories for musical instruments n.e.c. in heading no. 9209: metronomes, tuning forks and pitch pipes</t>
  </si>
  <si>
    <t>Military weapons: other than revolvers, pistols and arms of heading 9307: artillery weapons (for example, guns, howitzers and mortars), self propelled</t>
  </si>
  <si>
    <t>Military weapons: other than revolvers, pistols and arms of heading 9307: artillery weapons (for example, guns, howitzers and mortars), not self propelled</t>
  </si>
  <si>
    <t>Military weapons: other than revolvers, pistols and arms of heading 9307: rocket launchers: flame-throwers: grenade launchers, torpedo tubes and similar projectors</t>
  </si>
  <si>
    <t>Military weapons: other than revolvers, pistols and arms of heading 9307: other weapons not elsewhere included in heading 9301</t>
  </si>
  <si>
    <t>Revolvers and pistols: other than those of heading no. 9303 or 9304</t>
  </si>
  <si>
    <t>Firearms: muzzle-loading</t>
  </si>
  <si>
    <t>Firearms: sporting, hunting or target-shooting shotguns, including combination shotgun-rifles</t>
  </si>
  <si>
    <t>Firearms: sporting, hunting or target-shooting rifles n.e.c. in heading no. 9303</t>
  </si>
  <si>
    <t>Firearms: n.e.c. in heading no. 9303</t>
  </si>
  <si>
    <t>Firearms: (e.g. spring, air or gas guns and pistols, truncheons), excluding those of heading no. 9307</t>
  </si>
  <si>
    <t>Firearms: parts and accessories, of revolvers or pistols</t>
  </si>
  <si>
    <t>Firearms: parts and accessories, of shotgun barrels</t>
  </si>
  <si>
    <t>Firearms: parts and accessories, of shotguns or rifles of heading no. 9303, other than shotgun barrels</t>
  </si>
  <si>
    <t>Firearms: parts and accessories, of military weapons of heading 9301</t>
  </si>
  <si>
    <t>Firearms: parts and accessories, of firearms other than the military weapons of heading 9301</t>
  </si>
  <si>
    <t>Ammunition: shotgun cartridges</t>
  </si>
  <si>
    <t>Ammunition: parts of shotgun cartridges</t>
  </si>
  <si>
    <t>Ammunition: cartridges and parts thereof n.e.c. in heading no. 9306</t>
  </si>
  <si>
    <t>Ammunition: n.e.c. in chapter 93</t>
  </si>
  <si>
    <t>Arms: swords, cutlasses, bayonets, lances and the like, parts thereof and scabbards and sheaths therefor</t>
  </si>
  <si>
    <t>Seats: of a kind used for aircraft</t>
  </si>
  <si>
    <t>Seats: of a kind used for motor vehicles</t>
  </si>
  <si>
    <t>Seats: swivel with variable height adjustment, excluding medical, surgical, dental, veterinary or barber furniture</t>
  </si>
  <si>
    <t>Seats: convertible into beds, other than garden seats or camping equipment</t>
  </si>
  <si>
    <t>Seats: of bamboo or rattan</t>
  </si>
  <si>
    <t>Seats: of cane, osier or similar materials, other than bamboo or rattan</t>
  </si>
  <si>
    <t>Seats: with wooden frames, upholstered, (excluding medical, surgical, dental, veterinary or barber furniture)</t>
  </si>
  <si>
    <t>Seats: with wooden frames, not upholstered, (excluding medical, surgical, dental, veterinary or barber furniture)</t>
  </si>
  <si>
    <t>Seats: with metal frames, upholstered, (excluding medical, surgical, dental, veterinary or barber furniture)</t>
  </si>
  <si>
    <t>Seats: with metal frames, not upholstered, (excluding medical, surgical, dental, veterinary or barber furniture)</t>
  </si>
  <si>
    <t>Seats: n.e.c. in heading no. 9401, (excluding medical, surgical, dental, veterinary or barber furniture)</t>
  </si>
  <si>
    <t>Seat: parts</t>
  </si>
  <si>
    <t>Chairs: dentists', barbers' or similar chairs having rotating as well as both reclining and elevating movements, and parts thereof</t>
  </si>
  <si>
    <t>equipamiento</t>
  </si>
  <si>
    <t>Furniture: for medical, surgical, veterinary use (e.g. operating tables, examination tables, hospital beds with mechanical fittings) and parts thereof</t>
  </si>
  <si>
    <t>son soporte para la atencion pero no diagnostican, no tratan directamente . Es equipamiento inmobiliario</t>
  </si>
  <si>
    <t>Furniture: metal, for office use</t>
  </si>
  <si>
    <t>Furniture: metal, other than for office use</t>
  </si>
  <si>
    <t>Furniture: wooden, for office use</t>
  </si>
  <si>
    <t>Furniture: wooden, for kitchen use</t>
  </si>
  <si>
    <t>Furniture: wooden, for bedroom use</t>
  </si>
  <si>
    <t>Furniture: wooden, other than for office, kitchen or bedroom use</t>
  </si>
  <si>
    <t>Furniture: plastic</t>
  </si>
  <si>
    <t>Furniture: of bamboo or rattan</t>
  </si>
  <si>
    <t>Furniture: of cane, osier, or similar materials (other than bamboo or rattan)</t>
  </si>
  <si>
    <t>Furniture: parts</t>
  </si>
  <si>
    <t>Mattress supports</t>
  </si>
  <si>
    <t>Mattresses: of cellular rubber or plastics, whether or not covered</t>
  </si>
  <si>
    <t>Mattresses: of other materials, not cellular rubber or plastics</t>
  </si>
  <si>
    <t>Sleeping bags</t>
  </si>
  <si>
    <t>Bedding and similar furnishing articles: n.e.c. in heading no. 9404 (e.g. quilts, eiderdowns, cushions, pouffes and pillows)</t>
  </si>
  <si>
    <t>Chandeliers and other electric ceiling or wall light fittings: excluding those used for lighting public open spaces or thoroughfares</t>
  </si>
  <si>
    <t>Lamps, electric: floor-standing or for table, desk or bedside</t>
  </si>
  <si>
    <t>Lighting sets: of a kind used for Christmas trees</t>
  </si>
  <si>
    <t>Lamps and light fittings: electric, n.e.c. in heading no. 9405</t>
  </si>
  <si>
    <t>Lamps and light fittings: non-electric</t>
  </si>
  <si>
    <t>Illuminated signs, name plates and the like</t>
  </si>
  <si>
    <t>Lamps and light fittings: parts thereof, of glass</t>
  </si>
  <si>
    <t>Lamps and light fittings: parts thereof, of plastics</t>
  </si>
  <si>
    <t>Lamps and light fittings: parts thereof, of materials other than glass or plastics</t>
  </si>
  <si>
    <t>Buildings: prefabricated</t>
  </si>
  <si>
    <t>Tricycles, scooters, pedal cars and similar wheeled toys: dolls' carriages: dolls: other toys: reduced-size (scale) models and similar recreational models, working or not: puzzles of all kinds</t>
  </si>
  <si>
    <t>Video games: of a kind used with a television receiver</t>
  </si>
  <si>
    <t>Billiard articles and accessories of all kinds</t>
  </si>
  <si>
    <t>Games n.e.c. in heading 9504, operated by coins, banknotes, bank cards, tokens or by other means of payment, other than bowling alley equipment</t>
  </si>
  <si>
    <t>Playing cards</t>
  </si>
  <si>
    <t>Games: articles for funfair, table or parlour games, including pintables, tables for casino games, bowling alley equipment, n.e.c. in heading no. 9504</t>
  </si>
  <si>
    <t>Christmas festivity articles</t>
  </si>
  <si>
    <t>Festive, carnival or other entertainment articles including novelty jokes and conjuring tricks: other than Christmas festivity articles</t>
  </si>
  <si>
    <t>Skis: for snow</t>
  </si>
  <si>
    <t>Ski-fastenings (ski-bindings): for snow-skis</t>
  </si>
  <si>
    <t>Snow-ski equipment</t>
  </si>
  <si>
    <t>Sailboards: for water sport</t>
  </si>
  <si>
    <t>Water sport equipment: water-skis, surf-boards and other water-sport equipment, excluding sailboards</t>
  </si>
  <si>
    <t>Golf clubs: complete</t>
  </si>
  <si>
    <t>Golf balls</t>
  </si>
  <si>
    <t>Golf equipment: other than clubs and balls</t>
  </si>
  <si>
    <t>Table-tennis articles and equipment</t>
  </si>
  <si>
    <t>Lawn-tennis racquets: whether or not strung</t>
  </si>
  <si>
    <t>Tennis, badminton and similar racquets: whether or not strung</t>
  </si>
  <si>
    <t>Lawn-tennis balls</t>
  </si>
  <si>
    <t>Balls: inflatable</t>
  </si>
  <si>
    <t>Balls: (other than inflatable or for lawn-tennis, golf or table-tennis)</t>
  </si>
  <si>
    <t>Skates: ice and roller, including skating boots with skates attached</t>
  </si>
  <si>
    <t>Athletics and gymnastics equipment</t>
  </si>
  <si>
    <t>Equipment for outdoor games and recreation n.e.c. in heading no. 9506</t>
  </si>
  <si>
    <t>Fishing rods</t>
  </si>
  <si>
    <t>Fish-hooks: whether or not snelled</t>
  </si>
  <si>
    <t>Fishing reels</t>
  </si>
  <si>
    <t>Fishing tackle n.e.c., butterfly nets, decoy birds (other than those of heading no. 9208 or 9705) and similar hunting or shooting requisites</t>
  </si>
  <si>
    <t>Travelling circuses and travelling menageries</t>
  </si>
  <si>
    <t>Roundabouts, swings, shooting galleries, other fairground amusements: travelling theatres</t>
  </si>
  <si>
    <t>Ivory and articles thereof: worked</t>
  </si>
  <si>
    <t>Bone, tortoise shell, horn, antlers, coral, mother-of-pearl and other animal carving material and articles thereof (including articles obtained by moulding)</t>
  </si>
  <si>
    <t>Vegetable, mineral carving material and articles of these materials, moulded or carved articles of wax, stearin, natural gums, resins or modelling pastes, worked unhardened gelatin (not heading no. 3503)</t>
  </si>
  <si>
    <t>Brooms and brushes: consisting of twigs or other vegetable materials bound together, with or without handles</t>
  </si>
  <si>
    <t>Brushes: toothbrushes</t>
  </si>
  <si>
    <t>Brushes: shaving, hair, nail, eyelash and other toilet brushes for use on the person, including brushes as parts of appliances</t>
  </si>
  <si>
    <t>Brushes: artists' brushes, writing brushes and similar brushes for the application of cosmetics</t>
  </si>
  <si>
    <t>Brushes: paint, distemper, varnish or similar brushes (not those of item no. 9603.30), paint pads and rollers</t>
  </si>
  <si>
    <t>Brushes: constituting parts of machines, appliances or vehicles</t>
  </si>
  <si>
    <t>Brooms, brushes, mops, feather dusters, squeegees, hand operated mechanical floor sweepers: (not motorised), prepared knots and tufts for brooms or brush making n.e.c.</t>
  </si>
  <si>
    <t>Hand sieves and hand riddles</t>
  </si>
  <si>
    <t>Travel sets: for personal toilet, sewing, shoe or clothes cleaning</t>
  </si>
  <si>
    <t>Press-fasteners, snap-fasteners, press-studs and parts therefor</t>
  </si>
  <si>
    <t>Buttons: of plastics, not covered with textile material</t>
  </si>
  <si>
    <t>Buttons: of base metal, not covered with textile material</t>
  </si>
  <si>
    <t>Buttons: of other than base metal or plastics, not covered with textile material</t>
  </si>
  <si>
    <t>Button moulds and other parts of buttons: button blanks</t>
  </si>
  <si>
    <t>Slide fasteners: fitted with chain scoops of base metal</t>
  </si>
  <si>
    <t>Slide fasteners: other than those fitted with chain scoops of base metal</t>
  </si>
  <si>
    <t>Slide fasteners: parts</t>
  </si>
  <si>
    <t>Pens: ball point</t>
  </si>
  <si>
    <t>Pens: felt tipped and other porous-tipped pens and markers</t>
  </si>
  <si>
    <t>Pens: Indian ink drawing pens</t>
  </si>
  <si>
    <t>Pens: fountain, stylograph and other pens, excluding Indian ink drawing pens</t>
  </si>
  <si>
    <t>Pencils: propelling or sliding</t>
  </si>
  <si>
    <t>Pen and pencil sets: of articles from two or more of the foregoing sub-headings</t>
  </si>
  <si>
    <t>Pens: ball-point, refills comprising the ball point and ink-reservoir</t>
  </si>
  <si>
    <t>Pens: nibs and nib points</t>
  </si>
  <si>
    <t>Pens and pencils n.e.c. in heading no. 9608: duplicating stylos, pen-holders, pencil-holders, and similar holders, parts of the articles of heading no. 9608</t>
  </si>
  <si>
    <t>Pencils and crayons: with leads encased in rigid sheath</t>
  </si>
  <si>
    <t>Pencil leads: black or coloured</t>
  </si>
  <si>
    <t>Pastels, drawing charcoals, writing or drawing chalks, tailors' chalk</t>
  </si>
  <si>
    <t>Slates and boards: with writing or drawing surfaces, whether or not framed</t>
  </si>
  <si>
    <t>Stamps: date, numbering, sealing stamps and the like (including devices for printing or embossing labels), designed for operating by hand: hand operated composing sticks and printing sets</t>
  </si>
  <si>
    <t>Ribbons: for typewriters and the like, inked or otherwise prepared, for giving impressions, whether or not on spools or in cartridges</t>
  </si>
  <si>
    <t>Ink pads: whether or not inked, with or without boxes</t>
  </si>
  <si>
    <t>Lighters: pocket, cigarette, gas fuelled, non-refillable</t>
  </si>
  <si>
    <t>Lighters: pocket, cigarette, gas fuelled, refillable</t>
  </si>
  <si>
    <t>Lighters: whether or not mechanical or electrical, n.e.c. in heading no. 9613</t>
  </si>
  <si>
    <t>Lighters: parts for cigarette lighters and other lighters, whether or not mechanical or electrical, other than flints and wicks</t>
  </si>
  <si>
    <t>Smoking pipes (including pipe bowls) and cigar or cigarette holders, and parts thereof</t>
  </si>
  <si>
    <t>Combs, hair slides and the like: of hard rubber or plastics</t>
  </si>
  <si>
    <t>Combs, hair slides and the like: of other than hard rubber or plastics</t>
  </si>
  <si>
    <t>Hairpins, curling pins, curling grips, hair curlers and the like (not those of heading no. 8516) and parts thereof</t>
  </si>
  <si>
    <t>Scent sprays and similar toilet sprays, and mounts and heads therefor</t>
  </si>
  <si>
    <t>Powder puffs and pads: for the application of cosmetics or toilet preparations</t>
  </si>
  <si>
    <t>Vacuum flasks and other vacuum vessels, complete with cases: parts thereof other than glass inners</t>
  </si>
  <si>
    <t>Tailors' dummies and other lay figures: automata and other animated displays used for shop window dressing</t>
  </si>
  <si>
    <t>Paintings, drawings and pastels: executed entirely by hand, other than drawings of heading no. 4906</t>
  </si>
  <si>
    <t>Artwork: collages and similar decorative plaques</t>
  </si>
  <si>
    <t>Engravings, prints and lithographs: original</t>
  </si>
  <si>
    <t>Sculptures and statuary: original, in any material</t>
  </si>
  <si>
    <t>Stamps, postage or revenue: stamp-postmarks, first-day covers, postal stationery (stamped paper) and like, used or unused, other than those of heading 4907</t>
  </si>
  <si>
    <t>Collections and collectors' pieces: of zoological, botanical, mineralogical, anatomical, historical, archaeological, palaeontological, ethnographic or numismatic interest</t>
  </si>
  <si>
    <t>Antiques: of an age exceeding one hundred years</t>
  </si>
  <si>
    <t>Commodities not specified according to kind</t>
  </si>
  <si>
    <t>description_short</t>
  </si>
  <si>
    <t>Productos farmacéuticos</t>
  </si>
  <si>
    <t>Heterocyclic compounds: with oxygen hetero-atom(s) only, containing an unfused furan ring (whether or not hydrogenated) in the structure, lactones</t>
  </si>
  <si>
    <t>Sulphonamides: N-methylperfluorooctane sulphonamide</t>
  </si>
  <si>
    <t>Sulphonamides: N-ethylperfluorooctane sulphonamide</t>
  </si>
  <si>
    <t>Sulphonamides: N-ethyl-N-(2-hydroxyethyl) perfluorooctane sulphonamide</t>
  </si>
  <si>
    <t>Sulphonamides: N-(2-hydroxyethyl)-N-methylperfluorooctane sulphonamide</t>
  </si>
  <si>
    <t>Sulphonamides: other perfluorooctane sulphonamides</t>
  </si>
  <si>
    <t>Sulphonamides: n.e.c. in heading no. 2935</t>
  </si>
  <si>
    <t>Acids</t>
  </si>
  <si>
    <t>Amino-acids, other than those containing more than one kind of oxygen function, and their esters</t>
  </si>
  <si>
    <t>Quaternary ammonium salts and hydroxides</t>
  </si>
  <si>
    <t>Acyclic amides (including acyclic carbamates) and their derivatives</t>
  </si>
  <si>
    <t>Cyclic amides (including cyclic carbamates) and their derivatives</t>
  </si>
  <si>
    <t>Heterocyclic compounds with oxygen hetero-atom(s) only</t>
  </si>
  <si>
    <t>Heterocyclic compounds</t>
  </si>
  <si>
    <t>Allobarbital (INN), amobarbital (INN), barbital (INN), butalbital (INN), butobarbital, cyclobarbital (INN), methylphenobarbital (INN), pentobarbital (INN), phenobarbital (INN), secbutabarbital (INN), secobarbital (INN) and vinylbital (INN)</t>
  </si>
  <si>
    <t>Vitamins</t>
  </si>
  <si>
    <t>Polypeptide hormones, protein hormones and glycoprotein hormones, their derivatives and structural analogues</t>
  </si>
  <si>
    <t>Steroidal hormones, their derivatives and structural analogues</t>
  </si>
  <si>
    <t>Hormones</t>
  </si>
  <si>
    <t>Hormones, prostaglandins, thromboxanes and leukotrienes, natural or reproduced by synthesis</t>
  </si>
  <si>
    <t>Glycosides</t>
  </si>
  <si>
    <t>Alkaloids, vegetable</t>
  </si>
  <si>
    <t>Alkaloids vegetable</t>
  </si>
  <si>
    <t>Antibiotics</t>
  </si>
  <si>
    <t>Medicaments</t>
  </si>
  <si>
    <t>Vaccines</t>
  </si>
  <si>
    <t>Blood</t>
  </si>
  <si>
    <t>Dressings, adhesive</t>
  </si>
  <si>
    <t>Wadding, gauze, bandages and similar articles</t>
  </si>
  <si>
    <t>Pharmaceutical goods</t>
  </si>
  <si>
    <t>Modelling pastes</t>
  </si>
  <si>
    <t>Rubber</t>
  </si>
  <si>
    <t>Sterilizers</t>
  </si>
  <si>
    <t>Carriages for disabled persons</t>
  </si>
  <si>
    <t>Lenses, contact</t>
  </si>
  <si>
    <t>Lenses, spectacle</t>
  </si>
  <si>
    <t>Frames and mountings</t>
  </si>
  <si>
    <t>Sunglasses</t>
  </si>
  <si>
    <t>Microscopes, compound optical</t>
  </si>
  <si>
    <t>Medical, surgical instruments and appliances</t>
  </si>
  <si>
    <t>Dental instruments and appliances</t>
  </si>
  <si>
    <t>Medical, surgical or dental instruments and appliances</t>
  </si>
  <si>
    <t>Mechano-therapy appliances</t>
  </si>
  <si>
    <t>Therapeutic respiration apparatus</t>
  </si>
  <si>
    <t>Dental fittings</t>
  </si>
  <si>
    <t>Pacemakers</t>
  </si>
  <si>
    <t>Appliances</t>
  </si>
  <si>
    <t>Apparatus based on the use of x-rays</t>
  </si>
  <si>
    <t>Apparatus based on the use of alpha, beta or gamma radiations, including radiography or radiotherapy apparatus</t>
  </si>
  <si>
    <t>Apparatus based on use of x-rays and similar</t>
  </si>
  <si>
    <t>Reagents</t>
  </si>
  <si>
    <t>Glands and other organs</t>
  </si>
  <si>
    <t>Horses, asses, mules and hinnies</t>
  </si>
  <si>
    <t>Bovine animals</t>
  </si>
  <si>
    <t>Swine</t>
  </si>
  <si>
    <t>Sheep</t>
  </si>
  <si>
    <t>Goats</t>
  </si>
  <si>
    <t>Poultry</t>
  </si>
  <si>
    <t>Mammals</t>
  </si>
  <si>
    <t>Reptiles</t>
  </si>
  <si>
    <t>Animals</t>
  </si>
  <si>
    <t>Meat</t>
  </si>
  <si>
    <t>Offal, edible</t>
  </si>
  <si>
    <t>Meat and edible offal</t>
  </si>
  <si>
    <t>Meat and edible meat offal</t>
  </si>
  <si>
    <t>Fat</t>
  </si>
  <si>
    <t>Meat, preserved</t>
  </si>
  <si>
    <t>Meat and edible meat offal, preserved</t>
  </si>
  <si>
    <t>Fish</t>
  </si>
  <si>
    <t>Fish meal</t>
  </si>
  <si>
    <t>Crustaceans</t>
  </si>
  <si>
    <t>Molluscs</t>
  </si>
  <si>
    <t>Molluscs and other aquatic invertebrates</t>
  </si>
  <si>
    <t>Dairy produce</t>
  </si>
  <si>
    <t>Eggs</t>
  </si>
  <si>
    <t>Honey</t>
  </si>
  <si>
    <t>Animal products</t>
  </si>
  <si>
    <t>Plants, live</t>
  </si>
  <si>
    <t>Flowers, cut</t>
  </si>
  <si>
    <t>Flowers</t>
  </si>
  <si>
    <t>Mosses and lichens</t>
  </si>
  <si>
    <t>Foliage, branches and other parts of plants, without flowers or flower buds, and grasses</t>
  </si>
  <si>
    <t>Vegetables</t>
  </si>
  <si>
    <t>Vegetables, alliaceous</t>
  </si>
  <si>
    <t>Vegetables, brassica</t>
  </si>
  <si>
    <t>Vegetables, root</t>
  </si>
  <si>
    <t>Vegetables, leguminous</t>
  </si>
  <si>
    <t>Vegetable mixtures</t>
  </si>
  <si>
    <t>Vegetables and mixed vegetables</t>
  </si>
  <si>
    <t>Vegetable roots and tubers</t>
  </si>
  <si>
    <t>Nuts, edible</t>
  </si>
  <si>
    <t>Fruit, edible</t>
  </si>
  <si>
    <t>Peel</t>
  </si>
  <si>
    <t>Coffee</t>
  </si>
  <si>
    <t>Tea, green</t>
  </si>
  <si>
    <t>Tea, black</t>
  </si>
  <si>
    <t>Spices</t>
  </si>
  <si>
    <t>Cereals</t>
  </si>
  <si>
    <t>Cereal flour</t>
  </si>
  <si>
    <t>Cereal flours</t>
  </si>
  <si>
    <t>Cereal groats and meal</t>
  </si>
  <si>
    <t>Cereal grains</t>
  </si>
  <si>
    <t>Cereal</t>
  </si>
  <si>
    <t>Flour, meal and powder</t>
  </si>
  <si>
    <t>Flakes, granules and pellets</t>
  </si>
  <si>
    <t>Malt</t>
  </si>
  <si>
    <t>Starch</t>
  </si>
  <si>
    <t>Wheat gluten</t>
  </si>
  <si>
    <t>Soya beans</t>
  </si>
  <si>
    <t>Ground-nuts</t>
  </si>
  <si>
    <t>Oil seeds</t>
  </si>
  <si>
    <t>Oil seeds and oleaginous fruits</t>
  </si>
  <si>
    <t>Flours and meals</t>
  </si>
  <si>
    <t>Flours and meals of oil seeds or oleaginous fruits</t>
  </si>
  <si>
    <t>Seed</t>
  </si>
  <si>
    <t>Hop cones</t>
  </si>
  <si>
    <t>Ginseng roots, used primarily in perfumery, in pharmacy or for insecticidal, fungicidal or similar purposes</t>
  </si>
  <si>
    <t>Coca leaf</t>
  </si>
  <si>
    <t>Poppy straw</t>
  </si>
  <si>
    <t>Plants and parts (including seeds and fruits) n.e.c. in heading no. 1211, used primarily in perfumery, pharmacy or for insecticidal, fungicidal purposes</t>
  </si>
  <si>
    <t>Seaweeds and other algae</t>
  </si>
  <si>
    <t>Sugar beet</t>
  </si>
  <si>
    <t>Vegetable products (including unroasted chicory roots, chicorium intybus sativum variety)</t>
  </si>
  <si>
    <t>Cereal straw and husks</t>
  </si>
  <si>
    <t>Vegetable saps and extracts</t>
  </si>
  <si>
    <t>Pectic substances</t>
  </si>
  <si>
    <t>Mucilages and thickeners</t>
  </si>
  <si>
    <t>Vegetable materials of a kind used primarily for plaiting</t>
  </si>
  <si>
    <t>Vegetable products</t>
  </si>
  <si>
    <t>Animal fat</t>
  </si>
  <si>
    <t>Fats of bovine animals, sheep or goats</t>
  </si>
  <si>
    <t>Lard stearin, lard oil, oleostearin, oleo-oil and tallow oil</t>
  </si>
  <si>
    <t>Oils of fish</t>
  </si>
  <si>
    <t>Fats and oils and their fractions</t>
  </si>
  <si>
    <t>Animal fats and oils and their fractions</t>
  </si>
  <si>
    <t>Vegetable oils</t>
  </si>
  <si>
    <t>Vegetable fats and oils and their fractions</t>
  </si>
  <si>
    <t>Margarine</t>
  </si>
  <si>
    <t>Animal or vegetable fats and oils and their fractions</t>
  </si>
  <si>
    <t>Glycerol, crude</t>
  </si>
  <si>
    <t>Vegetable waxes (other than triglycerides)</t>
  </si>
  <si>
    <t>Waxes, other than vegetable, n.e.c. in heading no. 1521</t>
  </si>
  <si>
    <t>Degras</t>
  </si>
  <si>
    <t>Meat preparations</t>
  </si>
  <si>
    <t>Extracts and juices</t>
  </si>
  <si>
    <t>Fish preparations</t>
  </si>
  <si>
    <t>Crustacean preparations</t>
  </si>
  <si>
    <t>Sugars</t>
  </si>
  <si>
    <t>Sucrose</t>
  </si>
  <si>
    <t>Sugar confectionery</t>
  </si>
  <si>
    <t>Cocoa beans</t>
  </si>
  <si>
    <t>Cocoa</t>
  </si>
  <si>
    <t>Chocolate &amp; other food preparations containing cocoa</t>
  </si>
  <si>
    <t>Chocolate and other food preparations containing cocoa</t>
  </si>
  <si>
    <t>Food preparations</t>
  </si>
  <si>
    <t>Prepared foods obtained by the swelling or roasting of cereals or cereal products (egg corn flakes)</t>
  </si>
  <si>
    <t>Vegetable preparations</t>
  </si>
  <si>
    <t>Jams, fruit jellies, marmalades, fruit or nut puree and fruit or nut pastes</t>
  </si>
  <si>
    <t>Jams, jellies, marmalades, purees and pastes</t>
  </si>
  <si>
    <t>Jams, fruit jellies, marmalades, purees and pastes</t>
  </si>
  <si>
    <t>Nuts</t>
  </si>
  <si>
    <t>Nuts and other seeds</t>
  </si>
  <si>
    <t>Fruit</t>
  </si>
  <si>
    <t>Palm hearts</t>
  </si>
  <si>
    <t>Fruit, nuts and other edible parts of plants</t>
  </si>
  <si>
    <t>Juice</t>
  </si>
  <si>
    <t>Juices</t>
  </si>
  <si>
    <t>Extracts, essences and concentrates</t>
  </si>
  <si>
    <t>Chicory, roasted and other roasted coffee substitutes</t>
  </si>
  <si>
    <t>Yeasts</t>
  </si>
  <si>
    <t>Baking powders</t>
  </si>
  <si>
    <t>Sauces</t>
  </si>
  <si>
    <t>Sauces and preparations therefor</t>
  </si>
  <si>
    <t>Ice cream and other edible ice</t>
  </si>
  <si>
    <t>Protein</t>
  </si>
  <si>
    <t>Waters</t>
  </si>
  <si>
    <t>Non-alcoholic beverages</t>
  </si>
  <si>
    <t>Beer</t>
  </si>
  <si>
    <t>Wine</t>
  </si>
  <si>
    <t>Grape must</t>
  </si>
  <si>
    <t>Beverages, fermented</t>
  </si>
  <si>
    <t>Undenatured ethyl alcohol</t>
  </si>
  <si>
    <t>Ethyl alcohol and other spirits</t>
  </si>
  <si>
    <t>Spirits, liqueurs and other spirituous beverages</t>
  </si>
  <si>
    <t>Vinegar and substitutes for vinegar</t>
  </si>
  <si>
    <t>Flours, meals and pellets</t>
  </si>
  <si>
    <t>Bran, sharps and other residues</t>
  </si>
  <si>
    <t>Residues of starch manufacture and similar residues</t>
  </si>
  <si>
    <t>Beet-pulp, bagasse and other waste of sugar manufacture</t>
  </si>
  <si>
    <t>Brewing or distilling dregs and waste</t>
  </si>
  <si>
    <t>Oil-cake and other solid residues</t>
  </si>
  <si>
    <t>Wine lees</t>
  </si>
  <si>
    <t>Vegetable materials and vegetable waste, vegetable residues and by-products</t>
  </si>
  <si>
    <t>Dog or cat food</t>
  </si>
  <si>
    <t>Tobacco</t>
  </si>
  <si>
    <t>Cigars, cheroots and cigarillos</t>
  </si>
  <si>
    <t>Cigarettes</t>
  </si>
  <si>
    <t>Cigars, cigarillos and cheroots</t>
  </si>
  <si>
    <t>Tobacco, smoking</t>
  </si>
  <si>
    <t>Salt (including table salt and denatured salt)</t>
  </si>
  <si>
    <t>Iron pyrites</t>
  </si>
  <si>
    <t>Sulphur of all kinds</t>
  </si>
  <si>
    <t>Graphite</t>
  </si>
  <si>
    <t>Sands</t>
  </si>
  <si>
    <t>Quartz</t>
  </si>
  <si>
    <t>Quartzite</t>
  </si>
  <si>
    <t>Kaolin and other kaolinic clays</t>
  </si>
  <si>
    <t>Clays (excluding expanded clays of heading no. 6806)</t>
  </si>
  <si>
    <t>Natural calcium phosphates, natural aluminium calcium phosphates and phosphatic chalk</t>
  </si>
  <si>
    <t>Barium sulphate (barytes)</t>
  </si>
  <si>
    <t>Barium carbonate (witherite)</t>
  </si>
  <si>
    <t>Siliceous fossil meals (egg kieselguhr, tripolite and diatomite) and similar siliceous earths</t>
  </si>
  <si>
    <t>Slate</t>
  </si>
  <si>
    <t>Marble and travertine</t>
  </si>
  <si>
    <t>Ecaussine and other calcareous monumental or building stone</t>
  </si>
  <si>
    <t>Granite</t>
  </si>
  <si>
    <t>Sandstone</t>
  </si>
  <si>
    <t>Monumental or building stone</t>
  </si>
  <si>
    <t>Pebbles, gravel, broken or crushed stone</t>
  </si>
  <si>
    <t>Macadam of slag, dross or similar industrial waste</t>
  </si>
  <si>
    <t>Stones</t>
  </si>
  <si>
    <t>Dolomite, not calcined or sintered</t>
  </si>
  <si>
    <t>Dolomite, calcined or sintered</t>
  </si>
  <si>
    <t>Magnesium carbonate (magnesite)</t>
  </si>
  <si>
    <t>Magnesia, fused or dead-burned (sintered)</t>
  </si>
  <si>
    <t>Gypsum</t>
  </si>
  <si>
    <t>Plasters</t>
  </si>
  <si>
    <t>Limestone flux</t>
  </si>
  <si>
    <t>Quicklime</t>
  </si>
  <si>
    <t>Slaked lime</t>
  </si>
  <si>
    <t>Hydraulic lime</t>
  </si>
  <si>
    <t>Cement</t>
  </si>
  <si>
    <t>Asbestos</t>
  </si>
  <si>
    <t>Mica</t>
  </si>
  <si>
    <t>Steatite</t>
  </si>
  <si>
    <t>Sodium borates</t>
  </si>
  <si>
    <t>Borates</t>
  </si>
  <si>
    <t>Fluorspar</t>
  </si>
  <si>
    <t>Leucite</t>
  </si>
  <si>
    <t>Vermiculite, perlite and chlorites</t>
  </si>
  <si>
    <t>Mineral substances</t>
  </si>
  <si>
    <t>Iron ores and concentrates</t>
  </si>
  <si>
    <t>Molybdenum ores and concentrates</t>
  </si>
  <si>
    <t>Precious metal ores and concentrates</t>
  </si>
  <si>
    <t>Ores and concentrates n.e.c. in chapter 26</t>
  </si>
  <si>
    <t>Slag, granulated (slag sand)</t>
  </si>
  <si>
    <t>Slag, dross</t>
  </si>
  <si>
    <t>Slag, ash and residues</t>
  </si>
  <si>
    <t>Slag and ash</t>
  </si>
  <si>
    <t>Slag and ash n.e.c. in chapter 26</t>
  </si>
  <si>
    <t>Coal</t>
  </si>
  <si>
    <t>Briquettes, ovoids and similar solid fuels</t>
  </si>
  <si>
    <t>Lignite</t>
  </si>
  <si>
    <t>Peat</t>
  </si>
  <si>
    <t>Coke and semi-coke</t>
  </si>
  <si>
    <t>Gases</t>
  </si>
  <si>
    <t>Tar</t>
  </si>
  <si>
    <t>Oils and products of the distillation of high temperature coal tar</t>
  </si>
  <si>
    <t>Aromatic hydrocarbon mixtures</t>
  </si>
  <si>
    <t>Oils and other products of the distillation of high temperature coal tar</t>
  </si>
  <si>
    <t>Pitch</t>
  </si>
  <si>
    <t>Pitch coke</t>
  </si>
  <si>
    <t>Oils</t>
  </si>
  <si>
    <t>Petroleum oils and oils from bituminous minerals, not crude</t>
  </si>
  <si>
    <t>Petroleum gases and other gaseous hydrocarbons</t>
  </si>
  <si>
    <t>Paraffin wax</t>
  </si>
  <si>
    <t>Petroleum coke</t>
  </si>
  <si>
    <t>Petroleum bitumen</t>
  </si>
  <si>
    <t>Residues</t>
  </si>
  <si>
    <t>Bitumen and asphalt, natural</t>
  </si>
  <si>
    <t>Fluorine</t>
  </si>
  <si>
    <t>Sulphur</t>
  </si>
  <si>
    <t>Carbon</t>
  </si>
  <si>
    <t>Gases, rare</t>
  </si>
  <si>
    <t>Boron</t>
  </si>
  <si>
    <t>Silicon</t>
  </si>
  <si>
    <t>Alkali or alkali-earth metals</t>
  </si>
  <si>
    <t>Earth-metals, rare</t>
  </si>
  <si>
    <t>Sulphuric acid</t>
  </si>
  <si>
    <t>Nitric acid</t>
  </si>
  <si>
    <t>Oxides of boron</t>
  </si>
  <si>
    <t>Inorganic acids</t>
  </si>
  <si>
    <t>Inorganic oxygen compounds</t>
  </si>
  <si>
    <t>Halides and halide oxides of non-metals</t>
  </si>
  <si>
    <t>Sulphides of non-metals, (excluding carbon)</t>
  </si>
  <si>
    <t>Ammonia</t>
  </si>
  <si>
    <t>Sodium hydroxide (caustic soda)</t>
  </si>
  <si>
    <t>Zinc</t>
  </si>
  <si>
    <t>Aluminium oxide</t>
  </si>
  <si>
    <t>Chromium oxides and hydroxides</t>
  </si>
  <si>
    <t>Manganese oxides</t>
  </si>
  <si>
    <t>Earth colours</t>
  </si>
  <si>
    <t>Cobalt oxides and hydroxides</t>
  </si>
  <si>
    <t>Lead</t>
  </si>
  <si>
    <t>Lead oxides</t>
  </si>
  <si>
    <t>Inorganic bases, metal oxides, hydroxides and peroxides</t>
  </si>
  <si>
    <t>Fluorides</t>
  </si>
  <si>
    <t>Chlorides</t>
  </si>
  <si>
    <t>Chloride oxides and chloride hydroxides</t>
  </si>
  <si>
    <t>Bromides</t>
  </si>
  <si>
    <t>Bromides and bromide oxides</t>
  </si>
  <si>
    <t>Hypochlorites</t>
  </si>
  <si>
    <t>Chlorates</t>
  </si>
  <si>
    <t>Perchlorates</t>
  </si>
  <si>
    <t>Sulphides</t>
  </si>
  <si>
    <t>Sulphides and polysulphides</t>
  </si>
  <si>
    <t>Dithionites and sulphoxylates</t>
  </si>
  <si>
    <t>Sulphites</t>
  </si>
  <si>
    <t>Sodium sulphates</t>
  </si>
  <si>
    <t>Sulphates</t>
  </si>
  <si>
    <t>Nitrates</t>
  </si>
  <si>
    <t>Phosphates</t>
  </si>
  <si>
    <t>Polyphosphates</t>
  </si>
  <si>
    <t>Carbonates</t>
  </si>
  <si>
    <t>Cyanides and cyanide oxides</t>
  </si>
  <si>
    <t>Silicates</t>
  </si>
  <si>
    <t>Salts</t>
  </si>
  <si>
    <t>Salts of oxometallic or peroxometallic acids</t>
  </si>
  <si>
    <t>Colloidal precious metals</t>
  </si>
  <si>
    <t>Silver compounds</t>
  </si>
  <si>
    <t>Inorganic or organic compounds</t>
  </si>
  <si>
    <t>Uranium</t>
  </si>
  <si>
    <t>Radioactive elements, isotopes, compounds, n.e.c. in heading no. 2844 alloys, dispersions (including cermets), ceramic products and mixtures containing these elements, isotopes or compounds</t>
  </si>
  <si>
    <t>Isotopes (excluding those of heading no. 2844)</t>
  </si>
  <si>
    <t>Hydrogen peroxide</t>
  </si>
  <si>
    <t>Phosphides</t>
  </si>
  <si>
    <t>Carbides</t>
  </si>
  <si>
    <t>Inorganic compounds n.e.c. (including distilled or conductivity water and water of similar purity)</t>
  </si>
  <si>
    <t>Acyclic hydrocarbons</t>
  </si>
  <si>
    <t>Cyclic hydrocarbons</t>
  </si>
  <si>
    <t>Saturated chlorinated derivatives of acyclic hydrocarbons</t>
  </si>
  <si>
    <t>Unsaturated chlorinated derivatives of acyclic hydrocarbons</t>
  </si>
  <si>
    <t>Fluorinated, brominated or iodinated derivatives of acyclic hydrocarbons</t>
  </si>
  <si>
    <t>Halogenated derivatives of acyclic hydrocarbons containing two or more different halogens</t>
  </si>
  <si>
    <t>Halogenated derivatives of cyclanic, cyclenic or cycloterpenic hydrocarbons</t>
  </si>
  <si>
    <t>Halogenated derivatives of cyclanic, cyclenic, or cycloterpenic hydrocarbons</t>
  </si>
  <si>
    <t>Halogenated derivatives of aromatic hydrocarbons</t>
  </si>
  <si>
    <t>Derivatives of hydrocarbons</t>
  </si>
  <si>
    <t>Alcohols</t>
  </si>
  <si>
    <t>Monophenols</t>
  </si>
  <si>
    <t>Polyphenols</t>
  </si>
  <si>
    <t>Phenol or phenol-alcohol derivatives containing only halogen substituents and their salts</t>
  </si>
  <si>
    <t>Phenol or phenol-alcohol derivatives (other than derivatives containing only halogen substituents and their salts)</t>
  </si>
  <si>
    <t>Ethers</t>
  </si>
  <si>
    <t>Ether-alcohols and their halogenated, sulphonated, nitrated or nitrosated derivatives</t>
  </si>
  <si>
    <t>Epoxides, epoxyalcohols, epoxyphenols and epoxyethers</t>
  </si>
  <si>
    <t>Acetals and hemiacetals</t>
  </si>
  <si>
    <t>Aldehydes</t>
  </si>
  <si>
    <t>Aldehyde-ethers, aldehyde-phenols and aldehydes with other oxygen function</t>
  </si>
  <si>
    <t>Ketones</t>
  </si>
  <si>
    <t>Quinones</t>
  </si>
  <si>
    <t>Ketones and quinones</t>
  </si>
  <si>
    <t>Esters</t>
  </si>
  <si>
    <t>Amine-function compounds</t>
  </si>
  <si>
    <t>Amine-function-compounds</t>
  </si>
  <si>
    <t>Amino-alcohols, other than those containing more than one kind of oxygen function</t>
  </si>
  <si>
    <t>Amino-alcohols, other than those containing more than one kind of oxygen function, their ethers and esters</t>
  </si>
  <si>
    <t>Amino-naphthols and other amino-phenols, other than those containing more than one kind of oxygen function</t>
  </si>
  <si>
    <t>Amino-naphthols and other amino-phenols, other than those containing more than one kind of oxygen function, their ethers and esters</t>
  </si>
  <si>
    <t>Amino-aldehydes, amino-ketones and amino-quinones</t>
  </si>
  <si>
    <t>Amino-acids, other than those containing more than one kind of oxygen function, their esters</t>
  </si>
  <si>
    <t>Cyclic amides (including cyclic carbamates) and their derivatives, ureines and their derivatives</t>
  </si>
  <si>
    <t>Imides and their derivatives</t>
  </si>
  <si>
    <t>Imines and their derivatives</t>
  </si>
  <si>
    <t>Nitrile-function compounds</t>
  </si>
  <si>
    <t>Nitrogen-function compounds</t>
  </si>
  <si>
    <t>Organo-sulphur compounds</t>
  </si>
  <si>
    <t>Organo-inorganic compounds</t>
  </si>
  <si>
    <t>Organic compounds</t>
  </si>
  <si>
    <t>Fertilizers, animal or vegetable</t>
  </si>
  <si>
    <t>Fertilizers, mineral or chemical</t>
  </si>
  <si>
    <t>Tanning extracts of vegetable origin</t>
  </si>
  <si>
    <t>Tanning substances</t>
  </si>
  <si>
    <t>Colouring matter of vegetable or animal origin, including dyeing extracts not animal black, whether or not chemically defined</t>
  </si>
  <si>
    <t>Dyes</t>
  </si>
  <si>
    <t>Colour lakes</t>
  </si>
  <si>
    <t>Colouring matter</t>
  </si>
  <si>
    <t>Pigments</t>
  </si>
  <si>
    <t>Enamels and glazes</t>
  </si>
  <si>
    <t>Lustres</t>
  </si>
  <si>
    <t>Glass</t>
  </si>
  <si>
    <t>Paints and varnishes</t>
  </si>
  <si>
    <t>Driers</t>
  </si>
  <si>
    <t>Colours</t>
  </si>
  <si>
    <t>Mastics</t>
  </si>
  <si>
    <t>Ink</t>
  </si>
  <si>
    <t>Oils, essential</t>
  </si>
  <si>
    <t>Odoriferous substances and mixtures</t>
  </si>
  <si>
    <t>Cosmetic and toilet preparations</t>
  </si>
  <si>
    <t>Hair preparations</t>
  </si>
  <si>
    <t>Oral or dental hygiene preparations</t>
  </si>
  <si>
    <t>Perfumery, cosmetic or toilet preparations</t>
  </si>
  <si>
    <t>Perfumes and deodorizers</t>
  </si>
  <si>
    <t>Soap and organic surface-active products</t>
  </si>
  <si>
    <t>Soap</t>
  </si>
  <si>
    <t>Organic surface-active agents</t>
  </si>
  <si>
    <t>Washing and cleaning preparations</t>
  </si>
  <si>
    <t>Lubricating preparations</t>
  </si>
  <si>
    <t>Waxes</t>
  </si>
  <si>
    <t>Polishes, creams and similar preparations</t>
  </si>
  <si>
    <t>Scouring pastes and powders and other scouring preparations</t>
  </si>
  <si>
    <t>Caseinates and other casein derivatives</t>
  </si>
  <si>
    <t>Albumins</t>
  </si>
  <si>
    <t>Albumins, albuminates and other albumin derivatives</t>
  </si>
  <si>
    <t>Gelatin (including gelatin in rectangular sheets, whether or not surface-worked or coloured) and gelatin derivatives</t>
  </si>
  <si>
    <t>Peptones and their derivatives</t>
  </si>
  <si>
    <t>Glues</t>
  </si>
  <si>
    <t>Glues or adhesives</t>
  </si>
  <si>
    <t>Adhesives</t>
  </si>
  <si>
    <t>Glues and other adhesives</t>
  </si>
  <si>
    <t>Enzymes</t>
  </si>
  <si>
    <t>Enzymes and prepared enzymes</t>
  </si>
  <si>
    <t>Explosives</t>
  </si>
  <si>
    <t>Explosives, prepared</t>
  </si>
  <si>
    <t>Fuses and detonators</t>
  </si>
  <si>
    <t>Pyrotechnic products</t>
  </si>
  <si>
    <t>Matches</t>
  </si>
  <si>
    <t>Fuels</t>
  </si>
  <si>
    <t>Ferro-cerium and other pyrophoric alloys in all forms</t>
  </si>
  <si>
    <t>Photographic plates and film</t>
  </si>
  <si>
    <t>Photographic film</t>
  </si>
  <si>
    <t>Photographic paper, paperboard and textiles</t>
  </si>
  <si>
    <t>Photographic plates, film, paper, paperboard and textiles</t>
  </si>
  <si>
    <t>Cinematographic film</t>
  </si>
  <si>
    <t>Photographic goods</t>
  </si>
  <si>
    <t>Carbonaceous pastes</t>
  </si>
  <si>
    <t>Graphite or other carbon based preparations</t>
  </si>
  <si>
    <t>Chemical products</t>
  </si>
  <si>
    <t>Lyes, residual</t>
  </si>
  <si>
    <t>Terpenic oils</t>
  </si>
  <si>
    <t>Rosin and resin</t>
  </si>
  <si>
    <t>Rosin</t>
  </si>
  <si>
    <t>Wood tar</t>
  </si>
  <si>
    <t>Insecticides, rodenticides, fungicides, disinfectants, herbicides and the like</t>
  </si>
  <si>
    <t>Insecticides</t>
  </si>
  <si>
    <t>Fungicides</t>
  </si>
  <si>
    <t>Herbicides, anti-sprouting products and plant-growth regulators</t>
  </si>
  <si>
    <t>Disinfectants and similar products</t>
  </si>
  <si>
    <t>Rodenticides and similar products</t>
  </si>
  <si>
    <t>Finishing agents and dye carriers</t>
  </si>
  <si>
    <t>Pickling preparations for metal surfaces</t>
  </si>
  <si>
    <t>Fluxes and other auxiliary preparations</t>
  </si>
  <si>
    <t>Anti-knock preparations</t>
  </si>
  <si>
    <t>Lubricating oil additives</t>
  </si>
  <si>
    <t>Rubber accelerators</t>
  </si>
  <si>
    <t>Plasticisers, compound</t>
  </si>
  <si>
    <t>Anti-oxidising preparations and other compound stabilisers</t>
  </si>
  <si>
    <t>Fire-extinguishers</t>
  </si>
  <si>
    <t>Solvents and thinners</t>
  </si>
  <si>
    <t>Catalysts, supported</t>
  </si>
  <si>
    <t>Refractory cements, mortars, concretes and similar compositions</t>
  </si>
  <si>
    <t>Chemical elements</t>
  </si>
  <si>
    <t>Hydraulic fluids</t>
  </si>
  <si>
    <t>Industrial monocarboxylic fatty acids, acid oils from refining</t>
  </si>
  <si>
    <t>Industrial monocarboxylic fatty acids</t>
  </si>
  <si>
    <t>Binders, prepared</t>
  </si>
  <si>
    <t>Metal carbides, non-agglomerated</t>
  </si>
  <si>
    <t>Cements, mortars or concretes</t>
  </si>
  <si>
    <t>Mortars and concretes</t>
  </si>
  <si>
    <t>Sorbitol</t>
  </si>
  <si>
    <t>Mixtures containing halogenated derivatives of methane, ethane or propane</t>
  </si>
  <si>
    <t>Residual products of the chemical or allied industries, not elsewhere specified or included</t>
  </si>
  <si>
    <t>Residual products of chemical or allied industries, not elsewhere specified or included</t>
  </si>
  <si>
    <t>Ethylene polymers</t>
  </si>
  <si>
    <t>Propylene, other olefin polymers</t>
  </si>
  <si>
    <t>Styrene polymers</t>
  </si>
  <si>
    <t>Vinyl chloride, other halogenated olefin polymers</t>
  </si>
  <si>
    <t>Halogenated olefin polymers</t>
  </si>
  <si>
    <t>Poly(vinyl acetate)</t>
  </si>
  <si>
    <t>Vinyl acetate copolymers</t>
  </si>
  <si>
    <t>Poly(vinyl alcohol)</t>
  </si>
  <si>
    <t>Vinyl acetate, vinyl ester polymers, vinyl polymers</t>
  </si>
  <si>
    <t>Acrylic polymers</t>
  </si>
  <si>
    <t>Polyacetals</t>
  </si>
  <si>
    <t>Polyethers</t>
  </si>
  <si>
    <t>Epoxide resins</t>
  </si>
  <si>
    <t>Polycarbonates</t>
  </si>
  <si>
    <t>Alkyd resins</t>
  </si>
  <si>
    <t>Poly(ethylene terephthalate)</t>
  </si>
  <si>
    <t>Poly(lactic acid)</t>
  </si>
  <si>
    <t>Polyesters</t>
  </si>
  <si>
    <t>Polyamides</t>
  </si>
  <si>
    <t>Amino-resins</t>
  </si>
  <si>
    <t>Phenolic resins</t>
  </si>
  <si>
    <t>Polyurethanes</t>
  </si>
  <si>
    <t>Silicones</t>
  </si>
  <si>
    <t>Petroleum resins, coumarone, indene or coumarone-indene resins and polyterpenes</t>
  </si>
  <si>
    <t>Polysulphides, polysulphones and similar products of chemical synthesis n.e.c. in chapter 39</t>
  </si>
  <si>
    <t>Cellulose acetates</t>
  </si>
  <si>
    <t>Cellulose nitrates (including collodions)</t>
  </si>
  <si>
    <t>Cellulose ethers</t>
  </si>
  <si>
    <t>Cellulose and its chemical derivatives</t>
  </si>
  <si>
    <t>Polymers, natural</t>
  </si>
  <si>
    <t>Polymers, natural and modified natural</t>
  </si>
  <si>
    <t>Ion-exchangers</t>
  </si>
  <si>
    <t>Vinyl chloride polymers</t>
  </si>
  <si>
    <t>Plastics n.e.c. in heading no. 3915</t>
  </si>
  <si>
    <t>Plastics</t>
  </si>
  <si>
    <t>Floor, wall or ceiling coverings</t>
  </si>
  <si>
    <t>Balata, gutta-percha, guayule, chicle and similar natural gums</t>
  </si>
  <si>
    <t xml:space="preserve">Retreaded tyres </t>
  </si>
  <si>
    <t>Retreaded tyres</t>
  </si>
  <si>
    <t>Hides and skins</t>
  </si>
  <si>
    <t>Skins</t>
  </si>
  <si>
    <t>Tanned or crust hides and skins</t>
  </si>
  <si>
    <t>Tanned or crust skins</t>
  </si>
  <si>
    <t>Leather</t>
  </si>
  <si>
    <t>Saddlery and harness</t>
  </si>
  <si>
    <t>Cases and containers</t>
  </si>
  <si>
    <t>Apparel</t>
  </si>
  <si>
    <t>Clothing accessories</t>
  </si>
  <si>
    <t>Leather articles</t>
  </si>
  <si>
    <t>Furskins</t>
  </si>
  <si>
    <t>Furskin articles</t>
  </si>
  <si>
    <t>Fur, artificial</t>
  </si>
  <si>
    <t>Wood</t>
  </si>
  <si>
    <t>Wood, tropical</t>
  </si>
  <si>
    <t>Wood, coniferous</t>
  </si>
  <si>
    <t>Plywood, veneered panels and similar laminated wood</t>
  </si>
  <si>
    <t>Plywood</t>
  </si>
  <si>
    <t>Wooden frames</t>
  </si>
  <si>
    <t>Cork</t>
  </si>
  <si>
    <t>Plaiting materials, plaits and similar products of plaiting materials</t>
  </si>
  <si>
    <t>Basketwork, wickerwork and other articles</t>
  </si>
  <si>
    <t>Wood pulp</t>
  </si>
  <si>
    <t>Pulp</t>
  </si>
  <si>
    <t>Paper or paperboard</t>
  </si>
  <si>
    <t>Newsprint</t>
  </si>
  <si>
    <t>Uncoated paper and paperboard (not 4801 or 4803)</t>
  </si>
  <si>
    <t>Tissue, towel, napkin stock or similar</t>
  </si>
  <si>
    <t>Kraft paper and paperboard</t>
  </si>
  <si>
    <t>Paper and paperboard</t>
  </si>
  <si>
    <t>Paper &amp; paperboard</t>
  </si>
  <si>
    <t>Paper</t>
  </si>
  <si>
    <t>Paper, paperboard, cellulose wadding and webs of soft cellulose fibres</t>
  </si>
  <si>
    <t>Paper pulp</t>
  </si>
  <si>
    <t>Paper, cigarette</t>
  </si>
  <si>
    <t>Wallpaper and similar wall coverings</t>
  </si>
  <si>
    <t>Wallpaper and similar wall coverings and window transparencies</t>
  </si>
  <si>
    <t>Paper articles</t>
  </si>
  <si>
    <t>Paper pulp, paper or paperboard</t>
  </si>
  <si>
    <t>Paper pulp, paper, paperboard, cellulose wadding or webs of cellulose fibres</t>
  </si>
  <si>
    <t>Printed matter</t>
  </si>
  <si>
    <t>Newspapers, journals and periodicals</t>
  </si>
  <si>
    <t>Music</t>
  </si>
  <si>
    <t>Globes</t>
  </si>
  <si>
    <t>Maps and hydrographic or similar charts</t>
  </si>
  <si>
    <t>Plans and drawings</t>
  </si>
  <si>
    <t>Unused postage, revenue or similar stamps of current or new issue in the country in which they have, or will have, a recognised face value</t>
  </si>
  <si>
    <t>Printed or illustrated postcards</t>
  </si>
  <si>
    <t>Calendars</t>
  </si>
  <si>
    <t>Silk</t>
  </si>
  <si>
    <t>Silk yarn and yarn spun from silk waste</t>
  </si>
  <si>
    <t>Wool</t>
  </si>
  <si>
    <t>Hair</t>
  </si>
  <si>
    <t>Wool and hair</t>
  </si>
  <si>
    <t>Yarn</t>
  </si>
  <si>
    <t>Fabrics, woven</t>
  </si>
  <si>
    <t>Cotton</t>
  </si>
  <si>
    <t>Cotton yarn</t>
  </si>
  <si>
    <t>Flax</t>
  </si>
  <si>
    <t>Hemp (cannabis sativa L.)</t>
  </si>
  <si>
    <t>Jute and other textile bast fibres</t>
  </si>
  <si>
    <t>Coconut, abaca (Manila hemp or Musa textilis Nee), ramie and other vegetable textile fibres n.e.c., raw or processed but not spun</t>
  </si>
  <si>
    <t>Sewing thread</t>
  </si>
  <si>
    <t>Yarn, synthetic</t>
  </si>
  <si>
    <t>Yarn, artificial</t>
  </si>
  <si>
    <t>Elastomeric monofilament</t>
  </si>
  <si>
    <t>Monofilament of polypropylene</t>
  </si>
  <si>
    <t>Monofilament n.e.c. in heading no 5404</t>
  </si>
  <si>
    <t>Filament, synthetic</t>
  </si>
  <si>
    <t>Monofilament, synthetic</t>
  </si>
  <si>
    <t>Fibres</t>
  </si>
  <si>
    <t>Wadding</t>
  </si>
  <si>
    <t>Felt</t>
  </si>
  <si>
    <t>Nonwovens</t>
  </si>
  <si>
    <t>Rubber thread and cord</t>
  </si>
  <si>
    <t>Yarn and strip and the like of heading no. 5404 or 5405</t>
  </si>
  <si>
    <t>Twine</t>
  </si>
  <si>
    <t>Twine, cordage, ropes, cables</t>
  </si>
  <si>
    <t>Twine, cordage or rope</t>
  </si>
  <si>
    <t>Carpets and other textile floor coverings</t>
  </si>
  <si>
    <t>Textile floor coverings</t>
  </si>
  <si>
    <t>Fabrics</t>
  </si>
  <si>
    <t>Gauze</t>
  </si>
  <si>
    <t>Tulles and other net fabrics</t>
  </si>
  <si>
    <t>Lace</t>
  </si>
  <si>
    <t>Tapestries</t>
  </si>
  <si>
    <t>Labels, badges and similar articles</t>
  </si>
  <si>
    <t>Braids</t>
  </si>
  <si>
    <t>Ornamental trimmings</t>
  </si>
  <si>
    <t>Embroidery</t>
  </si>
  <si>
    <t>Quilted textile products</t>
  </si>
  <si>
    <t>Textile fabrics</t>
  </si>
  <si>
    <t>Textiles floor coverings</t>
  </si>
  <si>
    <t>Textile fabrics, rubberised</t>
  </si>
  <si>
    <t>Textile wicks, woven, plaited or knitted</t>
  </si>
  <si>
    <t>Textile hosepiping and similar textile tubing</t>
  </si>
  <si>
    <t>Textiles</t>
  </si>
  <si>
    <t>Textile products and articles for technical uses</t>
  </si>
  <si>
    <t>Coats</t>
  </si>
  <si>
    <t>Suits</t>
  </si>
  <si>
    <t>Ensembles</t>
  </si>
  <si>
    <t>Jackets and blazers</t>
  </si>
  <si>
    <t>Trousers, bib and brace overalls, breeches and shorts</t>
  </si>
  <si>
    <t>Jackets</t>
  </si>
  <si>
    <t>Dresses</t>
  </si>
  <si>
    <t>Skirts and divided skirts</t>
  </si>
  <si>
    <t>Shirts</t>
  </si>
  <si>
    <t>Blouses, shirts and shirt-blouses</t>
  </si>
  <si>
    <t>Underpants and briefs</t>
  </si>
  <si>
    <t>Nightshirts and pyjamas</t>
  </si>
  <si>
    <t>Bathrobes, dressing gowns and similar articles</t>
  </si>
  <si>
    <t>Slips and petticoats</t>
  </si>
  <si>
    <t>Briefs and panties</t>
  </si>
  <si>
    <t>Nightdresses and pyjamas</t>
  </si>
  <si>
    <t>Negligees, bathrobes, dressing gowns and similar articles</t>
  </si>
  <si>
    <t>T-shirts, singlets and other vests</t>
  </si>
  <si>
    <t>Jerseys, pullovers, cardigans, waistcoats and similar articles</t>
  </si>
  <si>
    <t>Garments and clothing accessories</t>
  </si>
  <si>
    <t>Track suits</t>
  </si>
  <si>
    <t>Ski suits</t>
  </si>
  <si>
    <t>Swimwear</t>
  </si>
  <si>
    <t>Garments</t>
  </si>
  <si>
    <t>Hosiery</t>
  </si>
  <si>
    <t>Hosiery and footwear</t>
  </si>
  <si>
    <t>Gloves, mittens and mitts</t>
  </si>
  <si>
    <t>Shawls, scarves, mufflers, mantillas, veils and the like</t>
  </si>
  <si>
    <t>Clothing</t>
  </si>
  <si>
    <t>Anoraks (including ski-jackets), wind-cheaters, wind-jackets and similar articles</t>
  </si>
  <si>
    <t>Singlets and other vests, bathrobes, dressing gowns and similar articles</t>
  </si>
  <si>
    <t>Singlets and other vests, briefs, panties, negligees, bathrobes, dressing gowns and similar articles</t>
  </si>
  <si>
    <t>Track suits and other garments n.e.c.</t>
  </si>
  <si>
    <t>Brassieres</t>
  </si>
  <si>
    <t>Girdles and panty-girdles</t>
  </si>
  <si>
    <t>Corselettes</t>
  </si>
  <si>
    <t>Braces, suspenders, garters and similar articles</t>
  </si>
  <si>
    <t>Handkerchiefs</t>
  </si>
  <si>
    <t>Ties, bow ties and cravats</t>
  </si>
  <si>
    <t>Blankets</t>
  </si>
  <si>
    <t>Blankets (other than electric blankets) and travelling rugs</t>
  </si>
  <si>
    <t>Blankets and travelling rugs</t>
  </si>
  <si>
    <t>Bed linen</t>
  </si>
  <si>
    <t>Table linen</t>
  </si>
  <si>
    <t>Kitchen and toilet linen</t>
  </si>
  <si>
    <t>Toilet and kitchen linen</t>
  </si>
  <si>
    <t>Curtains (including drapes) and interior blinds</t>
  </si>
  <si>
    <t>Curtains (including drapes) and interior blinds, curtain or bed valances</t>
  </si>
  <si>
    <t>Bedspreads</t>
  </si>
  <si>
    <t>Furnishing articles</t>
  </si>
  <si>
    <t>Sacks and bags</t>
  </si>
  <si>
    <t>Tarpaulins, awnings and sunblinds</t>
  </si>
  <si>
    <t>Tents</t>
  </si>
  <si>
    <t>Sails</t>
  </si>
  <si>
    <t>Pneumatic mattresses</t>
  </si>
  <si>
    <t>Sailboards, landcraft or camping goods</t>
  </si>
  <si>
    <t>Cloths</t>
  </si>
  <si>
    <t>Fabrics, woven and yarn</t>
  </si>
  <si>
    <t>Rags</t>
  </si>
  <si>
    <t>Footwear</t>
  </si>
  <si>
    <t>Sports footwear</t>
  </si>
  <si>
    <t>Hat-forms, hat bodies and hoods of felt, neither blocked to shape nor with made brims</t>
  </si>
  <si>
    <t>Hat-shapes</t>
  </si>
  <si>
    <t>Hats and other headgear</t>
  </si>
  <si>
    <t>Hair-nets</t>
  </si>
  <si>
    <t>Headgear</t>
  </si>
  <si>
    <t>Head-bands, linings, covers, hat foundations, hat frames, peaks and chinstraps</t>
  </si>
  <si>
    <t>Umbrellas and sun umbrellas</t>
  </si>
  <si>
    <t>Umbrella frames</t>
  </si>
  <si>
    <t>Trimmings, accessories and parts of articles of heading no. 6601 or 6602</t>
  </si>
  <si>
    <t>Skins and other parts of birds with their feathers or down</t>
  </si>
  <si>
    <t>Flowers, foliage and fruit, artificial, and parts thereof</t>
  </si>
  <si>
    <t>Human hair, dressed, thinned, bleached or otherwise worked</t>
  </si>
  <si>
    <t>Wigs</t>
  </si>
  <si>
    <t>False beards, eyebrows and eyelashes, switches and the like</t>
  </si>
  <si>
    <t>Wigs, false beards, eyebrows and eyelashes, switches and the like and other articles n.e.c.</t>
  </si>
  <si>
    <t>Stone</t>
  </si>
  <si>
    <t>Tiles, cubes and similar articles</t>
  </si>
  <si>
    <t>Marble, travertine and alabaster</t>
  </si>
  <si>
    <t>Slate, worked</t>
  </si>
  <si>
    <t>Millstones and grindstones</t>
  </si>
  <si>
    <t>Millstones, grindstones, grinding wheels and the like</t>
  </si>
  <si>
    <t>Abrasive powder or grain</t>
  </si>
  <si>
    <t>Minerals</t>
  </si>
  <si>
    <t>Asphalt or similar material</t>
  </si>
  <si>
    <t>Panels, boards, tiles, blocks and the like</t>
  </si>
  <si>
    <t>Plaster, or plaster compositions</t>
  </si>
  <si>
    <t>Plaster articles or articles of compositions based on plaster</t>
  </si>
  <si>
    <t>Cement, concrete or artificial stone</t>
  </si>
  <si>
    <t>Asbestos-cement</t>
  </si>
  <si>
    <t>Cellulose fibre-cement articles or the like</t>
  </si>
  <si>
    <t>Asbestos or mixtures with a basis of asbestos (other than crocidolite)</t>
  </si>
  <si>
    <t>Friction material and articles thereof (e.g. sheets, rolls, strips, segments, discs, washers, pads) not mounted</t>
  </si>
  <si>
    <t>Brake linings and pads</t>
  </si>
  <si>
    <t>Stone articles and articles of other mineral substances</t>
  </si>
  <si>
    <t>Refractory bricks, blocks, tiles and similar refractory ceramic constructional goods</t>
  </si>
  <si>
    <t>Refractory ceramic goods</t>
  </si>
  <si>
    <t>Ceramic tiles, cubes and similar articles</t>
  </si>
  <si>
    <t>Ceramic flags and paving</t>
  </si>
  <si>
    <t>Ceramic flags and pavings</t>
  </si>
  <si>
    <t>Ceramic wares</t>
  </si>
  <si>
    <t>Ceramic sinks, wash basins, wash basin pedestals, baths, bidets, water closet pans, flushing cisterns, urinals and similar sanitary fixtures</t>
  </si>
  <si>
    <t>Tableware and kitchenware</t>
  </si>
  <si>
    <t>Household and toilet articles</t>
  </si>
  <si>
    <t>Ceramic tableware, kitchenware, other household articles and toilet articles</t>
  </si>
  <si>
    <t>Ceramic statuettes and other ornamental ceramic articles</t>
  </si>
  <si>
    <t>Ceramic articles n.e.c. in chapter 69</t>
  </si>
  <si>
    <t>Glass of heading no. 7003, 7004 or 7005</t>
  </si>
  <si>
    <t>Glass mirrors</t>
  </si>
  <si>
    <t>Glass envelopes (including bulbs and tubes)</t>
  </si>
  <si>
    <t>Glassware</t>
  </si>
  <si>
    <t>Glasses for corrective spectacles</t>
  </si>
  <si>
    <t>Glasses</t>
  </si>
  <si>
    <t>Glass cubes and other glass smallwares</t>
  </si>
  <si>
    <t>Multicellular or foam glass</t>
  </si>
  <si>
    <t>Glass microspheres</t>
  </si>
  <si>
    <t>Glass fibres</t>
  </si>
  <si>
    <t>Pearls</t>
  </si>
  <si>
    <t>Diamonds</t>
  </si>
  <si>
    <t>Metals</t>
  </si>
  <si>
    <t>Base metals clad with silver</t>
  </si>
  <si>
    <t>Base metals or silver</t>
  </si>
  <si>
    <t>Base metals, silver or gold, clad with platinum</t>
  </si>
  <si>
    <t>Waste and scrap of precious metal or of metal clad with precious metal</t>
  </si>
  <si>
    <t>Waste and scrap of precious metals</t>
  </si>
  <si>
    <t>Jewellery</t>
  </si>
  <si>
    <t>Silversmiths' wares</t>
  </si>
  <si>
    <t>Goldsmiths' wares</t>
  </si>
  <si>
    <t>Goldsmiths' and silversmiths' wares</t>
  </si>
  <si>
    <t>Metal</t>
  </si>
  <si>
    <t>Coin</t>
  </si>
  <si>
    <t>Iron</t>
  </si>
  <si>
    <t>Ferro-alloys</t>
  </si>
  <si>
    <t>Ferrous products</t>
  </si>
  <si>
    <t>Ferrous waste and scrap</t>
  </si>
  <si>
    <t>Iron or steel, pig iron, spiegeleisen</t>
  </si>
  <si>
    <t>Iron or non-alloy steel</t>
  </si>
  <si>
    <t>Steel, stainless</t>
  </si>
  <si>
    <t>Steel, alloy</t>
  </si>
  <si>
    <t>Steel, alloy or non-alloy</t>
  </si>
  <si>
    <t>Iron or steel</t>
  </si>
  <si>
    <t>Iron or steel, railway or tramway track construction material</t>
  </si>
  <si>
    <t>Cast iron</t>
  </si>
  <si>
    <t>Iron or steel (excluding cast iron)</t>
  </si>
  <si>
    <t>Iron or steel (excluding cast iron or stainless steel)</t>
  </si>
  <si>
    <t>Iron or non-alloy steel (excluding cast iron)</t>
  </si>
  <si>
    <t>Steel, alloy (not stainless steel)</t>
  </si>
  <si>
    <t>Steel</t>
  </si>
  <si>
    <t>Reservoirs, tanks, vats and similar containers</t>
  </si>
  <si>
    <t>Cans</t>
  </si>
  <si>
    <t>Iron of steel</t>
  </si>
  <si>
    <t>Iron or steel wire</t>
  </si>
  <si>
    <t>Chain</t>
  </si>
  <si>
    <t>Cooking appliances and plate warmers</t>
  </si>
  <si>
    <t>Domestic appliances</t>
  </si>
  <si>
    <t>Radiators and parts thereof</t>
  </si>
  <si>
    <t>Iron (excluding cast) or steel</t>
  </si>
  <si>
    <t>Iron (other than cast) or steel</t>
  </si>
  <si>
    <t>Copper mattes</t>
  </si>
  <si>
    <t>Copper</t>
  </si>
  <si>
    <t>Nickel</t>
  </si>
  <si>
    <t>Aluminium</t>
  </si>
  <si>
    <t>Tin</t>
  </si>
  <si>
    <t>Tungsten (wolfram)</t>
  </si>
  <si>
    <t>Molybdenum</t>
  </si>
  <si>
    <t>Tantalum</t>
  </si>
  <si>
    <t>Magnesium</t>
  </si>
  <si>
    <t>Cobalt</t>
  </si>
  <si>
    <t>Bismuth</t>
  </si>
  <si>
    <t>Cadmium</t>
  </si>
  <si>
    <t>Titanium</t>
  </si>
  <si>
    <t>Zirconium</t>
  </si>
  <si>
    <t>Antimony and articles thereof</t>
  </si>
  <si>
    <t>Antimony</t>
  </si>
  <si>
    <t>Manganese</t>
  </si>
  <si>
    <t>Beryllium and articles thereof</t>
  </si>
  <si>
    <t>Beryllium</t>
  </si>
  <si>
    <t>Chromium and articles thereof</t>
  </si>
  <si>
    <t>Chromium</t>
  </si>
  <si>
    <t>Thallium and articles thereof</t>
  </si>
  <si>
    <t>Thallium</t>
  </si>
  <si>
    <t>Gallium, germanium, hafnium, indium, niobium (columbium), rhenium and vanadium</t>
  </si>
  <si>
    <t>Cermets</t>
  </si>
  <si>
    <t>Tools, hand</t>
  </si>
  <si>
    <t>Tools, interchangeable</t>
  </si>
  <si>
    <t>Tools</t>
  </si>
  <si>
    <t>Knives</t>
  </si>
  <si>
    <t>Blades</t>
  </si>
  <si>
    <t>Scissors</t>
  </si>
  <si>
    <t>Cutlery</t>
  </si>
  <si>
    <t>Manicure or pedicure sets and instruments</t>
  </si>
  <si>
    <t>Padlocks</t>
  </si>
  <si>
    <t>Locks</t>
  </si>
  <si>
    <t>Clasps and frames with clasps</t>
  </si>
  <si>
    <t>Keys</t>
  </si>
  <si>
    <t>Hinges</t>
  </si>
  <si>
    <t>Castors</t>
  </si>
  <si>
    <t>Mountings, fittings and similar articles</t>
  </si>
  <si>
    <t>Automatic door closures</t>
  </si>
  <si>
    <t>Safes</t>
  </si>
  <si>
    <t>Office equipment</t>
  </si>
  <si>
    <t>Stationery</t>
  </si>
  <si>
    <t>Bells, gongs and the like</t>
  </si>
  <si>
    <t>Statuettes and other ornaments</t>
  </si>
  <si>
    <t>Photograph, picture or similar frames, mirrors</t>
  </si>
  <si>
    <t>Tubing</t>
  </si>
  <si>
    <t>Hooks, eyes and eyelets</t>
  </si>
  <si>
    <t>Rivets</t>
  </si>
  <si>
    <t>Clasps, frames with clasps, buckles, buckle clasps</t>
  </si>
  <si>
    <t>Stoppers</t>
  </si>
  <si>
    <t>Sign plates, name-plates, address-plates and similar plates, numbers, letters and other symbols</t>
  </si>
  <si>
    <t>Electrodes</t>
  </si>
  <si>
    <t>Wire</t>
  </si>
  <si>
    <t>Rods and wire</t>
  </si>
  <si>
    <t>Wires, rods, tubes, plates, electrodes of base metal or metal carbides</t>
  </si>
  <si>
    <t>Machinery and apparatus</t>
  </si>
  <si>
    <t>Fuel elements (cartridges)</t>
  </si>
  <si>
    <t>Boilers</t>
  </si>
  <si>
    <t>Generators</t>
  </si>
  <si>
    <t>Turbines</t>
  </si>
  <si>
    <t>Engines</t>
  </si>
  <si>
    <t>Turbo-jets</t>
  </si>
  <si>
    <t>Turbo-propellers</t>
  </si>
  <si>
    <t>Pumps</t>
  </si>
  <si>
    <t>Pumps and liquid elevators</t>
  </si>
  <si>
    <t>Compressors</t>
  </si>
  <si>
    <t>Fans</t>
  </si>
  <si>
    <t>Hoods</t>
  </si>
  <si>
    <t>Pumps and compressors</t>
  </si>
  <si>
    <t>Air conditioning machines</t>
  </si>
  <si>
    <t>Furnaces</t>
  </si>
  <si>
    <t>Furnace accessories</t>
  </si>
  <si>
    <t>Furnaces and ovens</t>
  </si>
  <si>
    <t>Ovens</t>
  </si>
  <si>
    <t>Refrigerators and freezers</t>
  </si>
  <si>
    <t>Refrigerators</t>
  </si>
  <si>
    <t>Freezers</t>
  </si>
  <si>
    <t>Furniture incorporating refrigerating or freezing equipment</t>
  </si>
  <si>
    <t>Heat pumps</t>
  </si>
  <si>
    <t>Refrigerating or freezing equipment</t>
  </si>
  <si>
    <t>Heaters</t>
  </si>
  <si>
    <t>Dryers</t>
  </si>
  <si>
    <t>Distilling or rectifying plant</t>
  </si>
  <si>
    <t>Heat exchange units</t>
  </si>
  <si>
    <t>Machinery</t>
  </si>
  <si>
    <t>Machinery, plant and equipment</t>
  </si>
  <si>
    <t>Machinery, plant and laboratory equipment</t>
  </si>
  <si>
    <t>Machines</t>
  </si>
  <si>
    <t>Centrifuges</t>
  </si>
  <si>
    <t>Dish washing machines</t>
  </si>
  <si>
    <t>Weighing machines</t>
  </si>
  <si>
    <t>Fire extinguishers</t>
  </si>
  <si>
    <t>Mechanical appliances</t>
  </si>
  <si>
    <t>Pulley tackle and hoists</t>
  </si>
  <si>
    <t>Winches and capstans</t>
  </si>
  <si>
    <t>Jacks</t>
  </si>
  <si>
    <t>Jacks and hoists</t>
  </si>
  <si>
    <t>Cranes</t>
  </si>
  <si>
    <t>Cranes and derricks</t>
  </si>
  <si>
    <t>Fork-lift and other works trucks</t>
  </si>
  <si>
    <t>Elevators and conveyors</t>
  </si>
  <si>
    <t>Lifting, handling, loading or unloading machinery</t>
  </si>
  <si>
    <t>Bulldozers and angledozers</t>
  </si>
  <si>
    <t>Scrapers</t>
  </si>
  <si>
    <t>Tamping machines and road rollers</t>
  </si>
  <si>
    <t>Mechanical shovels, excavators and shovel loaders</t>
  </si>
  <si>
    <t>Coal or rock cutters and tunnelling machinery</t>
  </si>
  <si>
    <t>Boring or sinking machinery</t>
  </si>
  <si>
    <t>Boring and sinking machinery</t>
  </si>
  <si>
    <t>Lifts, skip hoists or escalators</t>
  </si>
  <si>
    <t>Machinery parts</t>
  </si>
  <si>
    <t>Ploughs</t>
  </si>
  <si>
    <t>Harrows</t>
  </si>
  <si>
    <t>Spreaders and distributors</t>
  </si>
  <si>
    <t>Rollers</t>
  </si>
  <si>
    <t>Mowers</t>
  </si>
  <si>
    <t>Balers</t>
  </si>
  <si>
    <t>Threshing machinery</t>
  </si>
  <si>
    <t>Harvesting machinery</t>
  </si>
  <si>
    <t>Milking machines and dairy machinery</t>
  </si>
  <si>
    <t>Presses, crushers and similar machinery</t>
  </si>
  <si>
    <t>Poultry-keeping machinery</t>
  </si>
  <si>
    <t>Book-binding machinery</t>
  </si>
  <si>
    <t>Plates, cylinders and other printing components</t>
  </si>
  <si>
    <t>Printing machinery</t>
  </si>
  <si>
    <t>Printing, copying, and facsimile machines</t>
  </si>
  <si>
    <t>Printing machinery used for printing by means of plates, cylinders and other printing components of heading 8442</t>
  </si>
  <si>
    <t>Textile machinery</t>
  </si>
  <si>
    <t>Weaving machines (looms)</t>
  </si>
  <si>
    <t>Knitting machines</t>
  </si>
  <si>
    <t>Machinery, auxiliary</t>
  </si>
  <si>
    <t>Machines, card clothing</t>
  </si>
  <si>
    <t>Washing machines</t>
  </si>
  <si>
    <t>Drying machines</t>
  </si>
  <si>
    <t>Sewing machines</t>
  </si>
  <si>
    <t>Sewing machine furniture</t>
  </si>
  <si>
    <t>Converters</t>
  </si>
  <si>
    <t>Ingot moulds and ladles</t>
  </si>
  <si>
    <t>Casting machines</t>
  </si>
  <si>
    <t>Metal-rolling mills</t>
  </si>
  <si>
    <t>Machine-tools</t>
  </si>
  <si>
    <t>Machine tools</t>
  </si>
  <si>
    <t>Machining centres</t>
  </si>
  <si>
    <t>Metal machines</t>
  </si>
  <si>
    <t>Lathes</t>
  </si>
  <si>
    <t>Calculating machines</t>
  </si>
  <si>
    <t>Machines incorporating a calculating device</t>
  </si>
  <si>
    <t>Automatic data processing machines</t>
  </si>
  <si>
    <t>Units of automatic data processing machines</t>
  </si>
  <si>
    <t>Office machines</t>
  </si>
  <si>
    <t>Typewriters and word-processing machines</t>
  </si>
  <si>
    <t>Machines, for sorting, screening, separating, washing, crushing etc mineral substances, for agglomerating, shaping or moulding solid fuels, ceramic pastes etc, for forming foundry moulds of sand</t>
  </si>
  <si>
    <t>Machinery and mechanical appliances</t>
  </si>
  <si>
    <t>Machines and mechanical appliances</t>
  </si>
  <si>
    <t>Moulding boxes</t>
  </si>
  <si>
    <t>Mould bases</t>
  </si>
  <si>
    <t>Moulding patterns</t>
  </si>
  <si>
    <t>Moulds</t>
  </si>
  <si>
    <t>Valves</t>
  </si>
  <si>
    <t>Taps, cocks, valves and similar appliances</t>
  </si>
  <si>
    <t>Bearings</t>
  </si>
  <si>
    <t>Gears and gearing</t>
  </si>
  <si>
    <t>Transmission components</t>
  </si>
  <si>
    <t>Gaskets and similar joints</t>
  </si>
  <si>
    <t>Seals</t>
  </si>
  <si>
    <t>Gasket sets or assortments of gaskets and similar joints</t>
  </si>
  <si>
    <t>Machines and apparatus of heading 8486</t>
  </si>
  <si>
    <t>Electric motors</t>
  </si>
  <si>
    <t>Electric motors and generators</t>
  </si>
  <si>
    <t>Electric generators</t>
  </si>
  <si>
    <t>Electric generating sets</t>
  </si>
  <si>
    <t>Discharge lamps or tubes</t>
  </si>
  <si>
    <t>Electrical transformers</t>
  </si>
  <si>
    <t>Transformers</t>
  </si>
  <si>
    <t>Electrical inductors</t>
  </si>
  <si>
    <t>Electrical transformers, static converters and inductors</t>
  </si>
  <si>
    <t>Magnets</t>
  </si>
  <si>
    <t>Cells and batteries</t>
  </si>
  <si>
    <t>Electric accumulators</t>
  </si>
  <si>
    <t>Electro-mechanical domestic appliances</t>
  </si>
  <si>
    <t>Shavers</t>
  </si>
  <si>
    <t>Hair clippers</t>
  </si>
  <si>
    <t>Hair-removing appliances</t>
  </si>
  <si>
    <t>Shavers and hair clippers</t>
  </si>
  <si>
    <t>Ignition or starting equipment</t>
  </si>
  <si>
    <t>Lighting or visual signalling equipment</t>
  </si>
  <si>
    <t>Sound signalling equipment</t>
  </si>
  <si>
    <t>Windscreen wipers, defrosters and demisters</t>
  </si>
  <si>
    <t>Lighting or signalling equipment</t>
  </si>
  <si>
    <t>Lamps</t>
  </si>
  <si>
    <t>Heating equipment</t>
  </si>
  <si>
    <t>Furnaces, ovens and heating equipment</t>
  </si>
  <si>
    <t>Brazing or soldering machines and apparatus</t>
  </si>
  <si>
    <t>Welding machines and apparatus</t>
  </si>
  <si>
    <t>Welding, brazing or soldering machines</t>
  </si>
  <si>
    <t>Heating apparatus</t>
  </si>
  <si>
    <t>Hair-dressing apparatus</t>
  </si>
  <si>
    <t>Hand-drying apparatus</t>
  </si>
  <si>
    <t>Smoothing irons</t>
  </si>
  <si>
    <t>Ovens, cookers, cooking plates, boiling rings, grillers and roasters</t>
  </si>
  <si>
    <t>Electro-thermic appliances</t>
  </si>
  <si>
    <t>Resistors</t>
  </si>
  <si>
    <t>Communication apparatus (excluding telephone sets or base stations)</t>
  </si>
  <si>
    <t>Telephone sets and other apparatus for the transmission or reception of voice, images or other data, via a wired or wireless network</t>
  </si>
  <si>
    <t>Loudspeakers</t>
  </si>
  <si>
    <t>Amplifiers</t>
  </si>
  <si>
    <t>Amplifier sets</t>
  </si>
  <si>
    <t>Microphones, headphones, earphones, amplifier equipment</t>
  </si>
  <si>
    <t>Sound recording or reproducing apparatus</t>
  </si>
  <si>
    <t>Video recording or reproducing apparatus</t>
  </si>
  <si>
    <t>Magnetic media</t>
  </si>
  <si>
    <t>Semiconductor media</t>
  </si>
  <si>
    <t>Radio broadcast receivers capable of operating without an external power source</t>
  </si>
  <si>
    <t>Radio-broadcast receivers not capable of operating without an external source of power, of a kind used in motor vehicles</t>
  </si>
  <si>
    <t>Radio-broadcast receivers n.e.c. in heading no. 8527</t>
  </si>
  <si>
    <t>Cathode-ray tube monitors</t>
  </si>
  <si>
    <t>Monitors other than cathode-ray tube</t>
  </si>
  <si>
    <t>Projectors</t>
  </si>
  <si>
    <t>Reception apparatus for television, whether or not incorporating radio-broadcast receivers or sound or video recording or reproducing apparatus</t>
  </si>
  <si>
    <t>Reception and transmission apparatus</t>
  </si>
  <si>
    <t>Signalling, safety or traffic control equipment</t>
  </si>
  <si>
    <t>Signalling apparatus</t>
  </si>
  <si>
    <t>Electrical capacitors</t>
  </si>
  <si>
    <t>Electrical resistors</t>
  </si>
  <si>
    <t>Circuits</t>
  </si>
  <si>
    <t>Electrical apparatus</t>
  </si>
  <si>
    <t>Boards, panels, consoles, desks and other bases</t>
  </si>
  <si>
    <t>Tubes</t>
  </si>
  <si>
    <t>Valves and tubes</t>
  </si>
  <si>
    <t>Crystals</t>
  </si>
  <si>
    <t>Electronic integrated circuits</t>
  </si>
  <si>
    <t>Electrical machines and apparatus</t>
  </si>
  <si>
    <t>Insulated electric conductors</t>
  </si>
  <si>
    <t>Carbon electrodes</t>
  </si>
  <si>
    <t>Carbon brushes</t>
  </si>
  <si>
    <t>Electrical insulators</t>
  </si>
  <si>
    <t>Insulating fittings</t>
  </si>
  <si>
    <t>Waste and scrap of primary cells, primary batteries and electric accumulators</t>
  </si>
  <si>
    <t>Electrical parts of machinery or apparatus</t>
  </si>
  <si>
    <t>Rail locomotives</t>
  </si>
  <si>
    <t>Rail locomotives and locomotive tenders</t>
  </si>
  <si>
    <t>Railway or tramway coaches, vans and trucks</t>
  </si>
  <si>
    <t>Railway or tramway maintenance or service vehicles</t>
  </si>
  <si>
    <t>Railway or tramway coaches</t>
  </si>
  <si>
    <t>Railway or tramway goods vans and wagons</t>
  </si>
  <si>
    <t>Railway or tramway locomotives or rolling stock</t>
  </si>
  <si>
    <t>Railway or tramway locomotives</t>
  </si>
  <si>
    <t>Railway or tramway rolling stock</t>
  </si>
  <si>
    <t>Railway or tramway track fixtures and fittings</t>
  </si>
  <si>
    <t>Containers</t>
  </si>
  <si>
    <t>Tractors</t>
  </si>
  <si>
    <t>Vehicles</t>
  </si>
  <si>
    <t>Chassis</t>
  </si>
  <si>
    <t>Vehicle parts</t>
  </si>
  <si>
    <t>Vehicle parts and accessories</t>
  </si>
  <si>
    <t>Tanks and other armoured fighting vehicles</t>
  </si>
  <si>
    <t>Motorcycles (including mopeds) and cycles</t>
  </si>
  <si>
    <t>Bicycles and other cycles</t>
  </si>
  <si>
    <t>Motorcycles (including mopeds)</t>
  </si>
  <si>
    <t>Cycles</t>
  </si>
  <si>
    <t>Trailers and semi-trailers</t>
  </si>
  <si>
    <t>Trailers, semi-trailers and other vehicles not mechanically propelled</t>
  </si>
  <si>
    <t>Balloons and dirigibles</t>
  </si>
  <si>
    <t>Helicopters</t>
  </si>
  <si>
    <t>Aeroplanes and other aircraft</t>
  </si>
  <si>
    <t>Spacecraft</t>
  </si>
  <si>
    <t>Aircraft and spacecraft</t>
  </si>
  <si>
    <t>Parachutes (including dirigible parachutes and paragliders) and rotochutes</t>
  </si>
  <si>
    <t>Ground flying trainers and parts thereof</t>
  </si>
  <si>
    <t>Vessels, refrigerated</t>
  </si>
  <si>
    <t>Vessels</t>
  </si>
  <si>
    <t>Fishing vessels, factory ships and other vessels</t>
  </si>
  <si>
    <t>Yachts and other vessels</t>
  </si>
  <si>
    <t>Sailboats</t>
  </si>
  <si>
    <t>Motorboats</t>
  </si>
  <si>
    <t>Rafts</t>
  </si>
  <si>
    <t>Floating structures</t>
  </si>
  <si>
    <t>Vessels and other floating structures</t>
  </si>
  <si>
    <t>Optical fibres, optical fibre bundles and cables</t>
  </si>
  <si>
    <t>Optical elements</t>
  </si>
  <si>
    <t>Lenses</t>
  </si>
  <si>
    <t>Filters</t>
  </si>
  <si>
    <t>Spectacles, goggles and the like</t>
  </si>
  <si>
    <t>Monoculars</t>
  </si>
  <si>
    <t>Binoculars, monoculars, other optical telescopes, astronomical instruments (excluding those of radio-astronomy)</t>
  </si>
  <si>
    <t>Cameras, photographic (excluding cinematographic)</t>
  </si>
  <si>
    <t>Photographic flashlight apparatus</t>
  </si>
  <si>
    <t>Cameras, cinematographic</t>
  </si>
  <si>
    <t>Projectors, cinematographic</t>
  </si>
  <si>
    <t>Projectors, image</t>
  </si>
  <si>
    <t>Photographic (excluding cinematographic) enlargers and reducers and image projectors</t>
  </si>
  <si>
    <t>Photographic laboratory apparatus and equipment</t>
  </si>
  <si>
    <t>Photographic laboratory apparatus and equipment (including cinematographic)</t>
  </si>
  <si>
    <t>Microscopes (excluding optical microscopes)</t>
  </si>
  <si>
    <t>Optical appliances and instruments</t>
  </si>
  <si>
    <t>Lasers</t>
  </si>
  <si>
    <t>Optical devices, appliances and instruments</t>
  </si>
  <si>
    <t>Navigational instruments and appliances</t>
  </si>
  <si>
    <t>Surveying equipment</t>
  </si>
  <si>
    <t>Balances</t>
  </si>
  <si>
    <t>Drafting tables and machines</t>
  </si>
  <si>
    <t>Mathematical equipment</t>
  </si>
  <si>
    <t>Mathematical instruments and equipment</t>
  </si>
  <si>
    <t>Drawing, marking-out equipment and mathematical instruments</t>
  </si>
  <si>
    <t>Breathing appliances and gas masks</t>
  </si>
  <si>
    <t>Instruments, apparatus and models</t>
  </si>
  <si>
    <t>Machines and appliances</t>
  </si>
  <si>
    <t>Thermometers and pyrometers</t>
  </si>
  <si>
    <t>Hydrometers and similar floating instruments, barometers, hygrometers, psychrometers, thermometers, pyrometers</t>
  </si>
  <si>
    <t>Instruments and apparatus</t>
  </si>
  <si>
    <t>Spectrometers, spectrophotometers and spectrographs</t>
  </si>
  <si>
    <t>Meters</t>
  </si>
  <si>
    <t>Meters and counters</t>
  </si>
  <si>
    <t>Multimeters</t>
  </si>
  <si>
    <t>Instruments, apparatus for measuring, checking electrical quantities, not meters of heading no. 9028</t>
  </si>
  <si>
    <t>Optical instruments and appliances</t>
  </si>
  <si>
    <t>Instruments, appliances and machines</t>
  </si>
  <si>
    <t>Regulating or controlling instruments and apparatus</t>
  </si>
  <si>
    <t>Wrist-watches</t>
  </si>
  <si>
    <t>Pocket-watches and other watches, including stop-watches</t>
  </si>
  <si>
    <t>Pocket watches and other watches, including stop-watches</t>
  </si>
  <si>
    <t>Clocks</t>
  </si>
  <si>
    <t>Time recording apparatus</t>
  </si>
  <si>
    <t>Time switches</t>
  </si>
  <si>
    <t>Watch movements</t>
  </si>
  <si>
    <t>Clock movements</t>
  </si>
  <si>
    <t>Watches</t>
  </si>
  <si>
    <t>Watch cases</t>
  </si>
  <si>
    <t>Clock cases and similar cases for other goods of chapter 91</t>
  </si>
  <si>
    <t>Watch straps, watch bands, watch bracelets, and parts thereof</t>
  </si>
  <si>
    <t>Clock or watch parts</t>
  </si>
  <si>
    <t>Musical instruments</t>
  </si>
  <si>
    <t>Fairground and mechanical street organs, mechanical singing birds, musical saws and musical instruments n.e.c. in chapter 92</t>
  </si>
  <si>
    <t>Military weapons</t>
  </si>
  <si>
    <t>Revolvers and pistols</t>
  </si>
  <si>
    <t>Firearms</t>
  </si>
  <si>
    <t>Ammunition</t>
  </si>
  <si>
    <t>Arms</t>
  </si>
  <si>
    <t>Seats</t>
  </si>
  <si>
    <t>Seat</t>
  </si>
  <si>
    <t>Chairs</t>
  </si>
  <si>
    <t>Furniture</t>
  </si>
  <si>
    <t>Mattresses</t>
  </si>
  <si>
    <t>Bedding and similar furnishing articles</t>
  </si>
  <si>
    <t>Chandeliers and other electric ceiling or wall light fittings</t>
  </si>
  <si>
    <t>Lamps, electric</t>
  </si>
  <si>
    <t>Lighting sets</t>
  </si>
  <si>
    <t>Lamps and light fittings</t>
  </si>
  <si>
    <t>Buildings</t>
  </si>
  <si>
    <t>Tricycles, scooters, pedal cars and similar wheeled toys</t>
  </si>
  <si>
    <t>Video games</t>
  </si>
  <si>
    <t>Games</t>
  </si>
  <si>
    <t>Festive, carnival or other entertainment articles including novelty jokes and conjuring tricks</t>
  </si>
  <si>
    <t>Skis</t>
  </si>
  <si>
    <t>Ski-fastenings (ski-bindings)</t>
  </si>
  <si>
    <t>Sailboards</t>
  </si>
  <si>
    <t>Water sport equipment</t>
  </si>
  <si>
    <t>Golf clubs</t>
  </si>
  <si>
    <t>Golf equipment</t>
  </si>
  <si>
    <t>Lawn-tennis racquets</t>
  </si>
  <si>
    <t>Tennis, badminton and similar racquets</t>
  </si>
  <si>
    <t>Balls</t>
  </si>
  <si>
    <t>Skates</t>
  </si>
  <si>
    <t>Fish-hooks</t>
  </si>
  <si>
    <t>Roundabouts, swings, shooting galleries, other fairground amusements</t>
  </si>
  <si>
    <t>Ivory and articles thereof</t>
  </si>
  <si>
    <t>Brooms and brushes</t>
  </si>
  <si>
    <t>Brushes</t>
  </si>
  <si>
    <t>Brooms, brushes, mops, feather dusters, squeegees, hand operated mechanical floor sweepers</t>
  </si>
  <si>
    <t>Travel sets</t>
  </si>
  <si>
    <t>Buttons</t>
  </si>
  <si>
    <t>Button moulds and other parts of buttons</t>
  </si>
  <si>
    <t>Slide fasteners</t>
  </si>
  <si>
    <t>Pens</t>
  </si>
  <si>
    <t>Pencils</t>
  </si>
  <si>
    <t>Pen and pencil sets</t>
  </si>
  <si>
    <t>Pens and pencils n.e.c. in heading no. 9608</t>
  </si>
  <si>
    <t>Pencils and crayons</t>
  </si>
  <si>
    <t>Pencil leads</t>
  </si>
  <si>
    <t>Slates and boards</t>
  </si>
  <si>
    <t>Stamps</t>
  </si>
  <si>
    <t>Ribbons</t>
  </si>
  <si>
    <t>Ink pads</t>
  </si>
  <si>
    <t>Lighters</t>
  </si>
  <si>
    <t>Combs, hair slides and the like</t>
  </si>
  <si>
    <t>Powder puffs and pads</t>
  </si>
  <si>
    <t>Vacuum flasks and other vacuum vessels, complete with cases</t>
  </si>
  <si>
    <t>Tailors' dummies and other lay figures</t>
  </si>
  <si>
    <t>Paintings, drawings and pastels</t>
  </si>
  <si>
    <t>Artwork</t>
  </si>
  <si>
    <t>Engravings, prints and lithographs</t>
  </si>
  <si>
    <t>Sculptures and statuary</t>
  </si>
  <si>
    <t>Stamps, postage or revenue</t>
  </si>
  <si>
    <t>Collections and collectors' pieces</t>
  </si>
  <si>
    <t>Antiques</t>
  </si>
  <si>
    <t>Sugars, chemically pure, other than sucrose, lactose, maltose, glucose and fructose</t>
  </si>
  <si>
    <t>Apparatus based on the use of x-rays, including radiography or radiotherapy apparatus</t>
  </si>
  <si>
    <t>Dispositivos quirúrgicos e invasivos</t>
  </si>
  <si>
    <t>Dispositivos odontológicos</t>
  </si>
  <si>
    <t>Insumos médicos y suministros para la atención de pacientes</t>
  </si>
  <si>
    <t>Equipos de laboratorio</t>
  </si>
  <si>
    <t>Cuidado de heridas y dispositivos de protección</t>
  </si>
  <si>
    <t>Dispositivos de diagnóstico in vitro y de laboratorio</t>
  </si>
  <si>
    <t>Dispositivos para rehabilitación y asistencia</t>
  </si>
  <si>
    <t>Dispositivos de esterilización y desinfección</t>
  </si>
  <si>
    <t>Equipos de diagnóstico y monitoreo</t>
  </si>
  <si>
    <t>Dispositivos de diagnóstico por imagen</t>
  </si>
  <si>
    <t>Equipos terapéuticos</t>
  </si>
  <si>
    <t>Dispositivos cardiovasculares</t>
  </si>
  <si>
    <t>Mobiliario médico y elementos de soporte</t>
  </si>
  <si>
    <t>Sangre y productos derivados, inmunoglobulinas y antisueros</t>
  </si>
  <si>
    <t>Células, tejidos y otras sustancias de origen humano o animal para uso terapéutico</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</si>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</sst>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scheme val="minor"/>
    </font>
    <font>
      <sz val="11"/>
      <color theme="1"/>
      <name val="Aptos Narrow"/>
    </font>
    <font>
      <sz val="11"/>
      <color theme="1"/>
      <name val="Arial"/>
    </font>
    <font>
      <sz val="11"/>
      <color theme="1"/>
      <name val="Aptos Narrow"/>
    </font>
    <font>
      <sz val="7"/>
      <color rgb="FF000000"/>
      <name val="Helvetica Neue"/>
    </font>
    <font>
      <sz val="14"/>
      <color rgb="FF000000"/>
      <name val="-webkit-standard"/>
    </font>
    <font>
      <sz val="11"/>
      <color theme="1"/>
      <name val="Arial"/>
    </font>
    <font>
      <sz val="11"/>
      <color theme="1"/>
      <name val="Aptos Narrow"/>
      <scheme val="minor"/>
    </font>
    <font>
      <b/>
      <sz val="11"/>
      <color theme="1"/>
      <name val="Aptos Narrow"/>
    </font>
    <font>
      <sz val="8"/>
      <color rgb="FF000000"/>
      <name val="&quot;DejaVu Sans&quot;"/>
    </font>
    <font>
      <sz val="11"/>
      <color theme="1"/>
      <name val="Aptos Narrow"/>
      <family val="2"/>
      <scheme val="major"/>
    </font>
    <font>
      <b/>
      <sz val="11"/>
      <color theme="1"/>
      <name val="Aptos Narrow"/>
      <family val="2"/>
      <scheme val="major"/>
    </font>
  </fonts>
  <fills count="6">
    <fill>
      <patternFill patternType="none"/>
    </fill>
    <fill>
      <patternFill patternType="gray125"/>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F0F0F0"/>
        <bgColor rgb="FFF0F0F0"/>
      </patternFill>
    </fill>
  </fills>
  <borders count="3">
    <border>
      <left/>
      <right/>
      <top/>
      <bottom/>
      <diagonal/>
    </border>
    <border>
      <left/>
      <right/>
      <top/>
      <bottom/>
      <diagonal/>
    </border>
    <border>
      <left/>
      <right style="thin">
        <color rgb="FFD8D8D8"/>
      </right>
      <top/>
      <bottom style="thin">
        <color rgb="FFD8D8D8"/>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3" fillId="2" borderId="1" xfId="0" applyFont="1" applyFill="1" applyBorder="1"/>
    <xf numFmtId="0" fontId="3" fillId="3" borderId="0" xfId="0" applyFont="1" applyFill="1"/>
    <xf numFmtId="0" fontId="3" fillId="3" borderId="1" xfId="0" applyFont="1" applyFill="1" applyBorder="1"/>
    <xf numFmtId="0" fontId="6" fillId="3" borderId="1" xfId="0" applyFont="1" applyFill="1" applyBorder="1"/>
    <xf numFmtId="0" fontId="7" fillId="0" borderId="1" xfId="0" applyFont="1" applyBorder="1"/>
    <xf numFmtId="0" fontId="6" fillId="2" borderId="0" xfId="0" applyFont="1" applyFill="1"/>
    <xf numFmtId="0" fontId="3" fillId="2" borderId="0" xfId="0" applyFont="1" applyFill="1"/>
    <xf numFmtId="0" fontId="8" fillId="0" borderId="0" xfId="0" applyFont="1"/>
    <xf numFmtId="0" fontId="1" fillId="0" borderId="1" xfId="0" applyFont="1" applyBorder="1"/>
    <xf numFmtId="0" fontId="2" fillId="0" borderId="1" xfId="0" applyFont="1" applyBorder="1"/>
    <xf numFmtId="0" fontId="7" fillId="0" borderId="0" xfId="0" applyFont="1"/>
    <xf numFmtId="0" fontId="9" fillId="4" borderId="2" xfId="0" applyFont="1" applyFill="1" applyBorder="1"/>
    <xf numFmtId="0" fontId="9" fillId="5" borderId="2" xfId="0" applyFont="1" applyFill="1" applyBorder="1"/>
    <xf numFmtId="0" fontId="9" fillId="0" borderId="2" xfId="0" applyFont="1" applyBorder="1"/>
    <xf numFmtId="49" fontId="10" fillId="0" borderId="0" xfId="0" applyNumberFormat="1" applyFont="1"/>
    <xf numFmtId="0" fontId="10" fillId="0" borderId="0" xfId="0" applyFont="1"/>
    <xf numFmtId="49" fontId="11" fillId="0" borderId="0" xfId="0" applyNumberFormat="1" applyFont="1"/>
    <xf numFmtId="0" fontId="10" fillId="0" borderId="1" xfId="0" applyFont="1" applyBorder="1"/>
    <xf numFmtId="49" fontId="10" fillId="0" borderId="1" xfId="0" applyNumberFormat="1" applyFont="1" applyBorder="1"/>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51"/>
  <sheetViews>
    <sheetView workbookViewId="0">
      <pane ySplit="1" topLeftCell="A1602" activePane="bottomLeft" state="frozen"/>
      <selection pane="bottomLeft" activeCell="A1625" sqref="A1625"/>
    </sheetView>
  </sheetViews>
  <sheetFormatPr baseColWidth="10" defaultColWidth="12.5703125" defaultRowHeight="15" customHeight="1"/>
  <cols>
    <col min="1" max="1" width="7.7109375" customWidth="1"/>
    <col min="2" max="2" width="30.85546875" customWidth="1"/>
    <col min="3" max="3" width="8.140625" customWidth="1"/>
    <col min="4" max="4" width="8.85546875" customWidth="1"/>
    <col min="5" max="6" width="20.140625" customWidth="1"/>
    <col min="7" max="7" width="11.28515625" customWidth="1"/>
    <col min="8" max="8" width="19.7109375" customWidth="1"/>
    <col min="9" max="9" width="15" customWidth="1"/>
    <col min="10" max="10" width="22" customWidth="1"/>
    <col min="11" max="17" width="8.85546875" customWidth="1"/>
  </cols>
  <sheetData>
    <row r="1" spans="1:10">
      <c r="A1" s="1" t="s">
        <v>0</v>
      </c>
      <c r="B1" s="1" t="s">
        <v>1</v>
      </c>
      <c r="C1" s="1" t="s">
        <v>2</v>
      </c>
      <c r="D1" s="1" t="s">
        <v>3</v>
      </c>
      <c r="E1" s="1" t="s">
        <v>4</v>
      </c>
      <c r="F1" s="2" t="s">
        <v>5</v>
      </c>
      <c r="G1" s="2" t="s">
        <v>6</v>
      </c>
      <c r="H1" s="2" t="s">
        <v>7</v>
      </c>
      <c r="I1" s="2" t="s">
        <v>8</v>
      </c>
      <c r="J1" s="2" t="s">
        <v>9</v>
      </c>
    </row>
    <row r="2" spans="1:10">
      <c r="A2" s="3">
        <v>10110</v>
      </c>
      <c r="B2" s="1" t="s">
        <v>10</v>
      </c>
      <c r="C2" s="1" t="s">
        <v>11</v>
      </c>
      <c r="D2" s="1" t="s">
        <v>11</v>
      </c>
      <c r="E2" s="1" t="s">
        <v>11</v>
      </c>
    </row>
    <row r="3" spans="1:10">
      <c r="A3" s="3">
        <v>10190</v>
      </c>
      <c r="B3" s="1" t="s">
        <v>12</v>
      </c>
      <c r="C3" s="1" t="s">
        <v>11</v>
      </c>
      <c r="D3" s="1" t="s">
        <v>11</v>
      </c>
      <c r="E3" s="1" t="s">
        <v>11</v>
      </c>
    </row>
    <row r="4" spans="1:10">
      <c r="A4" s="3">
        <v>10210</v>
      </c>
      <c r="B4" s="1" t="s">
        <v>13</v>
      </c>
      <c r="C4" s="1" t="s">
        <v>11</v>
      </c>
      <c r="D4" s="1" t="s">
        <v>11</v>
      </c>
      <c r="E4" s="1" t="s">
        <v>11</v>
      </c>
    </row>
    <row r="5" spans="1:10">
      <c r="A5" s="3">
        <v>10290</v>
      </c>
      <c r="B5" s="1" t="s">
        <v>14</v>
      </c>
      <c r="C5" s="1" t="s">
        <v>11</v>
      </c>
      <c r="D5" s="1" t="s">
        <v>11</v>
      </c>
      <c r="E5" s="1" t="s">
        <v>11</v>
      </c>
    </row>
    <row r="6" spans="1:10">
      <c r="A6" s="3">
        <v>10310</v>
      </c>
      <c r="B6" s="1" t="s">
        <v>15</v>
      </c>
      <c r="C6" s="1" t="s">
        <v>11</v>
      </c>
      <c r="D6" s="1" t="s">
        <v>11</v>
      </c>
      <c r="E6" s="1" t="s">
        <v>11</v>
      </c>
    </row>
    <row r="7" spans="1:10">
      <c r="A7" s="3">
        <v>10391</v>
      </c>
      <c r="B7" s="1" t="s">
        <v>16</v>
      </c>
      <c r="C7" s="1" t="s">
        <v>11</v>
      </c>
      <c r="D7" s="1" t="s">
        <v>11</v>
      </c>
      <c r="E7" s="1" t="s">
        <v>11</v>
      </c>
    </row>
    <row r="8" spans="1:10">
      <c r="A8" s="3">
        <v>10392</v>
      </c>
      <c r="B8" s="1" t="s">
        <v>17</v>
      </c>
      <c r="C8" s="1" t="s">
        <v>11</v>
      </c>
      <c r="D8" s="1" t="s">
        <v>11</v>
      </c>
      <c r="E8" s="1" t="s">
        <v>11</v>
      </c>
    </row>
    <row r="9" spans="1:10">
      <c r="A9" s="3">
        <v>10410</v>
      </c>
      <c r="B9" s="1" t="s">
        <v>18</v>
      </c>
      <c r="C9" s="1" t="s">
        <v>11</v>
      </c>
      <c r="D9" s="1" t="s">
        <v>11</v>
      </c>
      <c r="E9" s="1" t="s">
        <v>11</v>
      </c>
    </row>
    <row r="10" spans="1:10">
      <c r="A10" s="3">
        <v>10420</v>
      </c>
      <c r="B10" s="1" t="s">
        <v>19</v>
      </c>
      <c r="C10" s="1" t="s">
        <v>11</v>
      </c>
      <c r="D10" s="1" t="s">
        <v>11</v>
      </c>
      <c r="E10" s="1" t="s">
        <v>11</v>
      </c>
    </row>
    <row r="11" spans="1:10">
      <c r="A11" s="3">
        <v>10511</v>
      </c>
      <c r="B11" s="1" t="s">
        <v>20</v>
      </c>
      <c r="C11" s="1" t="s">
        <v>11</v>
      </c>
      <c r="D11" s="1" t="s">
        <v>11</v>
      </c>
      <c r="E11" s="1" t="s">
        <v>11</v>
      </c>
    </row>
    <row r="12" spans="1:10">
      <c r="A12" s="3">
        <v>10512</v>
      </c>
      <c r="B12" s="1" t="s">
        <v>21</v>
      </c>
      <c r="C12" s="1" t="s">
        <v>11</v>
      </c>
      <c r="D12" s="1" t="s">
        <v>11</v>
      </c>
      <c r="E12" s="1" t="s">
        <v>11</v>
      </c>
    </row>
    <row r="13" spans="1:10">
      <c r="A13" s="3">
        <v>10519</v>
      </c>
      <c r="B13" s="1" t="s">
        <v>22</v>
      </c>
      <c r="C13" s="1" t="s">
        <v>11</v>
      </c>
      <c r="D13" s="1" t="s">
        <v>11</v>
      </c>
      <c r="E13" s="1" t="s">
        <v>11</v>
      </c>
    </row>
    <row r="14" spans="1:10">
      <c r="A14" s="3">
        <v>10594</v>
      </c>
      <c r="B14" s="1" t="s">
        <v>23</v>
      </c>
      <c r="C14" s="1" t="s">
        <v>11</v>
      </c>
      <c r="D14" s="1" t="s">
        <v>11</v>
      </c>
      <c r="E14" s="1" t="s">
        <v>11</v>
      </c>
    </row>
    <row r="15" spans="1:10">
      <c r="A15" s="3">
        <v>10599</v>
      </c>
      <c r="B15" s="1" t="s">
        <v>24</v>
      </c>
      <c r="C15" s="1" t="s">
        <v>11</v>
      </c>
      <c r="D15" s="1" t="s">
        <v>11</v>
      </c>
      <c r="E15" s="1" t="s">
        <v>11</v>
      </c>
    </row>
    <row r="16" spans="1:10">
      <c r="A16" s="3">
        <v>10611</v>
      </c>
      <c r="B16" s="1" t="s">
        <v>25</v>
      </c>
      <c r="C16" s="1" t="s">
        <v>11</v>
      </c>
      <c r="D16" s="1" t="s">
        <v>11</v>
      </c>
      <c r="E16" s="1" t="s">
        <v>11</v>
      </c>
    </row>
    <row r="17" spans="1:5">
      <c r="A17" s="3">
        <v>10612</v>
      </c>
      <c r="B17" s="1" t="s">
        <v>26</v>
      </c>
      <c r="C17" s="1" t="s">
        <v>11</v>
      </c>
      <c r="D17" s="1" t="s">
        <v>11</v>
      </c>
      <c r="E17" s="1" t="s">
        <v>11</v>
      </c>
    </row>
    <row r="18" spans="1:5">
      <c r="A18" s="3">
        <v>10619</v>
      </c>
      <c r="B18" s="1" t="s">
        <v>27</v>
      </c>
      <c r="C18" s="1" t="s">
        <v>11</v>
      </c>
      <c r="D18" s="1" t="s">
        <v>11</v>
      </c>
      <c r="E18" s="1" t="s">
        <v>11</v>
      </c>
    </row>
    <row r="19" spans="1:5">
      <c r="A19" s="3">
        <v>10620</v>
      </c>
      <c r="B19" s="1" t="s">
        <v>28</v>
      </c>
      <c r="C19" s="1" t="s">
        <v>11</v>
      </c>
      <c r="D19" s="1" t="s">
        <v>11</v>
      </c>
      <c r="E19" s="1" t="s">
        <v>11</v>
      </c>
    </row>
    <row r="20" spans="1:5">
      <c r="A20" s="3">
        <v>10631</v>
      </c>
      <c r="B20" s="1" t="s">
        <v>29</v>
      </c>
      <c r="C20" s="1" t="s">
        <v>11</v>
      </c>
      <c r="D20" s="1" t="s">
        <v>11</v>
      </c>
      <c r="E20" s="1" t="s">
        <v>11</v>
      </c>
    </row>
    <row r="21" spans="1:5" ht="15.75" customHeight="1">
      <c r="A21" s="3">
        <v>10632</v>
      </c>
      <c r="B21" s="1" t="s">
        <v>30</v>
      </c>
      <c r="C21" s="1" t="s">
        <v>11</v>
      </c>
      <c r="D21" s="1" t="s">
        <v>11</v>
      </c>
      <c r="E21" s="1" t="s">
        <v>11</v>
      </c>
    </row>
    <row r="22" spans="1:5" ht="15.75" customHeight="1">
      <c r="A22" s="3">
        <v>10639</v>
      </c>
      <c r="B22" s="1" t="s">
        <v>31</v>
      </c>
      <c r="C22" s="1" t="s">
        <v>11</v>
      </c>
      <c r="D22" s="1" t="s">
        <v>11</v>
      </c>
      <c r="E22" s="1" t="s">
        <v>11</v>
      </c>
    </row>
    <row r="23" spans="1:5" ht="15.75" customHeight="1">
      <c r="A23" s="3">
        <v>10690</v>
      </c>
      <c r="B23" s="1" t="s">
        <v>32</v>
      </c>
      <c r="C23" s="1" t="s">
        <v>11</v>
      </c>
      <c r="D23" s="1" t="s">
        <v>11</v>
      </c>
      <c r="E23" s="1" t="s">
        <v>11</v>
      </c>
    </row>
    <row r="24" spans="1:5" ht="15.75" customHeight="1">
      <c r="A24" s="3">
        <v>20110</v>
      </c>
      <c r="B24" s="1" t="s">
        <v>33</v>
      </c>
      <c r="C24" s="1" t="s">
        <v>11</v>
      </c>
      <c r="D24" s="1" t="s">
        <v>11</v>
      </c>
      <c r="E24" s="1" t="s">
        <v>11</v>
      </c>
    </row>
    <row r="25" spans="1:5" ht="15.75" customHeight="1">
      <c r="A25" s="3">
        <v>20120</v>
      </c>
      <c r="B25" s="1" t="s">
        <v>34</v>
      </c>
      <c r="C25" s="1" t="s">
        <v>11</v>
      </c>
      <c r="D25" s="1" t="s">
        <v>11</v>
      </c>
      <c r="E25" s="1" t="s">
        <v>11</v>
      </c>
    </row>
    <row r="26" spans="1:5" ht="15.75" customHeight="1">
      <c r="A26" s="3">
        <v>20130</v>
      </c>
      <c r="B26" s="1" t="s">
        <v>35</v>
      </c>
      <c r="C26" s="1" t="s">
        <v>11</v>
      </c>
      <c r="D26" s="1" t="s">
        <v>11</v>
      </c>
      <c r="E26" s="1" t="s">
        <v>11</v>
      </c>
    </row>
    <row r="27" spans="1:5" ht="15.75" customHeight="1">
      <c r="A27" s="3">
        <v>20210</v>
      </c>
      <c r="B27" s="1" t="s">
        <v>36</v>
      </c>
      <c r="C27" s="1" t="s">
        <v>11</v>
      </c>
      <c r="D27" s="1" t="s">
        <v>11</v>
      </c>
      <c r="E27" s="1" t="s">
        <v>11</v>
      </c>
    </row>
    <row r="28" spans="1:5" ht="15.75" customHeight="1">
      <c r="A28" s="3">
        <v>20220</v>
      </c>
      <c r="B28" s="1" t="s">
        <v>37</v>
      </c>
      <c r="C28" s="1" t="s">
        <v>11</v>
      </c>
      <c r="D28" s="1" t="s">
        <v>11</v>
      </c>
      <c r="E28" s="1" t="s">
        <v>11</v>
      </c>
    </row>
    <row r="29" spans="1:5" ht="15.75" customHeight="1">
      <c r="A29" s="3">
        <v>20230</v>
      </c>
      <c r="B29" s="1" t="s">
        <v>38</v>
      </c>
      <c r="C29" s="1" t="s">
        <v>11</v>
      </c>
      <c r="D29" s="1" t="s">
        <v>11</v>
      </c>
      <c r="E29" s="1" t="s">
        <v>11</v>
      </c>
    </row>
    <row r="30" spans="1:5" ht="15.75" customHeight="1">
      <c r="A30" s="3">
        <v>20311</v>
      </c>
      <c r="B30" s="1" t="s">
        <v>39</v>
      </c>
      <c r="C30" s="1" t="s">
        <v>11</v>
      </c>
      <c r="D30" s="1" t="s">
        <v>11</v>
      </c>
      <c r="E30" s="1" t="s">
        <v>11</v>
      </c>
    </row>
    <row r="31" spans="1:5" ht="15.75" customHeight="1">
      <c r="A31" s="3">
        <v>20312</v>
      </c>
      <c r="B31" s="1" t="s">
        <v>40</v>
      </c>
      <c r="C31" s="1" t="s">
        <v>11</v>
      </c>
      <c r="D31" s="1" t="s">
        <v>11</v>
      </c>
      <c r="E31" s="1" t="s">
        <v>11</v>
      </c>
    </row>
    <row r="32" spans="1:5" ht="15.75" customHeight="1">
      <c r="A32" s="3">
        <v>20319</v>
      </c>
      <c r="B32" s="1" t="s">
        <v>41</v>
      </c>
      <c r="C32" s="1" t="s">
        <v>11</v>
      </c>
      <c r="D32" s="1" t="s">
        <v>11</v>
      </c>
      <c r="E32" s="1" t="s">
        <v>11</v>
      </c>
    </row>
    <row r="33" spans="1:5" ht="15.75" customHeight="1">
      <c r="A33" s="3">
        <v>20321</v>
      </c>
      <c r="B33" s="1" t="s">
        <v>42</v>
      </c>
      <c r="C33" s="1" t="s">
        <v>11</v>
      </c>
      <c r="D33" s="1" t="s">
        <v>11</v>
      </c>
      <c r="E33" s="1" t="s">
        <v>11</v>
      </c>
    </row>
    <row r="34" spans="1:5" ht="15.75" customHeight="1">
      <c r="A34" s="3">
        <v>20322</v>
      </c>
      <c r="B34" s="1" t="s">
        <v>43</v>
      </c>
      <c r="C34" s="1" t="s">
        <v>11</v>
      </c>
      <c r="D34" s="1" t="s">
        <v>11</v>
      </c>
      <c r="E34" s="1" t="s">
        <v>11</v>
      </c>
    </row>
    <row r="35" spans="1:5" ht="15.75" customHeight="1">
      <c r="A35" s="3">
        <v>20329</v>
      </c>
      <c r="B35" s="1" t="s">
        <v>44</v>
      </c>
      <c r="C35" s="1" t="s">
        <v>11</v>
      </c>
      <c r="D35" s="1" t="s">
        <v>11</v>
      </c>
      <c r="E35" s="1" t="s">
        <v>11</v>
      </c>
    </row>
    <row r="36" spans="1:5" ht="15.75" customHeight="1">
      <c r="A36" s="3">
        <v>20410</v>
      </c>
      <c r="B36" s="1" t="s">
        <v>45</v>
      </c>
      <c r="C36" s="1" t="s">
        <v>11</v>
      </c>
      <c r="D36" s="1" t="s">
        <v>11</v>
      </c>
      <c r="E36" s="1" t="s">
        <v>11</v>
      </c>
    </row>
    <row r="37" spans="1:5" ht="15.75" customHeight="1">
      <c r="A37" s="3">
        <v>20421</v>
      </c>
      <c r="B37" s="1" t="s">
        <v>46</v>
      </c>
      <c r="C37" s="1" t="s">
        <v>11</v>
      </c>
      <c r="D37" s="1" t="s">
        <v>11</v>
      </c>
      <c r="E37" s="1" t="s">
        <v>11</v>
      </c>
    </row>
    <row r="38" spans="1:5" ht="15.75" customHeight="1">
      <c r="A38" s="3">
        <v>20422</v>
      </c>
      <c r="B38" s="1" t="s">
        <v>47</v>
      </c>
      <c r="C38" s="1" t="s">
        <v>11</v>
      </c>
      <c r="D38" s="1" t="s">
        <v>11</v>
      </c>
      <c r="E38" s="1" t="s">
        <v>11</v>
      </c>
    </row>
    <row r="39" spans="1:5" ht="15.75" customHeight="1">
      <c r="A39" s="3">
        <v>20423</v>
      </c>
      <c r="B39" s="1" t="s">
        <v>48</v>
      </c>
      <c r="C39" s="1" t="s">
        <v>11</v>
      </c>
      <c r="D39" s="1" t="s">
        <v>11</v>
      </c>
      <c r="E39" s="1" t="s">
        <v>11</v>
      </c>
    </row>
    <row r="40" spans="1:5" ht="15.75" customHeight="1">
      <c r="A40" s="3">
        <v>20430</v>
      </c>
      <c r="B40" s="1" t="s">
        <v>49</v>
      </c>
      <c r="C40" s="1" t="s">
        <v>11</v>
      </c>
      <c r="D40" s="1" t="s">
        <v>11</v>
      </c>
      <c r="E40" s="1" t="s">
        <v>11</v>
      </c>
    </row>
    <row r="41" spans="1:5" ht="15.75" customHeight="1">
      <c r="A41" s="3">
        <v>20441</v>
      </c>
      <c r="B41" s="1" t="s">
        <v>50</v>
      </c>
      <c r="C41" s="1" t="s">
        <v>11</v>
      </c>
      <c r="D41" s="1" t="s">
        <v>11</v>
      </c>
      <c r="E41" s="1" t="s">
        <v>11</v>
      </c>
    </row>
    <row r="42" spans="1:5" ht="15.75" customHeight="1">
      <c r="A42" s="3">
        <v>20442</v>
      </c>
      <c r="B42" s="1" t="s">
        <v>51</v>
      </c>
      <c r="C42" s="1" t="s">
        <v>11</v>
      </c>
      <c r="D42" s="1" t="s">
        <v>11</v>
      </c>
      <c r="E42" s="1" t="s">
        <v>11</v>
      </c>
    </row>
    <row r="43" spans="1:5" ht="15.75" customHeight="1">
      <c r="A43" s="3">
        <v>20443</v>
      </c>
      <c r="B43" s="1" t="s">
        <v>52</v>
      </c>
      <c r="C43" s="1" t="s">
        <v>11</v>
      </c>
      <c r="D43" s="1" t="s">
        <v>11</v>
      </c>
      <c r="E43" s="1" t="s">
        <v>11</v>
      </c>
    </row>
    <row r="44" spans="1:5" ht="15.75" customHeight="1">
      <c r="A44" s="3">
        <v>20450</v>
      </c>
      <c r="B44" s="1" t="s">
        <v>53</v>
      </c>
      <c r="C44" s="1" t="s">
        <v>11</v>
      </c>
      <c r="D44" s="1" t="s">
        <v>11</v>
      </c>
      <c r="E44" s="1" t="s">
        <v>11</v>
      </c>
    </row>
    <row r="45" spans="1:5" ht="15.75" customHeight="1">
      <c r="A45" s="3">
        <v>20500</v>
      </c>
      <c r="B45" s="1" t="s">
        <v>54</v>
      </c>
      <c r="C45" s="1" t="s">
        <v>11</v>
      </c>
      <c r="D45" s="1" t="s">
        <v>11</v>
      </c>
      <c r="E45" s="1" t="s">
        <v>11</v>
      </c>
    </row>
    <row r="46" spans="1:5" ht="15.75" customHeight="1">
      <c r="A46" s="3">
        <v>20610</v>
      </c>
      <c r="B46" s="1" t="s">
        <v>55</v>
      </c>
      <c r="C46" s="1" t="s">
        <v>11</v>
      </c>
      <c r="D46" s="1" t="s">
        <v>11</v>
      </c>
      <c r="E46" s="1" t="s">
        <v>11</v>
      </c>
    </row>
    <row r="47" spans="1:5" ht="15.75" customHeight="1">
      <c r="A47" s="3">
        <v>20621</v>
      </c>
      <c r="B47" s="1" t="s">
        <v>56</v>
      </c>
      <c r="C47" s="1" t="s">
        <v>11</v>
      </c>
      <c r="D47" s="1" t="s">
        <v>11</v>
      </c>
      <c r="E47" s="1" t="s">
        <v>11</v>
      </c>
    </row>
    <row r="48" spans="1:5" ht="15.75" customHeight="1">
      <c r="A48" s="3">
        <v>20622</v>
      </c>
      <c r="B48" s="1" t="s">
        <v>57</v>
      </c>
      <c r="C48" s="1" t="s">
        <v>11</v>
      </c>
      <c r="D48" s="1" t="s">
        <v>11</v>
      </c>
      <c r="E48" s="1" t="s">
        <v>11</v>
      </c>
    </row>
    <row r="49" spans="1:5" ht="15.75" customHeight="1">
      <c r="A49" s="3">
        <v>20629</v>
      </c>
      <c r="B49" s="1" t="s">
        <v>58</v>
      </c>
      <c r="C49" s="1" t="s">
        <v>11</v>
      </c>
      <c r="D49" s="1" t="s">
        <v>11</v>
      </c>
      <c r="E49" s="1" t="s">
        <v>11</v>
      </c>
    </row>
    <row r="50" spans="1:5" ht="15.75" customHeight="1">
      <c r="A50" s="3">
        <v>20630</v>
      </c>
      <c r="B50" s="1" t="s">
        <v>59</v>
      </c>
      <c r="C50" s="1" t="s">
        <v>11</v>
      </c>
      <c r="D50" s="1" t="s">
        <v>11</v>
      </c>
      <c r="E50" s="1" t="s">
        <v>11</v>
      </c>
    </row>
    <row r="51" spans="1:5" ht="15.75" customHeight="1">
      <c r="A51" s="3">
        <v>20641</v>
      </c>
      <c r="B51" s="1" t="s">
        <v>60</v>
      </c>
      <c r="C51" s="1" t="s">
        <v>11</v>
      </c>
      <c r="D51" s="1" t="s">
        <v>11</v>
      </c>
      <c r="E51" s="1" t="s">
        <v>11</v>
      </c>
    </row>
    <row r="52" spans="1:5" ht="15.75" customHeight="1">
      <c r="A52" s="3">
        <v>20649</v>
      </c>
      <c r="B52" s="1" t="s">
        <v>61</v>
      </c>
      <c r="C52" s="1" t="s">
        <v>11</v>
      </c>
      <c r="D52" s="1" t="s">
        <v>11</v>
      </c>
      <c r="E52" s="1" t="s">
        <v>11</v>
      </c>
    </row>
    <row r="53" spans="1:5" ht="15.75" customHeight="1">
      <c r="A53" s="3">
        <v>20680</v>
      </c>
      <c r="B53" s="1" t="s">
        <v>62</v>
      </c>
      <c r="C53" s="1" t="s">
        <v>11</v>
      </c>
      <c r="D53" s="1" t="s">
        <v>11</v>
      </c>
      <c r="E53" s="1" t="s">
        <v>11</v>
      </c>
    </row>
    <row r="54" spans="1:5" ht="15.75" customHeight="1">
      <c r="A54" s="3">
        <v>20690</v>
      </c>
      <c r="B54" s="1" t="s">
        <v>63</v>
      </c>
      <c r="C54" s="1" t="s">
        <v>11</v>
      </c>
      <c r="D54" s="1" t="s">
        <v>11</v>
      </c>
      <c r="E54" s="1" t="s">
        <v>11</v>
      </c>
    </row>
    <row r="55" spans="1:5" ht="15.75" customHeight="1">
      <c r="A55" s="3">
        <v>20711</v>
      </c>
      <c r="B55" s="1" t="s">
        <v>64</v>
      </c>
      <c r="C55" s="1" t="s">
        <v>11</v>
      </c>
      <c r="D55" s="1" t="s">
        <v>11</v>
      </c>
      <c r="E55" s="1" t="s">
        <v>11</v>
      </c>
    </row>
    <row r="56" spans="1:5" ht="15.75" customHeight="1">
      <c r="A56" s="3">
        <v>20712</v>
      </c>
      <c r="B56" s="1" t="s">
        <v>65</v>
      </c>
      <c r="C56" s="1" t="s">
        <v>11</v>
      </c>
      <c r="D56" s="1" t="s">
        <v>11</v>
      </c>
      <c r="E56" s="1" t="s">
        <v>11</v>
      </c>
    </row>
    <row r="57" spans="1:5" ht="15.75" customHeight="1">
      <c r="A57" s="3">
        <v>20713</v>
      </c>
      <c r="B57" s="1" t="s">
        <v>66</v>
      </c>
      <c r="C57" s="1" t="s">
        <v>11</v>
      </c>
      <c r="D57" s="1" t="s">
        <v>11</v>
      </c>
      <c r="E57" s="1" t="s">
        <v>11</v>
      </c>
    </row>
    <row r="58" spans="1:5" ht="15.75" customHeight="1">
      <c r="A58" s="3">
        <v>20714</v>
      </c>
      <c r="B58" s="1" t="s">
        <v>67</v>
      </c>
      <c r="C58" s="1" t="s">
        <v>11</v>
      </c>
      <c r="D58" s="1" t="s">
        <v>11</v>
      </c>
      <c r="E58" s="1" t="s">
        <v>11</v>
      </c>
    </row>
    <row r="59" spans="1:5" ht="15.75" customHeight="1">
      <c r="A59" s="3">
        <v>20724</v>
      </c>
      <c r="B59" s="1" t="s">
        <v>68</v>
      </c>
      <c r="C59" s="1" t="s">
        <v>11</v>
      </c>
      <c r="D59" s="1" t="s">
        <v>11</v>
      </c>
      <c r="E59" s="1" t="s">
        <v>11</v>
      </c>
    </row>
    <row r="60" spans="1:5" ht="15.75" customHeight="1">
      <c r="A60" s="3">
        <v>20725</v>
      </c>
      <c r="B60" s="1" t="s">
        <v>69</v>
      </c>
      <c r="C60" s="1" t="s">
        <v>11</v>
      </c>
      <c r="D60" s="1" t="s">
        <v>11</v>
      </c>
      <c r="E60" s="1" t="s">
        <v>11</v>
      </c>
    </row>
    <row r="61" spans="1:5" ht="15.75" customHeight="1">
      <c r="A61" s="3">
        <v>20726</v>
      </c>
      <c r="B61" s="1" t="s">
        <v>70</v>
      </c>
      <c r="C61" s="1" t="s">
        <v>11</v>
      </c>
      <c r="D61" s="1" t="s">
        <v>11</v>
      </c>
      <c r="E61" s="1" t="s">
        <v>11</v>
      </c>
    </row>
    <row r="62" spans="1:5" ht="15.75" customHeight="1">
      <c r="A62" s="3">
        <v>20727</v>
      </c>
      <c r="B62" s="1" t="s">
        <v>71</v>
      </c>
      <c r="C62" s="1" t="s">
        <v>11</v>
      </c>
      <c r="D62" s="1" t="s">
        <v>11</v>
      </c>
      <c r="E62" s="1" t="s">
        <v>11</v>
      </c>
    </row>
    <row r="63" spans="1:5" ht="15.75" customHeight="1">
      <c r="A63" s="3">
        <v>20732</v>
      </c>
      <c r="B63" s="1" t="s">
        <v>72</v>
      </c>
      <c r="C63" s="1" t="s">
        <v>11</v>
      </c>
      <c r="D63" s="1" t="s">
        <v>11</v>
      </c>
      <c r="E63" s="1" t="s">
        <v>11</v>
      </c>
    </row>
    <row r="64" spans="1:5" ht="15.75" customHeight="1">
      <c r="A64" s="3">
        <v>20733</v>
      </c>
      <c r="B64" s="1" t="s">
        <v>73</v>
      </c>
      <c r="C64" s="1" t="s">
        <v>11</v>
      </c>
      <c r="D64" s="1" t="s">
        <v>11</v>
      </c>
      <c r="E64" s="1" t="s">
        <v>11</v>
      </c>
    </row>
    <row r="65" spans="1:5" ht="15.75" customHeight="1">
      <c r="A65" s="3">
        <v>20734</v>
      </c>
      <c r="B65" s="1" t="s">
        <v>74</v>
      </c>
      <c r="C65" s="1" t="s">
        <v>11</v>
      </c>
      <c r="D65" s="1" t="s">
        <v>11</v>
      </c>
      <c r="E65" s="1" t="s">
        <v>11</v>
      </c>
    </row>
    <row r="66" spans="1:5" ht="15.75" customHeight="1">
      <c r="A66" s="3">
        <v>20735</v>
      </c>
      <c r="B66" s="1" t="s">
        <v>75</v>
      </c>
      <c r="C66" s="1" t="s">
        <v>11</v>
      </c>
      <c r="D66" s="1" t="s">
        <v>11</v>
      </c>
      <c r="E66" s="1" t="s">
        <v>11</v>
      </c>
    </row>
    <row r="67" spans="1:5" ht="15.75" customHeight="1">
      <c r="A67" s="3">
        <v>20736</v>
      </c>
      <c r="B67" s="1" t="s">
        <v>76</v>
      </c>
      <c r="C67" s="1" t="s">
        <v>11</v>
      </c>
      <c r="D67" s="1" t="s">
        <v>11</v>
      </c>
      <c r="E67" s="1" t="s">
        <v>11</v>
      </c>
    </row>
    <row r="68" spans="1:5" ht="15.75" customHeight="1">
      <c r="A68" s="3">
        <v>20810</v>
      </c>
      <c r="B68" s="1" t="s">
        <v>77</v>
      </c>
      <c r="C68" s="1" t="s">
        <v>11</v>
      </c>
      <c r="D68" s="1" t="s">
        <v>11</v>
      </c>
      <c r="E68" s="1" t="s">
        <v>11</v>
      </c>
    </row>
    <row r="69" spans="1:5" ht="15.75" customHeight="1">
      <c r="A69" s="3">
        <v>20830</v>
      </c>
      <c r="B69" s="1" t="s">
        <v>78</v>
      </c>
      <c r="C69" s="1" t="s">
        <v>11</v>
      </c>
      <c r="D69" s="1" t="s">
        <v>11</v>
      </c>
      <c r="E69" s="1" t="s">
        <v>11</v>
      </c>
    </row>
    <row r="70" spans="1:5" ht="15.75" customHeight="1">
      <c r="A70" s="3">
        <v>20840</v>
      </c>
      <c r="B70" s="1" t="s">
        <v>79</v>
      </c>
      <c r="C70" s="1" t="s">
        <v>11</v>
      </c>
      <c r="D70" s="1" t="s">
        <v>11</v>
      </c>
      <c r="E70" s="1" t="s">
        <v>11</v>
      </c>
    </row>
    <row r="71" spans="1:5" ht="15.75" customHeight="1">
      <c r="A71" s="3">
        <v>20850</v>
      </c>
      <c r="B71" s="1" t="s">
        <v>80</v>
      </c>
      <c r="C71" s="1" t="s">
        <v>11</v>
      </c>
      <c r="D71" s="1" t="s">
        <v>11</v>
      </c>
      <c r="E71" s="1" t="s">
        <v>11</v>
      </c>
    </row>
    <row r="72" spans="1:5" ht="15.75" customHeight="1">
      <c r="A72" s="3">
        <v>20890</v>
      </c>
      <c r="B72" s="1" t="s">
        <v>81</v>
      </c>
      <c r="C72" s="1" t="s">
        <v>11</v>
      </c>
      <c r="D72" s="1" t="s">
        <v>11</v>
      </c>
      <c r="E72" s="1" t="s">
        <v>11</v>
      </c>
    </row>
    <row r="73" spans="1:5" ht="15.75" customHeight="1">
      <c r="A73" s="3">
        <v>20900</v>
      </c>
      <c r="B73" s="1" t="s">
        <v>82</v>
      </c>
      <c r="C73" s="1" t="s">
        <v>11</v>
      </c>
      <c r="D73" s="1" t="s">
        <v>11</v>
      </c>
      <c r="E73" s="1" t="s">
        <v>11</v>
      </c>
    </row>
    <row r="74" spans="1:5" ht="15.75" customHeight="1">
      <c r="A74" s="3">
        <v>21011</v>
      </c>
      <c r="B74" s="1" t="s">
        <v>83</v>
      </c>
      <c r="C74" s="1" t="s">
        <v>11</v>
      </c>
      <c r="D74" s="1" t="s">
        <v>11</v>
      </c>
      <c r="E74" s="1" t="s">
        <v>11</v>
      </c>
    </row>
    <row r="75" spans="1:5" ht="15.75" customHeight="1">
      <c r="A75" s="3">
        <v>21012</v>
      </c>
      <c r="B75" s="1" t="s">
        <v>84</v>
      </c>
      <c r="C75" s="1" t="s">
        <v>11</v>
      </c>
      <c r="D75" s="1" t="s">
        <v>11</v>
      </c>
      <c r="E75" s="1" t="s">
        <v>11</v>
      </c>
    </row>
    <row r="76" spans="1:5" ht="15.75" customHeight="1">
      <c r="A76" s="3">
        <v>21019</v>
      </c>
      <c r="B76" s="1" t="s">
        <v>85</v>
      </c>
      <c r="C76" s="1" t="s">
        <v>11</v>
      </c>
      <c r="D76" s="1" t="s">
        <v>11</v>
      </c>
      <c r="E76" s="1" t="s">
        <v>11</v>
      </c>
    </row>
    <row r="77" spans="1:5" ht="15.75" customHeight="1">
      <c r="A77" s="3">
        <v>21020</v>
      </c>
      <c r="B77" s="1" t="s">
        <v>86</v>
      </c>
      <c r="C77" s="1" t="s">
        <v>11</v>
      </c>
      <c r="D77" s="1" t="s">
        <v>11</v>
      </c>
      <c r="E77" s="1" t="s">
        <v>11</v>
      </c>
    </row>
    <row r="78" spans="1:5" ht="15.75" customHeight="1">
      <c r="A78" s="3">
        <v>21091</v>
      </c>
      <c r="B78" s="1" t="s">
        <v>87</v>
      </c>
      <c r="C78" s="1" t="s">
        <v>11</v>
      </c>
      <c r="D78" s="1" t="s">
        <v>11</v>
      </c>
      <c r="E78" s="1" t="s">
        <v>11</v>
      </c>
    </row>
    <row r="79" spans="1:5" ht="15.75" customHeight="1">
      <c r="A79" s="3">
        <v>21092</v>
      </c>
      <c r="B79" s="1" t="s">
        <v>88</v>
      </c>
      <c r="C79" s="1" t="s">
        <v>11</v>
      </c>
      <c r="D79" s="1" t="s">
        <v>11</v>
      </c>
      <c r="E79" s="1" t="s">
        <v>11</v>
      </c>
    </row>
    <row r="80" spans="1:5" ht="15.75" customHeight="1">
      <c r="A80" s="3">
        <v>21093</v>
      </c>
      <c r="B80" s="1" t="s">
        <v>89</v>
      </c>
      <c r="C80" s="1" t="s">
        <v>11</v>
      </c>
      <c r="D80" s="1" t="s">
        <v>11</v>
      </c>
      <c r="E80" s="1" t="s">
        <v>11</v>
      </c>
    </row>
    <row r="81" spans="1:5" ht="15.75" customHeight="1">
      <c r="A81" s="3">
        <v>21099</v>
      </c>
      <c r="B81" s="1" t="s">
        <v>90</v>
      </c>
      <c r="C81" s="1" t="s">
        <v>11</v>
      </c>
      <c r="D81" s="1" t="s">
        <v>11</v>
      </c>
      <c r="E81" s="1" t="s">
        <v>11</v>
      </c>
    </row>
    <row r="82" spans="1:5" ht="15.75" customHeight="1">
      <c r="A82" s="3">
        <v>30110</v>
      </c>
      <c r="B82" s="1" t="s">
        <v>91</v>
      </c>
      <c r="C82" s="1" t="s">
        <v>11</v>
      </c>
      <c r="D82" s="1" t="s">
        <v>11</v>
      </c>
      <c r="E82" s="1" t="s">
        <v>11</v>
      </c>
    </row>
    <row r="83" spans="1:5" ht="15.75" customHeight="1">
      <c r="A83" s="3">
        <v>30191</v>
      </c>
      <c r="B83" s="1" t="s">
        <v>92</v>
      </c>
      <c r="C83" s="1" t="s">
        <v>11</v>
      </c>
      <c r="D83" s="1" t="s">
        <v>11</v>
      </c>
      <c r="E83" s="1" t="s">
        <v>11</v>
      </c>
    </row>
    <row r="84" spans="1:5" ht="15.75" customHeight="1">
      <c r="A84" s="3">
        <v>30192</v>
      </c>
      <c r="B84" s="1" t="s">
        <v>93</v>
      </c>
      <c r="C84" s="1" t="s">
        <v>11</v>
      </c>
      <c r="D84" s="1" t="s">
        <v>11</v>
      </c>
      <c r="E84" s="1" t="s">
        <v>11</v>
      </c>
    </row>
    <row r="85" spans="1:5" ht="15.75" customHeight="1">
      <c r="A85" s="3">
        <v>30193</v>
      </c>
      <c r="B85" s="1" t="s">
        <v>94</v>
      </c>
      <c r="C85" s="1" t="s">
        <v>11</v>
      </c>
      <c r="D85" s="1" t="s">
        <v>11</v>
      </c>
      <c r="E85" s="1" t="s">
        <v>11</v>
      </c>
    </row>
    <row r="86" spans="1:5" ht="15.75" customHeight="1">
      <c r="A86" s="3">
        <v>30194</v>
      </c>
      <c r="B86" s="1" t="s">
        <v>95</v>
      </c>
      <c r="C86" s="1" t="s">
        <v>11</v>
      </c>
      <c r="D86" s="1" t="s">
        <v>11</v>
      </c>
      <c r="E86" s="1" t="s">
        <v>11</v>
      </c>
    </row>
    <row r="87" spans="1:5" ht="15.75" customHeight="1">
      <c r="A87" s="3">
        <v>30195</v>
      </c>
      <c r="B87" s="1" t="s">
        <v>96</v>
      </c>
      <c r="C87" s="1" t="s">
        <v>11</v>
      </c>
      <c r="D87" s="1" t="s">
        <v>11</v>
      </c>
      <c r="E87" s="1" t="s">
        <v>11</v>
      </c>
    </row>
    <row r="88" spans="1:5" ht="15.75" customHeight="1">
      <c r="A88" s="3">
        <v>30199</v>
      </c>
      <c r="B88" s="1" t="s">
        <v>97</v>
      </c>
      <c r="C88" s="1" t="s">
        <v>11</v>
      </c>
      <c r="D88" s="1" t="s">
        <v>11</v>
      </c>
      <c r="E88" s="1" t="s">
        <v>11</v>
      </c>
    </row>
    <row r="89" spans="1:5" ht="15.75" customHeight="1">
      <c r="A89" s="3">
        <v>30211</v>
      </c>
      <c r="B89" s="1" t="s">
        <v>98</v>
      </c>
      <c r="C89" s="1" t="s">
        <v>11</v>
      </c>
      <c r="D89" s="1" t="s">
        <v>11</v>
      </c>
      <c r="E89" s="1" t="s">
        <v>11</v>
      </c>
    </row>
    <row r="90" spans="1:5" ht="15.75" customHeight="1">
      <c r="A90" s="3">
        <v>30212</v>
      </c>
      <c r="B90" s="1" t="s">
        <v>99</v>
      </c>
      <c r="C90" s="1" t="s">
        <v>11</v>
      </c>
      <c r="D90" s="1" t="s">
        <v>11</v>
      </c>
      <c r="E90" s="1" t="s">
        <v>11</v>
      </c>
    </row>
    <row r="91" spans="1:5" ht="15.75" customHeight="1">
      <c r="A91" s="3">
        <v>30219</v>
      </c>
      <c r="B91" s="1" t="s">
        <v>100</v>
      </c>
      <c r="C91" s="1" t="s">
        <v>11</v>
      </c>
      <c r="D91" s="1" t="s">
        <v>11</v>
      </c>
      <c r="E91" s="1" t="s">
        <v>11</v>
      </c>
    </row>
    <row r="92" spans="1:5" ht="15.75" customHeight="1">
      <c r="A92" s="3">
        <v>30221</v>
      </c>
      <c r="B92" s="1" t="s">
        <v>101</v>
      </c>
      <c r="C92" s="1" t="s">
        <v>11</v>
      </c>
      <c r="D92" s="1" t="s">
        <v>11</v>
      </c>
      <c r="E92" s="1" t="s">
        <v>11</v>
      </c>
    </row>
    <row r="93" spans="1:5" ht="15.75" customHeight="1">
      <c r="A93" s="3">
        <v>30222</v>
      </c>
      <c r="B93" s="1" t="s">
        <v>102</v>
      </c>
      <c r="C93" s="1" t="s">
        <v>11</v>
      </c>
      <c r="D93" s="1" t="s">
        <v>11</v>
      </c>
      <c r="E93" s="1" t="s">
        <v>11</v>
      </c>
    </row>
    <row r="94" spans="1:5" ht="15.75" customHeight="1">
      <c r="A94" s="3">
        <v>30223</v>
      </c>
      <c r="B94" s="1" t="s">
        <v>103</v>
      </c>
      <c r="C94" s="1" t="s">
        <v>11</v>
      </c>
      <c r="D94" s="1" t="s">
        <v>11</v>
      </c>
      <c r="E94" s="1" t="s">
        <v>11</v>
      </c>
    </row>
    <row r="95" spans="1:5" ht="15.75" customHeight="1">
      <c r="A95" s="3">
        <v>30229</v>
      </c>
      <c r="B95" s="1" t="s">
        <v>104</v>
      </c>
      <c r="C95" s="1" t="s">
        <v>11</v>
      </c>
      <c r="D95" s="1" t="s">
        <v>11</v>
      </c>
      <c r="E95" s="1" t="s">
        <v>11</v>
      </c>
    </row>
    <row r="96" spans="1:5" ht="15.75" customHeight="1">
      <c r="A96" s="3">
        <v>30231</v>
      </c>
      <c r="B96" s="1" t="s">
        <v>105</v>
      </c>
      <c r="C96" s="1" t="s">
        <v>11</v>
      </c>
      <c r="D96" s="1" t="s">
        <v>11</v>
      </c>
      <c r="E96" s="1" t="s">
        <v>11</v>
      </c>
    </row>
    <row r="97" spans="1:5" ht="15.75" customHeight="1">
      <c r="A97" s="3">
        <v>30232</v>
      </c>
      <c r="B97" s="1" t="s">
        <v>106</v>
      </c>
      <c r="C97" s="1" t="s">
        <v>11</v>
      </c>
      <c r="D97" s="1" t="s">
        <v>11</v>
      </c>
      <c r="E97" s="1" t="s">
        <v>11</v>
      </c>
    </row>
    <row r="98" spans="1:5" ht="15.75" customHeight="1">
      <c r="A98" s="3">
        <v>30233</v>
      </c>
      <c r="B98" s="1" t="s">
        <v>107</v>
      </c>
      <c r="C98" s="1" t="s">
        <v>11</v>
      </c>
      <c r="D98" s="1" t="s">
        <v>11</v>
      </c>
      <c r="E98" s="1" t="s">
        <v>11</v>
      </c>
    </row>
    <row r="99" spans="1:5" ht="15.75" customHeight="1">
      <c r="A99" s="3">
        <v>30234</v>
      </c>
      <c r="B99" s="1" t="s">
        <v>108</v>
      </c>
      <c r="C99" s="1" t="s">
        <v>11</v>
      </c>
      <c r="D99" s="1" t="s">
        <v>11</v>
      </c>
      <c r="E99" s="1" t="s">
        <v>11</v>
      </c>
    </row>
    <row r="100" spans="1:5" ht="15.75" customHeight="1">
      <c r="A100" s="3">
        <v>30235</v>
      </c>
      <c r="B100" s="1" t="s">
        <v>109</v>
      </c>
      <c r="C100" s="1" t="s">
        <v>11</v>
      </c>
      <c r="D100" s="1" t="s">
        <v>11</v>
      </c>
      <c r="E100" s="1" t="s">
        <v>11</v>
      </c>
    </row>
    <row r="101" spans="1:5" ht="15.75" customHeight="1">
      <c r="A101" s="3">
        <v>30236</v>
      </c>
      <c r="B101" s="1" t="s">
        <v>110</v>
      </c>
      <c r="C101" s="1" t="s">
        <v>11</v>
      </c>
      <c r="D101" s="1" t="s">
        <v>11</v>
      </c>
      <c r="E101" s="1" t="s">
        <v>11</v>
      </c>
    </row>
    <row r="102" spans="1:5" ht="15.75" customHeight="1">
      <c r="A102" s="3">
        <v>30239</v>
      </c>
      <c r="B102" s="1" t="s">
        <v>111</v>
      </c>
      <c r="C102" s="1" t="s">
        <v>11</v>
      </c>
      <c r="D102" s="1" t="s">
        <v>11</v>
      </c>
      <c r="E102" s="1" t="s">
        <v>11</v>
      </c>
    </row>
    <row r="103" spans="1:5" ht="15.75" customHeight="1">
      <c r="A103" s="3">
        <v>30240</v>
      </c>
      <c r="B103" s="1" t="s">
        <v>112</v>
      </c>
      <c r="C103" s="1" t="s">
        <v>11</v>
      </c>
      <c r="D103" s="1" t="s">
        <v>11</v>
      </c>
      <c r="E103" s="1" t="s">
        <v>11</v>
      </c>
    </row>
    <row r="104" spans="1:5" ht="15.75" customHeight="1">
      <c r="A104" s="3">
        <v>30250</v>
      </c>
      <c r="B104" s="1" t="s">
        <v>113</v>
      </c>
      <c r="C104" s="1" t="s">
        <v>11</v>
      </c>
      <c r="D104" s="1" t="s">
        <v>11</v>
      </c>
      <c r="E104" s="1" t="s">
        <v>11</v>
      </c>
    </row>
    <row r="105" spans="1:5" ht="15.75" customHeight="1">
      <c r="A105" s="3">
        <v>30261</v>
      </c>
      <c r="B105" s="1" t="s">
        <v>114</v>
      </c>
      <c r="C105" s="1" t="s">
        <v>11</v>
      </c>
      <c r="D105" s="1" t="s">
        <v>11</v>
      </c>
      <c r="E105" s="1" t="s">
        <v>11</v>
      </c>
    </row>
    <row r="106" spans="1:5" ht="15.75" customHeight="1">
      <c r="A106" s="3">
        <v>30262</v>
      </c>
      <c r="B106" s="1" t="s">
        <v>115</v>
      </c>
      <c r="C106" s="1" t="s">
        <v>11</v>
      </c>
      <c r="D106" s="1" t="s">
        <v>11</v>
      </c>
      <c r="E106" s="1" t="s">
        <v>11</v>
      </c>
    </row>
    <row r="107" spans="1:5" ht="15.75" customHeight="1">
      <c r="A107" s="3">
        <v>30263</v>
      </c>
      <c r="B107" s="1" t="s">
        <v>116</v>
      </c>
      <c r="C107" s="1" t="s">
        <v>11</v>
      </c>
      <c r="D107" s="1" t="s">
        <v>11</v>
      </c>
      <c r="E107" s="1" t="s">
        <v>11</v>
      </c>
    </row>
    <row r="108" spans="1:5" ht="15.75" customHeight="1">
      <c r="A108" s="3">
        <v>30264</v>
      </c>
      <c r="B108" s="1" t="s">
        <v>117</v>
      </c>
      <c r="C108" s="1" t="s">
        <v>11</v>
      </c>
      <c r="D108" s="1" t="s">
        <v>11</v>
      </c>
      <c r="E108" s="1" t="s">
        <v>11</v>
      </c>
    </row>
    <row r="109" spans="1:5" ht="15.75" customHeight="1">
      <c r="A109" s="3">
        <v>30265</v>
      </c>
      <c r="B109" s="1" t="s">
        <v>118</v>
      </c>
      <c r="C109" s="1" t="s">
        <v>11</v>
      </c>
      <c r="D109" s="1" t="s">
        <v>11</v>
      </c>
      <c r="E109" s="1" t="s">
        <v>11</v>
      </c>
    </row>
    <row r="110" spans="1:5" ht="15.75" customHeight="1">
      <c r="A110" s="3">
        <v>30266</v>
      </c>
      <c r="B110" s="1" t="s">
        <v>119</v>
      </c>
      <c r="C110" s="1" t="s">
        <v>11</v>
      </c>
      <c r="D110" s="1" t="s">
        <v>11</v>
      </c>
      <c r="E110" s="1" t="s">
        <v>11</v>
      </c>
    </row>
    <row r="111" spans="1:5" ht="15.75" customHeight="1">
      <c r="A111" s="3">
        <v>30267</v>
      </c>
      <c r="B111" s="1" t="s">
        <v>120</v>
      </c>
      <c r="C111" s="1" t="s">
        <v>11</v>
      </c>
      <c r="D111" s="1" t="s">
        <v>11</v>
      </c>
      <c r="E111" s="1" t="s">
        <v>11</v>
      </c>
    </row>
    <row r="112" spans="1:5" ht="15.75" customHeight="1">
      <c r="A112" s="3">
        <v>30268</v>
      </c>
      <c r="B112" s="1" t="s">
        <v>121</v>
      </c>
      <c r="C112" s="1" t="s">
        <v>11</v>
      </c>
      <c r="D112" s="1" t="s">
        <v>11</v>
      </c>
      <c r="E112" s="1" t="s">
        <v>11</v>
      </c>
    </row>
    <row r="113" spans="1:5" ht="15.75" customHeight="1">
      <c r="A113" s="3">
        <v>30269</v>
      </c>
      <c r="B113" s="1" t="s">
        <v>122</v>
      </c>
      <c r="C113" s="1" t="s">
        <v>11</v>
      </c>
      <c r="D113" s="1" t="s">
        <v>11</v>
      </c>
      <c r="E113" s="1" t="s">
        <v>11</v>
      </c>
    </row>
    <row r="114" spans="1:5" ht="15.75" customHeight="1">
      <c r="A114" s="3">
        <v>30270</v>
      </c>
      <c r="B114" s="1" t="s">
        <v>123</v>
      </c>
      <c r="C114" s="1" t="s">
        <v>11</v>
      </c>
      <c r="D114" s="1" t="s">
        <v>11</v>
      </c>
      <c r="E114" s="1" t="s">
        <v>11</v>
      </c>
    </row>
    <row r="115" spans="1:5" ht="15.75" customHeight="1">
      <c r="A115" s="3">
        <v>30311</v>
      </c>
      <c r="B115" s="1" t="s">
        <v>124</v>
      </c>
      <c r="C115" s="1" t="s">
        <v>11</v>
      </c>
      <c r="D115" s="1" t="s">
        <v>11</v>
      </c>
      <c r="E115" s="1" t="s">
        <v>11</v>
      </c>
    </row>
    <row r="116" spans="1:5" ht="15.75" customHeight="1">
      <c r="A116" s="3">
        <v>30319</v>
      </c>
      <c r="B116" s="1" t="s">
        <v>125</v>
      </c>
      <c r="C116" s="1" t="s">
        <v>11</v>
      </c>
      <c r="D116" s="1" t="s">
        <v>11</v>
      </c>
      <c r="E116" s="1" t="s">
        <v>11</v>
      </c>
    </row>
    <row r="117" spans="1:5" ht="15.75" customHeight="1">
      <c r="A117" s="3">
        <v>30321</v>
      </c>
      <c r="B117" s="1" t="s">
        <v>126</v>
      </c>
      <c r="C117" s="1" t="s">
        <v>11</v>
      </c>
      <c r="D117" s="1" t="s">
        <v>11</v>
      </c>
      <c r="E117" s="1" t="s">
        <v>11</v>
      </c>
    </row>
    <row r="118" spans="1:5" ht="15.75" customHeight="1">
      <c r="A118" s="3">
        <v>30322</v>
      </c>
      <c r="B118" s="1" t="s">
        <v>127</v>
      </c>
      <c r="C118" s="1" t="s">
        <v>11</v>
      </c>
      <c r="D118" s="1" t="s">
        <v>11</v>
      </c>
      <c r="E118" s="1" t="s">
        <v>11</v>
      </c>
    </row>
    <row r="119" spans="1:5" ht="15.75" customHeight="1">
      <c r="A119" s="3">
        <v>30329</v>
      </c>
      <c r="B119" s="1" t="s">
        <v>128</v>
      </c>
      <c r="C119" s="1" t="s">
        <v>11</v>
      </c>
      <c r="D119" s="1" t="s">
        <v>11</v>
      </c>
      <c r="E119" s="1" t="s">
        <v>11</v>
      </c>
    </row>
    <row r="120" spans="1:5" ht="15.75" customHeight="1">
      <c r="A120" s="3">
        <v>30331</v>
      </c>
      <c r="B120" s="1" t="s">
        <v>129</v>
      </c>
      <c r="C120" s="1" t="s">
        <v>11</v>
      </c>
      <c r="D120" s="1" t="s">
        <v>11</v>
      </c>
      <c r="E120" s="1" t="s">
        <v>11</v>
      </c>
    </row>
    <row r="121" spans="1:5" ht="15.75" customHeight="1">
      <c r="A121" s="3">
        <v>30332</v>
      </c>
      <c r="B121" s="1" t="s">
        <v>130</v>
      </c>
      <c r="C121" s="1" t="s">
        <v>11</v>
      </c>
      <c r="D121" s="1" t="s">
        <v>11</v>
      </c>
      <c r="E121" s="1" t="s">
        <v>11</v>
      </c>
    </row>
    <row r="122" spans="1:5" ht="15.75" customHeight="1">
      <c r="A122" s="3">
        <v>30333</v>
      </c>
      <c r="B122" s="1" t="s">
        <v>131</v>
      </c>
      <c r="C122" s="1" t="s">
        <v>11</v>
      </c>
      <c r="D122" s="1" t="s">
        <v>11</v>
      </c>
      <c r="E122" s="1" t="s">
        <v>11</v>
      </c>
    </row>
    <row r="123" spans="1:5" ht="15.75" customHeight="1">
      <c r="A123" s="3">
        <v>30339</v>
      </c>
      <c r="B123" s="1" t="s">
        <v>132</v>
      </c>
      <c r="C123" s="1" t="s">
        <v>11</v>
      </c>
      <c r="D123" s="1" t="s">
        <v>11</v>
      </c>
      <c r="E123" s="1" t="s">
        <v>11</v>
      </c>
    </row>
    <row r="124" spans="1:5" ht="15.75" customHeight="1">
      <c r="A124" s="3">
        <v>30341</v>
      </c>
      <c r="B124" s="1" t="s">
        <v>133</v>
      </c>
      <c r="C124" s="1" t="s">
        <v>11</v>
      </c>
      <c r="D124" s="1" t="s">
        <v>11</v>
      </c>
      <c r="E124" s="1" t="s">
        <v>11</v>
      </c>
    </row>
    <row r="125" spans="1:5" ht="15.75" customHeight="1">
      <c r="A125" s="3">
        <v>30342</v>
      </c>
      <c r="B125" s="1" t="s">
        <v>134</v>
      </c>
      <c r="C125" s="1" t="s">
        <v>11</v>
      </c>
      <c r="D125" s="1" t="s">
        <v>11</v>
      </c>
      <c r="E125" s="1" t="s">
        <v>11</v>
      </c>
    </row>
    <row r="126" spans="1:5" ht="15.75" customHeight="1">
      <c r="A126" s="3">
        <v>30343</v>
      </c>
      <c r="B126" s="1" t="s">
        <v>135</v>
      </c>
      <c r="C126" s="1" t="s">
        <v>11</v>
      </c>
      <c r="D126" s="1" t="s">
        <v>11</v>
      </c>
      <c r="E126" s="1" t="s">
        <v>11</v>
      </c>
    </row>
    <row r="127" spans="1:5" ht="15.75" customHeight="1">
      <c r="A127" s="3">
        <v>30344</v>
      </c>
      <c r="B127" s="1" t="s">
        <v>136</v>
      </c>
      <c r="C127" s="1" t="s">
        <v>11</v>
      </c>
      <c r="D127" s="1" t="s">
        <v>11</v>
      </c>
      <c r="E127" s="1" t="s">
        <v>11</v>
      </c>
    </row>
    <row r="128" spans="1:5" ht="15.75" customHeight="1">
      <c r="A128" s="3">
        <v>30345</v>
      </c>
      <c r="B128" s="1" t="s">
        <v>137</v>
      </c>
      <c r="C128" s="1" t="s">
        <v>11</v>
      </c>
      <c r="D128" s="1" t="s">
        <v>11</v>
      </c>
      <c r="E128" s="1" t="s">
        <v>11</v>
      </c>
    </row>
    <row r="129" spans="1:5" ht="15.75" customHeight="1">
      <c r="A129" s="3">
        <v>30346</v>
      </c>
      <c r="B129" s="1" t="s">
        <v>138</v>
      </c>
      <c r="C129" s="1" t="s">
        <v>11</v>
      </c>
      <c r="D129" s="1" t="s">
        <v>11</v>
      </c>
      <c r="E129" s="1" t="s">
        <v>11</v>
      </c>
    </row>
    <row r="130" spans="1:5" ht="15.75" customHeight="1">
      <c r="A130" s="3">
        <v>30349</v>
      </c>
      <c r="B130" s="1" t="s">
        <v>139</v>
      </c>
      <c r="C130" s="1" t="s">
        <v>11</v>
      </c>
      <c r="D130" s="1" t="s">
        <v>11</v>
      </c>
      <c r="E130" s="1" t="s">
        <v>11</v>
      </c>
    </row>
    <row r="131" spans="1:5" ht="15.75" customHeight="1">
      <c r="A131" s="3">
        <v>30351</v>
      </c>
      <c r="B131" s="1" t="s">
        <v>140</v>
      </c>
      <c r="C131" s="1" t="s">
        <v>11</v>
      </c>
      <c r="D131" s="1" t="s">
        <v>11</v>
      </c>
      <c r="E131" s="1" t="s">
        <v>11</v>
      </c>
    </row>
    <row r="132" spans="1:5" ht="15.75" customHeight="1">
      <c r="A132" s="3">
        <v>30352</v>
      </c>
      <c r="B132" s="1" t="s">
        <v>141</v>
      </c>
      <c r="C132" s="1" t="s">
        <v>11</v>
      </c>
      <c r="D132" s="1" t="s">
        <v>11</v>
      </c>
      <c r="E132" s="1" t="s">
        <v>11</v>
      </c>
    </row>
    <row r="133" spans="1:5" ht="15.75" customHeight="1">
      <c r="A133" s="3">
        <v>30361</v>
      </c>
      <c r="B133" s="1" t="s">
        <v>142</v>
      </c>
      <c r="C133" s="1" t="s">
        <v>11</v>
      </c>
      <c r="D133" s="1" t="s">
        <v>11</v>
      </c>
      <c r="E133" s="1" t="s">
        <v>11</v>
      </c>
    </row>
    <row r="134" spans="1:5" ht="15.75" customHeight="1">
      <c r="A134" s="3">
        <v>30362</v>
      </c>
      <c r="B134" s="1" t="s">
        <v>143</v>
      </c>
      <c r="C134" s="1" t="s">
        <v>11</v>
      </c>
      <c r="D134" s="1" t="s">
        <v>11</v>
      </c>
      <c r="E134" s="1" t="s">
        <v>11</v>
      </c>
    </row>
    <row r="135" spans="1:5" ht="15.75" customHeight="1">
      <c r="A135" s="3">
        <v>30371</v>
      </c>
      <c r="B135" s="1" t="s">
        <v>144</v>
      </c>
      <c r="C135" s="1" t="s">
        <v>11</v>
      </c>
      <c r="D135" s="1" t="s">
        <v>11</v>
      </c>
      <c r="E135" s="1" t="s">
        <v>11</v>
      </c>
    </row>
    <row r="136" spans="1:5" ht="15.75" customHeight="1">
      <c r="A136" s="3">
        <v>30372</v>
      </c>
      <c r="B136" s="1" t="s">
        <v>145</v>
      </c>
      <c r="C136" s="1" t="s">
        <v>11</v>
      </c>
      <c r="D136" s="1" t="s">
        <v>11</v>
      </c>
      <c r="E136" s="1" t="s">
        <v>11</v>
      </c>
    </row>
    <row r="137" spans="1:5" ht="15.75" customHeight="1">
      <c r="A137" s="3">
        <v>30373</v>
      </c>
      <c r="B137" s="1" t="s">
        <v>146</v>
      </c>
      <c r="C137" s="1" t="s">
        <v>11</v>
      </c>
      <c r="D137" s="1" t="s">
        <v>11</v>
      </c>
      <c r="E137" s="1" t="s">
        <v>11</v>
      </c>
    </row>
    <row r="138" spans="1:5" ht="15.75" customHeight="1">
      <c r="A138" s="3">
        <v>30374</v>
      </c>
      <c r="B138" s="1" t="s">
        <v>147</v>
      </c>
      <c r="C138" s="1" t="s">
        <v>11</v>
      </c>
      <c r="D138" s="1" t="s">
        <v>11</v>
      </c>
      <c r="E138" s="1" t="s">
        <v>11</v>
      </c>
    </row>
    <row r="139" spans="1:5" ht="15.75" customHeight="1">
      <c r="A139" s="3">
        <v>30375</v>
      </c>
      <c r="B139" s="1" t="s">
        <v>148</v>
      </c>
      <c r="C139" s="1" t="s">
        <v>11</v>
      </c>
      <c r="D139" s="1" t="s">
        <v>11</v>
      </c>
      <c r="E139" s="1" t="s">
        <v>11</v>
      </c>
    </row>
    <row r="140" spans="1:5" ht="15.75" customHeight="1">
      <c r="A140" s="3">
        <v>30376</v>
      </c>
      <c r="B140" s="1" t="s">
        <v>149</v>
      </c>
      <c r="C140" s="1" t="s">
        <v>11</v>
      </c>
      <c r="D140" s="1" t="s">
        <v>11</v>
      </c>
      <c r="E140" s="1" t="s">
        <v>11</v>
      </c>
    </row>
    <row r="141" spans="1:5" ht="15.75" customHeight="1">
      <c r="A141" s="3">
        <v>30377</v>
      </c>
      <c r="B141" s="1" t="s">
        <v>150</v>
      </c>
      <c r="C141" s="1" t="s">
        <v>11</v>
      </c>
      <c r="D141" s="1" t="s">
        <v>11</v>
      </c>
      <c r="E141" s="1" t="s">
        <v>11</v>
      </c>
    </row>
    <row r="142" spans="1:5" ht="15.75" customHeight="1">
      <c r="A142" s="3">
        <v>30378</v>
      </c>
      <c r="B142" s="1" t="s">
        <v>151</v>
      </c>
      <c r="C142" s="1" t="s">
        <v>11</v>
      </c>
      <c r="D142" s="1" t="s">
        <v>11</v>
      </c>
      <c r="E142" s="1" t="s">
        <v>11</v>
      </c>
    </row>
    <row r="143" spans="1:5" ht="15.75" customHeight="1">
      <c r="A143" s="3">
        <v>30379</v>
      </c>
      <c r="B143" s="1" t="s">
        <v>152</v>
      </c>
      <c r="C143" s="1" t="s">
        <v>11</v>
      </c>
      <c r="D143" s="1" t="s">
        <v>11</v>
      </c>
      <c r="E143" s="1" t="s">
        <v>11</v>
      </c>
    </row>
    <row r="144" spans="1:5" ht="15.75" customHeight="1">
      <c r="A144" s="3">
        <v>30380</v>
      </c>
      <c r="B144" s="1" t="s">
        <v>153</v>
      </c>
      <c r="C144" s="1" t="s">
        <v>11</v>
      </c>
      <c r="D144" s="1" t="s">
        <v>11</v>
      </c>
      <c r="E144" s="1" t="s">
        <v>11</v>
      </c>
    </row>
    <row r="145" spans="1:5" ht="15.75" customHeight="1">
      <c r="A145" s="3">
        <v>30411</v>
      </c>
      <c r="B145" s="1" t="s">
        <v>154</v>
      </c>
      <c r="C145" s="1" t="s">
        <v>11</v>
      </c>
      <c r="D145" s="1" t="s">
        <v>11</v>
      </c>
      <c r="E145" s="1" t="s">
        <v>11</v>
      </c>
    </row>
    <row r="146" spans="1:5" ht="15.75" customHeight="1">
      <c r="A146" s="3">
        <v>30412</v>
      </c>
      <c r="B146" s="1" t="s">
        <v>155</v>
      </c>
      <c r="C146" s="1" t="s">
        <v>11</v>
      </c>
      <c r="D146" s="1" t="s">
        <v>11</v>
      </c>
      <c r="E146" s="1" t="s">
        <v>11</v>
      </c>
    </row>
    <row r="147" spans="1:5" ht="15.75" customHeight="1">
      <c r="A147" s="3">
        <v>30419</v>
      </c>
      <c r="B147" s="1" t="s">
        <v>156</v>
      </c>
      <c r="C147" s="1" t="s">
        <v>11</v>
      </c>
      <c r="D147" s="1" t="s">
        <v>11</v>
      </c>
      <c r="E147" s="1" t="s">
        <v>11</v>
      </c>
    </row>
    <row r="148" spans="1:5" ht="15.75" customHeight="1">
      <c r="A148" s="3">
        <v>30421</v>
      </c>
      <c r="B148" s="1" t="s">
        <v>157</v>
      </c>
      <c r="C148" s="1" t="s">
        <v>11</v>
      </c>
      <c r="D148" s="1" t="s">
        <v>11</v>
      </c>
      <c r="E148" s="1" t="s">
        <v>11</v>
      </c>
    </row>
    <row r="149" spans="1:5" ht="15.75" customHeight="1">
      <c r="A149" s="3">
        <v>30422</v>
      </c>
      <c r="B149" s="1" t="s">
        <v>158</v>
      </c>
      <c r="C149" s="1" t="s">
        <v>11</v>
      </c>
      <c r="D149" s="1" t="s">
        <v>11</v>
      </c>
      <c r="E149" s="1" t="s">
        <v>11</v>
      </c>
    </row>
    <row r="150" spans="1:5" ht="15.75" customHeight="1">
      <c r="A150" s="3">
        <v>30429</v>
      </c>
      <c r="B150" s="1" t="s">
        <v>159</v>
      </c>
      <c r="C150" s="1" t="s">
        <v>11</v>
      </c>
      <c r="D150" s="1" t="s">
        <v>11</v>
      </c>
      <c r="E150" s="1" t="s">
        <v>11</v>
      </c>
    </row>
    <row r="151" spans="1:5" ht="15.75" customHeight="1">
      <c r="A151" s="3">
        <v>30491</v>
      </c>
      <c r="B151" s="1" t="s">
        <v>160</v>
      </c>
      <c r="C151" s="1" t="s">
        <v>11</v>
      </c>
      <c r="D151" s="1" t="s">
        <v>11</v>
      </c>
      <c r="E151" s="1" t="s">
        <v>11</v>
      </c>
    </row>
    <row r="152" spans="1:5" ht="15.75" customHeight="1">
      <c r="A152" s="3">
        <v>30492</v>
      </c>
      <c r="B152" s="1" t="s">
        <v>161</v>
      </c>
      <c r="C152" s="1" t="s">
        <v>11</v>
      </c>
      <c r="D152" s="1" t="s">
        <v>11</v>
      </c>
      <c r="E152" s="1" t="s">
        <v>11</v>
      </c>
    </row>
    <row r="153" spans="1:5" ht="15.75" customHeight="1">
      <c r="A153" s="3">
        <v>30499</v>
      </c>
      <c r="B153" s="1" t="s">
        <v>162</v>
      </c>
      <c r="C153" s="1" t="s">
        <v>11</v>
      </c>
      <c r="D153" s="1" t="s">
        <v>11</v>
      </c>
      <c r="E153" s="1" t="s">
        <v>11</v>
      </c>
    </row>
    <row r="154" spans="1:5" ht="15.75" customHeight="1">
      <c r="A154" s="3">
        <v>30510</v>
      </c>
      <c r="B154" s="1" t="s">
        <v>163</v>
      </c>
      <c r="C154" s="1" t="s">
        <v>11</v>
      </c>
      <c r="D154" s="1" t="s">
        <v>11</v>
      </c>
      <c r="E154" s="1" t="s">
        <v>11</v>
      </c>
    </row>
    <row r="155" spans="1:5" ht="15.75" customHeight="1">
      <c r="A155" s="3">
        <v>30520</v>
      </c>
      <c r="B155" s="1" t="s">
        <v>164</v>
      </c>
      <c r="C155" s="1" t="s">
        <v>11</v>
      </c>
      <c r="D155" s="1" t="s">
        <v>11</v>
      </c>
      <c r="E155" s="1" t="s">
        <v>11</v>
      </c>
    </row>
    <row r="156" spans="1:5" ht="15.75" customHeight="1">
      <c r="A156" s="3">
        <v>30530</v>
      </c>
      <c r="B156" s="1" t="s">
        <v>165</v>
      </c>
      <c r="C156" s="1" t="s">
        <v>11</v>
      </c>
      <c r="D156" s="1" t="s">
        <v>11</v>
      </c>
      <c r="E156" s="1" t="s">
        <v>11</v>
      </c>
    </row>
    <row r="157" spans="1:5" ht="15.75" customHeight="1">
      <c r="A157" s="3">
        <v>30541</v>
      </c>
      <c r="B157" s="1" t="s">
        <v>166</v>
      </c>
      <c r="C157" s="1" t="s">
        <v>11</v>
      </c>
      <c r="D157" s="1" t="s">
        <v>11</v>
      </c>
      <c r="E157" s="1" t="s">
        <v>11</v>
      </c>
    </row>
    <row r="158" spans="1:5" ht="15.75" customHeight="1">
      <c r="A158" s="3">
        <v>30542</v>
      </c>
      <c r="B158" s="1" t="s">
        <v>167</v>
      </c>
      <c r="C158" s="1" t="s">
        <v>11</v>
      </c>
      <c r="D158" s="1" t="s">
        <v>11</v>
      </c>
      <c r="E158" s="1" t="s">
        <v>11</v>
      </c>
    </row>
    <row r="159" spans="1:5" ht="15.75" customHeight="1">
      <c r="A159" s="3">
        <v>30549</v>
      </c>
      <c r="B159" s="1" t="s">
        <v>168</v>
      </c>
      <c r="C159" s="1" t="s">
        <v>11</v>
      </c>
      <c r="D159" s="1" t="s">
        <v>11</v>
      </c>
      <c r="E159" s="1" t="s">
        <v>11</v>
      </c>
    </row>
    <row r="160" spans="1:5" ht="15.75" customHeight="1">
      <c r="A160" s="3">
        <v>30551</v>
      </c>
      <c r="B160" s="1" t="s">
        <v>169</v>
      </c>
      <c r="C160" s="1" t="s">
        <v>11</v>
      </c>
      <c r="D160" s="1" t="s">
        <v>11</v>
      </c>
      <c r="E160" s="1" t="s">
        <v>11</v>
      </c>
    </row>
    <row r="161" spans="1:5" ht="15.75" customHeight="1">
      <c r="A161" s="3">
        <v>30559</v>
      </c>
      <c r="B161" s="1" t="s">
        <v>170</v>
      </c>
      <c r="C161" s="1" t="s">
        <v>11</v>
      </c>
      <c r="D161" s="1" t="s">
        <v>11</v>
      </c>
      <c r="E161" s="1" t="s">
        <v>11</v>
      </c>
    </row>
    <row r="162" spans="1:5" ht="15.75" customHeight="1">
      <c r="A162" s="3">
        <v>30561</v>
      </c>
      <c r="B162" s="1" t="s">
        <v>171</v>
      </c>
      <c r="C162" s="1" t="s">
        <v>11</v>
      </c>
      <c r="D162" s="1" t="s">
        <v>11</v>
      </c>
      <c r="E162" s="1" t="s">
        <v>11</v>
      </c>
    </row>
    <row r="163" spans="1:5" ht="15.75" customHeight="1">
      <c r="A163" s="3">
        <v>30562</v>
      </c>
      <c r="B163" s="1" t="s">
        <v>172</v>
      </c>
      <c r="C163" s="1" t="s">
        <v>11</v>
      </c>
      <c r="D163" s="1" t="s">
        <v>11</v>
      </c>
      <c r="E163" s="1" t="s">
        <v>11</v>
      </c>
    </row>
    <row r="164" spans="1:5" ht="15.75" customHeight="1">
      <c r="A164" s="3">
        <v>30563</v>
      </c>
      <c r="B164" s="1" t="s">
        <v>173</v>
      </c>
      <c r="C164" s="1" t="s">
        <v>11</v>
      </c>
      <c r="D164" s="1" t="s">
        <v>11</v>
      </c>
      <c r="E164" s="1" t="s">
        <v>11</v>
      </c>
    </row>
    <row r="165" spans="1:5" ht="15.75" customHeight="1">
      <c r="A165" s="3">
        <v>30569</v>
      </c>
      <c r="B165" s="1" t="s">
        <v>174</v>
      </c>
      <c r="C165" s="1" t="s">
        <v>11</v>
      </c>
      <c r="D165" s="1" t="s">
        <v>11</v>
      </c>
      <c r="E165" s="1" t="s">
        <v>11</v>
      </c>
    </row>
    <row r="166" spans="1:5" ht="15.75" customHeight="1">
      <c r="A166" s="3">
        <v>30611</v>
      </c>
      <c r="B166" s="1" t="s">
        <v>175</v>
      </c>
      <c r="C166" s="1" t="s">
        <v>11</v>
      </c>
      <c r="D166" s="1" t="s">
        <v>11</v>
      </c>
      <c r="E166" s="1" t="s">
        <v>11</v>
      </c>
    </row>
    <row r="167" spans="1:5" ht="15.75" customHeight="1">
      <c r="A167" s="3">
        <v>30612</v>
      </c>
      <c r="B167" s="1" t="s">
        <v>176</v>
      </c>
      <c r="C167" s="1" t="s">
        <v>11</v>
      </c>
      <c r="D167" s="1" t="s">
        <v>11</v>
      </c>
      <c r="E167" s="1" t="s">
        <v>11</v>
      </c>
    </row>
    <row r="168" spans="1:5" ht="15.75" customHeight="1">
      <c r="A168" s="3">
        <v>30613</v>
      </c>
      <c r="B168" s="1" t="s">
        <v>177</v>
      </c>
      <c r="C168" s="1" t="s">
        <v>11</v>
      </c>
      <c r="D168" s="1" t="s">
        <v>11</v>
      </c>
      <c r="E168" s="1" t="s">
        <v>11</v>
      </c>
    </row>
    <row r="169" spans="1:5" ht="15.75" customHeight="1">
      <c r="A169" s="3">
        <v>30614</v>
      </c>
      <c r="B169" s="1" t="s">
        <v>178</v>
      </c>
      <c r="C169" s="1" t="s">
        <v>11</v>
      </c>
      <c r="D169" s="1" t="s">
        <v>11</v>
      </c>
      <c r="E169" s="1" t="s">
        <v>11</v>
      </c>
    </row>
    <row r="170" spans="1:5" ht="15.75" customHeight="1">
      <c r="A170" s="3">
        <v>30619</v>
      </c>
      <c r="B170" s="1" t="s">
        <v>179</v>
      </c>
      <c r="C170" s="1" t="s">
        <v>11</v>
      </c>
      <c r="D170" s="1" t="s">
        <v>11</v>
      </c>
      <c r="E170" s="1" t="s">
        <v>11</v>
      </c>
    </row>
    <row r="171" spans="1:5" ht="15.75" customHeight="1">
      <c r="A171" s="3">
        <v>30621</v>
      </c>
      <c r="B171" s="1" t="s">
        <v>180</v>
      </c>
      <c r="C171" s="1" t="s">
        <v>11</v>
      </c>
      <c r="D171" s="1" t="s">
        <v>11</v>
      </c>
      <c r="E171" s="1" t="s">
        <v>11</v>
      </c>
    </row>
    <row r="172" spans="1:5" ht="15.75" customHeight="1">
      <c r="A172" s="3">
        <v>30622</v>
      </c>
      <c r="B172" s="1" t="s">
        <v>181</v>
      </c>
      <c r="C172" s="1" t="s">
        <v>11</v>
      </c>
      <c r="D172" s="1" t="s">
        <v>11</v>
      </c>
      <c r="E172" s="1" t="s">
        <v>11</v>
      </c>
    </row>
    <row r="173" spans="1:5" ht="15.75" customHeight="1">
      <c r="A173" s="3">
        <v>30623</v>
      </c>
      <c r="B173" s="1" t="s">
        <v>182</v>
      </c>
      <c r="C173" s="1" t="s">
        <v>11</v>
      </c>
      <c r="D173" s="1" t="s">
        <v>11</v>
      </c>
      <c r="E173" s="1" t="s">
        <v>11</v>
      </c>
    </row>
    <row r="174" spans="1:5" ht="15.75" customHeight="1">
      <c r="A174" s="3">
        <v>30624</v>
      </c>
      <c r="B174" s="1" t="s">
        <v>183</v>
      </c>
      <c r="C174" s="1" t="s">
        <v>11</v>
      </c>
      <c r="D174" s="1" t="s">
        <v>11</v>
      </c>
      <c r="E174" s="1" t="s">
        <v>11</v>
      </c>
    </row>
    <row r="175" spans="1:5" ht="15.75" customHeight="1">
      <c r="A175" s="3">
        <v>30629</v>
      </c>
      <c r="B175" s="1" t="s">
        <v>184</v>
      </c>
      <c r="C175" s="1" t="s">
        <v>11</v>
      </c>
      <c r="D175" s="1" t="s">
        <v>11</v>
      </c>
      <c r="E175" s="1" t="s">
        <v>11</v>
      </c>
    </row>
    <row r="176" spans="1:5" ht="15.75" customHeight="1">
      <c r="A176" s="3">
        <v>30710</v>
      </c>
      <c r="B176" s="1" t="s">
        <v>185</v>
      </c>
      <c r="C176" s="1" t="s">
        <v>11</v>
      </c>
      <c r="D176" s="1" t="s">
        <v>11</v>
      </c>
      <c r="E176" s="1" t="s">
        <v>11</v>
      </c>
    </row>
    <row r="177" spans="1:5" ht="15.75" customHeight="1">
      <c r="A177" s="3">
        <v>30721</v>
      </c>
      <c r="B177" s="1" t="s">
        <v>186</v>
      </c>
      <c r="C177" s="1" t="s">
        <v>11</v>
      </c>
      <c r="D177" s="1" t="s">
        <v>11</v>
      </c>
      <c r="E177" s="1" t="s">
        <v>11</v>
      </c>
    </row>
    <row r="178" spans="1:5" ht="15.75" customHeight="1">
      <c r="A178" s="3">
        <v>30729</v>
      </c>
      <c r="B178" s="1" t="s">
        <v>187</v>
      </c>
      <c r="C178" s="1" t="s">
        <v>11</v>
      </c>
      <c r="D178" s="1" t="s">
        <v>11</v>
      </c>
      <c r="E178" s="1" t="s">
        <v>11</v>
      </c>
    </row>
    <row r="179" spans="1:5" ht="15.75" customHeight="1">
      <c r="A179" s="3">
        <v>30731</v>
      </c>
      <c r="B179" s="1" t="s">
        <v>188</v>
      </c>
      <c r="C179" s="1" t="s">
        <v>11</v>
      </c>
      <c r="D179" s="1" t="s">
        <v>11</v>
      </c>
      <c r="E179" s="1" t="s">
        <v>11</v>
      </c>
    </row>
    <row r="180" spans="1:5" ht="15.75" customHeight="1">
      <c r="A180" s="3">
        <v>30739</v>
      </c>
      <c r="B180" s="1" t="s">
        <v>189</v>
      </c>
      <c r="C180" s="1" t="s">
        <v>11</v>
      </c>
      <c r="D180" s="1" t="s">
        <v>11</v>
      </c>
      <c r="E180" s="1" t="s">
        <v>11</v>
      </c>
    </row>
    <row r="181" spans="1:5" ht="15.75" customHeight="1">
      <c r="A181" s="3">
        <v>30741</v>
      </c>
      <c r="B181" s="1" t="s">
        <v>190</v>
      </c>
      <c r="C181" s="1" t="s">
        <v>11</v>
      </c>
      <c r="D181" s="1" t="s">
        <v>11</v>
      </c>
      <c r="E181" s="1" t="s">
        <v>11</v>
      </c>
    </row>
    <row r="182" spans="1:5" ht="15.75" customHeight="1">
      <c r="A182" s="3">
        <v>30749</v>
      </c>
      <c r="B182" s="1" t="s">
        <v>191</v>
      </c>
      <c r="C182" s="1" t="s">
        <v>11</v>
      </c>
      <c r="D182" s="1" t="s">
        <v>11</v>
      </c>
      <c r="E182" s="1" t="s">
        <v>11</v>
      </c>
    </row>
    <row r="183" spans="1:5" ht="15.75" customHeight="1">
      <c r="A183" s="3">
        <v>30751</v>
      </c>
      <c r="B183" s="1" t="s">
        <v>192</v>
      </c>
      <c r="C183" s="1" t="s">
        <v>11</v>
      </c>
      <c r="D183" s="1" t="s">
        <v>11</v>
      </c>
      <c r="E183" s="1" t="s">
        <v>11</v>
      </c>
    </row>
    <row r="184" spans="1:5" ht="15.75" customHeight="1">
      <c r="A184" s="3">
        <v>30759</v>
      </c>
      <c r="B184" s="1" t="s">
        <v>193</v>
      </c>
      <c r="C184" s="1" t="s">
        <v>11</v>
      </c>
      <c r="D184" s="1" t="s">
        <v>11</v>
      </c>
      <c r="E184" s="1" t="s">
        <v>11</v>
      </c>
    </row>
    <row r="185" spans="1:5" ht="15.75" customHeight="1">
      <c r="A185" s="3">
        <v>30760</v>
      </c>
      <c r="B185" s="1" t="s">
        <v>194</v>
      </c>
      <c r="C185" s="1" t="s">
        <v>11</v>
      </c>
      <c r="D185" s="1" t="s">
        <v>11</v>
      </c>
      <c r="E185" s="1" t="s">
        <v>11</v>
      </c>
    </row>
    <row r="186" spans="1:5" ht="15.75" customHeight="1">
      <c r="A186" s="3">
        <v>30791</v>
      </c>
      <c r="B186" s="1" t="s">
        <v>195</v>
      </c>
      <c r="C186" s="1" t="s">
        <v>11</v>
      </c>
      <c r="D186" s="1" t="s">
        <v>11</v>
      </c>
      <c r="E186" s="1" t="s">
        <v>11</v>
      </c>
    </row>
    <row r="187" spans="1:5" ht="15.75" customHeight="1">
      <c r="A187" s="3">
        <v>30799</v>
      </c>
      <c r="B187" s="1" t="s">
        <v>196</v>
      </c>
      <c r="C187" s="1" t="s">
        <v>11</v>
      </c>
      <c r="D187" s="1" t="s">
        <v>11</v>
      </c>
      <c r="E187" s="1" t="s">
        <v>11</v>
      </c>
    </row>
    <row r="188" spans="1:5" ht="15.75" customHeight="1">
      <c r="A188" s="3">
        <v>40110</v>
      </c>
      <c r="B188" s="1" t="s">
        <v>197</v>
      </c>
      <c r="C188" s="1" t="s">
        <v>11</v>
      </c>
      <c r="D188" s="1" t="s">
        <v>11</v>
      </c>
      <c r="E188" s="1" t="s">
        <v>11</v>
      </c>
    </row>
    <row r="189" spans="1:5" ht="15.75" customHeight="1">
      <c r="A189" s="3">
        <v>40120</v>
      </c>
      <c r="B189" s="1" t="s">
        <v>198</v>
      </c>
      <c r="C189" s="1" t="s">
        <v>11</v>
      </c>
      <c r="D189" s="1" t="s">
        <v>11</v>
      </c>
      <c r="E189" s="1" t="s">
        <v>11</v>
      </c>
    </row>
    <row r="190" spans="1:5" ht="15.75" customHeight="1">
      <c r="A190" s="3">
        <v>40130</v>
      </c>
      <c r="B190" s="1" t="s">
        <v>199</v>
      </c>
      <c r="C190" s="1" t="s">
        <v>11</v>
      </c>
      <c r="D190" s="1" t="s">
        <v>11</v>
      </c>
      <c r="E190" s="1" t="s">
        <v>11</v>
      </c>
    </row>
    <row r="191" spans="1:5" ht="15.75" customHeight="1">
      <c r="A191" s="3">
        <v>40210</v>
      </c>
      <c r="B191" s="1" t="s">
        <v>200</v>
      </c>
      <c r="C191" s="1" t="s">
        <v>11</v>
      </c>
      <c r="D191" s="1" t="s">
        <v>11</v>
      </c>
      <c r="E191" s="1" t="s">
        <v>11</v>
      </c>
    </row>
    <row r="192" spans="1:5" ht="15.75" customHeight="1">
      <c r="A192" s="3">
        <v>40221</v>
      </c>
      <c r="B192" s="1" t="s">
        <v>201</v>
      </c>
      <c r="C192" s="1" t="s">
        <v>11</v>
      </c>
      <c r="D192" s="1" t="s">
        <v>11</v>
      </c>
      <c r="E192" s="1" t="s">
        <v>11</v>
      </c>
    </row>
    <row r="193" spans="1:5" ht="15.75" customHeight="1">
      <c r="A193" s="3">
        <v>40229</v>
      </c>
      <c r="B193" s="1" t="s">
        <v>202</v>
      </c>
      <c r="C193" s="1" t="s">
        <v>11</v>
      </c>
      <c r="D193" s="1" t="s">
        <v>11</v>
      </c>
      <c r="E193" s="1" t="s">
        <v>11</v>
      </c>
    </row>
    <row r="194" spans="1:5" ht="15.75" customHeight="1">
      <c r="A194" s="3">
        <v>40291</v>
      </c>
      <c r="B194" s="1" t="s">
        <v>203</v>
      </c>
      <c r="C194" s="1" t="s">
        <v>11</v>
      </c>
      <c r="D194" s="1" t="s">
        <v>11</v>
      </c>
      <c r="E194" s="1" t="s">
        <v>11</v>
      </c>
    </row>
    <row r="195" spans="1:5" ht="15.75" customHeight="1">
      <c r="A195" s="3">
        <v>40299</v>
      </c>
      <c r="B195" s="1" t="s">
        <v>204</v>
      </c>
      <c r="C195" s="1" t="s">
        <v>11</v>
      </c>
      <c r="D195" s="1" t="s">
        <v>11</v>
      </c>
      <c r="E195" s="1" t="s">
        <v>11</v>
      </c>
    </row>
    <row r="196" spans="1:5" ht="15.75" customHeight="1">
      <c r="A196" s="3">
        <v>40310</v>
      </c>
      <c r="B196" s="1" t="s">
        <v>205</v>
      </c>
      <c r="C196" s="1" t="s">
        <v>11</v>
      </c>
      <c r="D196" s="1" t="s">
        <v>11</v>
      </c>
      <c r="E196" s="1" t="s">
        <v>11</v>
      </c>
    </row>
    <row r="197" spans="1:5" ht="15.75" customHeight="1">
      <c r="A197" s="3">
        <v>40390</v>
      </c>
      <c r="B197" s="1" t="s">
        <v>206</v>
      </c>
      <c r="C197" s="1" t="s">
        <v>11</v>
      </c>
      <c r="D197" s="1" t="s">
        <v>11</v>
      </c>
      <c r="E197" s="1" t="s">
        <v>11</v>
      </c>
    </row>
    <row r="198" spans="1:5" ht="15.75" customHeight="1">
      <c r="A198" s="3">
        <v>40410</v>
      </c>
      <c r="B198" s="1" t="s">
        <v>207</v>
      </c>
      <c r="C198" s="1" t="s">
        <v>11</v>
      </c>
      <c r="D198" s="1" t="s">
        <v>11</v>
      </c>
      <c r="E198" s="1" t="s">
        <v>11</v>
      </c>
    </row>
    <row r="199" spans="1:5" ht="15.75" customHeight="1">
      <c r="A199" s="3">
        <v>40490</v>
      </c>
      <c r="B199" s="1" t="s">
        <v>208</v>
      </c>
      <c r="C199" s="1" t="s">
        <v>11</v>
      </c>
      <c r="D199" s="1" t="s">
        <v>11</v>
      </c>
      <c r="E199" s="1" t="s">
        <v>11</v>
      </c>
    </row>
    <row r="200" spans="1:5" ht="15.75" customHeight="1">
      <c r="A200" s="3">
        <v>40510</v>
      </c>
      <c r="B200" s="1" t="s">
        <v>209</v>
      </c>
      <c r="C200" s="1" t="s">
        <v>11</v>
      </c>
      <c r="D200" s="1" t="s">
        <v>11</v>
      </c>
      <c r="E200" s="1" t="s">
        <v>11</v>
      </c>
    </row>
    <row r="201" spans="1:5" ht="15.75" customHeight="1">
      <c r="A201" s="3">
        <v>40520</v>
      </c>
      <c r="B201" s="1" t="s">
        <v>210</v>
      </c>
      <c r="C201" s="1" t="s">
        <v>11</v>
      </c>
      <c r="D201" s="1" t="s">
        <v>11</v>
      </c>
      <c r="E201" s="1" t="s">
        <v>11</v>
      </c>
    </row>
    <row r="202" spans="1:5" ht="15.75" customHeight="1">
      <c r="A202" s="3">
        <v>40590</v>
      </c>
      <c r="B202" s="1" t="s">
        <v>211</v>
      </c>
      <c r="C202" s="1" t="s">
        <v>11</v>
      </c>
      <c r="D202" s="1" t="s">
        <v>11</v>
      </c>
      <c r="E202" s="1" t="s">
        <v>11</v>
      </c>
    </row>
    <row r="203" spans="1:5" ht="15.75" customHeight="1">
      <c r="A203" s="3">
        <v>40610</v>
      </c>
      <c r="B203" s="1" t="s">
        <v>212</v>
      </c>
      <c r="C203" s="1" t="s">
        <v>11</v>
      </c>
      <c r="D203" s="1" t="s">
        <v>11</v>
      </c>
      <c r="E203" s="1" t="s">
        <v>11</v>
      </c>
    </row>
    <row r="204" spans="1:5" ht="15.75" customHeight="1">
      <c r="A204" s="3">
        <v>40620</v>
      </c>
      <c r="B204" s="1" t="s">
        <v>213</v>
      </c>
      <c r="C204" s="1" t="s">
        <v>11</v>
      </c>
      <c r="D204" s="1" t="s">
        <v>11</v>
      </c>
      <c r="E204" s="1" t="s">
        <v>11</v>
      </c>
    </row>
    <row r="205" spans="1:5" ht="15.75" customHeight="1">
      <c r="A205" s="3">
        <v>40630</v>
      </c>
      <c r="B205" s="1" t="s">
        <v>214</v>
      </c>
      <c r="C205" s="1" t="s">
        <v>11</v>
      </c>
      <c r="D205" s="1" t="s">
        <v>11</v>
      </c>
      <c r="E205" s="1" t="s">
        <v>11</v>
      </c>
    </row>
    <row r="206" spans="1:5" ht="15.75" customHeight="1">
      <c r="A206" s="3">
        <v>40640</v>
      </c>
      <c r="B206" s="1" t="s">
        <v>215</v>
      </c>
      <c r="C206" s="1" t="s">
        <v>11</v>
      </c>
      <c r="D206" s="1" t="s">
        <v>11</v>
      </c>
      <c r="E206" s="1" t="s">
        <v>11</v>
      </c>
    </row>
    <row r="207" spans="1:5" ht="15.75" customHeight="1">
      <c r="A207" s="3">
        <v>40690</v>
      </c>
      <c r="B207" s="1" t="s">
        <v>216</v>
      </c>
      <c r="C207" s="1" t="s">
        <v>11</v>
      </c>
      <c r="D207" s="1" t="s">
        <v>11</v>
      </c>
      <c r="E207" s="1" t="s">
        <v>11</v>
      </c>
    </row>
    <row r="208" spans="1:5" ht="15.75" customHeight="1">
      <c r="A208" s="3">
        <v>40700</v>
      </c>
      <c r="B208" s="1" t="s">
        <v>217</v>
      </c>
      <c r="C208" s="1" t="s">
        <v>11</v>
      </c>
      <c r="D208" s="1" t="s">
        <v>11</v>
      </c>
      <c r="E208" s="1" t="s">
        <v>11</v>
      </c>
    </row>
    <row r="209" spans="1:5" ht="15.75" customHeight="1">
      <c r="A209" s="3">
        <v>40811</v>
      </c>
      <c r="B209" s="1" t="s">
        <v>218</v>
      </c>
      <c r="C209" s="1" t="s">
        <v>11</v>
      </c>
      <c r="D209" s="1" t="s">
        <v>11</v>
      </c>
      <c r="E209" s="1" t="s">
        <v>11</v>
      </c>
    </row>
    <row r="210" spans="1:5" ht="15.75" customHeight="1">
      <c r="A210" s="3">
        <v>40819</v>
      </c>
      <c r="B210" s="1" t="s">
        <v>219</v>
      </c>
      <c r="C210" s="1" t="s">
        <v>11</v>
      </c>
      <c r="D210" s="1" t="s">
        <v>11</v>
      </c>
      <c r="E210" s="1" t="s">
        <v>11</v>
      </c>
    </row>
    <row r="211" spans="1:5" ht="15.75" customHeight="1">
      <c r="A211" s="3">
        <v>40891</v>
      </c>
      <c r="B211" s="1" t="s">
        <v>220</v>
      </c>
      <c r="C211" s="1" t="s">
        <v>11</v>
      </c>
      <c r="D211" s="1" t="s">
        <v>11</v>
      </c>
      <c r="E211" s="1" t="s">
        <v>11</v>
      </c>
    </row>
    <row r="212" spans="1:5" ht="15.75" customHeight="1">
      <c r="A212" s="3">
        <v>40899</v>
      </c>
      <c r="B212" s="1" t="s">
        <v>221</v>
      </c>
      <c r="C212" s="1" t="s">
        <v>11</v>
      </c>
      <c r="D212" s="1" t="s">
        <v>11</v>
      </c>
      <c r="E212" s="1" t="s">
        <v>11</v>
      </c>
    </row>
    <row r="213" spans="1:5" ht="15.75" customHeight="1">
      <c r="A213" s="3">
        <v>40900</v>
      </c>
      <c r="B213" s="1" t="s">
        <v>222</v>
      </c>
      <c r="C213" s="1" t="s">
        <v>11</v>
      </c>
      <c r="D213" s="1" t="s">
        <v>11</v>
      </c>
      <c r="E213" s="1" t="s">
        <v>11</v>
      </c>
    </row>
    <row r="214" spans="1:5" ht="15.75" customHeight="1">
      <c r="A214" s="3">
        <v>41000</v>
      </c>
      <c r="B214" s="1" t="s">
        <v>223</v>
      </c>
      <c r="C214" s="1" t="s">
        <v>11</v>
      </c>
      <c r="D214" s="1" t="s">
        <v>11</v>
      </c>
      <c r="E214" s="1" t="s">
        <v>11</v>
      </c>
    </row>
    <row r="215" spans="1:5" ht="15.75" customHeight="1">
      <c r="A215" s="3">
        <v>50100</v>
      </c>
      <c r="B215" s="1" t="s">
        <v>224</v>
      </c>
      <c r="C215" s="1" t="s">
        <v>11</v>
      </c>
      <c r="D215" s="1" t="s">
        <v>11</v>
      </c>
      <c r="E215" s="1" t="s">
        <v>11</v>
      </c>
    </row>
    <row r="216" spans="1:5" ht="15.75" customHeight="1">
      <c r="A216" s="3">
        <v>50210</v>
      </c>
      <c r="B216" s="1" t="s">
        <v>225</v>
      </c>
      <c r="C216" s="1" t="s">
        <v>11</v>
      </c>
      <c r="D216" s="1" t="s">
        <v>11</v>
      </c>
      <c r="E216" s="1" t="s">
        <v>11</v>
      </c>
    </row>
    <row r="217" spans="1:5" ht="15.75" customHeight="1">
      <c r="A217" s="3">
        <v>50290</v>
      </c>
      <c r="B217" s="1" t="s">
        <v>226</v>
      </c>
      <c r="C217" s="1" t="s">
        <v>11</v>
      </c>
      <c r="D217" s="1" t="s">
        <v>11</v>
      </c>
      <c r="E217" s="1" t="s">
        <v>11</v>
      </c>
    </row>
    <row r="218" spans="1:5" ht="15.75" customHeight="1">
      <c r="A218" s="3">
        <v>50400</v>
      </c>
      <c r="B218" s="1" t="s">
        <v>227</v>
      </c>
      <c r="C218" s="1" t="s">
        <v>11</v>
      </c>
      <c r="D218" s="1" t="s">
        <v>11</v>
      </c>
      <c r="E218" s="1" t="s">
        <v>11</v>
      </c>
    </row>
    <row r="219" spans="1:5" ht="15.75" customHeight="1">
      <c r="A219" s="3">
        <v>50510</v>
      </c>
      <c r="B219" s="1" t="s">
        <v>228</v>
      </c>
      <c r="C219" s="1" t="s">
        <v>11</v>
      </c>
      <c r="D219" s="1" t="s">
        <v>11</v>
      </c>
      <c r="E219" s="1" t="s">
        <v>11</v>
      </c>
    </row>
    <row r="220" spans="1:5" ht="15.75" customHeight="1">
      <c r="A220" s="3">
        <v>50590</v>
      </c>
      <c r="B220" s="1" t="s">
        <v>229</v>
      </c>
      <c r="C220" s="1" t="s">
        <v>11</v>
      </c>
      <c r="D220" s="1" t="s">
        <v>11</v>
      </c>
      <c r="E220" s="1" t="s">
        <v>11</v>
      </c>
    </row>
    <row r="221" spans="1:5" ht="15.75" customHeight="1">
      <c r="A221" s="3">
        <v>50610</v>
      </c>
      <c r="B221" s="1" t="s">
        <v>230</v>
      </c>
      <c r="C221" s="1" t="s">
        <v>11</v>
      </c>
      <c r="D221" s="1" t="s">
        <v>11</v>
      </c>
      <c r="E221" s="1" t="s">
        <v>11</v>
      </c>
    </row>
    <row r="222" spans="1:5" ht="15.75" customHeight="1">
      <c r="A222" s="3">
        <v>50690</v>
      </c>
      <c r="B222" s="1" t="s">
        <v>231</v>
      </c>
      <c r="C222" s="1" t="s">
        <v>11</v>
      </c>
      <c r="D222" s="1" t="s">
        <v>11</v>
      </c>
      <c r="E222" s="1" t="s">
        <v>11</v>
      </c>
    </row>
    <row r="223" spans="1:5" ht="15.75" customHeight="1">
      <c r="A223" s="3">
        <v>50710</v>
      </c>
      <c r="B223" s="1" t="s">
        <v>232</v>
      </c>
      <c r="C223" s="1" t="s">
        <v>11</v>
      </c>
      <c r="D223" s="1" t="s">
        <v>11</v>
      </c>
      <c r="E223" s="1" t="s">
        <v>11</v>
      </c>
    </row>
    <row r="224" spans="1:5" ht="15.75" customHeight="1">
      <c r="A224" s="3">
        <v>50790</v>
      </c>
      <c r="B224" s="1" t="s">
        <v>233</v>
      </c>
      <c r="C224" s="1" t="s">
        <v>11</v>
      </c>
      <c r="D224" s="1" t="s">
        <v>11</v>
      </c>
      <c r="E224" s="1" t="s">
        <v>11</v>
      </c>
    </row>
    <row r="225" spans="1:5" ht="15.75" customHeight="1">
      <c r="A225" s="3">
        <v>50800</v>
      </c>
      <c r="B225" s="1" t="s">
        <v>234</v>
      </c>
      <c r="C225" s="1" t="s">
        <v>11</v>
      </c>
      <c r="D225" s="1" t="s">
        <v>11</v>
      </c>
      <c r="E225" s="1" t="s">
        <v>11</v>
      </c>
    </row>
    <row r="226" spans="1:5" ht="15.75" customHeight="1">
      <c r="A226" s="3">
        <v>51000</v>
      </c>
      <c r="B226" s="1" t="s">
        <v>235</v>
      </c>
      <c r="C226" s="1" t="s">
        <v>11</v>
      </c>
      <c r="D226" s="1" t="s">
        <v>11</v>
      </c>
      <c r="E226" s="1" t="s">
        <v>11</v>
      </c>
    </row>
    <row r="227" spans="1:5" ht="15.75" customHeight="1">
      <c r="A227" s="3">
        <v>51110</v>
      </c>
      <c r="B227" s="1" t="s">
        <v>236</v>
      </c>
      <c r="C227" s="1" t="s">
        <v>11</v>
      </c>
      <c r="D227" s="1" t="s">
        <v>11</v>
      </c>
      <c r="E227" s="1" t="s">
        <v>11</v>
      </c>
    </row>
    <row r="228" spans="1:5" ht="15.75" customHeight="1">
      <c r="A228" s="3">
        <v>51191</v>
      </c>
      <c r="B228" s="1" t="s">
        <v>237</v>
      </c>
      <c r="C228" s="1" t="s">
        <v>11</v>
      </c>
      <c r="D228" s="1" t="s">
        <v>11</v>
      </c>
      <c r="E228" s="1" t="s">
        <v>11</v>
      </c>
    </row>
    <row r="229" spans="1:5" ht="15.75" customHeight="1">
      <c r="A229" s="3">
        <v>51199</v>
      </c>
      <c r="B229" s="1" t="s">
        <v>238</v>
      </c>
      <c r="C229" s="1" t="s">
        <v>11</v>
      </c>
      <c r="D229" s="1" t="s">
        <v>11</v>
      </c>
      <c r="E229" s="1" t="s">
        <v>11</v>
      </c>
    </row>
    <row r="230" spans="1:5" ht="15.75" customHeight="1">
      <c r="A230" s="3">
        <v>60110</v>
      </c>
      <c r="B230" s="1" t="s">
        <v>239</v>
      </c>
      <c r="C230" s="1" t="s">
        <v>11</v>
      </c>
      <c r="D230" s="1" t="s">
        <v>11</v>
      </c>
      <c r="E230" s="1" t="s">
        <v>11</v>
      </c>
    </row>
    <row r="231" spans="1:5" ht="15.75" customHeight="1">
      <c r="A231" s="3">
        <v>60120</v>
      </c>
      <c r="B231" s="1" t="s">
        <v>240</v>
      </c>
      <c r="C231" s="1" t="s">
        <v>11</v>
      </c>
      <c r="D231" s="1" t="s">
        <v>11</v>
      </c>
      <c r="E231" s="1" t="s">
        <v>11</v>
      </c>
    </row>
    <row r="232" spans="1:5" ht="15.75" customHeight="1">
      <c r="A232" s="3">
        <v>60210</v>
      </c>
      <c r="B232" s="1" t="s">
        <v>241</v>
      </c>
      <c r="C232" s="1" t="s">
        <v>11</v>
      </c>
      <c r="D232" s="1" t="s">
        <v>11</v>
      </c>
      <c r="E232" s="1" t="s">
        <v>11</v>
      </c>
    </row>
    <row r="233" spans="1:5" ht="15.75" customHeight="1">
      <c r="A233" s="3">
        <v>60220</v>
      </c>
      <c r="B233" s="1" t="s">
        <v>242</v>
      </c>
      <c r="C233" s="1" t="s">
        <v>11</v>
      </c>
      <c r="D233" s="1" t="s">
        <v>11</v>
      </c>
      <c r="E233" s="1" t="s">
        <v>11</v>
      </c>
    </row>
    <row r="234" spans="1:5" ht="15.75" customHeight="1">
      <c r="A234" s="3">
        <v>60230</v>
      </c>
      <c r="B234" s="1" t="s">
        <v>243</v>
      </c>
      <c r="C234" s="1" t="s">
        <v>11</v>
      </c>
      <c r="D234" s="1" t="s">
        <v>11</v>
      </c>
      <c r="E234" s="1" t="s">
        <v>11</v>
      </c>
    </row>
    <row r="235" spans="1:5" ht="15.75" customHeight="1">
      <c r="A235" s="3">
        <v>60240</v>
      </c>
      <c r="B235" s="1" t="s">
        <v>244</v>
      </c>
      <c r="C235" s="1" t="s">
        <v>11</v>
      </c>
      <c r="D235" s="1" t="s">
        <v>11</v>
      </c>
      <c r="E235" s="1" t="s">
        <v>11</v>
      </c>
    </row>
    <row r="236" spans="1:5" ht="15.75" customHeight="1">
      <c r="A236" s="3">
        <v>60290</v>
      </c>
      <c r="B236" s="1" t="s">
        <v>245</v>
      </c>
      <c r="C236" s="1" t="s">
        <v>11</v>
      </c>
      <c r="D236" s="1" t="s">
        <v>11</v>
      </c>
      <c r="E236" s="1" t="s">
        <v>11</v>
      </c>
    </row>
    <row r="237" spans="1:5" ht="15.75" customHeight="1">
      <c r="A237" s="3">
        <v>60311</v>
      </c>
      <c r="B237" s="1" t="s">
        <v>246</v>
      </c>
      <c r="C237" s="1" t="s">
        <v>11</v>
      </c>
      <c r="D237" s="1" t="s">
        <v>11</v>
      </c>
      <c r="E237" s="1" t="s">
        <v>11</v>
      </c>
    </row>
    <row r="238" spans="1:5" ht="15.75" customHeight="1">
      <c r="A238" s="3">
        <v>60312</v>
      </c>
      <c r="B238" s="1" t="s">
        <v>247</v>
      </c>
      <c r="C238" s="1" t="s">
        <v>11</v>
      </c>
      <c r="D238" s="1" t="s">
        <v>11</v>
      </c>
      <c r="E238" s="1" t="s">
        <v>11</v>
      </c>
    </row>
    <row r="239" spans="1:5" ht="15.75" customHeight="1">
      <c r="A239" s="3">
        <v>60313</v>
      </c>
      <c r="B239" s="1" t="s">
        <v>248</v>
      </c>
      <c r="C239" s="1" t="s">
        <v>11</v>
      </c>
      <c r="D239" s="1" t="s">
        <v>11</v>
      </c>
      <c r="E239" s="1" t="s">
        <v>11</v>
      </c>
    </row>
    <row r="240" spans="1:5" ht="15.75" customHeight="1">
      <c r="A240" s="3">
        <v>60314</v>
      </c>
      <c r="B240" s="1" t="s">
        <v>249</v>
      </c>
      <c r="C240" s="1" t="s">
        <v>11</v>
      </c>
      <c r="D240" s="1" t="s">
        <v>11</v>
      </c>
      <c r="E240" s="1" t="s">
        <v>11</v>
      </c>
    </row>
    <row r="241" spans="1:5" ht="15.75" customHeight="1">
      <c r="A241" s="3">
        <v>60319</v>
      </c>
      <c r="B241" s="1" t="s">
        <v>250</v>
      </c>
      <c r="C241" s="1" t="s">
        <v>11</v>
      </c>
      <c r="D241" s="1" t="s">
        <v>11</v>
      </c>
      <c r="E241" s="1" t="s">
        <v>11</v>
      </c>
    </row>
    <row r="242" spans="1:5" ht="15.75" customHeight="1">
      <c r="A242" s="3">
        <v>60390</v>
      </c>
      <c r="B242" s="1" t="s">
        <v>251</v>
      </c>
      <c r="C242" s="1" t="s">
        <v>11</v>
      </c>
      <c r="D242" s="1" t="s">
        <v>11</v>
      </c>
      <c r="E242" s="1" t="s">
        <v>11</v>
      </c>
    </row>
    <row r="243" spans="1:5" ht="15.75" customHeight="1">
      <c r="A243" s="3">
        <v>60410</v>
      </c>
      <c r="B243" s="1" t="s">
        <v>252</v>
      </c>
      <c r="C243" s="1" t="s">
        <v>11</v>
      </c>
      <c r="D243" s="1" t="s">
        <v>11</v>
      </c>
      <c r="E243" s="1" t="s">
        <v>11</v>
      </c>
    </row>
    <row r="244" spans="1:5" ht="15.75" customHeight="1">
      <c r="A244" s="3">
        <v>60491</v>
      </c>
      <c r="B244" s="1" t="s">
        <v>253</v>
      </c>
      <c r="C244" s="1" t="s">
        <v>11</v>
      </c>
      <c r="D244" s="1" t="s">
        <v>11</v>
      </c>
      <c r="E244" s="1" t="s">
        <v>11</v>
      </c>
    </row>
    <row r="245" spans="1:5" ht="15.75" customHeight="1">
      <c r="A245" s="3">
        <v>60499</v>
      </c>
      <c r="B245" s="1" t="s">
        <v>254</v>
      </c>
      <c r="C245" s="1" t="s">
        <v>11</v>
      </c>
      <c r="D245" s="1" t="s">
        <v>11</v>
      </c>
      <c r="E245" s="1" t="s">
        <v>11</v>
      </c>
    </row>
    <row r="246" spans="1:5" ht="15.75" customHeight="1">
      <c r="A246" s="3">
        <v>70110</v>
      </c>
      <c r="B246" s="1" t="s">
        <v>255</v>
      </c>
      <c r="C246" s="1" t="s">
        <v>11</v>
      </c>
      <c r="D246" s="1" t="s">
        <v>11</v>
      </c>
      <c r="E246" s="1" t="s">
        <v>11</v>
      </c>
    </row>
    <row r="247" spans="1:5" ht="15.75" customHeight="1">
      <c r="A247" s="3">
        <v>70190</v>
      </c>
      <c r="B247" s="1" t="s">
        <v>256</v>
      </c>
      <c r="C247" s="1" t="s">
        <v>11</v>
      </c>
      <c r="D247" s="1" t="s">
        <v>11</v>
      </c>
      <c r="E247" s="1" t="s">
        <v>11</v>
      </c>
    </row>
    <row r="248" spans="1:5" ht="15.75" customHeight="1">
      <c r="A248" s="3">
        <v>70200</v>
      </c>
      <c r="B248" s="1" t="s">
        <v>257</v>
      </c>
      <c r="C248" s="1" t="s">
        <v>11</v>
      </c>
      <c r="D248" s="1" t="s">
        <v>11</v>
      </c>
      <c r="E248" s="1" t="s">
        <v>11</v>
      </c>
    </row>
    <row r="249" spans="1:5" ht="15.75" customHeight="1">
      <c r="A249" s="3">
        <v>70310</v>
      </c>
      <c r="B249" s="1" t="s">
        <v>258</v>
      </c>
      <c r="C249" s="1" t="s">
        <v>11</v>
      </c>
      <c r="D249" s="1" t="s">
        <v>11</v>
      </c>
      <c r="E249" s="1" t="s">
        <v>11</v>
      </c>
    </row>
    <row r="250" spans="1:5" ht="15.75" customHeight="1">
      <c r="A250" s="3">
        <v>70320</v>
      </c>
      <c r="B250" s="1" t="s">
        <v>259</v>
      </c>
      <c r="C250" s="1" t="s">
        <v>11</v>
      </c>
      <c r="D250" s="1" t="s">
        <v>11</v>
      </c>
      <c r="E250" s="1" t="s">
        <v>11</v>
      </c>
    </row>
    <row r="251" spans="1:5" ht="15.75" customHeight="1">
      <c r="A251" s="3">
        <v>70390</v>
      </c>
      <c r="B251" s="1" t="s">
        <v>260</v>
      </c>
      <c r="C251" s="1" t="s">
        <v>11</v>
      </c>
      <c r="D251" s="1" t="s">
        <v>11</v>
      </c>
      <c r="E251" s="1" t="s">
        <v>11</v>
      </c>
    </row>
    <row r="252" spans="1:5" ht="15.75" customHeight="1">
      <c r="A252" s="3">
        <v>70410</v>
      </c>
      <c r="B252" s="1" t="s">
        <v>261</v>
      </c>
      <c r="C252" s="1" t="s">
        <v>11</v>
      </c>
      <c r="D252" s="1" t="s">
        <v>11</v>
      </c>
      <c r="E252" s="1" t="s">
        <v>11</v>
      </c>
    </row>
    <row r="253" spans="1:5" ht="15.75" customHeight="1">
      <c r="A253" s="3">
        <v>70420</v>
      </c>
      <c r="B253" s="1" t="s">
        <v>262</v>
      </c>
      <c r="C253" s="1" t="s">
        <v>11</v>
      </c>
      <c r="D253" s="1" t="s">
        <v>11</v>
      </c>
      <c r="E253" s="1" t="s">
        <v>11</v>
      </c>
    </row>
    <row r="254" spans="1:5" ht="15.75" customHeight="1">
      <c r="A254" s="3">
        <v>70490</v>
      </c>
      <c r="B254" s="1" t="s">
        <v>263</v>
      </c>
      <c r="C254" s="1" t="s">
        <v>11</v>
      </c>
      <c r="D254" s="1" t="s">
        <v>11</v>
      </c>
      <c r="E254" s="1" t="s">
        <v>11</v>
      </c>
    </row>
    <row r="255" spans="1:5" ht="15.75" customHeight="1">
      <c r="A255" s="3">
        <v>70511</v>
      </c>
      <c r="B255" s="1" t="s">
        <v>264</v>
      </c>
      <c r="C255" s="1" t="s">
        <v>11</v>
      </c>
      <c r="D255" s="1" t="s">
        <v>11</v>
      </c>
      <c r="E255" s="1" t="s">
        <v>11</v>
      </c>
    </row>
    <row r="256" spans="1:5" ht="15.75" customHeight="1">
      <c r="A256" s="3">
        <v>70519</v>
      </c>
      <c r="B256" s="1" t="s">
        <v>265</v>
      </c>
      <c r="C256" s="1" t="s">
        <v>11</v>
      </c>
      <c r="D256" s="1" t="s">
        <v>11</v>
      </c>
      <c r="E256" s="1" t="s">
        <v>11</v>
      </c>
    </row>
    <row r="257" spans="1:5" ht="15.75" customHeight="1">
      <c r="A257" s="3">
        <v>70521</v>
      </c>
      <c r="B257" s="1" t="s">
        <v>266</v>
      </c>
      <c r="C257" s="1" t="s">
        <v>11</v>
      </c>
      <c r="D257" s="1" t="s">
        <v>11</v>
      </c>
      <c r="E257" s="1" t="s">
        <v>11</v>
      </c>
    </row>
    <row r="258" spans="1:5" ht="15.75" customHeight="1">
      <c r="A258" s="3">
        <v>70529</v>
      </c>
      <c r="B258" s="1" t="s">
        <v>267</v>
      </c>
      <c r="C258" s="1" t="s">
        <v>11</v>
      </c>
      <c r="D258" s="1" t="s">
        <v>11</v>
      </c>
      <c r="E258" s="1" t="s">
        <v>11</v>
      </c>
    </row>
    <row r="259" spans="1:5" ht="15.75" customHeight="1">
      <c r="A259" s="3">
        <v>70610</v>
      </c>
      <c r="B259" s="1" t="s">
        <v>268</v>
      </c>
      <c r="C259" s="1" t="s">
        <v>11</v>
      </c>
      <c r="D259" s="1" t="s">
        <v>11</v>
      </c>
      <c r="E259" s="1" t="s">
        <v>11</v>
      </c>
    </row>
    <row r="260" spans="1:5" ht="15.75" customHeight="1">
      <c r="A260" s="3">
        <v>70690</v>
      </c>
      <c r="B260" s="1" t="s">
        <v>269</v>
      </c>
      <c r="C260" s="1" t="s">
        <v>11</v>
      </c>
      <c r="D260" s="1" t="s">
        <v>11</v>
      </c>
      <c r="E260" s="1" t="s">
        <v>11</v>
      </c>
    </row>
    <row r="261" spans="1:5" ht="15.75" customHeight="1">
      <c r="A261" s="3">
        <v>70700</v>
      </c>
      <c r="B261" s="1" t="s">
        <v>270</v>
      </c>
      <c r="C261" s="1" t="s">
        <v>11</v>
      </c>
      <c r="D261" s="1" t="s">
        <v>11</v>
      </c>
      <c r="E261" s="1" t="s">
        <v>11</v>
      </c>
    </row>
    <row r="262" spans="1:5" ht="15.75" customHeight="1">
      <c r="A262" s="3">
        <v>70810</v>
      </c>
      <c r="B262" s="1" t="s">
        <v>271</v>
      </c>
      <c r="C262" s="1" t="s">
        <v>11</v>
      </c>
      <c r="D262" s="1" t="s">
        <v>11</v>
      </c>
      <c r="E262" s="1" t="s">
        <v>11</v>
      </c>
    </row>
    <row r="263" spans="1:5" ht="15.75" customHeight="1">
      <c r="A263" s="3">
        <v>70820</v>
      </c>
      <c r="B263" s="1" t="s">
        <v>272</v>
      </c>
      <c r="C263" s="1" t="s">
        <v>11</v>
      </c>
      <c r="D263" s="1" t="s">
        <v>11</v>
      </c>
      <c r="E263" s="1" t="s">
        <v>11</v>
      </c>
    </row>
    <row r="264" spans="1:5" ht="15.75" customHeight="1">
      <c r="A264" s="3">
        <v>70890</v>
      </c>
      <c r="B264" s="1" t="s">
        <v>273</v>
      </c>
      <c r="C264" s="1" t="s">
        <v>11</v>
      </c>
      <c r="D264" s="1" t="s">
        <v>11</v>
      </c>
      <c r="E264" s="1" t="s">
        <v>11</v>
      </c>
    </row>
    <row r="265" spans="1:5" ht="15.75" customHeight="1">
      <c r="A265" s="3">
        <v>70920</v>
      </c>
      <c r="B265" s="1" t="s">
        <v>274</v>
      </c>
      <c r="C265" s="1" t="s">
        <v>11</v>
      </c>
      <c r="D265" s="1" t="s">
        <v>11</v>
      </c>
      <c r="E265" s="1" t="s">
        <v>11</v>
      </c>
    </row>
    <row r="266" spans="1:5" ht="15.75" customHeight="1">
      <c r="A266" s="3">
        <v>70930</v>
      </c>
      <c r="B266" s="1" t="s">
        <v>275</v>
      </c>
      <c r="C266" s="1" t="s">
        <v>11</v>
      </c>
      <c r="D266" s="1" t="s">
        <v>11</v>
      </c>
      <c r="E266" s="1" t="s">
        <v>11</v>
      </c>
    </row>
    <row r="267" spans="1:5" ht="15.75" customHeight="1">
      <c r="A267" s="3">
        <v>70940</v>
      </c>
      <c r="B267" s="1" t="s">
        <v>276</v>
      </c>
      <c r="C267" s="1" t="s">
        <v>11</v>
      </c>
      <c r="D267" s="1" t="s">
        <v>11</v>
      </c>
      <c r="E267" s="1" t="s">
        <v>11</v>
      </c>
    </row>
    <row r="268" spans="1:5" ht="15.75" customHeight="1">
      <c r="A268" s="3">
        <v>70951</v>
      </c>
      <c r="B268" s="1" t="s">
        <v>277</v>
      </c>
      <c r="C268" s="1" t="s">
        <v>11</v>
      </c>
      <c r="D268" s="1" t="s">
        <v>11</v>
      </c>
      <c r="E268" s="1" t="s">
        <v>11</v>
      </c>
    </row>
    <row r="269" spans="1:5" ht="15.75" customHeight="1">
      <c r="A269" s="3">
        <v>70959</v>
      </c>
      <c r="B269" s="1" t="s">
        <v>278</v>
      </c>
      <c r="C269" s="1" t="s">
        <v>11</v>
      </c>
      <c r="D269" s="1" t="s">
        <v>11</v>
      </c>
      <c r="E269" s="1" t="s">
        <v>11</v>
      </c>
    </row>
    <row r="270" spans="1:5" ht="15.75" customHeight="1">
      <c r="A270" s="3">
        <v>70960</v>
      </c>
      <c r="B270" s="1" t="s">
        <v>279</v>
      </c>
      <c r="C270" s="1" t="s">
        <v>11</v>
      </c>
      <c r="D270" s="1" t="s">
        <v>11</v>
      </c>
      <c r="E270" s="1" t="s">
        <v>11</v>
      </c>
    </row>
    <row r="271" spans="1:5" ht="15.75" customHeight="1">
      <c r="A271" s="3">
        <v>70970</v>
      </c>
      <c r="B271" s="1" t="s">
        <v>280</v>
      </c>
      <c r="C271" s="1" t="s">
        <v>11</v>
      </c>
      <c r="D271" s="1" t="s">
        <v>11</v>
      </c>
      <c r="E271" s="1" t="s">
        <v>11</v>
      </c>
    </row>
    <row r="272" spans="1:5" ht="15.75" customHeight="1">
      <c r="A272" s="3">
        <v>70990</v>
      </c>
      <c r="B272" s="1" t="s">
        <v>281</v>
      </c>
      <c r="C272" s="1" t="s">
        <v>11</v>
      </c>
      <c r="D272" s="1" t="s">
        <v>11</v>
      </c>
      <c r="E272" s="1" t="s">
        <v>11</v>
      </c>
    </row>
    <row r="273" spans="1:5" ht="15.75" customHeight="1">
      <c r="A273" s="3">
        <v>71010</v>
      </c>
      <c r="B273" s="1" t="s">
        <v>282</v>
      </c>
      <c r="C273" s="1" t="s">
        <v>11</v>
      </c>
      <c r="D273" s="1" t="s">
        <v>11</v>
      </c>
      <c r="E273" s="1" t="s">
        <v>11</v>
      </c>
    </row>
    <row r="274" spans="1:5" ht="15.75" customHeight="1">
      <c r="A274" s="3">
        <v>71021</v>
      </c>
      <c r="B274" s="1" t="s">
        <v>283</v>
      </c>
      <c r="C274" s="1" t="s">
        <v>11</v>
      </c>
      <c r="D274" s="1" t="s">
        <v>11</v>
      </c>
      <c r="E274" s="1" t="s">
        <v>11</v>
      </c>
    </row>
    <row r="275" spans="1:5" ht="15.75" customHeight="1">
      <c r="A275" s="3">
        <v>71022</v>
      </c>
      <c r="B275" s="1" t="s">
        <v>284</v>
      </c>
      <c r="C275" s="1" t="s">
        <v>11</v>
      </c>
      <c r="D275" s="1" t="s">
        <v>11</v>
      </c>
      <c r="E275" s="1" t="s">
        <v>11</v>
      </c>
    </row>
    <row r="276" spans="1:5" ht="15.75" customHeight="1">
      <c r="A276" s="3">
        <v>71029</v>
      </c>
      <c r="B276" s="1" t="s">
        <v>285</v>
      </c>
      <c r="C276" s="1" t="s">
        <v>11</v>
      </c>
      <c r="D276" s="1" t="s">
        <v>11</v>
      </c>
      <c r="E276" s="1" t="s">
        <v>11</v>
      </c>
    </row>
    <row r="277" spans="1:5" ht="15.75" customHeight="1">
      <c r="A277" s="3">
        <v>71030</v>
      </c>
      <c r="B277" s="1" t="s">
        <v>286</v>
      </c>
      <c r="C277" s="1" t="s">
        <v>11</v>
      </c>
      <c r="D277" s="1" t="s">
        <v>11</v>
      </c>
      <c r="E277" s="1" t="s">
        <v>11</v>
      </c>
    </row>
    <row r="278" spans="1:5" ht="15.75" customHeight="1">
      <c r="A278" s="3">
        <v>71040</v>
      </c>
      <c r="B278" s="1" t="s">
        <v>287</v>
      </c>
      <c r="C278" s="1" t="s">
        <v>11</v>
      </c>
      <c r="D278" s="1" t="s">
        <v>11</v>
      </c>
      <c r="E278" s="1" t="s">
        <v>11</v>
      </c>
    </row>
    <row r="279" spans="1:5" ht="15.75" customHeight="1">
      <c r="A279" s="3">
        <v>71080</v>
      </c>
      <c r="B279" s="1" t="s">
        <v>288</v>
      </c>
      <c r="C279" s="1" t="s">
        <v>11</v>
      </c>
      <c r="D279" s="1" t="s">
        <v>11</v>
      </c>
      <c r="E279" s="1" t="s">
        <v>11</v>
      </c>
    </row>
    <row r="280" spans="1:5" ht="15.75" customHeight="1">
      <c r="A280" s="3">
        <v>71090</v>
      </c>
      <c r="B280" s="1" t="s">
        <v>289</v>
      </c>
      <c r="C280" s="1" t="s">
        <v>11</v>
      </c>
      <c r="D280" s="1" t="s">
        <v>11</v>
      </c>
      <c r="E280" s="1" t="s">
        <v>11</v>
      </c>
    </row>
    <row r="281" spans="1:5" ht="15.75" customHeight="1">
      <c r="A281" s="3">
        <v>71120</v>
      </c>
      <c r="B281" s="1" t="s">
        <v>290</v>
      </c>
      <c r="C281" s="1" t="s">
        <v>11</v>
      </c>
      <c r="D281" s="1" t="s">
        <v>11</v>
      </c>
      <c r="E281" s="1" t="s">
        <v>11</v>
      </c>
    </row>
    <row r="282" spans="1:5" ht="15.75" customHeight="1">
      <c r="A282" s="3">
        <v>71140</v>
      </c>
      <c r="B282" s="1" t="s">
        <v>291</v>
      </c>
      <c r="C282" s="1" t="s">
        <v>11</v>
      </c>
      <c r="D282" s="1" t="s">
        <v>11</v>
      </c>
      <c r="E282" s="1" t="s">
        <v>11</v>
      </c>
    </row>
    <row r="283" spans="1:5" ht="15.75" customHeight="1">
      <c r="A283" s="3">
        <v>71151</v>
      </c>
      <c r="B283" s="1" t="s">
        <v>292</v>
      </c>
      <c r="C283" s="1" t="s">
        <v>11</v>
      </c>
      <c r="D283" s="1" t="s">
        <v>11</v>
      </c>
      <c r="E283" s="1" t="s">
        <v>11</v>
      </c>
    </row>
    <row r="284" spans="1:5" ht="15.75" customHeight="1">
      <c r="A284" s="3">
        <v>71159</v>
      </c>
      <c r="B284" s="1" t="s">
        <v>293</v>
      </c>
      <c r="C284" s="1" t="s">
        <v>11</v>
      </c>
      <c r="D284" s="1" t="s">
        <v>11</v>
      </c>
      <c r="E284" s="1" t="s">
        <v>11</v>
      </c>
    </row>
    <row r="285" spans="1:5" ht="15.75" customHeight="1">
      <c r="A285" s="3">
        <v>71190</v>
      </c>
      <c r="B285" s="1" t="s">
        <v>294</v>
      </c>
      <c r="C285" s="1" t="s">
        <v>11</v>
      </c>
      <c r="D285" s="1" t="s">
        <v>11</v>
      </c>
      <c r="E285" s="1" t="s">
        <v>11</v>
      </c>
    </row>
    <row r="286" spans="1:5" ht="15.75" customHeight="1">
      <c r="A286" s="3">
        <v>71220</v>
      </c>
      <c r="B286" s="1" t="s">
        <v>295</v>
      </c>
      <c r="C286" s="1" t="s">
        <v>11</v>
      </c>
      <c r="D286" s="1" t="s">
        <v>11</v>
      </c>
      <c r="E286" s="1" t="s">
        <v>11</v>
      </c>
    </row>
    <row r="287" spans="1:5" ht="15.75" customHeight="1">
      <c r="A287" s="3">
        <v>71231</v>
      </c>
      <c r="B287" s="1" t="s">
        <v>296</v>
      </c>
      <c r="C287" s="1" t="s">
        <v>11</v>
      </c>
      <c r="D287" s="1" t="s">
        <v>11</v>
      </c>
      <c r="E287" s="1" t="s">
        <v>11</v>
      </c>
    </row>
    <row r="288" spans="1:5" ht="15.75" customHeight="1">
      <c r="A288" s="3">
        <v>71232</v>
      </c>
      <c r="B288" s="1" t="s">
        <v>297</v>
      </c>
      <c r="C288" s="1" t="s">
        <v>11</v>
      </c>
      <c r="D288" s="1" t="s">
        <v>11</v>
      </c>
      <c r="E288" s="1" t="s">
        <v>11</v>
      </c>
    </row>
    <row r="289" spans="1:5" ht="15.75" customHeight="1">
      <c r="A289" s="3">
        <v>71233</v>
      </c>
      <c r="B289" s="1" t="s">
        <v>298</v>
      </c>
      <c r="C289" s="1" t="s">
        <v>11</v>
      </c>
      <c r="D289" s="1" t="s">
        <v>11</v>
      </c>
      <c r="E289" s="1" t="s">
        <v>11</v>
      </c>
    </row>
    <row r="290" spans="1:5" ht="15.75" customHeight="1">
      <c r="A290" s="3">
        <v>71239</v>
      </c>
      <c r="B290" s="1" t="s">
        <v>299</v>
      </c>
      <c r="C290" s="1" t="s">
        <v>11</v>
      </c>
      <c r="D290" s="1" t="s">
        <v>11</v>
      </c>
      <c r="E290" s="1" t="s">
        <v>11</v>
      </c>
    </row>
    <row r="291" spans="1:5" ht="15.75" customHeight="1">
      <c r="A291" s="3">
        <v>71290</v>
      </c>
      <c r="B291" s="1" t="s">
        <v>300</v>
      </c>
      <c r="C291" s="1" t="s">
        <v>11</v>
      </c>
      <c r="D291" s="1" t="s">
        <v>11</v>
      </c>
      <c r="E291" s="1" t="s">
        <v>11</v>
      </c>
    </row>
    <row r="292" spans="1:5" ht="15.75" customHeight="1">
      <c r="A292" s="3">
        <v>71310</v>
      </c>
      <c r="B292" s="1" t="s">
        <v>301</v>
      </c>
      <c r="C292" s="1" t="s">
        <v>11</v>
      </c>
      <c r="D292" s="1" t="s">
        <v>11</v>
      </c>
      <c r="E292" s="1" t="s">
        <v>11</v>
      </c>
    </row>
    <row r="293" spans="1:5" ht="15.75" customHeight="1">
      <c r="A293" s="3">
        <v>71320</v>
      </c>
      <c r="B293" s="1" t="s">
        <v>302</v>
      </c>
      <c r="C293" s="1" t="s">
        <v>11</v>
      </c>
      <c r="D293" s="1" t="s">
        <v>11</v>
      </c>
      <c r="E293" s="1" t="s">
        <v>11</v>
      </c>
    </row>
    <row r="294" spans="1:5" ht="15.75" customHeight="1">
      <c r="A294" s="3">
        <v>71331</v>
      </c>
      <c r="B294" s="1" t="s">
        <v>303</v>
      </c>
      <c r="C294" s="1" t="s">
        <v>11</v>
      </c>
      <c r="D294" s="1" t="s">
        <v>11</v>
      </c>
      <c r="E294" s="1" t="s">
        <v>11</v>
      </c>
    </row>
    <row r="295" spans="1:5" ht="15.75" customHeight="1">
      <c r="A295" s="3">
        <v>71332</v>
      </c>
      <c r="B295" s="1" t="s">
        <v>304</v>
      </c>
      <c r="C295" s="1" t="s">
        <v>11</v>
      </c>
      <c r="D295" s="1" t="s">
        <v>11</v>
      </c>
      <c r="E295" s="1" t="s">
        <v>11</v>
      </c>
    </row>
    <row r="296" spans="1:5" ht="15.75" customHeight="1">
      <c r="A296" s="3">
        <v>71333</v>
      </c>
      <c r="B296" s="1" t="s">
        <v>305</v>
      </c>
      <c r="C296" s="1" t="s">
        <v>11</v>
      </c>
      <c r="D296" s="1" t="s">
        <v>11</v>
      </c>
      <c r="E296" s="1" t="s">
        <v>11</v>
      </c>
    </row>
    <row r="297" spans="1:5" ht="15.75" customHeight="1">
      <c r="A297" s="3">
        <v>71339</v>
      </c>
      <c r="B297" s="1" t="s">
        <v>306</v>
      </c>
      <c r="C297" s="1" t="s">
        <v>11</v>
      </c>
      <c r="D297" s="1" t="s">
        <v>11</v>
      </c>
      <c r="E297" s="1" t="s">
        <v>11</v>
      </c>
    </row>
    <row r="298" spans="1:5" ht="15.75" customHeight="1">
      <c r="A298" s="3">
        <v>71340</v>
      </c>
      <c r="B298" s="1" t="s">
        <v>307</v>
      </c>
      <c r="C298" s="1" t="s">
        <v>11</v>
      </c>
      <c r="D298" s="1" t="s">
        <v>11</v>
      </c>
      <c r="E298" s="1" t="s">
        <v>11</v>
      </c>
    </row>
    <row r="299" spans="1:5" ht="15.75" customHeight="1">
      <c r="A299" s="3">
        <v>71350</v>
      </c>
      <c r="B299" s="1" t="s">
        <v>308</v>
      </c>
      <c r="C299" s="1" t="s">
        <v>11</v>
      </c>
      <c r="D299" s="1" t="s">
        <v>11</v>
      </c>
      <c r="E299" s="1" t="s">
        <v>11</v>
      </c>
    </row>
    <row r="300" spans="1:5" ht="15.75" customHeight="1">
      <c r="A300" s="3">
        <v>71390</v>
      </c>
      <c r="B300" s="1" t="s">
        <v>309</v>
      </c>
      <c r="C300" s="1" t="s">
        <v>11</v>
      </c>
      <c r="D300" s="1" t="s">
        <v>11</v>
      </c>
      <c r="E300" s="1" t="s">
        <v>11</v>
      </c>
    </row>
    <row r="301" spans="1:5" ht="15.75" customHeight="1">
      <c r="A301" s="3">
        <v>71410</v>
      </c>
      <c r="B301" s="1" t="s">
        <v>310</v>
      </c>
      <c r="C301" s="1" t="s">
        <v>11</v>
      </c>
      <c r="D301" s="1" t="s">
        <v>11</v>
      </c>
      <c r="E301" s="1" t="s">
        <v>11</v>
      </c>
    </row>
    <row r="302" spans="1:5" ht="15.75" customHeight="1">
      <c r="A302" s="3">
        <v>71420</v>
      </c>
      <c r="B302" s="1" t="s">
        <v>311</v>
      </c>
      <c r="C302" s="1" t="s">
        <v>11</v>
      </c>
      <c r="D302" s="1" t="s">
        <v>11</v>
      </c>
      <c r="E302" s="1" t="s">
        <v>11</v>
      </c>
    </row>
    <row r="303" spans="1:5" ht="15.75" customHeight="1">
      <c r="A303" s="3">
        <v>71490</v>
      </c>
      <c r="B303" s="1" t="s">
        <v>312</v>
      </c>
      <c r="C303" s="1" t="s">
        <v>11</v>
      </c>
      <c r="D303" s="1" t="s">
        <v>11</v>
      </c>
      <c r="E303" s="1" t="s">
        <v>11</v>
      </c>
    </row>
    <row r="304" spans="1:5" ht="15.75" customHeight="1">
      <c r="A304" s="3">
        <v>80111</v>
      </c>
      <c r="B304" s="1" t="s">
        <v>313</v>
      </c>
      <c r="C304" s="1" t="s">
        <v>11</v>
      </c>
      <c r="D304" s="1" t="s">
        <v>11</v>
      </c>
      <c r="E304" s="1" t="s">
        <v>11</v>
      </c>
    </row>
    <row r="305" spans="1:5" ht="15.75" customHeight="1">
      <c r="A305" s="3">
        <v>80119</v>
      </c>
      <c r="B305" s="1" t="s">
        <v>314</v>
      </c>
      <c r="C305" s="1" t="s">
        <v>11</v>
      </c>
      <c r="D305" s="1" t="s">
        <v>11</v>
      </c>
      <c r="E305" s="1" t="s">
        <v>11</v>
      </c>
    </row>
    <row r="306" spans="1:5" ht="15.75" customHeight="1">
      <c r="A306" s="3">
        <v>80121</v>
      </c>
      <c r="B306" s="1" t="s">
        <v>315</v>
      </c>
      <c r="C306" s="1" t="s">
        <v>11</v>
      </c>
      <c r="D306" s="1" t="s">
        <v>11</v>
      </c>
      <c r="E306" s="1" t="s">
        <v>11</v>
      </c>
    </row>
    <row r="307" spans="1:5" ht="15.75" customHeight="1">
      <c r="A307" s="3">
        <v>80122</v>
      </c>
      <c r="B307" s="1" t="s">
        <v>316</v>
      </c>
      <c r="C307" s="1" t="s">
        <v>11</v>
      </c>
      <c r="D307" s="1" t="s">
        <v>11</v>
      </c>
      <c r="E307" s="1" t="s">
        <v>11</v>
      </c>
    </row>
    <row r="308" spans="1:5" ht="15.75" customHeight="1">
      <c r="A308" s="3">
        <v>80131</v>
      </c>
      <c r="B308" s="1" t="s">
        <v>317</v>
      </c>
      <c r="C308" s="1" t="s">
        <v>11</v>
      </c>
      <c r="D308" s="1" t="s">
        <v>11</v>
      </c>
      <c r="E308" s="1" t="s">
        <v>11</v>
      </c>
    </row>
    <row r="309" spans="1:5" ht="15.75" customHeight="1">
      <c r="A309" s="3">
        <v>80132</v>
      </c>
      <c r="B309" s="1" t="s">
        <v>318</v>
      </c>
      <c r="C309" s="1" t="s">
        <v>11</v>
      </c>
      <c r="D309" s="1" t="s">
        <v>11</v>
      </c>
      <c r="E309" s="1" t="s">
        <v>11</v>
      </c>
    </row>
    <row r="310" spans="1:5" ht="15.75" customHeight="1">
      <c r="A310" s="3">
        <v>80211</v>
      </c>
      <c r="B310" s="1" t="s">
        <v>319</v>
      </c>
      <c r="C310" s="1" t="s">
        <v>11</v>
      </c>
      <c r="D310" s="1" t="s">
        <v>11</v>
      </c>
      <c r="E310" s="1" t="s">
        <v>11</v>
      </c>
    </row>
    <row r="311" spans="1:5" ht="15.75" customHeight="1">
      <c r="A311" s="3">
        <v>80212</v>
      </c>
      <c r="B311" s="1" t="s">
        <v>320</v>
      </c>
      <c r="C311" s="1" t="s">
        <v>11</v>
      </c>
      <c r="D311" s="1" t="s">
        <v>11</v>
      </c>
      <c r="E311" s="1" t="s">
        <v>11</v>
      </c>
    </row>
    <row r="312" spans="1:5" ht="15.75" customHeight="1">
      <c r="A312" s="3">
        <v>80221</v>
      </c>
      <c r="B312" s="1" t="s">
        <v>321</v>
      </c>
      <c r="C312" s="1" t="s">
        <v>11</v>
      </c>
      <c r="D312" s="1" t="s">
        <v>11</v>
      </c>
      <c r="E312" s="1" t="s">
        <v>11</v>
      </c>
    </row>
    <row r="313" spans="1:5" ht="15.75" customHeight="1">
      <c r="A313" s="3">
        <v>80222</v>
      </c>
      <c r="B313" s="1" t="s">
        <v>322</v>
      </c>
      <c r="C313" s="1" t="s">
        <v>11</v>
      </c>
      <c r="D313" s="1" t="s">
        <v>11</v>
      </c>
      <c r="E313" s="1" t="s">
        <v>11</v>
      </c>
    </row>
    <row r="314" spans="1:5" ht="15.75" customHeight="1">
      <c r="A314" s="3">
        <v>80231</v>
      </c>
      <c r="B314" s="1" t="s">
        <v>323</v>
      </c>
      <c r="C314" s="1" t="s">
        <v>11</v>
      </c>
      <c r="D314" s="1" t="s">
        <v>11</v>
      </c>
      <c r="E314" s="1" t="s">
        <v>11</v>
      </c>
    </row>
    <row r="315" spans="1:5" ht="15.75" customHeight="1">
      <c r="A315" s="3">
        <v>80232</v>
      </c>
      <c r="B315" s="1" t="s">
        <v>324</v>
      </c>
      <c r="C315" s="1" t="s">
        <v>11</v>
      </c>
      <c r="D315" s="1" t="s">
        <v>11</v>
      </c>
      <c r="E315" s="1" t="s">
        <v>11</v>
      </c>
    </row>
    <row r="316" spans="1:5" ht="15.75" customHeight="1">
      <c r="A316" s="3">
        <v>80240</v>
      </c>
      <c r="B316" s="1" t="s">
        <v>325</v>
      </c>
      <c r="C316" s="1" t="s">
        <v>11</v>
      </c>
      <c r="D316" s="1" t="s">
        <v>11</v>
      </c>
      <c r="E316" s="1" t="s">
        <v>11</v>
      </c>
    </row>
    <row r="317" spans="1:5" ht="15.75" customHeight="1">
      <c r="A317" s="3">
        <v>80250</v>
      </c>
      <c r="B317" s="1" t="s">
        <v>326</v>
      </c>
      <c r="C317" s="1" t="s">
        <v>11</v>
      </c>
      <c r="D317" s="1" t="s">
        <v>11</v>
      </c>
      <c r="E317" s="1" t="s">
        <v>11</v>
      </c>
    </row>
    <row r="318" spans="1:5" ht="15.75" customHeight="1">
      <c r="A318" s="3">
        <v>80260</v>
      </c>
      <c r="B318" s="1" t="s">
        <v>327</v>
      </c>
      <c r="C318" s="1" t="s">
        <v>11</v>
      </c>
      <c r="D318" s="1" t="s">
        <v>11</v>
      </c>
      <c r="E318" s="1" t="s">
        <v>11</v>
      </c>
    </row>
    <row r="319" spans="1:5" ht="15.75" customHeight="1">
      <c r="A319" s="3">
        <v>80290</v>
      </c>
      <c r="B319" s="1" t="s">
        <v>328</v>
      </c>
      <c r="C319" s="1" t="s">
        <v>11</v>
      </c>
      <c r="D319" s="1" t="s">
        <v>11</v>
      </c>
      <c r="E319" s="1" t="s">
        <v>11</v>
      </c>
    </row>
    <row r="320" spans="1:5" ht="15.75" customHeight="1">
      <c r="A320" s="3">
        <v>80300</v>
      </c>
      <c r="B320" s="1" t="s">
        <v>329</v>
      </c>
      <c r="C320" s="1" t="s">
        <v>11</v>
      </c>
      <c r="D320" s="1" t="s">
        <v>11</v>
      </c>
      <c r="E320" s="1" t="s">
        <v>11</v>
      </c>
    </row>
    <row r="321" spans="1:5" ht="15.75" customHeight="1">
      <c r="A321" s="3">
        <v>80410</v>
      </c>
      <c r="B321" s="1" t="s">
        <v>330</v>
      </c>
      <c r="C321" s="1" t="s">
        <v>11</v>
      </c>
      <c r="D321" s="1" t="s">
        <v>11</v>
      </c>
      <c r="E321" s="1" t="s">
        <v>11</v>
      </c>
    </row>
    <row r="322" spans="1:5" ht="15.75" customHeight="1">
      <c r="A322" s="3">
        <v>80420</v>
      </c>
      <c r="B322" s="1" t="s">
        <v>331</v>
      </c>
      <c r="C322" s="1" t="s">
        <v>11</v>
      </c>
      <c r="D322" s="1" t="s">
        <v>11</v>
      </c>
      <c r="E322" s="1" t="s">
        <v>11</v>
      </c>
    </row>
    <row r="323" spans="1:5" ht="15.75" customHeight="1">
      <c r="A323" s="3">
        <v>80430</v>
      </c>
      <c r="B323" s="1" t="s">
        <v>332</v>
      </c>
      <c r="C323" s="1" t="s">
        <v>11</v>
      </c>
      <c r="D323" s="1" t="s">
        <v>11</v>
      </c>
      <c r="E323" s="1" t="s">
        <v>11</v>
      </c>
    </row>
    <row r="324" spans="1:5" ht="15.75" customHeight="1">
      <c r="A324" s="3">
        <v>80440</v>
      </c>
      <c r="B324" s="1" t="s">
        <v>333</v>
      </c>
      <c r="C324" s="1" t="s">
        <v>11</v>
      </c>
      <c r="D324" s="1" t="s">
        <v>11</v>
      </c>
      <c r="E324" s="1" t="s">
        <v>11</v>
      </c>
    </row>
    <row r="325" spans="1:5" ht="15.75" customHeight="1">
      <c r="A325" s="3">
        <v>80450</v>
      </c>
      <c r="B325" s="1" t="s">
        <v>334</v>
      </c>
      <c r="C325" s="1" t="s">
        <v>11</v>
      </c>
      <c r="D325" s="1" t="s">
        <v>11</v>
      </c>
      <c r="E325" s="1" t="s">
        <v>11</v>
      </c>
    </row>
    <row r="326" spans="1:5" ht="15.75" customHeight="1">
      <c r="A326" s="3">
        <v>80510</v>
      </c>
      <c r="B326" s="1" t="s">
        <v>335</v>
      </c>
      <c r="C326" s="1" t="s">
        <v>11</v>
      </c>
      <c r="D326" s="1" t="s">
        <v>11</v>
      </c>
      <c r="E326" s="1" t="s">
        <v>11</v>
      </c>
    </row>
    <row r="327" spans="1:5" ht="15.75" customHeight="1">
      <c r="A327" s="3">
        <v>80520</v>
      </c>
      <c r="B327" s="1" t="s">
        <v>336</v>
      </c>
      <c r="C327" s="1" t="s">
        <v>11</v>
      </c>
      <c r="D327" s="1" t="s">
        <v>11</v>
      </c>
      <c r="E327" s="1" t="s">
        <v>11</v>
      </c>
    </row>
    <row r="328" spans="1:5" ht="15.75" customHeight="1">
      <c r="A328" s="3">
        <v>80540</v>
      </c>
      <c r="B328" s="1" t="s">
        <v>337</v>
      </c>
      <c r="C328" s="1" t="s">
        <v>11</v>
      </c>
      <c r="D328" s="1" t="s">
        <v>11</v>
      </c>
      <c r="E328" s="1" t="s">
        <v>11</v>
      </c>
    </row>
    <row r="329" spans="1:5" ht="15.75" customHeight="1">
      <c r="A329" s="3">
        <v>80550</v>
      </c>
      <c r="B329" s="1" t="s">
        <v>338</v>
      </c>
      <c r="C329" s="1" t="s">
        <v>11</v>
      </c>
      <c r="D329" s="1" t="s">
        <v>11</v>
      </c>
      <c r="E329" s="1" t="s">
        <v>11</v>
      </c>
    </row>
    <row r="330" spans="1:5" ht="15.75" customHeight="1">
      <c r="A330" s="3">
        <v>80590</v>
      </c>
      <c r="B330" s="1" t="s">
        <v>339</v>
      </c>
      <c r="C330" s="1" t="s">
        <v>11</v>
      </c>
      <c r="D330" s="1" t="s">
        <v>11</v>
      </c>
      <c r="E330" s="1" t="s">
        <v>11</v>
      </c>
    </row>
    <row r="331" spans="1:5" ht="15.75" customHeight="1">
      <c r="A331" s="3">
        <v>80610</v>
      </c>
      <c r="B331" s="1" t="s">
        <v>340</v>
      </c>
      <c r="C331" s="1" t="s">
        <v>11</v>
      </c>
      <c r="D331" s="1" t="s">
        <v>11</v>
      </c>
      <c r="E331" s="1" t="s">
        <v>11</v>
      </c>
    </row>
    <row r="332" spans="1:5" ht="15.75" customHeight="1">
      <c r="A332" s="3">
        <v>80620</v>
      </c>
      <c r="B332" s="1" t="s">
        <v>341</v>
      </c>
      <c r="C332" s="1" t="s">
        <v>11</v>
      </c>
      <c r="D332" s="1" t="s">
        <v>11</v>
      </c>
      <c r="E332" s="1" t="s">
        <v>11</v>
      </c>
    </row>
    <row r="333" spans="1:5" ht="15.75" customHeight="1">
      <c r="A333" s="3">
        <v>80711</v>
      </c>
      <c r="B333" s="1" t="s">
        <v>342</v>
      </c>
      <c r="C333" s="1" t="s">
        <v>11</v>
      </c>
      <c r="D333" s="1" t="s">
        <v>11</v>
      </c>
      <c r="E333" s="1" t="s">
        <v>11</v>
      </c>
    </row>
    <row r="334" spans="1:5" ht="15.75" customHeight="1">
      <c r="A334" s="3">
        <v>80719</v>
      </c>
      <c r="B334" s="1" t="s">
        <v>343</v>
      </c>
      <c r="C334" s="1" t="s">
        <v>11</v>
      </c>
      <c r="D334" s="1" t="s">
        <v>11</v>
      </c>
      <c r="E334" s="1" t="s">
        <v>11</v>
      </c>
    </row>
    <row r="335" spans="1:5" ht="15.75" customHeight="1">
      <c r="A335" s="3">
        <v>80720</v>
      </c>
      <c r="B335" s="1" t="s">
        <v>344</v>
      </c>
      <c r="C335" s="1" t="s">
        <v>11</v>
      </c>
      <c r="D335" s="1" t="s">
        <v>11</v>
      </c>
      <c r="E335" s="1" t="s">
        <v>11</v>
      </c>
    </row>
    <row r="336" spans="1:5" ht="15.75" customHeight="1">
      <c r="A336" s="3">
        <v>80810</v>
      </c>
      <c r="B336" s="1" t="s">
        <v>345</v>
      </c>
      <c r="C336" s="1" t="s">
        <v>11</v>
      </c>
      <c r="D336" s="1" t="s">
        <v>11</v>
      </c>
      <c r="E336" s="1" t="s">
        <v>11</v>
      </c>
    </row>
    <row r="337" spans="1:5" ht="15.75" customHeight="1">
      <c r="A337" s="3">
        <v>80820</v>
      </c>
      <c r="B337" s="1" t="s">
        <v>346</v>
      </c>
      <c r="C337" s="1" t="s">
        <v>11</v>
      </c>
      <c r="D337" s="1" t="s">
        <v>11</v>
      </c>
      <c r="E337" s="1" t="s">
        <v>11</v>
      </c>
    </row>
    <row r="338" spans="1:5" ht="15.75" customHeight="1">
      <c r="A338" s="3">
        <v>80910</v>
      </c>
      <c r="B338" s="1" t="s">
        <v>347</v>
      </c>
      <c r="C338" s="1" t="s">
        <v>11</v>
      </c>
      <c r="D338" s="1" t="s">
        <v>11</v>
      </c>
      <c r="E338" s="1" t="s">
        <v>11</v>
      </c>
    </row>
    <row r="339" spans="1:5" ht="15.75" customHeight="1">
      <c r="A339" s="3">
        <v>80920</v>
      </c>
      <c r="B339" s="1" t="s">
        <v>348</v>
      </c>
      <c r="C339" s="1" t="s">
        <v>11</v>
      </c>
      <c r="D339" s="1" t="s">
        <v>11</v>
      </c>
      <c r="E339" s="1" t="s">
        <v>11</v>
      </c>
    </row>
    <row r="340" spans="1:5" ht="15.75" customHeight="1">
      <c r="A340" s="3">
        <v>80930</v>
      </c>
      <c r="B340" s="1" t="s">
        <v>349</v>
      </c>
      <c r="C340" s="1" t="s">
        <v>11</v>
      </c>
      <c r="D340" s="1" t="s">
        <v>11</v>
      </c>
      <c r="E340" s="1" t="s">
        <v>11</v>
      </c>
    </row>
    <row r="341" spans="1:5" ht="15.75" customHeight="1">
      <c r="A341" s="3">
        <v>80940</v>
      </c>
      <c r="B341" s="1" t="s">
        <v>350</v>
      </c>
      <c r="C341" s="1" t="s">
        <v>11</v>
      </c>
      <c r="D341" s="1" t="s">
        <v>11</v>
      </c>
      <c r="E341" s="1" t="s">
        <v>11</v>
      </c>
    </row>
    <row r="342" spans="1:5" ht="15.75" customHeight="1">
      <c r="A342" s="3">
        <v>81010</v>
      </c>
      <c r="B342" s="1" t="s">
        <v>351</v>
      </c>
      <c r="C342" s="1" t="s">
        <v>11</v>
      </c>
      <c r="D342" s="1" t="s">
        <v>11</v>
      </c>
      <c r="E342" s="1" t="s">
        <v>11</v>
      </c>
    </row>
    <row r="343" spans="1:5" ht="15.75" customHeight="1">
      <c r="A343" s="3">
        <v>81020</v>
      </c>
      <c r="B343" s="1" t="s">
        <v>352</v>
      </c>
      <c r="C343" s="1" t="s">
        <v>11</v>
      </c>
      <c r="D343" s="1" t="s">
        <v>11</v>
      </c>
      <c r="E343" s="1" t="s">
        <v>11</v>
      </c>
    </row>
    <row r="344" spans="1:5" ht="15.75" customHeight="1">
      <c r="A344" s="3">
        <v>81040</v>
      </c>
      <c r="B344" s="1" t="s">
        <v>353</v>
      </c>
      <c r="C344" s="1" t="s">
        <v>11</v>
      </c>
      <c r="D344" s="1" t="s">
        <v>11</v>
      </c>
      <c r="E344" s="1" t="s">
        <v>11</v>
      </c>
    </row>
    <row r="345" spans="1:5" ht="15.75" customHeight="1">
      <c r="A345" s="3">
        <v>81050</v>
      </c>
      <c r="B345" s="1" t="s">
        <v>354</v>
      </c>
      <c r="C345" s="1" t="s">
        <v>11</v>
      </c>
      <c r="D345" s="1" t="s">
        <v>11</v>
      </c>
      <c r="E345" s="1" t="s">
        <v>11</v>
      </c>
    </row>
    <row r="346" spans="1:5" ht="15.75" customHeight="1">
      <c r="A346" s="3">
        <v>81060</v>
      </c>
      <c r="B346" s="1" t="s">
        <v>355</v>
      </c>
      <c r="C346" s="1" t="s">
        <v>11</v>
      </c>
      <c r="D346" s="1" t="s">
        <v>11</v>
      </c>
      <c r="E346" s="1" t="s">
        <v>11</v>
      </c>
    </row>
    <row r="347" spans="1:5" ht="15.75" customHeight="1">
      <c r="A347" s="3">
        <v>81090</v>
      </c>
      <c r="B347" s="1" t="s">
        <v>356</v>
      </c>
      <c r="C347" s="1" t="s">
        <v>11</v>
      </c>
      <c r="D347" s="1" t="s">
        <v>11</v>
      </c>
      <c r="E347" s="1" t="s">
        <v>11</v>
      </c>
    </row>
    <row r="348" spans="1:5" ht="15.75" customHeight="1">
      <c r="A348" s="3">
        <v>81110</v>
      </c>
      <c r="B348" s="1" t="s">
        <v>357</v>
      </c>
      <c r="C348" s="1" t="s">
        <v>11</v>
      </c>
      <c r="D348" s="1" t="s">
        <v>11</v>
      </c>
      <c r="E348" s="1" t="s">
        <v>11</v>
      </c>
    </row>
    <row r="349" spans="1:5" ht="15.75" customHeight="1">
      <c r="A349" s="3">
        <v>81120</v>
      </c>
      <c r="B349" s="1" t="s">
        <v>358</v>
      </c>
      <c r="C349" s="1" t="s">
        <v>11</v>
      </c>
      <c r="D349" s="1" t="s">
        <v>11</v>
      </c>
      <c r="E349" s="1" t="s">
        <v>11</v>
      </c>
    </row>
    <row r="350" spans="1:5" ht="15.75" customHeight="1">
      <c r="A350" s="3">
        <v>81190</v>
      </c>
      <c r="B350" s="1" t="s">
        <v>359</v>
      </c>
      <c r="C350" s="1" t="s">
        <v>11</v>
      </c>
      <c r="D350" s="1" t="s">
        <v>11</v>
      </c>
      <c r="E350" s="1" t="s">
        <v>11</v>
      </c>
    </row>
    <row r="351" spans="1:5" ht="15.75" customHeight="1">
      <c r="A351" s="3">
        <v>81210</v>
      </c>
      <c r="B351" s="1" t="s">
        <v>360</v>
      </c>
      <c r="C351" s="1" t="s">
        <v>11</v>
      </c>
      <c r="D351" s="1" t="s">
        <v>11</v>
      </c>
      <c r="E351" s="1" t="s">
        <v>11</v>
      </c>
    </row>
    <row r="352" spans="1:5" ht="15.75" customHeight="1">
      <c r="A352" s="3">
        <v>81290</v>
      </c>
      <c r="B352" s="1" t="s">
        <v>361</v>
      </c>
      <c r="C352" s="1" t="s">
        <v>11</v>
      </c>
      <c r="D352" s="1" t="s">
        <v>11</v>
      </c>
      <c r="E352" s="1" t="s">
        <v>11</v>
      </c>
    </row>
    <row r="353" spans="1:5" ht="15.75" customHeight="1">
      <c r="A353" s="3">
        <v>81310</v>
      </c>
      <c r="B353" s="1" t="s">
        <v>362</v>
      </c>
      <c r="C353" s="1" t="s">
        <v>11</v>
      </c>
      <c r="D353" s="1" t="s">
        <v>11</v>
      </c>
      <c r="E353" s="1" t="s">
        <v>11</v>
      </c>
    </row>
    <row r="354" spans="1:5" ht="15.75" customHeight="1">
      <c r="A354" s="3">
        <v>81320</v>
      </c>
      <c r="B354" s="1" t="s">
        <v>363</v>
      </c>
      <c r="C354" s="1" t="s">
        <v>11</v>
      </c>
      <c r="D354" s="1" t="s">
        <v>11</v>
      </c>
      <c r="E354" s="1" t="s">
        <v>11</v>
      </c>
    </row>
    <row r="355" spans="1:5" ht="15.75" customHeight="1">
      <c r="A355" s="3">
        <v>81330</v>
      </c>
      <c r="B355" s="1" t="s">
        <v>364</v>
      </c>
      <c r="C355" s="1" t="s">
        <v>11</v>
      </c>
      <c r="D355" s="1" t="s">
        <v>11</v>
      </c>
      <c r="E355" s="1" t="s">
        <v>11</v>
      </c>
    </row>
    <row r="356" spans="1:5" ht="15.75" customHeight="1">
      <c r="A356" s="3">
        <v>81340</v>
      </c>
      <c r="B356" s="1" t="s">
        <v>365</v>
      </c>
      <c r="C356" s="1" t="s">
        <v>11</v>
      </c>
      <c r="D356" s="1" t="s">
        <v>11</v>
      </c>
      <c r="E356" s="1" t="s">
        <v>11</v>
      </c>
    </row>
    <row r="357" spans="1:5" ht="15.75" customHeight="1">
      <c r="A357" s="3">
        <v>81350</v>
      </c>
      <c r="B357" s="1" t="s">
        <v>366</v>
      </c>
      <c r="C357" s="1" t="s">
        <v>11</v>
      </c>
      <c r="D357" s="1" t="s">
        <v>11</v>
      </c>
      <c r="E357" s="1" t="s">
        <v>11</v>
      </c>
    </row>
    <row r="358" spans="1:5" ht="15.75" customHeight="1">
      <c r="A358" s="3">
        <v>81400</v>
      </c>
      <c r="B358" s="1" t="s">
        <v>367</v>
      </c>
      <c r="C358" s="1" t="s">
        <v>11</v>
      </c>
      <c r="D358" s="1" t="s">
        <v>11</v>
      </c>
      <c r="E358" s="1" t="s">
        <v>11</v>
      </c>
    </row>
    <row r="359" spans="1:5" ht="15.75" customHeight="1">
      <c r="A359" s="3">
        <v>90111</v>
      </c>
      <c r="B359" s="1" t="s">
        <v>368</v>
      </c>
      <c r="C359" s="1" t="s">
        <v>11</v>
      </c>
      <c r="D359" s="1" t="s">
        <v>11</v>
      </c>
      <c r="E359" s="1" t="s">
        <v>11</v>
      </c>
    </row>
    <row r="360" spans="1:5" ht="15.75" customHeight="1">
      <c r="A360" s="3">
        <v>90112</v>
      </c>
      <c r="B360" s="1" t="s">
        <v>369</v>
      </c>
      <c r="C360" s="1" t="s">
        <v>11</v>
      </c>
      <c r="D360" s="1" t="s">
        <v>11</v>
      </c>
      <c r="E360" s="1" t="s">
        <v>11</v>
      </c>
    </row>
    <row r="361" spans="1:5" ht="15.75" customHeight="1">
      <c r="A361" s="3">
        <v>90121</v>
      </c>
      <c r="B361" s="1" t="s">
        <v>370</v>
      </c>
      <c r="C361" s="1" t="s">
        <v>11</v>
      </c>
      <c r="D361" s="1" t="s">
        <v>11</v>
      </c>
      <c r="E361" s="1" t="s">
        <v>11</v>
      </c>
    </row>
    <row r="362" spans="1:5" ht="15.75" customHeight="1">
      <c r="A362" s="3">
        <v>90122</v>
      </c>
      <c r="B362" s="1" t="s">
        <v>371</v>
      </c>
      <c r="C362" s="1" t="s">
        <v>11</v>
      </c>
      <c r="D362" s="1" t="s">
        <v>11</v>
      </c>
      <c r="E362" s="1" t="s">
        <v>11</v>
      </c>
    </row>
    <row r="363" spans="1:5" ht="15.75" customHeight="1">
      <c r="A363" s="3">
        <v>90190</v>
      </c>
      <c r="B363" s="1" t="s">
        <v>372</v>
      </c>
      <c r="C363" s="1" t="s">
        <v>11</v>
      </c>
      <c r="D363" s="1" t="s">
        <v>11</v>
      </c>
      <c r="E363" s="1" t="s">
        <v>11</v>
      </c>
    </row>
    <row r="364" spans="1:5" ht="15.75" customHeight="1">
      <c r="A364" s="3">
        <v>90210</v>
      </c>
      <c r="B364" s="1" t="s">
        <v>373</v>
      </c>
      <c r="C364" s="1" t="s">
        <v>11</v>
      </c>
      <c r="D364" s="1" t="s">
        <v>11</v>
      </c>
      <c r="E364" s="1" t="s">
        <v>11</v>
      </c>
    </row>
    <row r="365" spans="1:5" ht="15.75" customHeight="1">
      <c r="A365" s="3">
        <v>90220</v>
      </c>
      <c r="B365" s="1" t="s">
        <v>374</v>
      </c>
      <c r="C365" s="1" t="s">
        <v>11</v>
      </c>
      <c r="D365" s="1" t="s">
        <v>11</v>
      </c>
      <c r="E365" s="1" t="s">
        <v>11</v>
      </c>
    </row>
    <row r="366" spans="1:5" ht="15.75" customHeight="1">
      <c r="A366" s="3">
        <v>90230</v>
      </c>
      <c r="B366" s="1" t="s">
        <v>375</v>
      </c>
      <c r="C366" s="1" t="s">
        <v>11</v>
      </c>
      <c r="D366" s="1" t="s">
        <v>11</v>
      </c>
      <c r="E366" s="1" t="s">
        <v>11</v>
      </c>
    </row>
    <row r="367" spans="1:5" ht="15.75" customHeight="1">
      <c r="A367" s="3">
        <v>90240</v>
      </c>
      <c r="B367" s="1" t="s">
        <v>376</v>
      </c>
      <c r="C367" s="1" t="s">
        <v>11</v>
      </c>
      <c r="D367" s="1" t="s">
        <v>11</v>
      </c>
      <c r="E367" s="1" t="s">
        <v>11</v>
      </c>
    </row>
    <row r="368" spans="1:5" ht="15.75" customHeight="1">
      <c r="A368" s="3">
        <v>90300</v>
      </c>
      <c r="B368" s="1" t="s">
        <v>377</v>
      </c>
      <c r="C368" s="1" t="s">
        <v>11</v>
      </c>
      <c r="D368" s="1" t="s">
        <v>11</v>
      </c>
      <c r="E368" s="1" t="s">
        <v>11</v>
      </c>
    </row>
    <row r="369" spans="1:5" ht="15.75" customHeight="1">
      <c r="A369" s="3">
        <v>90411</v>
      </c>
      <c r="B369" s="1" t="s">
        <v>378</v>
      </c>
      <c r="C369" s="1" t="s">
        <v>11</v>
      </c>
      <c r="D369" s="1" t="s">
        <v>11</v>
      </c>
      <c r="E369" s="1" t="s">
        <v>11</v>
      </c>
    </row>
    <row r="370" spans="1:5" ht="15.75" customHeight="1">
      <c r="A370" s="3">
        <v>90412</v>
      </c>
      <c r="B370" s="1" t="s">
        <v>379</v>
      </c>
      <c r="C370" s="1" t="s">
        <v>11</v>
      </c>
      <c r="D370" s="1" t="s">
        <v>11</v>
      </c>
      <c r="E370" s="1" t="s">
        <v>11</v>
      </c>
    </row>
    <row r="371" spans="1:5" ht="15.75" customHeight="1">
      <c r="A371" s="3">
        <v>90420</v>
      </c>
      <c r="B371" s="1" t="s">
        <v>380</v>
      </c>
      <c r="C371" s="1" t="s">
        <v>11</v>
      </c>
      <c r="D371" s="1" t="s">
        <v>11</v>
      </c>
      <c r="E371" s="1" t="s">
        <v>11</v>
      </c>
    </row>
    <row r="372" spans="1:5" ht="15.75" customHeight="1">
      <c r="A372" s="3">
        <v>90500</v>
      </c>
      <c r="B372" s="1" t="s">
        <v>381</v>
      </c>
      <c r="C372" s="1" t="s">
        <v>11</v>
      </c>
      <c r="D372" s="1" t="s">
        <v>11</v>
      </c>
      <c r="E372" s="1" t="s">
        <v>11</v>
      </c>
    </row>
    <row r="373" spans="1:5" ht="15.75" customHeight="1">
      <c r="A373" s="3">
        <v>90611</v>
      </c>
      <c r="B373" s="1" t="s">
        <v>382</v>
      </c>
      <c r="C373" s="1" t="s">
        <v>11</v>
      </c>
      <c r="D373" s="1" t="s">
        <v>11</v>
      </c>
      <c r="E373" s="1" t="s">
        <v>11</v>
      </c>
    </row>
    <row r="374" spans="1:5" ht="15.75" customHeight="1">
      <c r="A374" s="3">
        <v>90619</v>
      </c>
      <c r="B374" s="1" t="s">
        <v>383</v>
      </c>
      <c r="C374" s="1" t="s">
        <v>11</v>
      </c>
      <c r="D374" s="1" t="s">
        <v>11</v>
      </c>
      <c r="E374" s="1" t="s">
        <v>11</v>
      </c>
    </row>
    <row r="375" spans="1:5" ht="15.75" customHeight="1">
      <c r="A375" s="3">
        <v>90620</v>
      </c>
      <c r="B375" s="1" t="s">
        <v>384</v>
      </c>
      <c r="C375" s="1" t="s">
        <v>11</v>
      </c>
      <c r="D375" s="1" t="s">
        <v>11</v>
      </c>
      <c r="E375" s="1" t="s">
        <v>11</v>
      </c>
    </row>
    <row r="376" spans="1:5" ht="15.75" customHeight="1">
      <c r="A376" s="3">
        <v>90700</v>
      </c>
      <c r="B376" s="1" t="s">
        <v>385</v>
      </c>
      <c r="C376" s="1" t="s">
        <v>11</v>
      </c>
      <c r="D376" s="1" t="s">
        <v>11</v>
      </c>
      <c r="E376" s="1" t="s">
        <v>11</v>
      </c>
    </row>
    <row r="377" spans="1:5" ht="15.75" customHeight="1">
      <c r="A377" s="3">
        <v>90810</v>
      </c>
      <c r="B377" s="1" t="s">
        <v>386</v>
      </c>
      <c r="C377" s="1" t="s">
        <v>11</v>
      </c>
      <c r="D377" s="1" t="s">
        <v>11</v>
      </c>
      <c r="E377" s="1" t="s">
        <v>11</v>
      </c>
    </row>
    <row r="378" spans="1:5" ht="15.75" customHeight="1">
      <c r="A378" s="3">
        <v>90820</v>
      </c>
      <c r="B378" s="1" t="s">
        <v>387</v>
      </c>
      <c r="C378" s="1" t="s">
        <v>11</v>
      </c>
      <c r="D378" s="1" t="s">
        <v>11</v>
      </c>
      <c r="E378" s="1" t="s">
        <v>11</v>
      </c>
    </row>
    <row r="379" spans="1:5" ht="15.75" customHeight="1">
      <c r="A379" s="3">
        <v>90830</v>
      </c>
      <c r="B379" s="1" t="s">
        <v>388</v>
      </c>
      <c r="C379" s="1" t="s">
        <v>11</v>
      </c>
      <c r="D379" s="1" t="s">
        <v>11</v>
      </c>
      <c r="E379" s="1" t="s">
        <v>11</v>
      </c>
    </row>
    <row r="380" spans="1:5" ht="15.75" customHeight="1">
      <c r="A380" s="3">
        <v>90910</v>
      </c>
      <c r="B380" s="1" t="s">
        <v>389</v>
      </c>
      <c r="C380" s="1" t="s">
        <v>11</v>
      </c>
      <c r="D380" s="1" t="s">
        <v>11</v>
      </c>
      <c r="E380" s="1" t="s">
        <v>11</v>
      </c>
    </row>
    <row r="381" spans="1:5" ht="15.75" customHeight="1">
      <c r="A381" s="3">
        <v>90920</v>
      </c>
      <c r="B381" s="1" t="s">
        <v>390</v>
      </c>
      <c r="C381" s="1" t="s">
        <v>11</v>
      </c>
      <c r="D381" s="1" t="s">
        <v>11</v>
      </c>
      <c r="E381" s="1" t="s">
        <v>11</v>
      </c>
    </row>
    <row r="382" spans="1:5" ht="15.75" customHeight="1">
      <c r="A382" s="3">
        <v>90930</v>
      </c>
      <c r="B382" s="1" t="s">
        <v>391</v>
      </c>
      <c r="C382" s="1" t="s">
        <v>11</v>
      </c>
      <c r="D382" s="1" t="s">
        <v>11</v>
      </c>
      <c r="E382" s="1" t="s">
        <v>11</v>
      </c>
    </row>
    <row r="383" spans="1:5" ht="15.75" customHeight="1">
      <c r="A383" s="3">
        <v>90940</v>
      </c>
      <c r="B383" s="1" t="s">
        <v>392</v>
      </c>
      <c r="C383" s="1" t="s">
        <v>11</v>
      </c>
      <c r="D383" s="1" t="s">
        <v>11</v>
      </c>
      <c r="E383" s="1" t="s">
        <v>11</v>
      </c>
    </row>
    <row r="384" spans="1:5" ht="15.75" customHeight="1">
      <c r="A384" s="3">
        <v>90950</v>
      </c>
      <c r="B384" s="1" t="s">
        <v>393</v>
      </c>
      <c r="C384" s="1" t="s">
        <v>11</v>
      </c>
      <c r="D384" s="1" t="s">
        <v>11</v>
      </c>
      <c r="E384" s="1" t="s">
        <v>11</v>
      </c>
    </row>
    <row r="385" spans="1:5" ht="15.75" customHeight="1">
      <c r="A385" s="3">
        <v>91010</v>
      </c>
      <c r="B385" s="1" t="s">
        <v>394</v>
      </c>
      <c r="C385" s="1" t="s">
        <v>11</v>
      </c>
      <c r="D385" s="1" t="s">
        <v>11</v>
      </c>
      <c r="E385" s="1" t="s">
        <v>11</v>
      </c>
    </row>
    <row r="386" spans="1:5" ht="15.75" customHeight="1">
      <c r="A386" s="3">
        <v>91020</v>
      </c>
      <c r="B386" s="1" t="s">
        <v>395</v>
      </c>
      <c r="C386" s="1" t="s">
        <v>11</v>
      </c>
      <c r="D386" s="1" t="s">
        <v>11</v>
      </c>
      <c r="E386" s="1" t="s">
        <v>11</v>
      </c>
    </row>
    <row r="387" spans="1:5" ht="15.75" customHeight="1">
      <c r="A387" s="3">
        <v>91030</v>
      </c>
      <c r="B387" s="1" t="s">
        <v>396</v>
      </c>
      <c r="C387" s="1" t="s">
        <v>11</v>
      </c>
      <c r="D387" s="1" t="s">
        <v>11</v>
      </c>
      <c r="E387" s="1" t="s">
        <v>11</v>
      </c>
    </row>
    <row r="388" spans="1:5" ht="15.75" customHeight="1">
      <c r="A388" s="3">
        <v>91091</v>
      </c>
      <c r="B388" s="1" t="s">
        <v>397</v>
      </c>
      <c r="C388" s="1" t="s">
        <v>11</v>
      </c>
      <c r="D388" s="1" t="s">
        <v>11</v>
      </c>
      <c r="E388" s="1" t="s">
        <v>11</v>
      </c>
    </row>
    <row r="389" spans="1:5" ht="15.75" customHeight="1">
      <c r="A389" s="3">
        <v>91099</v>
      </c>
      <c r="B389" s="1" t="s">
        <v>398</v>
      </c>
      <c r="C389" s="1" t="s">
        <v>11</v>
      </c>
      <c r="D389" s="1" t="s">
        <v>11</v>
      </c>
      <c r="E389" s="1" t="s">
        <v>11</v>
      </c>
    </row>
    <row r="390" spans="1:5" ht="15.75" customHeight="1">
      <c r="A390" s="1">
        <v>100110</v>
      </c>
      <c r="B390" s="1" t="s">
        <v>399</v>
      </c>
      <c r="C390" s="1" t="s">
        <v>11</v>
      </c>
      <c r="D390" s="1" t="s">
        <v>11</v>
      </c>
      <c r="E390" s="1" t="s">
        <v>11</v>
      </c>
    </row>
    <row r="391" spans="1:5" ht="15.75" customHeight="1">
      <c r="A391" s="1">
        <v>100190</v>
      </c>
      <c r="B391" s="1" t="s">
        <v>400</v>
      </c>
      <c r="C391" s="1" t="s">
        <v>11</v>
      </c>
      <c r="D391" s="1" t="s">
        <v>11</v>
      </c>
      <c r="E391" s="1" t="s">
        <v>11</v>
      </c>
    </row>
    <row r="392" spans="1:5" ht="15.75" customHeight="1">
      <c r="A392" s="1">
        <v>100200</v>
      </c>
      <c r="B392" s="1" t="s">
        <v>401</v>
      </c>
      <c r="C392" s="1" t="s">
        <v>11</v>
      </c>
      <c r="D392" s="1" t="s">
        <v>11</v>
      </c>
      <c r="E392" s="1" t="s">
        <v>11</v>
      </c>
    </row>
    <row r="393" spans="1:5" ht="15.75" customHeight="1">
      <c r="A393" s="1">
        <v>100300</v>
      </c>
      <c r="B393" s="1" t="s">
        <v>402</v>
      </c>
      <c r="C393" s="1" t="s">
        <v>11</v>
      </c>
      <c r="D393" s="1" t="s">
        <v>11</v>
      </c>
      <c r="E393" s="1" t="s">
        <v>11</v>
      </c>
    </row>
    <row r="394" spans="1:5" ht="15.75" customHeight="1">
      <c r="A394" s="1">
        <v>100400</v>
      </c>
      <c r="B394" s="1" t="s">
        <v>403</v>
      </c>
      <c r="C394" s="1" t="s">
        <v>11</v>
      </c>
      <c r="D394" s="1" t="s">
        <v>11</v>
      </c>
      <c r="E394" s="1" t="s">
        <v>11</v>
      </c>
    </row>
    <row r="395" spans="1:5" ht="15.75" customHeight="1">
      <c r="A395" s="1">
        <v>100510</v>
      </c>
      <c r="B395" s="1" t="s">
        <v>404</v>
      </c>
      <c r="C395" s="1" t="s">
        <v>11</v>
      </c>
      <c r="D395" s="1" t="s">
        <v>11</v>
      </c>
      <c r="E395" s="1" t="s">
        <v>11</v>
      </c>
    </row>
    <row r="396" spans="1:5" ht="15.75" customHeight="1">
      <c r="A396" s="1">
        <v>100590</v>
      </c>
      <c r="B396" s="1" t="s">
        <v>405</v>
      </c>
      <c r="C396" s="1" t="s">
        <v>11</v>
      </c>
      <c r="D396" s="1" t="s">
        <v>11</v>
      </c>
      <c r="E396" s="1" t="s">
        <v>11</v>
      </c>
    </row>
    <row r="397" spans="1:5" ht="15.75" customHeight="1">
      <c r="A397" s="1">
        <v>100610</v>
      </c>
      <c r="B397" s="1" t="s">
        <v>406</v>
      </c>
      <c r="C397" s="1" t="s">
        <v>11</v>
      </c>
      <c r="D397" s="1" t="s">
        <v>11</v>
      </c>
      <c r="E397" s="1" t="s">
        <v>11</v>
      </c>
    </row>
    <row r="398" spans="1:5" ht="15.75" customHeight="1">
      <c r="A398" s="1">
        <v>100620</v>
      </c>
      <c r="B398" s="1" t="s">
        <v>407</v>
      </c>
      <c r="C398" s="1" t="s">
        <v>11</v>
      </c>
      <c r="D398" s="1" t="s">
        <v>11</v>
      </c>
      <c r="E398" s="1" t="s">
        <v>11</v>
      </c>
    </row>
    <row r="399" spans="1:5" ht="15.75" customHeight="1">
      <c r="A399" s="1">
        <v>100630</v>
      </c>
      <c r="B399" s="1" t="s">
        <v>408</v>
      </c>
      <c r="C399" s="1" t="s">
        <v>11</v>
      </c>
      <c r="D399" s="1" t="s">
        <v>11</v>
      </c>
      <c r="E399" s="1" t="s">
        <v>11</v>
      </c>
    </row>
    <row r="400" spans="1:5" ht="15.75" customHeight="1">
      <c r="A400" s="1">
        <v>100640</v>
      </c>
      <c r="B400" s="1" t="s">
        <v>409</v>
      </c>
      <c r="C400" s="1" t="s">
        <v>11</v>
      </c>
      <c r="D400" s="1" t="s">
        <v>11</v>
      </c>
      <c r="E400" s="1" t="s">
        <v>11</v>
      </c>
    </row>
    <row r="401" spans="1:5" ht="15.75" customHeight="1">
      <c r="A401" s="1">
        <v>100700</v>
      </c>
      <c r="B401" s="1" t="s">
        <v>410</v>
      </c>
      <c r="C401" s="1" t="s">
        <v>11</v>
      </c>
      <c r="D401" s="1" t="s">
        <v>11</v>
      </c>
      <c r="E401" s="1" t="s">
        <v>11</v>
      </c>
    </row>
    <row r="402" spans="1:5" ht="15.75" customHeight="1">
      <c r="A402" s="1">
        <v>100810</v>
      </c>
      <c r="B402" s="1" t="s">
        <v>411</v>
      </c>
      <c r="C402" s="1" t="s">
        <v>11</v>
      </c>
      <c r="D402" s="1" t="s">
        <v>11</v>
      </c>
      <c r="E402" s="1" t="s">
        <v>11</v>
      </c>
    </row>
    <row r="403" spans="1:5" ht="15.75" customHeight="1">
      <c r="A403" s="1">
        <v>100820</v>
      </c>
      <c r="B403" s="1" t="s">
        <v>412</v>
      </c>
      <c r="C403" s="1" t="s">
        <v>11</v>
      </c>
      <c r="D403" s="1" t="s">
        <v>11</v>
      </c>
      <c r="E403" s="1" t="s">
        <v>11</v>
      </c>
    </row>
    <row r="404" spans="1:5" ht="15.75" customHeight="1">
      <c r="A404" s="1">
        <v>100830</v>
      </c>
      <c r="B404" s="1" t="s">
        <v>413</v>
      </c>
      <c r="C404" s="1" t="s">
        <v>11</v>
      </c>
      <c r="D404" s="1" t="s">
        <v>11</v>
      </c>
      <c r="E404" s="1" t="s">
        <v>11</v>
      </c>
    </row>
    <row r="405" spans="1:5" ht="15.75" customHeight="1">
      <c r="A405" s="1">
        <v>100890</v>
      </c>
      <c r="B405" s="1" t="s">
        <v>414</v>
      </c>
      <c r="C405" s="1" t="s">
        <v>11</v>
      </c>
      <c r="D405" s="1" t="s">
        <v>11</v>
      </c>
      <c r="E405" s="1" t="s">
        <v>11</v>
      </c>
    </row>
    <row r="406" spans="1:5" ht="15.75" customHeight="1">
      <c r="A406" s="1">
        <v>110100</v>
      </c>
      <c r="B406" s="1" t="s">
        <v>415</v>
      </c>
      <c r="C406" s="1" t="s">
        <v>11</v>
      </c>
      <c r="D406" s="1" t="s">
        <v>11</v>
      </c>
      <c r="E406" s="1" t="s">
        <v>11</v>
      </c>
    </row>
    <row r="407" spans="1:5" ht="15.75" customHeight="1">
      <c r="A407" s="1">
        <v>110210</v>
      </c>
      <c r="B407" s="1" t="s">
        <v>416</v>
      </c>
      <c r="C407" s="1" t="s">
        <v>11</v>
      </c>
      <c r="D407" s="1" t="s">
        <v>11</v>
      </c>
      <c r="E407" s="1" t="s">
        <v>11</v>
      </c>
    </row>
    <row r="408" spans="1:5" ht="15.75" customHeight="1">
      <c r="A408" s="1">
        <v>110220</v>
      </c>
      <c r="B408" s="1" t="s">
        <v>417</v>
      </c>
      <c r="C408" s="1" t="s">
        <v>11</v>
      </c>
      <c r="D408" s="1" t="s">
        <v>11</v>
      </c>
      <c r="E408" s="1" t="s">
        <v>11</v>
      </c>
    </row>
    <row r="409" spans="1:5" ht="15.75" customHeight="1">
      <c r="A409" s="1">
        <v>110290</v>
      </c>
      <c r="B409" s="1" t="s">
        <v>418</v>
      </c>
      <c r="C409" s="1" t="s">
        <v>11</v>
      </c>
      <c r="D409" s="1" t="s">
        <v>11</v>
      </c>
      <c r="E409" s="1" t="s">
        <v>11</v>
      </c>
    </row>
    <row r="410" spans="1:5" ht="15.75" customHeight="1">
      <c r="A410" s="1">
        <v>110311</v>
      </c>
      <c r="B410" s="1" t="s">
        <v>419</v>
      </c>
      <c r="C410" s="1" t="s">
        <v>11</v>
      </c>
      <c r="D410" s="1" t="s">
        <v>11</v>
      </c>
      <c r="E410" s="1" t="s">
        <v>11</v>
      </c>
    </row>
    <row r="411" spans="1:5" ht="15.75" customHeight="1">
      <c r="A411" s="1">
        <v>110313</v>
      </c>
      <c r="B411" s="1" t="s">
        <v>420</v>
      </c>
      <c r="C411" s="1" t="s">
        <v>11</v>
      </c>
      <c r="D411" s="1" t="s">
        <v>11</v>
      </c>
      <c r="E411" s="1" t="s">
        <v>11</v>
      </c>
    </row>
    <row r="412" spans="1:5" ht="15.75" customHeight="1">
      <c r="A412" s="1">
        <v>110319</v>
      </c>
      <c r="B412" s="1" t="s">
        <v>421</v>
      </c>
      <c r="C412" s="1" t="s">
        <v>11</v>
      </c>
      <c r="D412" s="1" t="s">
        <v>11</v>
      </c>
      <c r="E412" s="1" t="s">
        <v>11</v>
      </c>
    </row>
    <row r="413" spans="1:5" ht="15.75" customHeight="1">
      <c r="A413" s="1">
        <v>110320</v>
      </c>
      <c r="B413" s="1" t="s">
        <v>422</v>
      </c>
      <c r="C413" s="1" t="s">
        <v>11</v>
      </c>
      <c r="D413" s="1" t="s">
        <v>11</v>
      </c>
      <c r="E413" s="1" t="s">
        <v>11</v>
      </c>
    </row>
    <row r="414" spans="1:5" ht="15.75" customHeight="1">
      <c r="A414" s="1">
        <v>110412</v>
      </c>
      <c r="B414" s="1" t="s">
        <v>423</v>
      </c>
      <c r="C414" s="1" t="s">
        <v>11</v>
      </c>
      <c r="D414" s="1" t="s">
        <v>11</v>
      </c>
      <c r="E414" s="1" t="s">
        <v>11</v>
      </c>
    </row>
    <row r="415" spans="1:5" ht="15.75" customHeight="1">
      <c r="A415" s="1">
        <v>110419</v>
      </c>
      <c r="B415" s="1" t="s">
        <v>424</v>
      </c>
      <c r="C415" s="1" t="s">
        <v>11</v>
      </c>
      <c r="D415" s="1" t="s">
        <v>11</v>
      </c>
      <c r="E415" s="1" t="s">
        <v>11</v>
      </c>
    </row>
    <row r="416" spans="1:5" ht="15.75" customHeight="1">
      <c r="A416" s="1">
        <v>110422</v>
      </c>
      <c r="B416" s="1" t="s">
        <v>425</v>
      </c>
      <c r="C416" s="1" t="s">
        <v>11</v>
      </c>
      <c r="D416" s="1" t="s">
        <v>11</v>
      </c>
      <c r="E416" s="1" t="s">
        <v>11</v>
      </c>
    </row>
    <row r="417" spans="1:5" ht="15.75" customHeight="1">
      <c r="A417" s="1">
        <v>110423</v>
      </c>
      <c r="B417" s="1" t="s">
        <v>426</v>
      </c>
      <c r="C417" s="1" t="s">
        <v>11</v>
      </c>
      <c r="D417" s="1" t="s">
        <v>11</v>
      </c>
      <c r="E417" s="1" t="s">
        <v>11</v>
      </c>
    </row>
    <row r="418" spans="1:5" ht="15.75" customHeight="1">
      <c r="A418" s="1">
        <v>110429</v>
      </c>
      <c r="B418" s="1" t="s">
        <v>427</v>
      </c>
      <c r="C418" s="1" t="s">
        <v>11</v>
      </c>
      <c r="D418" s="1" t="s">
        <v>11</v>
      </c>
      <c r="E418" s="1" t="s">
        <v>11</v>
      </c>
    </row>
    <row r="419" spans="1:5" ht="15.75" customHeight="1">
      <c r="A419" s="1">
        <v>110430</v>
      </c>
      <c r="B419" s="1" t="s">
        <v>428</v>
      </c>
      <c r="C419" s="1" t="s">
        <v>11</v>
      </c>
      <c r="D419" s="1" t="s">
        <v>11</v>
      </c>
      <c r="E419" s="1" t="s">
        <v>11</v>
      </c>
    </row>
    <row r="420" spans="1:5" ht="15.75" customHeight="1">
      <c r="A420" s="1">
        <v>110510</v>
      </c>
      <c r="B420" s="1" t="s">
        <v>429</v>
      </c>
      <c r="C420" s="1" t="s">
        <v>11</v>
      </c>
      <c r="D420" s="1" t="s">
        <v>11</v>
      </c>
      <c r="E420" s="1" t="s">
        <v>11</v>
      </c>
    </row>
    <row r="421" spans="1:5" ht="15.75" customHeight="1">
      <c r="A421" s="1">
        <v>110520</v>
      </c>
      <c r="B421" s="1" t="s">
        <v>430</v>
      </c>
      <c r="C421" s="1" t="s">
        <v>11</v>
      </c>
      <c r="D421" s="1" t="s">
        <v>11</v>
      </c>
      <c r="E421" s="1" t="s">
        <v>11</v>
      </c>
    </row>
    <row r="422" spans="1:5" ht="15.75" customHeight="1">
      <c r="A422" s="1">
        <v>110610</v>
      </c>
      <c r="B422" s="1" t="s">
        <v>431</v>
      </c>
      <c r="C422" s="1" t="s">
        <v>11</v>
      </c>
      <c r="D422" s="1" t="s">
        <v>11</v>
      </c>
      <c r="E422" s="1" t="s">
        <v>11</v>
      </c>
    </row>
    <row r="423" spans="1:5" ht="15.75" customHeight="1">
      <c r="A423" s="1">
        <v>110620</v>
      </c>
      <c r="B423" s="1" t="s">
        <v>432</v>
      </c>
      <c r="C423" s="1" t="s">
        <v>11</v>
      </c>
      <c r="D423" s="1" t="s">
        <v>11</v>
      </c>
      <c r="E423" s="1" t="s">
        <v>11</v>
      </c>
    </row>
    <row r="424" spans="1:5" ht="15.75" customHeight="1">
      <c r="A424" s="1">
        <v>110630</v>
      </c>
      <c r="B424" s="1" t="s">
        <v>433</v>
      </c>
      <c r="C424" s="1" t="s">
        <v>11</v>
      </c>
      <c r="D424" s="1" t="s">
        <v>11</v>
      </c>
      <c r="E424" s="1" t="s">
        <v>11</v>
      </c>
    </row>
    <row r="425" spans="1:5" ht="15.75" customHeight="1">
      <c r="A425" s="1">
        <v>110710</v>
      </c>
      <c r="B425" s="1" t="s">
        <v>434</v>
      </c>
      <c r="C425" s="1" t="s">
        <v>11</v>
      </c>
      <c r="D425" s="1" t="s">
        <v>11</v>
      </c>
      <c r="E425" s="1" t="s">
        <v>11</v>
      </c>
    </row>
    <row r="426" spans="1:5" ht="15.75" customHeight="1">
      <c r="A426" s="1">
        <v>110720</v>
      </c>
      <c r="B426" s="1" t="s">
        <v>435</v>
      </c>
      <c r="C426" s="1" t="s">
        <v>11</v>
      </c>
      <c r="D426" s="1" t="s">
        <v>11</v>
      </c>
      <c r="E426" s="1" t="s">
        <v>11</v>
      </c>
    </row>
    <row r="427" spans="1:5" ht="15.75" customHeight="1">
      <c r="A427" s="1">
        <v>110811</v>
      </c>
      <c r="B427" s="1" t="s">
        <v>436</v>
      </c>
      <c r="C427" s="1" t="s">
        <v>11</v>
      </c>
      <c r="D427" s="1" t="s">
        <v>11</v>
      </c>
      <c r="E427" s="1" t="s">
        <v>11</v>
      </c>
    </row>
    <row r="428" spans="1:5" ht="15.75" customHeight="1">
      <c r="A428" s="1">
        <v>110812</v>
      </c>
      <c r="B428" s="1" t="s">
        <v>437</v>
      </c>
      <c r="C428" s="1" t="s">
        <v>11</v>
      </c>
      <c r="D428" s="1" t="s">
        <v>11</v>
      </c>
      <c r="E428" s="1" t="s">
        <v>11</v>
      </c>
    </row>
    <row r="429" spans="1:5" ht="15.75" customHeight="1">
      <c r="A429" s="1">
        <v>110813</v>
      </c>
      <c r="B429" s="1" t="s">
        <v>438</v>
      </c>
      <c r="C429" s="1" t="s">
        <v>11</v>
      </c>
      <c r="D429" s="1" t="s">
        <v>11</v>
      </c>
      <c r="E429" s="1" t="s">
        <v>11</v>
      </c>
    </row>
    <row r="430" spans="1:5" ht="15.75" customHeight="1">
      <c r="A430" s="1">
        <v>110814</v>
      </c>
      <c r="B430" s="1" t="s">
        <v>439</v>
      </c>
      <c r="C430" s="1" t="s">
        <v>11</v>
      </c>
      <c r="D430" s="1" t="s">
        <v>11</v>
      </c>
      <c r="E430" s="1" t="s">
        <v>11</v>
      </c>
    </row>
    <row r="431" spans="1:5" ht="15.75" customHeight="1">
      <c r="A431" s="1">
        <v>110819</v>
      </c>
      <c r="B431" s="1" t="s">
        <v>440</v>
      </c>
      <c r="C431" s="1" t="s">
        <v>11</v>
      </c>
      <c r="D431" s="1" t="s">
        <v>11</v>
      </c>
      <c r="E431" s="1" t="s">
        <v>11</v>
      </c>
    </row>
    <row r="432" spans="1:5" ht="15.75" customHeight="1">
      <c r="A432" s="1">
        <v>110820</v>
      </c>
      <c r="B432" s="1" t="s">
        <v>441</v>
      </c>
      <c r="C432" s="1" t="s">
        <v>11</v>
      </c>
      <c r="D432" s="1" t="s">
        <v>11</v>
      </c>
      <c r="E432" s="1" t="s">
        <v>11</v>
      </c>
    </row>
    <row r="433" spans="1:5" ht="15.75" customHeight="1">
      <c r="A433" s="1">
        <v>110900</v>
      </c>
      <c r="B433" s="1" t="s">
        <v>442</v>
      </c>
      <c r="C433" s="1" t="s">
        <v>11</v>
      </c>
      <c r="D433" s="1" t="s">
        <v>11</v>
      </c>
      <c r="E433" s="1" t="s">
        <v>11</v>
      </c>
    </row>
    <row r="434" spans="1:5" ht="15.75" customHeight="1">
      <c r="A434" s="1">
        <v>120100</v>
      </c>
      <c r="B434" s="1" t="s">
        <v>443</v>
      </c>
      <c r="C434" s="1" t="s">
        <v>11</v>
      </c>
      <c r="D434" s="1" t="s">
        <v>11</v>
      </c>
      <c r="E434" s="1" t="s">
        <v>11</v>
      </c>
    </row>
    <row r="435" spans="1:5" ht="15.75" customHeight="1">
      <c r="A435" s="1">
        <v>120210</v>
      </c>
      <c r="B435" s="1" t="s">
        <v>444</v>
      </c>
      <c r="C435" s="1" t="s">
        <v>11</v>
      </c>
      <c r="D435" s="1" t="s">
        <v>11</v>
      </c>
      <c r="E435" s="1" t="s">
        <v>11</v>
      </c>
    </row>
    <row r="436" spans="1:5" ht="15.75" customHeight="1">
      <c r="A436" s="1">
        <v>120220</v>
      </c>
      <c r="B436" s="1" t="s">
        <v>445</v>
      </c>
      <c r="C436" s="1" t="s">
        <v>11</v>
      </c>
      <c r="D436" s="1" t="s">
        <v>11</v>
      </c>
      <c r="E436" s="1" t="s">
        <v>11</v>
      </c>
    </row>
    <row r="437" spans="1:5" ht="15.75" customHeight="1">
      <c r="A437" s="1">
        <v>120300</v>
      </c>
      <c r="B437" s="1" t="s">
        <v>446</v>
      </c>
      <c r="C437" s="1" t="s">
        <v>11</v>
      </c>
      <c r="D437" s="1" t="s">
        <v>11</v>
      </c>
      <c r="E437" s="1" t="s">
        <v>11</v>
      </c>
    </row>
    <row r="438" spans="1:5" ht="15.75" customHeight="1">
      <c r="A438" s="1">
        <v>120400</v>
      </c>
      <c r="B438" s="1" t="s">
        <v>447</v>
      </c>
      <c r="C438" s="1" t="s">
        <v>11</v>
      </c>
      <c r="D438" s="1" t="s">
        <v>11</v>
      </c>
      <c r="E438" s="1" t="s">
        <v>11</v>
      </c>
    </row>
    <row r="439" spans="1:5" ht="15.75" customHeight="1">
      <c r="A439" s="1">
        <v>120510</v>
      </c>
      <c r="B439" s="1" t="s">
        <v>448</v>
      </c>
      <c r="C439" s="1" t="s">
        <v>11</v>
      </c>
      <c r="D439" s="1" t="s">
        <v>11</v>
      </c>
      <c r="E439" s="1" t="s">
        <v>11</v>
      </c>
    </row>
    <row r="440" spans="1:5" ht="15.75" customHeight="1">
      <c r="A440" s="1">
        <v>120590</v>
      </c>
      <c r="B440" s="1" t="s">
        <v>449</v>
      </c>
      <c r="C440" s="1" t="s">
        <v>11</v>
      </c>
      <c r="D440" s="1" t="s">
        <v>11</v>
      </c>
      <c r="E440" s="1" t="s">
        <v>11</v>
      </c>
    </row>
    <row r="441" spans="1:5" ht="15.75" customHeight="1">
      <c r="A441" s="1">
        <v>120600</v>
      </c>
      <c r="B441" s="1" t="s">
        <v>450</v>
      </c>
      <c r="C441" s="1" t="s">
        <v>11</v>
      </c>
      <c r="D441" s="1" t="s">
        <v>11</v>
      </c>
      <c r="E441" s="1" t="s">
        <v>11</v>
      </c>
    </row>
    <row r="442" spans="1:5" ht="15.75" customHeight="1">
      <c r="A442" s="1">
        <v>120720</v>
      </c>
      <c r="B442" s="1" t="s">
        <v>451</v>
      </c>
      <c r="C442" s="1" t="s">
        <v>11</v>
      </c>
      <c r="D442" s="1" t="s">
        <v>11</v>
      </c>
      <c r="E442" s="1" t="s">
        <v>11</v>
      </c>
    </row>
    <row r="443" spans="1:5" ht="15.75" customHeight="1">
      <c r="A443" s="1">
        <v>120740</v>
      </c>
      <c r="B443" s="1" t="s">
        <v>452</v>
      </c>
      <c r="C443" s="1" t="s">
        <v>11</v>
      </c>
      <c r="D443" s="1" t="s">
        <v>11</v>
      </c>
      <c r="E443" s="1" t="s">
        <v>11</v>
      </c>
    </row>
    <row r="444" spans="1:5" ht="15.75" customHeight="1">
      <c r="A444" s="1">
        <v>120750</v>
      </c>
      <c r="B444" s="1" t="s">
        <v>453</v>
      </c>
      <c r="C444" s="1" t="s">
        <v>11</v>
      </c>
      <c r="D444" s="1" t="s">
        <v>11</v>
      </c>
      <c r="E444" s="1" t="s">
        <v>11</v>
      </c>
    </row>
    <row r="445" spans="1:5" ht="15.75" customHeight="1">
      <c r="A445" s="1">
        <v>120791</v>
      </c>
      <c r="B445" s="1" t="s">
        <v>454</v>
      </c>
      <c r="C445" s="1" t="s">
        <v>11</v>
      </c>
      <c r="D445" s="1" t="s">
        <v>11</v>
      </c>
      <c r="E445" s="1" t="s">
        <v>11</v>
      </c>
    </row>
    <row r="446" spans="1:5" ht="15.75" customHeight="1">
      <c r="A446" s="1">
        <v>120799</v>
      </c>
      <c r="B446" s="1" t="s">
        <v>455</v>
      </c>
      <c r="C446" s="1" t="s">
        <v>11</v>
      </c>
      <c r="D446" s="1" t="s">
        <v>11</v>
      </c>
      <c r="E446" s="1" t="s">
        <v>11</v>
      </c>
    </row>
    <row r="447" spans="1:5" ht="15.75" customHeight="1">
      <c r="A447" s="1">
        <v>120810</v>
      </c>
      <c r="B447" s="1" t="s">
        <v>456</v>
      </c>
      <c r="C447" s="1" t="s">
        <v>11</v>
      </c>
      <c r="D447" s="1" t="s">
        <v>11</v>
      </c>
      <c r="E447" s="1" t="s">
        <v>11</v>
      </c>
    </row>
    <row r="448" spans="1:5" ht="15.75" customHeight="1">
      <c r="A448" s="1">
        <v>120890</v>
      </c>
      <c r="B448" s="1" t="s">
        <v>457</v>
      </c>
      <c r="C448" s="1" t="s">
        <v>11</v>
      </c>
      <c r="D448" s="1" t="s">
        <v>11</v>
      </c>
      <c r="E448" s="1" t="s">
        <v>11</v>
      </c>
    </row>
    <row r="449" spans="1:5" ht="15.75" customHeight="1">
      <c r="A449" s="1">
        <v>120910</v>
      </c>
      <c r="B449" s="1" t="s">
        <v>458</v>
      </c>
      <c r="C449" s="1" t="s">
        <v>11</v>
      </c>
      <c r="D449" s="1" t="s">
        <v>11</v>
      </c>
      <c r="E449" s="1" t="s">
        <v>11</v>
      </c>
    </row>
    <row r="450" spans="1:5" ht="15.75" customHeight="1">
      <c r="A450" s="1">
        <v>120921</v>
      </c>
      <c r="B450" s="1" t="s">
        <v>459</v>
      </c>
      <c r="C450" s="1" t="s">
        <v>11</v>
      </c>
      <c r="D450" s="1" t="s">
        <v>11</v>
      </c>
      <c r="E450" s="1" t="s">
        <v>11</v>
      </c>
    </row>
    <row r="451" spans="1:5" ht="15.75" customHeight="1">
      <c r="A451" s="1">
        <v>120922</v>
      </c>
      <c r="B451" s="1" t="s">
        <v>460</v>
      </c>
      <c r="C451" s="1" t="s">
        <v>11</v>
      </c>
      <c r="D451" s="1" t="s">
        <v>11</v>
      </c>
      <c r="E451" s="1" t="s">
        <v>11</v>
      </c>
    </row>
    <row r="452" spans="1:5" ht="15.75" customHeight="1">
      <c r="A452" s="1">
        <v>120923</v>
      </c>
      <c r="B452" s="1" t="s">
        <v>461</v>
      </c>
      <c r="C452" s="1" t="s">
        <v>11</v>
      </c>
      <c r="D452" s="1" t="s">
        <v>11</v>
      </c>
      <c r="E452" s="1" t="s">
        <v>11</v>
      </c>
    </row>
    <row r="453" spans="1:5" ht="15.75" customHeight="1">
      <c r="A453" s="1">
        <v>120924</v>
      </c>
      <c r="B453" s="1" t="s">
        <v>462</v>
      </c>
      <c r="C453" s="1" t="s">
        <v>11</v>
      </c>
      <c r="D453" s="1" t="s">
        <v>11</v>
      </c>
      <c r="E453" s="1" t="s">
        <v>11</v>
      </c>
    </row>
    <row r="454" spans="1:5" ht="15.75" customHeight="1">
      <c r="A454" s="1">
        <v>120925</v>
      </c>
      <c r="B454" s="1" t="s">
        <v>463</v>
      </c>
      <c r="C454" s="1" t="s">
        <v>11</v>
      </c>
      <c r="D454" s="1" t="s">
        <v>11</v>
      </c>
      <c r="E454" s="1" t="s">
        <v>11</v>
      </c>
    </row>
    <row r="455" spans="1:5" ht="15.75" customHeight="1">
      <c r="A455" s="1">
        <v>120929</v>
      </c>
      <c r="B455" s="1" t="s">
        <v>464</v>
      </c>
      <c r="C455" s="1" t="s">
        <v>11</v>
      </c>
      <c r="D455" s="1" t="s">
        <v>11</v>
      </c>
      <c r="E455" s="1" t="s">
        <v>11</v>
      </c>
    </row>
    <row r="456" spans="1:5" ht="15.75" customHeight="1">
      <c r="A456" s="1">
        <v>120930</v>
      </c>
      <c r="B456" s="1" t="s">
        <v>465</v>
      </c>
      <c r="C456" s="1" t="s">
        <v>11</v>
      </c>
      <c r="D456" s="1" t="s">
        <v>11</v>
      </c>
      <c r="E456" s="1" t="s">
        <v>11</v>
      </c>
    </row>
    <row r="457" spans="1:5" ht="15.75" customHeight="1">
      <c r="A457" s="1">
        <v>120991</v>
      </c>
      <c r="B457" s="1" t="s">
        <v>466</v>
      </c>
      <c r="C457" s="1" t="s">
        <v>11</v>
      </c>
      <c r="D457" s="1" t="s">
        <v>11</v>
      </c>
      <c r="E457" s="1" t="s">
        <v>11</v>
      </c>
    </row>
    <row r="458" spans="1:5" ht="15.75" customHeight="1">
      <c r="A458" s="1">
        <v>120999</v>
      </c>
      <c r="B458" s="1" t="s">
        <v>467</v>
      </c>
      <c r="C458" s="1" t="s">
        <v>11</v>
      </c>
      <c r="D458" s="1" t="s">
        <v>11</v>
      </c>
      <c r="E458" s="1" t="s">
        <v>11</v>
      </c>
    </row>
    <row r="459" spans="1:5" ht="15.75" customHeight="1">
      <c r="A459" s="1">
        <v>121010</v>
      </c>
      <c r="B459" s="1" t="s">
        <v>468</v>
      </c>
      <c r="C459" s="1" t="s">
        <v>11</v>
      </c>
      <c r="D459" s="1" t="s">
        <v>11</v>
      </c>
      <c r="E459" s="1" t="s">
        <v>11</v>
      </c>
    </row>
    <row r="460" spans="1:5" ht="15.75" customHeight="1">
      <c r="A460" s="1">
        <v>121020</v>
      </c>
      <c r="B460" s="1" t="s">
        <v>469</v>
      </c>
      <c r="C460" s="1" t="s">
        <v>11</v>
      </c>
      <c r="D460" s="1" t="s">
        <v>11</v>
      </c>
      <c r="E460" s="1" t="s">
        <v>11</v>
      </c>
    </row>
    <row r="461" spans="1:5" ht="15.75" customHeight="1">
      <c r="A461" s="1">
        <v>121120</v>
      </c>
      <c r="B461" s="1" t="s">
        <v>470</v>
      </c>
      <c r="C461" s="1" t="s">
        <v>11</v>
      </c>
      <c r="D461" s="1" t="s">
        <v>11</v>
      </c>
      <c r="E461" s="1" t="s">
        <v>11</v>
      </c>
    </row>
    <row r="462" spans="1:5" ht="15.75" customHeight="1">
      <c r="A462" s="1">
        <v>121130</v>
      </c>
      <c r="B462" s="1" t="s">
        <v>471</v>
      </c>
      <c r="C462" s="1" t="s">
        <v>11</v>
      </c>
      <c r="D462" s="1" t="s">
        <v>11</v>
      </c>
      <c r="E462" s="1" t="s">
        <v>11</v>
      </c>
    </row>
    <row r="463" spans="1:5" ht="15.75" customHeight="1">
      <c r="A463" s="1">
        <v>121140</v>
      </c>
      <c r="B463" s="1" t="s">
        <v>472</v>
      </c>
      <c r="C463" s="1" t="s">
        <v>11</v>
      </c>
      <c r="D463" s="1" t="s">
        <v>11</v>
      </c>
      <c r="E463" s="1" t="s">
        <v>11</v>
      </c>
    </row>
    <row r="464" spans="1:5" ht="15.75" customHeight="1">
      <c r="A464" s="1">
        <v>121190</v>
      </c>
      <c r="B464" s="1" t="s">
        <v>473</v>
      </c>
      <c r="C464" s="1" t="s">
        <v>11</v>
      </c>
      <c r="D464" s="1" t="s">
        <v>11</v>
      </c>
      <c r="E464" s="1" t="s">
        <v>11</v>
      </c>
    </row>
    <row r="465" spans="1:5" ht="15.75" customHeight="1">
      <c r="A465" s="1">
        <v>121220</v>
      </c>
      <c r="B465" s="1" t="s">
        <v>474</v>
      </c>
      <c r="C465" s="1" t="s">
        <v>11</v>
      </c>
      <c r="D465" s="1" t="s">
        <v>11</v>
      </c>
      <c r="E465" s="1" t="s">
        <v>11</v>
      </c>
    </row>
    <row r="466" spans="1:5" ht="15.75" customHeight="1">
      <c r="A466" s="1">
        <v>121291</v>
      </c>
      <c r="B466" s="1" t="s">
        <v>475</v>
      </c>
      <c r="C466" s="1" t="s">
        <v>11</v>
      </c>
      <c r="D466" s="1" t="s">
        <v>11</v>
      </c>
      <c r="E466" s="1" t="s">
        <v>11</v>
      </c>
    </row>
    <row r="467" spans="1:5" ht="15.75" customHeight="1">
      <c r="A467" s="1">
        <v>121299</v>
      </c>
      <c r="B467" s="1" t="s">
        <v>476</v>
      </c>
      <c r="C467" s="1" t="s">
        <v>11</v>
      </c>
      <c r="D467" s="1" t="s">
        <v>11</v>
      </c>
      <c r="E467" s="1" t="s">
        <v>11</v>
      </c>
    </row>
    <row r="468" spans="1:5" ht="15.75" customHeight="1">
      <c r="A468" s="1">
        <v>121300</v>
      </c>
      <c r="B468" s="1" t="s">
        <v>477</v>
      </c>
      <c r="C468" s="1" t="s">
        <v>11</v>
      </c>
      <c r="D468" s="1" t="s">
        <v>11</v>
      </c>
      <c r="E468" s="1" t="s">
        <v>11</v>
      </c>
    </row>
    <row r="469" spans="1:5" ht="15.75" customHeight="1">
      <c r="A469" s="1">
        <v>121410</v>
      </c>
      <c r="B469" s="1" t="s">
        <v>478</v>
      </c>
      <c r="C469" s="1" t="s">
        <v>11</v>
      </c>
      <c r="D469" s="1" t="s">
        <v>11</v>
      </c>
      <c r="E469" s="1" t="s">
        <v>11</v>
      </c>
    </row>
    <row r="470" spans="1:5" ht="15.75" customHeight="1">
      <c r="A470" s="1">
        <v>121490</v>
      </c>
      <c r="B470" s="1" t="s">
        <v>479</v>
      </c>
      <c r="C470" s="1" t="s">
        <v>11</v>
      </c>
      <c r="D470" s="1" t="s">
        <v>11</v>
      </c>
      <c r="E470" s="1" t="s">
        <v>11</v>
      </c>
    </row>
    <row r="471" spans="1:5" ht="15.75" customHeight="1">
      <c r="A471" s="1">
        <v>130120</v>
      </c>
      <c r="B471" s="1" t="s">
        <v>480</v>
      </c>
      <c r="C471" s="1" t="s">
        <v>11</v>
      </c>
      <c r="D471" s="1" t="s">
        <v>11</v>
      </c>
      <c r="E471" s="1" t="s">
        <v>11</v>
      </c>
    </row>
    <row r="472" spans="1:5" ht="15.75" customHeight="1">
      <c r="A472" s="1">
        <v>130190</v>
      </c>
      <c r="B472" s="1" t="s">
        <v>481</v>
      </c>
      <c r="C472" s="1" t="s">
        <v>11</v>
      </c>
      <c r="D472" s="1" t="s">
        <v>11</v>
      </c>
      <c r="E472" s="1" t="s">
        <v>11</v>
      </c>
    </row>
    <row r="473" spans="1:5" ht="15.75" customHeight="1">
      <c r="A473" s="1">
        <v>130211</v>
      </c>
      <c r="B473" s="1" t="s">
        <v>482</v>
      </c>
      <c r="C473" s="1" t="s">
        <v>11</v>
      </c>
      <c r="D473" s="1" t="s">
        <v>11</v>
      </c>
      <c r="E473" s="1" t="s">
        <v>11</v>
      </c>
    </row>
    <row r="474" spans="1:5" ht="15.75" customHeight="1">
      <c r="A474" s="1">
        <v>130212</v>
      </c>
      <c r="B474" s="1" t="s">
        <v>483</v>
      </c>
      <c r="C474" s="1" t="s">
        <v>11</v>
      </c>
      <c r="D474" s="1" t="s">
        <v>11</v>
      </c>
      <c r="E474" s="1" t="s">
        <v>11</v>
      </c>
    </row>
    <row r="475" spans="1:5" ht="15.75" customHeight="1">
      <c r="A475" s="1">
        <v>130213</v>
      </c>
      <c r="B475" s="1" t="s">
        <v>484</v>
      </c>
      <c r="C475" s="1" t="s">
        <v>11</v>
      </c>
      <c r="D475" s="1" t="s">
        <v>11</v>
      </c>
      <c r="E475" s="1" t="s">
        <v>11</v>
      </c>
    </row>
    <row r="476" spans="1:5" ht="15.75" customHeight="1">
      <c r="A476" s="1">
        <v>130219</v>
      </c>
      <c r="B476" s="1" t="s">
        <v>485</v>
      </c>
      <c r="C476" s="1" t="s">
        <v>11</v>
      </c>
      <c r="D476" s="1" t="s">
        <v>11</v>
      </c>
      <c r="E476" s="1" t="s">
        <v>11</v>
      </c>
    </row>
    <row r="477" spans="1:5" ht="15.75" customHeight="1">
      <c r="A477" s="1">
        <v>130220</v>
      </c>
      <c r="B477" s="1" t="s">
        <v>486</v>
      </c>
      <c r="C477" s="1" t="s">
        <v>11</v>
      </c>
      <c r="D477" s="1" t="s">
        <v>11</v>
      </c>
      <c r="E477" s="1" t="s">
        <v>11</v>
      </c>
    </row>
    <row r="478" spans="1:5" ht="15.75" customHeight="1">
      <c r="A478" s="1">
        <v>130231</v>
      </c>
      <c r="B478" s="1" t="s">
        <v>487</v>
      </c>
      <c r="C478" s="1" t="s">
        <v>11</v>
      </c>
      <c r="D478" s="1" t="s">
        <v>11</v>
      </c>
      <c r="E478" s="1" t="s">
        <v>11</v>
      </c>
    </row>
    <row r="479" spans="1:5" ht="15.75" customHeight="1">
      <c r="A479" s="1">
        <v>130232</v>
      </c>
      <c r="B479" s="1" t="s">
        <v>488</v>
      </c>
      <c r="C479" s="1" t="s">
        <v>11</v>
      </c>
      <c r="D479" s="1" t="s">
        <v>11</v>
      </c>
      <c r="E479" s="1" t="s">
        <v>11</v>
      </c>
    </row>
    <row r="480" spans="1:5" ht="15.75" customHeight="1">
      <c r="A480" s="1">
        <v>130239</v>
      </c>
      <c r="B480" s="1" t="s">
        <v>489</v>
      </c>
      <c r="C480" s="1" t="s">
        <v>11</v>
      </c>
      <c r="D480" s="1" t="s">
        <v>11</v>
      </c>
      <c r="E480" s="1" t="s">
        <v>11</v>
      </c>
    </row>
    <row r="481" spans="1:5" ht="15.75" customHeight="1">
      <c r="A481" s="1">
        <v>140110</v>
      </c>
      <c r="B481" s="1" t="s">
        <v>490</v>
      </c>
      <c r="C481" s="1" t="s">
        <v>11</v>
      </c>
      <c r="D481" s="1" t="s">
        <v>11</v>
      </c>
      <c r="E481" s="1" t="s">
        <v>11</v>
      </c>
    </row>
    <row r="482" spans="1:5" ht="15.75" customHeight="1">
      <c r="A482" s="1">
        <v>140120</v>
      </c>
      <c r="B482" s="1" t="s">
        <v>491</v>
      </c>
      <c r="C482" s="1" t="s">
        <v>11</v>
      </c>
      <c r="D482" s="1" t="s">
        <v>11</v>
      </c>
      <c r="E482" s="1" t="s">
        <v>11</v>
      </c>
    </row>
    <row r="483" spans="1:5" ht="15.75" customHeight="1">
      <c r="A483" s="1">
        <v>140190</v>
      </c>
      <c r="B483" s="1" t="s">
        <v>492</v>
      </c>
      <c r="C483" s="1" t="s">
        <v>11</v>
      </c>
      <c r="D483" s="1" t="s">
        <v>11</v>
      </c>
      <c r="E483" s="1" t="s">
        <v>11</v>
      </c>
    </row>
    <row r="484" spans="1:5" ht="15.75" customHeight="1">
      <c r="A484" s="1">
        <v>140420</v>
      </c>
      <c r="B484" s="1" t="s">
        <v>493</v>
      </c>
      <c r="C484" s="1" t="s">
        <v>11</v>
      </c>
      <c r="D484" s="1" t="s">
        <v>11</v>
      </c>
      <c r="E484" s="1" t="s">
        <v>11</v>
      </c>
    </row>
    <row r="485" spans="1:5" ht="15.75" customHeight="1">
      <c r="A485" s="1">
        <v>140490</v>
      </c>
      <c r="B485" s="1" t="s">
        <v>494</v>
      </c>
      <c r="C485" s="1" t="s">
        <v>11</v>
      </c>
      <c r="D485" s="1" t="s">
        <v>11</v>
      </c>
      <c r="E485" s="1" t="s">
        <v>11</v>
      </c>
    </row>
    <row r="486" spans="1:5" ht="15.75" customHeight="1">
      <c r="A486" s="1">
        <v>150100</v>
      </c>
      <c r="B486" s="1" t="s">
        <v>495</v>
      </c>
      <c r="C486" s="1" t="s">
        <v>11</v>
      </c>
      <c r="D486" s="1" t="s">
        <v>11</v>
      </c>
      <c r="E486" s="1" t="s">
        <v>11</v>
      </c>
    </row>
    <row r="487" spans="1:5" ht="15.75" customHeight="1">
      <c r="A487" s="1">
        <v>150200</v>
      </c>
      <c r="B487" s="1" t="s">
        <v>496</v>
      </c>
      <c r="C487" s="1" t="s">
        <v>11</v>
      </c>
      <c r="D487" s="1" t="s">
        <v>11</v>
      </c>
      <c r="E487" s="1" t="s">
        <v>11</v>
      </c>
    </row>
    <row r="488" spans="1:5" ht="15.75" customHeight="1">
      <c r="A488" s="1">
        <v>150300</v>
      </c>
      <c r="B488" s="1" t="s">
        <v>497</v>
      </c>
      <c r="C488" s="1" t="s">
        <v>11</v>
      </c>
      <c r="D488" s="1" t="s">
        <v>11</v>
      </c>
      <c r="E488" s="1" t="s">
        <v>11</v>
      </c>
    </row>
    <row r="489" spans="1:5" ht="15.75" customHeight="1">
      <c r="A489" s="1">
        <v>150410</v>
      </c>
      <c r="B489" s="1" t="s">
        <v>498</v>
      </c>
      <c r="C489" s="1" t="s">
        <v>11</v>
      </c>
      <c r="D489" s="1" t="s">
        <v>11</v>
      </c>
      <c r="E489" s="1" t="s">
        <v>11</v>
      </c>
    </row>
    <row r="490" spans="1:5" ht="15.75" customHeight="1">
      <c r="A490" s="1">
        <v>150420</v>
      </c>
      <c r="B490" s="1" t="s">
        <v>499</v>
      </c>
      <c r="C490" s="1" t="s">
        <v>11</v>
      </c>
      <c r="D490" s="1" t="s">
        <v>11</v>
      </c>
      <c r="E490" s="1" t="s">
        <v>11</v>
      </c>
    </row>
    <row r="491" spans="1:5" ht="15.75" customHeight="1">
      <c r="A491" s="1">
        <v>150430</v>
      </c>
      <c r="B491" s="1" t="s">
        <v>500</v>
      </c>
      <c r="C491" s="1" t="s">
        <v>11</v>
      </c>
      <c r="D491" s="1" t="s">
        <v>11</v>
      </c>
      <c r="E491" s="1" t="s">
        <v>11</v>
      </c>
    </row>
    <row r="492" spans="1:5" ht="15.75" customHeight="1">
      <c r="A492" s="1">
        <v>150500</v>
      </c>
      <c r="B492" s="1" t="s">
        <v>501</v>
      </c>
      <c r="C492" s="1" t="s">
        <v>11</v>
      </c>
      <c r="D492" s="1" t="s">
        <v>11</v>
      </c>
      <c r="E492" s="1" t="s">
        <v>11</v>
      </c>
    </row>
    <row r="493" spans="1:5" ht="15.75" customHeight="1">
      <c r="A493" s="1">
        <v>150600</v>
      </c>
      <c r="B493" s="1" t="s">
        <v>502</v>
      </c>
      <c r="C493" s="1" t="s">
        <v>11</v>
      </c>
      <c r="D493" s="1" t="s">
        <v>11</v>
      </c>
      <c r="E493" s="1" t="s">
        <v>11</v>
      </c>
    </row>
    <row r="494" spans="1:5" ht="15.75" customHeight="1">
      <c r="A494" s="1">
        <v>150710</v>
      </c>
      <c r="B494" s="1" t="s">
        <v>503</v>
      </c>
      <c r="C494" s="1" t="s">
        <v>11</v>
      </c>
      <c r="D494" s="1" t="s">
        <v>11</v>
      </c>
      <c r="E494" s="1" t="s">
        <v>11</v>
      </c>
    </row>
    <row r="495" spans="1:5" ht="15.75" customHeight="1">
      <c r="A495" s="1">
        <v>150790</v>
      </c>
      <c r="B495" s="1" t="s">
        <v>504</v>
      </c>
      <c r="C495" s="1" t="s">
        <v>11</v>
      </c>
      <c r="D495" s="1" t="s">
        <v>11</v>
      </c>
      <c r="E495" s="1" t="s">
        <v>11</v>
      </c>
    </row>
    <row r="496" spans="1:5" ht="15.75" customHeight="1">
      <c r="A496" s="1">
        <v>150810</v>
      </c>
      <c r="B496" s="1" t="s">
        <v>505</v>
      </c>
      <c r="C496" s="1" t="s">
        <v>11</v>
      </c>
      <c r="D496" s="1" t="s">
        <v>11</v>
      </c>
      <c r="E496" s="1" t="s">
        <v>11</v>
      </c>
    </row>
    <row r="497" spans="1:5" ht="15.75" customHeight="1">
      <c r="A497" s="1">
        <v>150890</v>
      </c>
      <c r="B497" s="1" t="s">
        <v>506</v>
      </c>
      <c r="C497" s="1" t="s">
        <v>11</v>
      </c>
      <c r="D497" s="1" t="s">
        <v>11</v>
      </c>
      <c r="E497" s="1" t="s">
        <v>11</v>
      </c>
    </row>
    <row r="498" spans="1:5" ht="15.75" customHeight="1">
      <c r="A498" s="1">
        <v>150910</v>
      </c>
      <c r="B498" s="1" t="s">
        <v>507</v>
      </c>
      <c r="C498" s="1" t="s">
        <v>11</v>
      </c>
      <c r="D498" s="1" t="s">
        <v>11</v>
      </c>
      <c r="E498" s="1" t="s">
        <v>11</v>
      </c>
    </row>
    <row r="499" spans="1:5" ht="15.75" customHeight="1">
      <c r="A499" s="1">
        <v>150990</v>
      </c>
      <c r="B499" s="1" t="s">
        <v>508</v>
      </c>
      <c r="C499" s="1" t="s">
        <v>11</v>
      </c>
      <c r="D499" s="1" t="s">
        <v>11</v>
      </c>
      <c r="E499" s="1" t="s">
        <v>11</v>
      </c>
    </row>
    <row r="500" spans="1:5" ht="15.75" customHeight="1">
      <c r="A500" s="1">
        <v>151000</v>
      </c>
      <c r="B500" s="1" t="s">
        <v>509</v>
      </c>
      <c r="C500" s="1" t="s">
        <v>11</v>
      </c>
      <c r="D500" s="1" t="s">
        <v>11</v>
      </c>
      <c r="E500" s="1" t="s">
        <v>11</v>
      </c>
    </row>
    <row r="501" spans="1:5" ht="15.75" customHeight="1">
      <c r="A501" s="1">
        <v>151110</v>
      </c>
      <c r="B501" s="1" t="s">
        <v>510</v>
      </c>
      <c r="C501" s="1" t="s">
        <v>11</v>
      </c>
      <c r="D501" s="1" t="s">
        <v>11</v>
      </c>
      <c r="E501" s="1" t="s">
        <v>11</v>
      </c>
    </row>
    <row r="502" spans="1:5" ht="15.75" customHeight="1">
      <c r="A502" s="1">
        <v>151190</v>
      </c>
      <c r="B502" s="1" t="s">
        <v>511</v>
      </c>
      <c r="C502" s="1" t="s">
        <v>11</v>
      </c>
      <c r="D502" s="1" t="s">
        <v>11</v>
      </c>
      <c r="E502" s="1" t="s">
        <v>11</v>
      </c>
    </row>
    <row r="503" spans="1:5" ht="15.75" customHeight="1">
      <c r="A503" s="1">
        <v>151211</v>
      </c>
      <c r="B503" s="1" t="s">
        <v>512</v>
      </c>
      <c r="C503" s="1" t="s">
        <v>11</v>
      </c>
      <c r="D503" s="1" t="s">
        <v>11</v>
      </c>
      <c r="E503" s="1" t="s">
        <v>11</v>
      </c>
    </row>
    <row r="504" spans="1:5" ht="15.75" customHeight="1">
      <c r="A504" s="1">
        <v>151219</v>
      </c>
      <c r="B504" s="1" t="s">
        <v>513</v>
      </c>
      <c r="C504" s="1" t="s">
        <v>11</v>
      </c>
      <c r="D504" s="1" t="s">
        <v>11</v>
      </c>
      <c r="E504" s="1" t="s">
        <v>11</v>
      </c>
    </row>
    <row r="505" spans="1:5" ht="15.75" customHeight="1">
      <c r="A505" s="1">
        <v>151221</v>
      </c>
      <c r="B505" s="1" t="s">
        <v>514</v>
      </c>
      <c r="C505" s="1" t="s">
        <v>11</v>
      </c>
      <c r="D505" s="1" t="s">
        <v>11</v>
      </c>
      <c r="E505" s="1" t="s">
        <v>11</v>
      </c>
    </row>
    <row r="506" spans="1:5" ht="15.75" customHeight="1">
      <c r="A506" s="1">
        <v>151229</v>
      </c>
      <c r="B506" s="1" t="s">
        <v>515</v>
      </c>
      <c r="C506" s="1" t="s">
        <v>11</v>
      </c>
      <c r="D506" s="1" t="s">
        <v>11</v>
      </c>
      <c r="E506" s="1" t="s">
        <v>11</v>
      </c>
    </row>
    <row r="507" spans="1:5" ht="15.75" customHeight="1">
      <c r="A507" s="1">
        <v>151311</v>
      </c>
      <c r="B507" s="1" t="s">
        <v>516</v>
      </c>
      <c r="C507" s="1" t="s">
        <v>11</v>
      </c>
      <c r="D507" s="1" t="s">
        <v>11</v>
      </c>
      <c r="E507" s="1" t="s">
        <v>11</v>
      </c>
    </row>
    <row r="508" spans="1:5" ht="15.75" customHeight="1">
      <c r="A508" s="1">
        <v>151319</v>
      </c>
      <c r="B508" s="1" t="s">
        <v>517</v>
      </c>
      <c r="C508" s="1" t="s">
        <v>11</v>
      </c>
      <c r="D508" s="1" t="s">
        <v>11</v>
      </c>
      <c r="E508" s="1" t="s">
        <v>11</v>
      </c>
    </row>
    <row r="509" spans="1:5" ht="15.75" customHeight="1">
      <c r="A509" s="1">
        <v>151321</v>
      </c>
      <c r="B509" s="1" t="s">
        <v>518</v>
      </c>
      <c r="C509" s="1" t="s">
        <v>11</v>
      </c>
      <c r="D509" s="1" t="s">
        <v>11</v>
      </c>
      <c r="E509" s="1" t="s">
        <v>11</v>
      </c>
    </row>
    <row r="510" spans="1:5" ht="15.75" customHeight="1">
      <c r="A510" s="1">
        <v>151329</v>
      </c>
      <c r="B510" s="1" t="s">
        <v>519</v>
      </c>
      <c r="C510" s="1" t="s">
        <v>11</v>
      </c>
      <c r="D510" s="1" t="s">
        <v>11</v>
      </c>
      <c r="E510" s="1" t="s">
        <v>11</v>
      </c>
    </row>
    <row r="511" spans="1:5" ht="15.75" customHeight="1">
      <c r="A511" s="1">
        <v>151411</v>
      </c>
      <c r="B511" s="1" t="s">
        <v>520</v>
      </c>
      <c r="C511" s="1" t="s">
        <v>11</v>
      </c>
      <c r="D511" s="1" t="s">
        <v>11</v>
      </c>
      <c r="E511" s="1" t="s">
        <v>11</v>
      </c>
    </row>
    <row r="512" spans="1:5" ht="15.75" customHeight="1">
      <c r="A512" s="1">
        <v>151419</v>
      </c>
      <c r="B512" s="1" t="s">
        <v>521</v>
      </c>
      <c r="C512" s="1" t="s">
        <v>11</v>
      </c>
      <c r="D512" s="1" t="s">
        <v>11</v>
      </c>
      <c r="E512" s="1" t="s">
        <v>11</v>
      </c>
    </row>
    <row r="513" spans="1:5" ht="15.75" customHeight="1">
      <c r="A513" s="1">
        <v>151491</v>
      </c>
      <c r="B513" s="1" t="s">
        <v>522</v>
      </c>
      <c r="C513" s="1" t="s">
        <v>11</v>
      </c>
      <c r="D513" s="1" t="s">
        <v>11</v>
      </c>
      <c r="E513" s="1" t="s">
        <v>11</v>
      </c>
    </row>
    <row r="514" spans="1:5" ht="15.75" customHeight="1">
      <c r="A514" s="1">
        <v>151499</v>
      </c>
      <c r="B514" s="1" t="s">
        <v>523</v>
      </c>
      <c r="C514" s="1" t="s">
        <v>11</v>
      </c>
      <c r="D514" s="1" t="s">
        <v>11</v>
      </c>
      <c r="E514" s="1" t="s">
        <v>11</v>
      </c>
    </row>
    <row r="515" spans="1:5" ht="15.75" customHeight="1">
      <c r="A515" s="1">
        <v>151511</v>
      </c>
      <c r="B515" s="1" t="s">
        <v>524</v>
      </c>
      <c r="C515" s="1" t="s">
        <v>11</v>
      </c>
      <c r="D515" s="1" t="s">
        <v>11</v>
      </c>
      <c r="E515" s="1" t="s">
        <v>11</v>
      </c>
    </row>
    <row r="516" spans="1:5" ht="15.75" customHeight="1">
      <c r="A516" s="1">
        <v>151519</v>
      </c>
      <c r="B516" s="1" t="s">
        <v>525</v>
      </c>
      <c r="C516" s="1" t="s">
        <v>11</v>
      </c>
      <c r="D516" s="1" t="s">
        <v>11</v>
      </c>
      <c r="E516" s="1" t="s">
        <v>11</v>
      </c>
    </row>
    <row r="517" spans="1:5" ht="15.75" customHeight="1">
      <c r="A517" s="1">
        <v>151521</v>
      </c>
      <c r="B517" s="1" t="s">
        <v>526</v>
      </c>
      <c r="C517" s="1" t="s">
        <v>11</v>
      </c>
      <c r="D517" s="1" t="s">
        <v>11</v>
      </c>
      <c r="E517" s="1" t="s">
        <v>11</v>
      </c>
    </row>
    <row r="518" spans="1:5" ht="15.75" customHeight="1">
      <c r="A518" s="1">
        <v>151529</v>
      </c>
      <c r="B518" s="1" t="s">
        <v>527</v>
      </c>
      <c r="C518" s="1" t="s">
        <v>11</v>
      </c>
      <c r="D518" s="1" t="s">
        <v>11</v>
      </c>
      <c r="E518" s="1" t="s">
        <v>11</v>
      </c>
    </row>
    <row r="519" spans="1:5" ht="15.75" customHeight="1">
      <c r="A519" s="1">
        <v>151530</v>
      </c>
      <c r="B519" s="1" t="s">
        <v>528</v>
      </c>
      <c r="C519" s="1" t="s">
        <v>11</v>
      </c>
      <c r="D519" s="1" t="s">
        <v>11</v>
      </c>
      <c r="E519" s="1" t="s">
        <v>11</v>
      </c>
    </row>
    <row r="520" spans="1:5" ht="15.75" customHeight="1">
      <c r="A520" s="1">
        <v>151550</v>
      </c>
      <c r="B520" s="1" t="s">
        <v>529</v>
      </c>
      <c r="C520" s="1" t="s">
        <v>11</v>
      </c>
      <c r="D520" s="1" t="s">
        <v>11</v>
      </c>
      <c r="E520" s="1" t="s">
        <v>11</v>
      </c>
    </row>
    <row r="521" spans="1:5" ht="15.75" customHeight="1">
      <c r="A521" s="1">
        <v>151590</v>
      </c>
      <c r="B521" s="1" t="s">
        <v>530</v>
      </c>
      <c r="C521" s="1" t="s">
        <v>11</v>
      </c>
      <c r="D521" s="1" t="s">
        <v>11</v>
      </c>
      <c r="E521" s="1" t="s">
        <v>11</v>
      </c>
    </row>
    <row r="522" spans="1:5" ht="15.75" customHeight="1">
      <c r="A522" s="1">
        <v>151610</v>
      </c>
      <c r="B522" s="1" t="s">
        <v>531</v>
      </c>
      <c r="C522" s="1" t="s">
        <v>11</v>
      </c>
      <c r="D522" s="1" t="s">
        <v>11</v>
      </c>
      <c r="E522" s="1" t="s">
        <v>11</v>
      </c>
    </row>
    <row r="523" spans="1:5" ht="15.75" customHeight="1">
      <c r="A523" s="1">
        <v>151620</v>
      </c>
      <c r="B523" s="1" t="s">
        <v>532</v>
      </c>
      <c r="C523" s="1" t="s">
        <v>11</v>
      </c>
      <c r="D523" s="1" t="s">
        <v>11</v>
      </c>
      <c r="E523" s="1" t="s">
        <v>11</v>
      </c>
    </row>
    <row r="524" spans="1:5" ht="15.75" customHeight="1">
      <c r="A524" s="1">
        <v>151710</v>
      </c>
      <c r="B524" s="1" t="s">
        <v>533</v>
      </c>
      <c r="C524" s="1" t="s">
        <v>11</v>
      </c>
      <c r="D524" s="1" t="s">
        <v>11</v>
      </c>
      <c r="E524" s="1" t="s">
        <v>11</v>
      </c>
    </row>
    <row r="525" spans="1:5" ht="15.75" customHeight="1">
      <c r="A525" s="1">
        <v>151790</v>
      </c>
      <c r="B525" s="1" t="s">
        <v>534</v>
      </c>
      <c r="C525" s="1" t="s">
        <v>11</v>
      </c>
      <c r="D525" s="1" t="s">
        <v>11</v>
      </c>
      <c r="E525" s="1" t="s">
        <v>11</v>
      </c>
    </row>
    <row r="526" spans="1:5" ht="15.75" customHeight="1">
      <c r="A526" s="1">
        <v>151800</v>
      </c>
      <c r="B526" s="1" t="s">
        <v>535</v>
      </c>
      <c r="C526" s="1" t="s">
        <v>11</v>
      </c>
      <c r="D526" s="1" t="s">
        <v>11</v>
      </c>
      <c r="E526" s="1" t="s">
        <v>11</v>
      </c>
    </row>
    <row r="527" spans="1:5" ht="15.75" customHeight="1">
      <c r="A527" s="1">
        <v>152000</v>
      </c>
      <c r="B527" s="1" t="s">
        <v>536</v>
      </c>
      <c r="C527" s="1" t="s">
        <v>11</v>
      </c>
      <c r="D527" s="1" t="s">
        <v>11</v>
      </c>
      <c r="E527" s="1" t="s">
        <v>11</v>
      </c>
    </row>
    <row r="528" spans="1:5" ht="15.75" customHeight="1">
      <c r="A528" s="1">
        <v>152110</v>
      </c>
      <c r="B528" s="1" t="s">
        <v>537</v>
      </c>
      <c r="C528" s="1" t="s">
        <v>11</v>
      </c>
      <c r="D528" s="1" t="s">
        <v>11</v>
      </c>
      <c r="E528" s="1" t="s">
        <v>11</v>
      </c>
    </row>
    <row r="529" spans="1:5" ht="15.75" customHeight="1">
      <c r="A529" s="1">
        <v>152190</v>
      </c>
      <c r="B529" s="1" t="s">
        <v>538</v>
      </c>
      <c r="C529" s="1" t="s">
        <v>11</v>
      </c>
      <c r="D529" s="1" t="s">
        <v>11</v>
      </c>
      <c r="E529" s="1" t="s">
        <v>11</v>
      </c>
    </row>
    <row r="530" spans="1:5" ht="15.75" customHeight="1">
      <c r="A530" s="1">
        <v>152200</v>
      </c>
      <c r="B530" s="1" t="s">
        <v>539</v>
      </c>
      <c r="C530" s="1" t="s">
        <v>11</v>
      </c>
      <c r="D530" s="1" t="s">
        <v>11</v>
      </c>
      <c r="E530" s="1" t="s">
        <v>11</v>
      </c>
    </row>
    <row r="531" spans="1:5" ht="15.75" customHeight="1">
      <c r="A531" s="1">
        <v>160100</v>
      </c>
      <c r="B531" s="1" t="s">
        <v>540</v>
      </c>
      <c r="C531" s="1" t="s">
        <v>11</v>
      </c>
      <c r="D531" s="1" t="s">
        <v>11</v>
      </c>
      <c r="E531" s="1" t="s">
        <v>11</v>
      </c>
    </row>
    <row r="532" spans="1:5" ht="15.75" customHeight="1">
      <c r="A532" s="1">
        <v>160210</v>
      </c>
      <c r="B532" s="1" t="s">
        <v>541</v>
      </c>
      <c r="C532" s="1" t="s">
        <v>11</v>
      </c>
      <c r="D532" s="1" t="s">
        <v>11</v>
      </c>
      <c r="E532" s="1" t="s">
        <v>11</v>
      </c>
    </row>
    <row r="533" spans="1:5" ht="15.75" customHeight="1">
      <c r="A533" s="1">
        <v>160220</v>
      </c>
      <c r="B533" s="1" t="s">
        <v>542</v>
      </c>
      <c r="C533" s="1" t="s">
        <v>11</v>
      </c>
      <c r="D533" s="1" t="s">
        <v>11</v>
      </c>
      <c r="E533" s="1" t="s">
        <v>11</v>
      </c>
    </row>
    <row r="534" spans="1:5" ht="15.75" customHeight="1">
      <c r="A534" s="1">
        <v>160231</v>
      </c>
      <c r="B534" s="1" t="s">
        <v>543</v>
      </c>
      <c r="C534" s="1" t="s">
        <v>11</v>
      </c>
      <c r="D534" s="1" t="s">
        <v>11</v>
      </c>
      <c r="E534" s="1" t="s">
        <v>11</v>
      </c>
    </row>
    <row r="535" spans="1:5" ht="15.75" customHeight="1">
      <c r="A535" s="1">
        <v>160232</v>
      </c>
      <c r="B535" s="1" t="s">
        <v>544</v>
      </c>
      <c r="C535" s="1" t="s">
        <v>11</v>
      </c>
      <c r="D535" s="1" t="s">
        <v>11</v>
      </c>
      <c r="E535" s="1" t="s">
        <v>11</v>
      </c>
    </row>
    <row r="536" spans="1:5" ht="15.75" customHeight="1">
      <c r="A536" s="1">
        <v>160239</v>
      </c>
      <c r="B536" s="1" t="s">
        <v>545</v>
      </c>
      <c r="C536" s="1" t="s">
        <v>11</v>
      </c>
      <c r="D536" s="1" t="s">
        <v>11</v>
      </c>
      <c r="E536" s="1" t="s">
        <v>11</v>
      </c>
    </row>
    <row r="537" spans="1:5" ht="15.75" customHeight="1">
      <c r="A537" s="1">
        <v>160241</v>
      </c>
      <c r="B537" s="1" t="s">
        <v>546</v>
      </c>
      <c r="C537" s="1" t="s">
        <v>11</v>
      </c>
      <c r="D537" s="1" t="s">
        <v>11</v>
      </c>
      <c r="E537" s="1" t="s">
        <v>11</v>
      </c>
    </row>
    <row r="538" spans="1:5" ht="15.75" customHeight="1">
      <c r="A538" s="1">
        <v>160242</v>
      </c>
      <c r="B538" s="1" t="s">
        <v>547</v>
      </c>
      <c r="C538" s="1" t="s">
        <v>11</v>
      </c>
      <c r="D538" s="1" t="s">
        <v>11</v>
      </c>
      <c r="E538" s="1" t="s">
        <v>11</v>
      </c>
    </row>
    <row r="539" spans="1:5" ht="15.75" customHeight="1">
      <c r="A539" s="1">
        <v>160249</v>
      </c>
      <c r="B539" s="1" t="s">
        <v>548</v>
      </c>
      <c r="C539" s="1" t="s">
        <v>11</v>
      </c>
      <c r="D539" s="1" t="s">
        <v>11</v>
      </c>
      <c r="E539" s="1" t="s">
        <v>11</v>
      </c>
    </row>
    <row r="540" spans="1:5" ht="15.75" customHeight="1">
      <c r="A540" s="1">
        <v>160250</v>
      </c>
      <c r="B540" s="1" t="s">
        <v>549</v>
      </c>
      <c r="C540" s="1" t="s">
        <v>11</v>
      </c>
      <c r="D540" s="1" t="s">
        <v>11</v>
      </c>
      <c r="E540" s="1" t="s">
        <v>11</v>
      </c>
    </row>
    <row r="541" spans="1:5" ht="15.75" customHeight="1">
      <c r="A541" s="1">
        <v>160290</v>
      </c>
      <c r="B541" s="1" t="s">
        <v>550</v>
      </c>
      <c r="C541" s="1" t="s">
        <v>11</v>
      </c>
      <c r="D541" s="1" t="s">
        <v>11</v>
      </c>
      <c r="E541" s="1" t="s">
        <v>11</v>
      </c>
    </row>
    <row r="542" spans="1:5" ht="15.75" customHeight="1">
      <c r="A542" s="1">
        <v>160300</v>
      </c>
      <c r="B542" s="1" t="s">
        <v>551</v>
      </c>
      <c r="C542" s="1" t="s">
        <v>11</v>
      </c>
      <c r="D542" s="1" t="s">
        <v>11</v>
      </c>
      <c r="E542" s="1" t="s">
        <v>11</v>
      </c>
    </row>
    <row r="543" spans="1:5" ht="15.75" customHeight="1">
      <c r="A543" s="1">
        <v>160411</v>
      </c>
      <c r="B543" s="1" t="s">
        <v>552</v>
      </c>
      <c r="C543" s="1" t="s">
        <v>11</v>
      </c>
      <c r="D543" s="1" t="s">
        <v>11</v>
      </c>
      <c r="E543" s="1" t="s">
        <v>11</v>
      </c>
    </row>
    <row r="544" spans="1:5" ht="15.75" customHeight="1">
      <c r="A544" s="1">
        <v>160412</v>
      </c>
      <c r="B544" s="1" t="s">
        <v>553</v>
      </c>
      <c r="C544" s="1" t="s">
        <v>11</v>
      </c>
      <c r="D544" s="1" t="s">
        <v>11</v>
      </c>
      <c r="E544" s="1" t="s">
        <v>11</v>
      </c>
    </row>
    <row r="545" spans="1:5" ht="15.75" customHeight="1">
      <c r="A545" s="1">
        <v>160413</v>
      </c>
      <c r="B545" s="1" t="s">
        <v>554</v>
      </c>
      <c r="C545" s="1" t="s">
        <v>11</v>
      </c>
      <c r="D545" s="1" t="s">
        <v>11</v>
      </c>
      <c r="E545" s="1" t="s">
        <v>11</v>
      </c>
    </row>
    <row r="546" spans="1:5" ht="15.75" customHeight="1">
      <c r="A546" s="1">
        <v>160414</v>
      </c>
      <c r="B546" s="1" t="s">
        <v>555</v>
      </c>
      <c r="C546" s="1" t="s">
        <v>11</v>
      </c>
      <c r="D546" s="1" t="s">
        <v>11</v>
      </c>
      <c r="E546" s="1" t="s">
        <v>11</v>
      </c>
    </row>
    <row r="547" spans="1:5" ht="15.75" customHeight="1">
      <c r="A547" s="1">
        <v>160415</v>
      </c>
      <c r="B547" s="1" t="s">
        <v>556</v>
      </c>
      <c r="C547" s="1" t="s">
        <v>11</v>
      </c>
      <c r="D547" s="1" t="s">
        <v>11</v>
      </c>
      <c r="E547" s="1" t="s">
        <v>11</v>
      </c>
    </row>
    <row r="548" spans="1:5" ht="15.75" customHeight="1">
      <c r="A548" s="1">
        <v>160416</v>
      </c>
      <c r="B548" s="1" t="s">
        <v>557</v>
      </c>
      <c r="C548" s="1" t="s">
        <v>11</v>
      </c>
      <c r="D548" s="1" t="s">
        <v>11</v>
      </c>
      <c r="E548" s="1" t="s">
        <v>11</v>
      </c>
    </row>
    <row r="549" spans="1:5" ht="15.75" customHeight="1">
      <c r="A549" s="1">
        <v>160419</v>
      </c>
      <c r="B549" s="1" t="s">
        <v>558</v>
      </c>
      <c r="C549" s="1" t="s">
        <v>11</v>
      </c>
      <c r="D549" s="1" t="s">
        <v>11</v>
      </c>
      <c r="E549" s="1" t="s">
        <v>11</v>
      </c>
    </row>
    <row r="550" spans="1:5" ht="15.75" customHeight="1">
      <c r="A550" s="1">
        <v>160420</v>
      </c>
      <c r="B550" s="1" t="s">
        <v>559</v>
      </c>
      <c r="C550" s="1" t="s">
        <v>11</v>
      </c>
      <c r="D550" s="1" t="s">
        <v>11</v>
      </c>
      <c r="E550" s="1" t="s">
        <v>11</v>
      </c>
    </row>
    <row r="551" spans="1:5" ht="15.75" customHeight="1">
      <c r="A551" s="1">
        <v>160430</v>
      </c>
      <c r="B551" s="1" t="s">
        <v>560</v>
      </c>
      <c r="C551" s="1" t="s">
        <v>11</v>
      </c>
      <c r="D551" s="1" t="s">
        <v>11</v>
      </c>
      <c r="E551" s="1" t="s">
        <v>11</v>
      </c>
    </row>
    <row r="552" spans="1:5" ht="15.75" customHeight="1">
      <c r="A552" s="1">
        <v>160510</v>
      </c>
      <c r="B552" s="1" t="s">
        <v>561</v>
      </c>
      <c r="C552" s="1" t="s">
        <v>11</v>
      </c>
      <c r="D552" s="1" t="s">
        <v>11</v>
      </c>
      <c r="E552" s="1" t="s">
        <v>11</v>
      </c>
    </row>
    <row r="553" spans="1:5" ht="15.75" customHeight="1">
      <c r="A553" s="1">
        <v>160520</v>
      </c>
      <c r="B553" s="1" t="s">
        <v>562</v>
      </c>
      <c r="C553" s="1" t="s">
        <v>11</v>
      </c>
      <c r="D553" s="1" t="s">
        <v>11</v>
      </c>
      <c r="E553" s="1" t="s">
        <v>11</v>
      </c>
    </row>
    <row r="554" spans="1:5" ht="15.75" customHeight="1">
      <c r="A554" s="1">
        <v>160530</v>
      </c>
      <c r="B554" s="1" t="s">
        <v>563</v>
      </c>
      <c r="C554" s="1" t="s">
        <v>11</v>
      </c>
      <c r="D554" s="1" t="s">
        <v>11</v>
      </c>
      <c r="E554" s="1" t="s">
        <v>11</v>
      </c>
    </row>
    <row r="555" spans="1:5" ht="15.75" customHeight="1">
      <c r="A555" s="1">
        <v>160540</v>
      </c>
      <c r="B555" s="1" t="s">
        <v>564</v>
      </c>
      <c r="C555" s="1" t="s">
        <v>11</v>
      </c>
      <c r="D555" s="1" t="s">
        <v>11</v>
      </c>
      <c r="E555" s="1" t="s">
        <v>11</v>
      </c>
    </row>
    <row r="556" spans="1:5" ht="15.75" customHeight="1">
      <c r="A556" s="1">
        <v>160590</v>
      </c>
      <c r="B556" s="1" t="s">
        <v>565</v>
      </c>
      <c r="C556" s="1" t="s">
        <v>11</v>
      </c>
      <c r="D556" s="1" t="s">
        <v>11</v>
      </c>
      <c r="E556" s="1" t="s">
        <v>11</v>
      </c>
    </row>
    <row r="557" spans="1:5" ht="15.75" customHeight="1">
      <c r="A557" s="1">
        <v>170111</v>
      </c>
      <c r="B557" s="1" t="s">
        <v>566</v>
      </c>
      <c r="C557" s="1" t="s">
        <v>11</v>
      </c>
      <c r="D557" s="1" t="s">
        <v>11</v>
      </c>
      <c r="E557" s="1" t="s">
        <v>11</v>
      </c>
    </row>
    <row r="558" spans="1:5" ht="15.75" customHeight="1">
      <c r="A558" s="1">
        <v>170112</v>
      </c>
      <c r="B558" s="1" t="s">
        <v>567</v>
      </c>
      <c r="C558" s="1" t="s">
        <v>11</v>
      </c>
      <c r="D558" s="1" t="s">
        <v>11</v>
      </c>
      <c r="E558" s="1" t="s">
        <v>11</v>
      </c>
    </row>
    <row r="559" spans="1:5" ht="15.75" customHeight="1">
      <c r="A559" s="1">
        <v>170191</v>
      </c>
      <c r="B559" s="1" t="s">
        <v>568</v>
      </c>
      <c r="C559" s="1" t="s">
        <v>11</v>
      </c>
      <c r="D559" s="1" t="s">
        <v>11</v>
      </c>
      <c r="E559" s="1" t="s">
        <v>11</v>
      </c>
    </row>
    <row r="560" spans="1:5" ht="15.75" customHeight="1">
      <c r="A560" s="1">
        <v>170199</v>
      </c>
      <c r="B560" s="1" t="s">
        <v>569</v>
      </c>
      <c r="C560" s="1" t="s">
        <v>11</v>
      </c>
      <c r="D560" s="1" t="s">
        <v>11</v>
      </c>
      <c r="E560" s="1" t="s">
        <v>11</v>
      </c>
    </row>
    <row r="561" spans="1:5" ht="15.75" customHeight="1">
      <c r="A561" s="1">
        <v>170211</v>
      </c>
      <c r="B561" s="1" t="s">
        <v>570</v>
      </c>
      <c r="C561" s="1" t="s">
        <v>11</v>
      </c>
      <c r="D561" s="1" t="s">
        <v>11</v>
      </c>
      <c r="E561" s="1" t="s">
        <v>11</v>
      </c>
    </row>
    <row r="562" spans="1:5" ht="15.75" customHeight="1">
      <c r="A562" s="1">
        <v>170219</v>
      </c>
      <c r="B562" s="1" t="s">
        <v>571</v>
      </c>
      <c r="C562" s="1" t="s">
        <v>11</v>
      </c>
      <c r="D562" s="1" t="s">
        <v>11</v>
      </c>
      <c r="E562" s="1" t="s">
        <v>11</v>
      </c>
    </row>
    <row r="563" spans="1:5" ht="15.75" customHeight="1">
      <c r="A563" s="1">
        <v>170220</v>
      </c>
      <c r="B563" s="1" t="s">
        <v>572</v>
      </c>
      <c r="C563" s="1" t="s">
        <v>11</v>
      </c>
      <c r="D563" s="1" t="s">
        <v>11</v>
      </c>
      <c r="E563" s="1" t="s">
        <v>11</v>
      </c>
    </row>
    <row r="564" spans="1:5" ht="15.75" customHeight="1">
      <c r="A564" s="1">
        <v>170230</v>
      </c>
      <c r="B564" s="1" t="s">
        <v>573</v>
      </c>
      <c r="C564" s="1" t="s">
        <v>11</v>
      </c>
      <c r="D564" s="1" t="s">
        <v>11</v>
      </c>
      <c r="E564" s="1" t="s">
        <v>11</v>
      </c>
    </row>
    <row r="565" spans="1:5" ht="15.75" customHeight="1">
      <c r="A565" s="1">
        <v>170240</v>
      </c>
      <c r="B565" s="1" t="s">
        <v>574</v>
      </c>
      <c r="C565" s="1" t="s">
        <v>11</v>
      </c>
      <c r="D565" s="1" t="s">
        <v>11</v>
      </c>
      <c r="E565" s="1" t="s">
        <v>11</v>
      </c>
    </row>
    <row r="566" spans="1:5" ht="15.75" customHeight="1">
      <c r="A566" s="1">
        <v>170250</v>
      </c>
      <c r="B566" s="1" t="s">
        <v>575</v>
      </c>
      <c r="C566" s="1" t="s">
        <v>11</v>
      </c>
      <c r="D566" s="1" t="s">
        <v>11</v>
      </c>
      <c r="E566" s="1" t="s">
        <v>11</v>
      </c>
    </row>
    <row r="567" spans="1:5" ht="15.75" customHeight="1">
      <c r="A567" s="1">
        <v>170260</v>
      </c>
      <c r="B567" s="1" t="s">
        <v>576</v>
      </c>
      <c r="C567" s="1" t="s">
        <v>11</v>
      </c>
      <c r="D567" s="1" t="s">
        <v>11</v>
      </c>
      <c r="E567" s="1" t="s">
        <v>11</v>
      </c>
    </row>
    <row r="568" spans="1:5" ht="15.75" customHeight="1">
      <c r="A568" s="1">
        <v>170290</v>
      </c>
      <c r="B568" s="1" t="s">
        <v>577</v>
      </c>
      <c r="C568" s="1" t="s">
        <v>11</v>
      </c>
      <c r="D568" s="1" t="s">
        <v>11</v>
      </c>
      <c r="E568" s="1" t="s">
        <v>11</v>
      </c>
    </row>
    <row r="569" spans="1:5" ht="15.75" customHeight="1">
      <c r="A569" s="1">
        <v>170310</v>
      </c>
      <c r="B569" s="1" t="s">
        <v>578</v>
      </c>
      <c r="C569" s="1" t="s">
        <v>11</v>
      </c>
      <c r="D569" s="1" t="s">
        <v>11</v>
      </c>
      <c r="E569" s="1" t="s">
        <v>11</v>
      </c>
    </row>
    <row r="570" spans="1:5" ht="15.75" customHeight="1">
      <c r="A570" s="1">
        <v>170390</v>
      </c>
      <c r="B570" s="1" t="s">
        <v>579</v>
      </c>
      <c r="C570" s="1" t="s">
        <v>11</v>
      </c>
      <c r="D570" s="1" t="s">
        <v>11</v>
      </c>
      <c r="E570" s="1" t="s">
        <v>11</v>
      </c>
    </row>
    <row r="571" spans="1:5" ht="15.75" customHeight="1">
      <c r="A571" s="1">
        <v>170410</v>
      </c>
      <c r="B571" s="1" t="s">
        <v>580</v>
      </c>
      <c r="C571" s="1" t="s">
        <v>11</v>
      </c>
      <c r="D571" s="1" t="s">
        <v>11</v>
      </c>
      <c r="E571" s="1" t="s">
        <v>11</v>
      </c>
    </row>
    <row r="572" spans="1:5" ht="15.75" customHeight="1">
      <c r="A572" s="1">
        <v>170490</v>
      </c>
      <c r="B572" s="1" t="s">
        <v>581</v>
      </c>
      <c r="C572" s="1" t="s">
        <v>11</v>
      </c>
      <c r="D572" s="1" t="s">
        <v>11</v>
      </c>
      <c r="E572" s="1" t="s">
        <v>11</v>
      </c>
    </row>
    <row r="573" spans="1:5" ht="15.75" customHeight="1">
      <c r="A573" s="1">
        <v>180100</v>
      </c>
      <c r="B573" s="1" t="s">
        <v>582</v>
      </c>
      <c r="C573" s="1" t="s">
        <v>11</v>
      </c>
      <c r="D573" s="1" t="s">
        <v>11</v>
      </c>
      <c r="E573" s="1" t="s">
        <v>11</v>
      </c>
    </row>
    <row r="574" spans="1:5" ht="15.75" customHeight="1">
      <c r="A574" s="1">
        <v>180200</v>
      </c>
      <c r="B574" s="1" t="s">
        <v>583</v>
      </c>
      <c r="C574" s="1" t="s">
        <v>11</v>
      </c>
      <c r="D574" s="1" t="s">
        <v>11</v>
      </c>
      <c r="E574" s="1" t="s">
        <v>11</v>
      </c>
    </row>
    <row r="575" spans="1:5" ht="15.75" customHeight="1">
      <c r="A575" s="1">
        <v>180310</v>
      </c>
      <c r="B575" s="1" t="s">
        <v>584</v>
      </c>
      <c r="C575" s="1" t="s">
        <v>11</v>
      </c>
      <c r="D575" s="1" t="s">
        <v>11</v>
      </c>
      <c r="E575" s="1" t="s">
        <v>11</v>
      </c>
    </row>
    <row r="576" spans="1:5" ht="15.75" customHeight="1">
      <c r="A576" s="1">
        <v>180320</v>
      </c>
      <c r="B576" s="1" t="s">
        <v>585</v>
      </c>
      <c r="C576" s="1" t="s">
        <v>11</v>
      </c>
      <c r="D576" s="1" t="s">
        <v>11</v>
      </c>
      <c r="E576" s="1" t="s">
        <v>11</v>
      </c>
    </row>
    <row r="577" spans="1:5" ht="15.75" customHeight="1">
      <c r="A577" s="1">
        <v>180400</v>
      </c>
      <c r="B577" s="1" t="s">
        <v>586</v>
      </c>
      <c r="C577" s="1" t="s">
        <v>11</v>
      </c>
      <c r="D577" s="1" t="s">
        <v>11</v>
      </c>
      <c r="E577" s="1" t="s">
        <v>11</v>
      </c>
    </row>
    <row r="578" spans="1:5" ht="15.75" customHeight="1">
      <c r="A578" s="1">
        <v>180500</v>
      </c>
      <c r="B578" s="1" t="s">
        <v>587</v>
      </c>
      <c r="C578" s="1" t="s">
        <v>11</v>
      </c>
      <c r="D578" s="1" t="s">
        <v>11</v>
      </c>
      <c r="E578" s="1" t="s">
        <v>11</v>
      </c>
    </row>
    <row r="579" spans="1:5" ht="15.75" customHeight="1">
      <c r="A579" s="1">
        <v>180610</v>
      </c>
      <c r="B579" s="1" t="s">
        <v>588</v>
      </c>
      <c r="C579" s="1" t="s">
        <v>11</v>
      </c>
      <c r="D579" s="1" t="s">
        <v>11</v>
      </c>
      <c r="E579" s="1" t="s">
        <v>11</v>
      </c>
    </row>
    <row r="580" spans="1:5" ht="15.75" customHeight="1">
      <c r="A580" s="1">
        <v>180620</v>
      </c>
      <c r="B580" s="1" t="s">
        <v>589</v>
      </c>
      <c r="C580" s="1" t="s">
        <v>11</v>
      </c>
      <c r="D580" s="1" t="s">
        <v>11</v>
      </c>
      <c r="E580" s="1" t="s">
        <v>11</v>
      </c>
    </row>
    <row r="581" spans="1:5" ht="15.75" customHeight="1">
      <c r="A581" s="1">
        <v>180631</v>
      </c>
      <c r="B581" s="1" t="s">
        <v>590</v>
      </c>
      <c r="C581" s="1" t="s">
        <v>11</v>
      </c>
      <c r="D581" s="1" t="s">
        <v>11</v>
      </c>
      <c r="E581" s="1" t="s">
        <v>11</v>
      </c>
    </row>
    <row r="582" spans="1:5" ht="15.75" customHeight="1">
      <c r="A582" s="1">
        <v>180632</v>
      </c>
      <c r="B582" s="1" t="s">
        <v>591</v>
      </c>
      <c r="C582" s="1" t="s">
        <v>11</v>
      </c>
      <c r="D582" s="1" t="s">
        <v>11</v>
      </c>
      <c r="E582" s="1" t="s">
        <v>11</v>
      </c>
    </row>
    <row r="583" spans="1:5" ht="15.75" customHeight="1">
      <c r="A583" s="1">
        <v>180690</v>
      </c>
      <c r="B583" s="1" t="s">
        <v>592</v>
      </c>
      <c r="C583" s="1" t="s">
        <v>11</v>
      </c>
      <c r="D583" s="1" t="s">
        <v>11</v>
      </c>
      <c r="E583" s="1" t="s">
        <v>11</v>
      </c>
    </row>
    <row r="584" spans="1:5" ht="15.75" customHeight="1">
      <c r="A584" s="1">
        <v>190110</v>
      </c>
      <c r="B584" s="1" t="s">
        <v>593</v>
      </c>
      <c r="C584" s="1" t="s">
        <v>11</v>
      </c>
      <c r="D584" s="1" t="s">
        <v>11</v>
      </c>
      <c r="E584" s="1" t="s">
        <v>11</v>
      </c>
    </row>
    <row r="585" spans="1:5" ht="15.75" customHeight="1">
      <c r="A585" s="1">
        <v>190120</v>
      </c>
      <c r="B585" s="1" t="s">
        <v>594</v>
      </c>
      <c r="C585" s="1" t="s">
        <v>11</v>
      </c>
      <c r="D585" s="1" t="s">
        <v>11</v>
      </c>
      <c r="E585" s="1" t="s">
        <v>11</v>
      </c>
    </row>
    <row r="586" spans="1:5" ht="15.75" customHeight="1">
      <c r="A586" s="1">
        <v>190190</v>
      </c>
      <c r="B586" s="1" t="s">
        <v>595</v>
      </c>
      <c r="C586" s="1" t="s">
        <v>11</v>
      </c>
      <c r="D586" s="1" t="s">
        <v>11</v>
      </c>
      <c r="E586" s="1" t="s">
        <v>11</v>
      </c>
    </row>
    <row r="587" spans="1:5" ht="15.75" customHeight="1">
      <c r="A587" s="1">
        <v>190211</v>
      </c>
      <c r="B587" s="1" t="s">
        <v>596</v>
      </c>
      <c r="C587" s="1" t="s">
        <v>11</v>
      </c>
      <c r="D587" s="1" t="s">
        <v>11</v>
      </c>
      <c r="E587" s="1" t="s">
        <v>11</v>
      </c>
    </row>
    <row r="588" spans="1:5" ht="15.75" customHeight="1">
      <c r="A588" s="1">
        <v>190219</v>
      </c>
      <c r="B588" s="1" t="s">
        <v>597</v>
      </c>
      <c r="C588" s="1" t="s">
        <v>11</v>
      </c>
      <c r="D588" s="1" t="s">
        <v>11</v>
      </c>
      <c r="E588" s="1" t="s">
        <v>11</v>
      </c>
    </row>
    <row r="589" spans="1:5" ht="15.75" customHeight="1">
      <c r="A589" s="1">
        <v>190220</v>
      </c>
      <c r="B589" s="1" t="s">
        <v>598</v>
      </c>
      <c r="C589" s="1" t="s">
        <v>11</v>
      </c>
      <c r="D589" s="1" t="s">
        <v>11</v>
      </c>
      <c r="E589" s="1" t="s">
        <v>11</v>
      </c>
    </row>
    <row r="590" spans="1:5" ht="15.75" customHeight="1">
      <c r="A590" s="1">
        <v>190230</v>
      </c>
      <c r="B590" s="1" t="s">
        <v>599</v>
      </c>
      <c r="C590" s="1" t="s">
        <v>11</v>
      </c>
      <c r="D590" s="1" t="s">
        <v>11</v>
      </c>
      <c r="E590" s="1" t="s">
        <v>11</v>
      </c>
    </row>
    <row r="591" spans="1:5" ht="15.75" customHeight="1">
      <c r="A591" s="1">
        <v>190240</v>
      </c>
      <c r="B591" s="1" t="s">
        <v>600</v>
      </c>
      <c r="C591" s="1" t="s">
        <v>11</v>
      </c>
      <c r="D591" s="1" t="s">
        <v>11</v>
      </c>
      <c r="E591" s="1" t="s">
        <v>11</v>
      </c>
    </row>
    <row r="592" spans="1:5" ht="15.75" customHeight="1">
      <c r="A592" s="1">
        <v>190300</v>
      </c>
      <c r="B592" s="1" t="s">
        <v>601</v>
      </c>
      <c r="C592" s="1" t="s">
        <v>11</v>
      </c>
      <c r="D592" s="1" t="s">
        <v>11</v>
      </c>
      <c r="E592" s="1" t="s">
        <v>11</v>
      </c>
    </row>
    <row r="593" spans="1:5" ht="15.75" customHeight="1">
      <c r="A593" s="1">
        <v>190410</v>
      </c>
      <c r="B593" s="1" t="s">
        <v>602</v>
      </c>
      <c r="C593" s="1" t="s">
        <v>11</v>
      </c>
      <c r="D593" s="1" t="s">
        <v>11</v>
      </c>
      <c r="E593" s="1" t="s">
        <v>11</v>
      </c>
    </row>
    <row r="594" spans="1:5" ht="15.75" customHeight="1">
      <c r="A594" s="1">
        <v>190420</v>
      </c>
      <c r="B594" s="1" t="s">
        <v>603</v>
      </c>
      <c r="C594" s="1" t="s">
        <v>11</v>
      </c>
      <c r="D594" s="1" t="s">
        <v>11</v>
      </c>
      <c r="E594" s="1" t="s">
        <v>11</v>
      </c>
    </row>
    <row r="595" spans="1:5" ht="15.75" customHeight="1">
      <c r="A595" s="1">
        <v>190430</v>
      </c>
      <c r="B595" s="1" t="s">
        <v>604</v>
      </c>
      <c r="C595" s="1" t="s">
        <v>11</v>
      </c>
      <c r="D595" s="1" t="s">
        <v>11</v>
      </c>
      <c r="E595" s="1" t="s">
        <v>11</v>
      </c>
    </row>
    <row r="596" spans="1:5" ht="15.75" customHeight="1">
      <c r="A596" s="1">
        <v>190490</v>
      </c>
      <c r="B596" s="1" t="s">
        <v>605</v>
      </c>
      <c r="C596" s="1" t="s">
        <v>11</v>
      </c>
      <c r="D596" s="1" t="s">
        <v>11</v>
      </c>
      <c r="E596" s="1" t="s">
        <v>11</v>
      </c>
    </row>
    <row r="597" spans="1:5" ht="15.75" customHeight="1">
      <c r="A597" s="1">
        <v>190510</v>
      </c>
      <c r="B597" s="1" t="s">
        <v>606</v>
      </c>
      <c r="C597" s="1" t="s">
        <v>11</v>
      </c>
      <c r="D597" s="1" t="s">
        <v>11</v>
      </c>
      <c r="E597" s="1" t="s">
        <v>11</v>
      </c>
    </row>
    <row r="598" spans="1:5" ht="15.75" customHeight="1">
      <c r="A598" s="1">
        <v>190520</v>
      </c>
      <c r="B598" s="1" t="s">
        <v>607</v>
      </c>
      <c r="C598" s="1" t="s">
        <v>11</v>
      </c>
      <c r="D598" s="1" t="s">
        <v>11</v>
      </c>
      <c r="E598" s="1" t="s">
        <v>11</v>
      </c>
    </row>
    <row r="599" spans="1:5" ht="15.75" customHeight="1">
      <c r="A599" s="1">
        <v>190531</v>
      </c>
      <c r="B599" s="1" t="s">
        <v>608</v>
      </c>
      <c r="C599" s="1" t="s">
        <v>11</v>
      </c>
      <c r="D599" s="1" t="s">
        <v>11</v>
      </c>
      <c r="E599" s="1" t="s">
        <v>11</v>
      </c>
    </row>
    <row r="600" spans="1:5" ht="15.75" customHeight="1">
      <c r="A600" s="1">
        <v>190532</v>
      </c>
      <c r="B600" s="1" t="s">
        <v>609</v>
      </c>
      <c r="C600" s="1" t="s">
        <v>11</v>
      </c>
      <c r="D600" s="1" t="s">
        <v>11</v>
      </c>
      <c r="E600" s="1" t="s">
        <v>11</v>
      </c>
    </row>
    <row r="601" spans="1:5" ht="15.75" customHeight="1">
      <c r="A601" s="1">
        <v>190540</v>
      </c>
      <c r="B601" s="1" t="s">
        <v>610</v>
      </c>
      <c r="C601" s="1" t="s">
        <v>11</v>
      </c>
      <c r="D601" s="1" t="s">
        <v>11</v>
      </c>
      <c r="E601" s="1" t="s">
        <v>11</v>
      </c>
    </row>
    <row r="602" spans="1:5" ht="15.75" customHeight="1">
      <c r="A602" s="1">
        <v>190590</v>
      </c>
      <c r="B602" s="1" t="s">
        <v>611</v>
      </c>
      <c r="C602" s="1" t="s">
        <v>11</v>
      </c>
      <c r="D602" s="1" t="s">
        <v>11</v>
      </c>
      <c r="E602" s="1" t="s">
        <v>11</v>
      </c>
    </row>
    <row r="603" spans="1:5" ht="15.75" customHeight="1">
      <c r="A603" s="1">
        <v>200110</v>
      </c>
      <c r="B603" s="1" t="s">
        <v>612</v>
      </c>
      <c r="C603" s="1" t="s">
        <v>11</v>
      </c>
      <c r="D603" s="1" t="s">
        <v>11</v>
      </c>
      <c r="E603" s="1" t="s">
        <v>11</v>
      </c>
    </row>
    <row r="604" spans="1:5" ht="15.75" customHeight="1">
      <c r="A604" s="1">
        <v>200190</v>
      </c>
      <c r="B604" s="1" t="s">
        <v>613</v>
      </c>
      <c r="C604" s="1" t="s">
        <v>11</v>
      </c>
      <c r="D604" s="1" t="s">
        <v>11</v>
      </c>
      <c r="E604" s="1" t="s">
        <v>11</v>
      </c>
    </row>
    <row r="605" spans="1:5" ht="15.75" customHeight="1">
      <c r="A605" s="1">
        <v>200210</v>
      </c>
      <c r="B605" s="1" t="s">
        <v>614</v>
      </c>
      <c r="C605" s="1" t="s">
        <v>11</v>
      </c>
      <c r="D605" s="1" t="s">
        <v>11</v>
      </c>
      <c r="E605" s="1" t="s">
        <v>11</v>
      </c>
    </row>
    <row r="606" spans="1:5" ht="15.75" customHeight="1">
      <c r="A606" s="1">
        <v>200290</v>
      </c>
      <c r="B606" s="1" t="s">
        <v>615</v>
      </c>
      <c r="C606" s="1" t="s">
        <v>11</v>
      </c>
      <c r="D606" s="1" t="s">
        <v>11</v>
      </c>
      <c r="E606" s="1" t="s">
        <v>11</v>
      </c>
    </row>
    <row r="607" spans="1:5" ht="15.75" customHeight="1">
      <c r="A607" s="1">
        <v>200310</v>
      </c>
      <c r="B607" s="1" t="s">
        <v>616</v>
      </c>
      <c r="C607" s="1" t="s">
        <v>11</v>
      </c>
      <c r="D607" s="1" t="s">
        <v>11</v>
      </c>
      <c r="E607" s="1" t="s">
        <v>11</v>
      </c>
    </row>
    <row r="608" spans="1:5" ht="15.75" customHeight="1">
      <c r="A608" s="1">
        <v>200320</v>
      </c>
      <c r="B608" s="1" t="s">
        <v>617</v>
      </c>
      <c r="C608" s="1" t="s">
        <v>11</v>
      </c>
      <c r="D608" s="1" t="s">
        <v>11</v>
      </c>
      <c r="E608" s="1" t="s">
        <v>11</v>
      </c>
    </row>
    <row r="609" spans="1:5" ht="15.75" customHeight="1">
      <c r="A609" s="1">
        <v>200390</v>
      </c>
      <c r="B609" s="1" t="s">
        <v>618</v>
      </c>
      <c r="C609" s="1" t="s">
        <v>11</v>
      </c>
      <c r="D609" s="1" t="s">
        <v>11</v>
      </c>
      <c r="E609" s="1" t="s">
        <v>11</v>
      </c>
    </row>
    <row r="610" spans="1:5" ht="15.75" customHeight="1">
      <c r="A610" s="1">
        <v>200410</v>
      </c>
      <c r="B610" s="1" t="s">
        <v>619</v>
      </c>
      <c r="C610" s="1" t="s">
        <v>11</v>
      </c>
      <c r="D610" s="1" t="s">
        <v>11</v>
      </c>
      <c r="E610" s="1" t="s">
        <v>11</v>
      </c>
    </row>
    <row r="611" spans="1:5" ht="15.75" customHeight="1">
      <c r="A611" s="1">
        <v>200490</v>
      </c>
      <c r="B611" s="1" t="s">
        <v>620</v>
      </c>
      <c r="C611" s="1" t="s">
        <v>11</v>
      </c>
      <c r="D611" s="1" t="s">
        <v>11</v>
      </c>
      <c r="E611" s="1" t="s">
        <v>11</v>
      </c>
    </row>
    <row r="612" spans="1:5" ht="15.75" customHeight="1">
      <c r="A612" s="1">
        <v>200510</v>
      </c>
      <c r="B612" s="1" t="s">
        <v>621</v>
      </c>
      <c r="C612" s="1" t="s">
        <v>11</v>
      </c>
      <c r="D612" s="1" t="s">
        <v>11</v>
      </c>
      <c r="E612" s="1" t="s">
        <v>11</v>
      </c>
    </row>
    <row r="613" spans="1:5" ht="15.75" customHeight="1">
      <c r="A613" s="1">
        <v>200520</v>
      </c>
      <c r="B613" s="1" t="s">
        <v>622</v>
      </c>
      <c r="C613" s="1" t="s">
        <v>11</v>
      </c>
      <c r="D613" s="1" t="s">
        <v>11</v>
      </c>
      <c r="E613" s="1" t="s">
        <v>11</v>
      </c>
    </row>
    <row r="614" spans="1:5" ht="15.75" customHeight="1">
      <c r="A614" s="1">
        <v>200540</v>
      </c>
      <c r="B614" s="1" t="s">
        <v>623</v>
      </c>
      <c r="C614" s="1" t="s">
        <v>11</v>
      </c>
      <c r="D614" s="1" t="s">
        <v>11</v>
      </c>
      <c r="E614" s="1" t="s">
        <v>11</v>
      </c>
    </row>
    <row r="615" spans="1:5" ht="15.75" customHeight="1">
      <c r="A615" s="1">
        <v>200551</v>
      </c>
      <c r="B615" s="1" t="s">
        <v>624</v>
      </c>
      <c r="C615" s="1" t="s">
        <v>11</v>
      </c>
      <c r="D615" s="1" t="s">
        <v>11</v>
      </c>
      <c r="E615" s="1" t="s">
        <v>11</v>
      </c>
    </row>
    <row r="616" spans="1:5" ht="15.75" customHeight="1">
      <c r="A616" s="1">
        <v>200559</v>
      </c>
      <c r="B616" s="1" t="s">
        <v>625</v>
      </c>
      <c r="C616" s="1" t="s">
        <v>11</v>
      </c>
      <c r="D616" s="1" t="s">
        <v>11</v>
      </c>
      <c r="E616" s="1" t="s">
        <v>11</v>
      </c>
    </row>
    <row r="617" spans="1:5" ht="15.75" customHeight="1">
      <c r="A617" s="1">
        <v>200560</v>
      </c>
      <c r="B617" s="1" t="s">
        <v>626</v>
      </c>
      <c r="C617" s="1" t="s">
        <v>11</v>
      </c>
      <c r="D617" s="1" t="s">
        <v>11</v>
      </c>
      <c r="E617" s="1" t="s">
        <v>11</v>
      </c>
    </row>
    <row r="618" spans="1:5" ht="15.75" customHeight="1">
      <c r="A618" s="1">
        <v>200570</v>
      </c>
      <c r="B618" s="1" t="s">
        <v>627</v>
      </c>
      <c r="C618" s="1" t="s">
        <v>11</v>
      </c>
      <c r="D618" s="1" t="s">
        <v>11</v>
      </c>
      <c r="E618" s="1" t="s">
        <v>11</v>
      </c>
    </row>
    <row r="619" spans="1:5" ht="15.75" customHeight="1">
      <c r="A619" s="1">
        <v>200580</v>
      </c>
      <c r="B619" s="1" t="s">
        <v>628</v>
      </c>
      <c r="C619" s="1" t="s">
        <v>11</v>
      </c>
      <c r="D619" s="1" t="s">
        <v>11</v>
      </c>
      <c r="E619" s="1" t="s">
        <v>11</v>
      </c>
    </row>
    <row r="620" spans="1:5" ht="15.75" customHeight="1">
      <c r="A620" s="1">
        <v>200591</v>
      </c>
      <c r="B620" s="1" t="s">
        <v>629</v>
      </c>
      <c r="C620" s="1" t="s">
        <v>11</v>
      </c>
      <c r="D620" s="1" t="s">
        <v>11</v>
      </c>
      <c r="E620" s="1" t="s">
        <v>11</v>
      </c>
    </row>
    <row r="621" spans="1:5" ht="15.75" customHeight="1">
      <c r="A621" s="1">
        <v>200599</v>
      </c>
      <c r="B621" s="1" t="s">
        <v>630</v>
      </c>
      <c r="C621" s="1" t="s">
        <v>11</v>
      </c>
      <c r="D621" s="1" t="s">
        <v>11</v>
      </c>
      <c r="E621" s="1" t="s">
        <v>11</v>
      </c>
    </row>
    <row r="622" spans="1:5" ht="15.75" customHeight="1">
      <c r="A622" s="1">
        <v>200600</v>
      </c>
      <c r="B622" s="1" t="s">
        <v>631</v>
      </c>
      <c r="C622" s="1" t="s">
        <v>11</v>
      </c>
      <c r="D622" s="1" t="s">
        <v>11</v>
      </c>
      <c r="E622" s="1" t="s">
        <v>11</v>
      </c>
    </row>
    <row r="623" spans="1:5" ht="15.75" customHeight="1">
      <c r="A623" s="1">
        <v>200710</v>
      </c>
      <c r="B623" s="1" t="s">
        <v>632</v>
      </c>
      <c r="C623" s="1" t="s">
        <v>11</v>
      </c>
      <c r="D623" s="1" t="s">
        <v>11</v>
      </c>
      <c r="E623" s="1" t="s">
        <v>11</v>
      </c>
    </row>
    <row r="624" spans="1:5" ht="15.75" customHeight="1">
      <c r="A624" s="1">
        <v>200791</v>
      </c>
      <c r="B624" s="1" t="s">
        <v>633</v>
      </c>
      <c r="C624" s="1" t="s">
        <v>11</v>
      </c>
      <c r="D624" s="1" t="s">
        <v>11</v>
      </c>
      <c r="E624" s="1" t="s">
        <v>11</v>
      </c>
    </row>
    <row r="625" spans="1:5" ht="15.75" customHeight="1">
      <c r="A625" s="1">
        <v>200799</v>
      </c>
      <c r="B625" s="1" t="s">
        <v>634</v>
      </c>
      <c r="C625" s="1" t="s">
        <v>11</v>
      </c>
      <c r="D625" s="1" t="s">
        <v>11</v>
      </c>
      <c r="E625" s="1" t="s">
        <v>11</v>
      </c>
    </row>
    <row r="626" spans="1:5" ht="15.75" customHeight="1">
      <c r="A626" s="1">
        <v>200811</v>
      </c>
      <c r="B626" s="1" t="s">
        <v>635</v>
      </c>
      <c r="C626" s="1" t="s">
        <v>11</v>
      </c>
      <c r="D626" s="1" t="s">
        <v>11</v>
      </c>
      <c r="E626" s="1" t="s">
        <v>11</v>
      </c>
    </row>
    <row r="627" spans="1:5" ht="15.75" customHeight="1">
      <c r="A627" s="1">
        <v>200819</v>
      </c>
      <c r="B627" s="1" t="s">
        <v>636</v>
      </c>
      <c r="C627" s="1" t="s">
        <v>11</v>
      </c>
      <c r="D627" s="1" t="s">
        <v>11</v>
      </c>
      <c r="E627" s="1" t="s">
        <v>11</v>
      </c>
    </row>
    <row r="628" spans="1:5" ht="15.75" customHeight="1">
      <c r="A628" s="1">
        <v>200820</v>
      </c>
      <c r="B628" s="1" t="s">
        <v>637</v>
      </c>
      <c r="C628" s="1" t="s">
        <v>11</v>
      </c>
      <c r="D628" s="1" t="s">
        <v>11</v>
      </c>
      <c r="E628" s="1" t="s">
        <v>11</v>
      </c>
    </row>
    <row r="629" spans="1:5" ht="15.75" customHeight="1">
      <c r="A629" s="1">
        <v>200830</v>
      </c>
      <c r="B629" s="1" t="s">
        <v>638</v>
      </c>
      <c r="C629" s="1" t="s">
        <v>11</v>
      </c>
      <c r="D629" s="1" t="s">
        <v>11</v>
      </c>
      <c r="E629" s="1" t="s">
        <v>11</v>
      </c>
    </row>
    <row r="630" spans="1:5" ht="15.75" customHeight="1">
      <c r="A630" s="1">
        <v>200840</v>
      </c>
      <c r="B630" s="1" t="s">
        <v>639</v>
      </c>
      <c r="C630" s="1" t="s">
        <v>11</v>
      </c>
      <c r="D630" s="1" t="s">
        <v>11</v>
      </c>
      <c r="E630" s="1" t="s">
        <v>11</v>
      </c>
    </row>
    <row r="631" spans="1:5" ht="15.75" customHeight="1">
      <c r="A631" s="1">
        <v>200850</v>
      </c>
      <c r="B631" s="1" t="s">
        <v>640</v>
      </c>
      <c r="C631" s="1" t="s">
        <v>11</v>
      </c>
      <c r="D631" s="1" t="s">
        <v>11</v>
      </c>
      <c r="E631" s="1" t="s">
        <v>11</v>
      </c>
    </row>
    <row r="632" spans="1:5" ht="15.75" customHeight="1">
      <c r="A632" s="1">
        <v>200860</v>
      </c>
      <c r="B632" s="1" t="s">
        <v>641</v>
      </c>
      <c r="C632" s="1" t="s">
        <v>11</v>
      </c>
      <c r="D632" s="1" t="s">
        <v>11</v>
      </c>
      <c r="E632" s="1" t="s">
        <v>11</v>
      </c>
    </row>
    <row r="633" spans="1:5" ht="15.75" customHeight="1">
      <c r="A633" s="1">
        <v>200870</v>
      </c>
      <c r="B633" s="1" t="s">
        <v>642</v>
      </c>
      <c r="C633" s="1" t="s">
        <v>11</v>
      </c>
      <c r="D633" s="1" t="s">
        <v>11</v>
      </c>
      <c r="E633" s="1" t="s">
        <v>11</v>
      </c>
    </row>
    <row r="634" spans="1:5" ht="15.75" customHeight="1">
      <c r="A634" s="1">
        <v>200880</v>
      </c>
      <c r="B634" s="1" t="s">
        <v>643</v>
      </c>
      <c r="C634" s="1" t="s">
        <v>11</v>
      </c>
      <c r="D634" s="1" t="s">
        <v>11</v>
      </c>
      <c r="E634" s="1" t="s">
        <v>11</v>
      </c>
    </row>
    <row r="635" spans="1:5" ht="15.75" customHeight="1">
      <c r="A635" s="1">
        <v>200891</v>
      </c>
      <c r="B635" s="1" t="s">
        <v>644</v>
      </c>
      <c r="C635" s="1" t="s">
        <v>11</v>
      </c>
      <c r="D635" s="1" t="s">
        <v>11</v>
      </c>
      <c r="E635" s="1" t="s">
        <v>11</v>
      </c>
    </row>
    <row r="636" spans="1:5" ht="15.75" customHeight="1">
      <c r="A636" s="1">
        <v>200892</v>
      </c>
      <c r="B636" s="1" t="s">
        <v>645</v>
      </c>
      <c r="C636" s="1" t="s">
        <v>11</v>
      </c>
      <c r="D636" s="1" t="s">
        <v>11</v>
      </c>
      <c r="E636" s="1" t="s">
        <v>11</v>
      </c>
    </row>
    <row r="637" spans="1:5" ht="15.75" customHeight="1">
      <c r="A637" s="1">
        <v>200899</v>
      </c>
      <c r="B637" s="1" t="s">
        <v>646</v>
      </c>
      <c r="C637" s="1" t="s">
        <v>11</v>
      </c>
      <c r="D637" s="1" t="s">
        <v>11</v>
      </c>
      <c r="E637" s="1" t="s">
        <v>11</v>
      </c>
    </row>
    <row r="638" spans="1:5" ht="15.75" customHeight="1">
      <c r="A638" s="1">
        <v>200911</v>
      </c>
      <c r="B638" s="1" t="s">
        <v>647</v>
      </c>
      <c r="C638" s="1" t="s">
        <v>11</v>
      </c>
      <c r="D638" s="1" t="s">
        <v>11</v>
      </c>
      <c r="E638" s="1" t="s">
        <v>11</v>
      </c>
    </row>
    <row r="639" spans="1:5" ht="15.75" customHeight="1">
      <c r="A639" s="1">
        <v>200912</v>
      </c>
      <c r="B639" s="1" t="s">
        <v>648</v>
      </c>
      <c r="C639" s="1" t="s">
        <v>11</v>
      </c>
      <c r="D639" s="1" t="s">
        <v>11</v>
      </c>
      <c r="E639" s="1" t="s">
        <v>11</v>
      </c>
    </row>
    <row r="640" spans="1:5" ht="15.75" customHeight="1">
      <c r="A640" s="1">
        <v>200919</v>
      </c>
      <c r="B640" s="1" t="s">
        <v>649</v>
      </c>
      <c r="C640" s="1" t="s">
        <v>11</v>
      </c>
      <c r="D640" s="1" t="s">
        <v>11</v>
      </c>
      <c r="E640" s="1" t="s">
        <v>11</v>
      </c>
    </row>
    <row r="641" spans="1:5" ht="15.75" customHeight="1">
      <c r="A641" s="1">
        <v>200921</v>
      </c>
      <c r="B641" s="1" t="s">
        <v>650</v>
      </c>
      <c r="C641" s="1" t="s">
        <v>11</v>
      </c>
      <c r="D641" s="1" t="s">
        <v>11</v>
      </c>
      <c r="E641" s="1" t="s">
        <v>11</v>
      </c>
    </row>
    <row r="642" spans="1:5" ht="15.75" customHeight="1">
      <c r="A642" s="1">
        <v>200929</v>
      </c>
      <c r="B642" s="1" t="s">
        <v>651</v>
      </c>
      <c r="C642" s="1" t="s">
        <v>11</v>
      </c>
      <c r="D642" s="1" t="s">
        <v>11</v>
      </c>
      <c r="E642" s="1" t="s">
        <v>11</v>
      </c>
    </row>
    <row r="643" spans="1:5" ht="15.75" customHeight="1">
      <c r="A643" s="1">
        <v>200931</v>
      </c>
      <c r="B643" s="1" t="s">
        <v>652</v>
      </c>
      <c r="C643" s="1" t="s">
        <v>11</v>
      </c>
      <c r="D643" s="1" t="s">
        <v>11</v>
      </c>
      <c r="E643" s="1" t="s">
        <v>11</v>
      </c>
    </row>
    <row r="644" spans="1:5" ht="15.75" customHeight="1">
      <c r="A644" s="1">
        <v>200939</v>
      </c>
      <c r="B644" s="1" t="s">
        <v>653</v>
      </c>
      <c r="C644" s="1" t="s">
        <v>11</v>
      </c>
      <c r="D644" s="1" t="s">
        <v>11</v>
      </c>
      <c r="E644" s="1" t="s">
        <v>11</v>
      </c>
    </row>
    <row r="645" spans="1:5" ht="15.75" customHeight="1">
      <c r="A645" s="1">
        <v>200941</v>
      </c>
      <c r="B645" s="1" t="s">
        <v>654</v>
      </c>
      <c r="C645" s="1" t="s">
        <v>11</v>
      </c>
      <c r="D645" s="1" t="s">
        <v>11</v>
      </c>
      <c r="E645" s="1" t="s">
        <v>11</v>
      </c>
    </row>
    <row r="646" spans="1:5" ht="15.75" customHeight="1">
      <c r="A646" s="1">
        <v>200949</v>
      </c>
      <c r="B646" s="1" t="s">
        <v>655</v>
      </c>
      <c r="C646" s="1" t="s">
        <v>11</v>
      </c>
      <c r="D646" s="1" t="s">
        <v>11</v>
      </c>
      <c r="E646" s="1" t="s">
        <v>11</v>
      </c>
    </row>
    <row r="647" spans="1:5" ht="15.75" customHeight="1">
      <c r="A647" s="1">
        <v>200950</v>
      </c>
      <c r="B647" s="1" t="s">
        <v>656</v>
      </c>
      <c r="C647" s="1" t="s">
        <v>11</v>
      </c>
      <c r="D647" s="1" t="s">
        <v>11</v>
      </c>
      <c r="E647" s="1" t="s">
        <v>11</v>
      </c>
    </row>
    <row r="648" spans="1:5" ht="15.75" customHeight="1">
      <c r="A648" s="1">
        <v>200961</v>
      </c>
      <c r="B648" s="1" t="s">
        <v>657</v>
      </c>
      <c r="C648" s="1" t="s">
        <v>11</v>
      </c>
      <c r="D648" s="1" t="s">
        <v>11</v>
      </c>
      <c r="E648" s="1" t="s">
        <v>11</v>
      </c>
    </row>
    <row r="649" spans="1:5" ht="15.75" customHeight="1">
      <c r="A649" s="1">
        <v>200969</v>
      </c>
      <c r="B649" s="1" t="s">
        <v>658</v>
      </c>
      <c r="C649" s="1" t="s">
        <v>11</v>
      </c>
      <c r="D649" s="1" t="s">
        <v>11</v>
      </c>
      <c r="E649" s="1" t="s">
        <v>11</v>
      </c>
    </row>
    <row r="650" spans="1:5" ht="15.75" customHeight="1">
      <c r="A650" s="1">
        <v>200971</v>
      </c>
      <c r="B650" s="1" t="s">
        <v>659</v>
      </c>
      <c r="C650" s="1" t="s">
        <v>11</v>
      </c>
      <c r="D650" s="1" t="s">
        <v>11</v>
      </c>
      <c r="E650" s="1" t="s">
        <v>11</v>
      </c>
    </row>
    <row r="651" spans="1:5" ht="15.75" customHeight="1">
      <c r="A651" s="1">
        <v>200979</v>
      </c>
      <c r="B651" s="1" t="s">
        <v>660</v>
      </c>
      <c r="C651" s="1" t="s">
        <v>11</v>
      </c>
      <c r="D651" s="1" t="s">
        <v>11</v>
      </c>
      <c r="E651" s="1" t="s">
        <v>11</v>
      </c>
    </row>
    <row r="652" spans="1:5" ht="15.75" customHeight="1">
      <c r="A652" s="1">
        <v>200980</v>
      </c>
      <c r="B652" s="1" t="s">
        <v>661</v>
      </c>
      <c r="C652" s="1" t="s">
        <v>11</v>
      </c>
      <c r="D652" s="1" t="s">
        <v>11</v>
      </c>
      <c r="E652" s="1" t="s">
        <v>11</v>
      </c>
    </row>
    <row r="653" spans="1:5" ht="15.75" customHeight="1">
      <c r="A653" s="1">
        <v>200990</v>
      </c>
      <c r="B653" s="1" t="s">
        <v>662</v>
      </c>
      <c r="C653" s="1" t="s">
        <v>11</v>
      </c>
      <c r="D653" s="1" t="s">
        <v>11</v>
      </c>
      <c r="E653" s="1" t="s">
        <v>11</v>
      </c>
    </row>
    <row r="654" spans="1:5" ht="15.75" customHeight="1">
      <c r="A654" s="1">
        <v>210111</v>
      </c>
      <c r="B654" s="1" t="s">
        <v>663</v>
      </c>
      <c r="C654" s="1" t="s">
        <v>11</v>
      </c>
      <c r="D654" s="1" t="s">
        <v>11</v>
      </c>
      <c r="E654" s="1" t="s">
        <v>11</v>
      </c>
    </row>
    <row r="655" spans="1:5" ht="15.75" customHeight="1">
      <c r="A655" s="1">
        <v>210112</v>
      </c>
      <c r="B655" s="1" t="s">
        <v>664</v>
      </c>
      <c r="C655" s="1" t="s">
        <v>11</v>
      </c>
      <c r="D655" s="1" t="s">
        <v>11</v>
      </c>
      <c r="E655" s="1" t="s">
        <v>11</v>
      </c>
    </row>
    <row r="656" spans="1:5" ht="15.75" customHeight="1">
      <c r="A656" s="1">
        <v>210120</v>
      </c>
      <c r="B656" s="1" t="s">
        <v>665</v>
      </c>
      <c r="C656" s="1" t="s">
        <v>11</v>
      </c>
      <c r="D656" s="1" t="s">
        <v>11</v>
      </c>
      <c r="E656" s="1" t="s">
        <v>11</v>
      </c>
    </row>
    <row r="657" spans="1:5" ht="15.75" customHeight="1">
      <c r="A657" s="1">
        <v>210130</v>
      </c>
      <c r="B657" s="1" t="s">
        <v>666</v>
      </c>
      <c r="C657" s="1" t="s">
        <v>11</v>
      </c>
      <c r="D657" s="1" t="s">
        <v>11</v>
      </c>
      <c r="E657" s="1" t="s">
        <v>11</v>
      </c>
    </row>
    <row r="658" spans="1:5" ht="15.75" customHeight="1">
      <c r="A658" s="1">
        <v>210210</v>
      </c>
      <c r="B658" s="1" t="s">
        <v>667</v>
      </c>
      <c r="C658" s="1" t="s">
        <v>11</v>
      </c>
      <c r="D658" s="1" t="s">
        <v>11</v>
      </c>
      <c r="E658" s="1" t="s">
        <v>11</v>
      </c>
    </row>
    <row r="659" spans="1:5" ht="15.75" customHeight="1">
      <c r="A659" s="1">
        <v>210220</v>
      </c>
      <c r="B659" s="1" t="s">
        <v>668</v>
      </c>
      <c r="C659" s="1" t="s">
        <v>11</v>
      </c>
      <c r="D659" s="1" t="s">
        <v>11</v>
      </c>
      <c r="E659" s="1" t="s">
        <v>11</v>
      </c>
    </row>
    <row r="660" spans="1:5" ht="15.75" customHeight="1">
      <c r="A660" s="1">
        <v>210230</v>
      </c>
      <c r="B660" s="1" t="s">
        <v>669</v>
      </c>
      <c r="C660" s="1" t="s">
        <v>11</v>
      </c>
      <c r="D660" s="1" t="s">
        <v>11</v>
      </c>
      <c r="E660" s="1" t="s">
        <v>11</v>
      </c>
    </row>
    <row r="661" spans="1:5" ht="15.75" customHeight="1">
      <c r="A661" s="1">
        <v>210310</v>
      </c>
      <c r="B661" s="1" t="s">
        <v>670</v>
      </c>
      <c r="C661" s="1" t="s">
        <v>11</v>
      </c>
      <c r="D661" s="1" t="s">
        <v>11</v>
      </c>
      <c r="E661" s="1" t="s">
        <v>11</v>
      </c>
    </row>
    <row r="662" spans="1:5" ht="15.75" customHeight="1">
      <c r="A662" s="1">
        <v>210320</v>
      </c>
      <c r="B662" s="1" t="s">
        <v>671</v>
      </c>
      <c r="C662" s="1" t="s">
        <v>11</v>
      </c>
      <c r="D662" s="1" t="s">
        <v>11</v>
      </c>
      <c r="E662" s="1" t="s">
        <v>11</v>
      </c>
    </row>
    <row r="663" spans="1:5" ht="15.75" customHeight="1">
      <c r="A663" s="1">
        <v>210330</v>
      </c>
      <c r="B663" s="1" t="s">
        <v>672</v>
      </c>
      <c r="C663" s="1" t="s">
        <v>11</v>
      </c>
      <c r="D663" s="1" t="s">
        <v>11</v>
      </c>
      <c r="E663" s="1" t="s">
        <v>11</v>
      </c>
    </row>
    <row r="664" spans="1:5" ht="15.75" customHeight="1">
      <c r="A664" s="1">
        <v>210390</v>
      </c>
      <c r="B664" s="1" t="s">
        <v>673</v>
      </c>
      <c r="C664" s="1" t="s">
        <v>11</v>
      </c>
      <c r="D664" s="1" t="s">
        <v>11</v>
      </c>
      <c r="E664" s="1" t="s">
        <v>11</v>
      </c>
    </row>
    <row r="665" spans="1:5" ht="15.75" customHeight="1">
      <c r="A665" s="1">
        <v>210410</v>
      </c>
      <c r="B665" s="1" t="s">
        <v>674</v>
      </c>
      <c r="C665" s="1" t="s">
        <v>11</v>
      </c>
      <c r="D665" s="1" t="s">
        <v>11</v>
      </c>
      <c r="E665" s="1" t="s">
        <v>11</v>
      </c>
    </row>
    <row r="666" spans="1:5" ht="15.75" customHeight="1">
      <c r="A666" s="1">
        <v>210420</v>
      </c>
      <c r="B666" s="1" t="s">
        <v>675</v>
      </c>
      <c r="C666" s="1" t="s">
        <v>11</v>
      </c>
      <c r="D666" s="1" t="s">
        <v>11</v>
      </c>
      <c r="E666" s="1" t="s">
        <v>11</v>
      </c>
    </row>
    <row r="667" spans="1:5" ht="15.75" customHeight="1">
      <c r="A667" s="1">
        <v>210500</v>
      </c>
      <c r="B667" s="1" t="s">
        <v>676</v>
      </c>
      <c r="C667" s="1" t="s">
        <v>11</v>
      </c>
      <c r="D667" s="1" t="s">
        <v>11</v>
      </c>
      <c r="E667" s="1" t="s">
        <v>11</v>
      </c>
    </row>
    <row r="668" spans="1:5" ht="15.75" customHeight="1">
      <c r="A668" s="1">
        <v>210610</v>
      </c>
      <c r="B668" s="1" t="s">
        <v>677</v>
      </c>
      <c r="C668" s="1" t="s">
        <v>11</v>
      </c>
      <c r="D668" s="1" t="s">
        <v>11</v>
      </c>
      <c r="E668" s="1" t="s">
        <v>11</v>
      </c>
    </row>
    <row r="669" spans="1:5" ht="15.75" customHeight="1">
      <c r="A669" s="1">
        <v>210690</v>
      </c>
      <c r="B669" s="1" t="s">
        <v>678</v>
      </c>
      <c r="C669" s="1" t="s">
        <v>11</v>
      </c>
      <c r="D669" s="1" t="s">
        <v>11</v>
      </c>
      <c r="E669" s="1" t="s">
        <v>11</v>
      </c>
    </row>
    <row r="670" spans="1:5" ht="15.75" customHeight="1">
      <c r="A670" s="1">
        <v>220110</v>
      </c>
      <c r="B670" s="1" t="s">
        <v>679</v>
      </c>
      <c r="C670" s="1" t="s">
        <v>11</v>
      </c>
      <c r="D670" s="1" t="s">
        <v>11</v>
      </c>
      <c r="E670" s="1" t="s">
        <v>11</v>
      </c>
    </row>
    <row r="671" spans="1:5" ht="15.75" customHeight="1">
      <c r="A671" s="1">
        <v>220190</v>
      </c>
      <c r="B671" s="1" t="s">
        <v>680</v>
      </c>
      <c r="C671" s="1" t="s">
        <v>11</v>
      </c>
      <c r="D671" s="1" t="s">
        <v>11</v>
      </c>
      <c r="E671" s="1" t="s">
        <v>11</v>
      </c>
    </row>
    <row r="672" spans="1:5" ht="15.75" customHeight="1">
      <c r="A672" s="1">
        <v>220210</v>
      </c>
      <c r="B672" s="1" t="s">
        <v>681</v>
      </c>
      <c r="C672" s="1" t="s">
        <v>11</v>
      </c>
      <c r="D672" s="1" t="s">
        <v>11</v>
      </c>
      <c r="E672" s="1" t="s">
        <v>11</v>
      </c>
    </row>
    <row r="673" spans="1:5" ht="15.75" customHeight="1">
      <c r="A673" s="1">
        <v>220290</v>
      </c>
      <c r="B673" s="1" t="s">
        <v>682</v>
      </c>
      <c r="C673" s="1" t="s">
        <v>11</v>
      </c>
      <c r="D673" s="1" t="s">
        <v>11</v>
      </c>
      <c r="E673" s="1" t="s">
        <v>11</v>
      </c>
    </row>
    <row r="674" spans="1:5" ht="15.75" customHeight="1">
      <c r="A674" s="1">
        <v>220300</v>
      </c>
      <c r="B674" s="1" t="s">
        <v>683</v>
      </c>
      <c r="C674" s="1" t="s">
        <v>11</v>
      </c>
      <c r="D674" s="1" t="s">
        <v>11</v>
      </c>
      <c r="E674" s="1" t="s">
        <v>11</v>
      </c>
    </row>
    <row r="675" spans="1:5" ht="15.75" customHeight="1">
      <c r="A675" s="1">
        <v>220410</v>
      </c>
      <c r="B675" s="1" t="s">
        <v>684</v>
      </c>
      <c r="C675" s="1" t="s">
        <v>11</v>
      </c>
      <c r="D675" s="1" t="s">
        <v>11</v>
      </c>
      <c r="E675" s="1" t="s">
        <v>11</v>
      </c>
    </row>
    <row r="676" spans="1:5" ht="15.75" customHeight="1">
      <c r="A676" s="1">
        <v>220421</v>
      </c>
      <c r="B676" s="1" t="s">
        <v>685</v>
      </c>
      <c r="C676" s="1" t="s">
        <v>11</v>
      </c>
      <c r="D676" s="1" t="s">
        <v>11</v>
      </c>
      <c r="E676" s="1" t="s">
        <v>11</v>
      </c>
    </row>
    <row r="677" spans="1:5" ht="15.75" customHeight="1">
      <c r="A677" s="1">
        <v>220429</v>
      </c>
      <c r="B677" s="1" t="s">
        <v>686</v>
      </c>
      <c r="C677" s="1" t="s">
        <v>11</v>
      </c>
      <c r="D677" s="1" t="s">
        <v>11</v>
      </c>
      <c r="E677" s="1" t="s">
        <v>11</v>
      </c>
    </row>
    <row r="678" spans="1:5" ht="15.75" customHeight="1">
      <c r="A678" s="1">
        <v>220430</v>
      </c>
      <c r="B678" s="1" t="s">
        <v>687</v>
      </c>
      <c r="C678" s="1" t="s">
        <v>11</v>
      </c>
      <c r="D678" s="1" t="s">
        <v>11</v>
      </c>
      <c r="E678" s="1" t="s">
        <v>11</v>
      </c>
    </row>
    <row r="679" spans="1:5" ht="15.75" customHeight="1">
      <c r="A679" s="1">
        <v>220510</v>
      </c>
      <c r="B679" s="1" t="s">
        <v>688</v>
      </c>
      <c r="C679" s="1" t="s">
        <v>11</v>
      </c>
      <c r="D679" s="1" t="s">
        <v>11</v>
      </c>
      <c r="E679" s="1" t="s">
        <v>11</v>
      </c>
    </row>
    <row r="680" spans="1:5" ht="15.75" customHeight="1">
      <c r="A680" s="1">
        <v>220590</v>
      </c>
      <c r="B680" s="1" t="s">
        <v>689</v>
      </c>
      <c r="C680" s="1" t="s">
        <v>11</v>
      </c>
      <c r="D680" s="1" t="s">
        <v>11</v>
      </c>
      <c r="E680" s="1" t="s">
        <v>11</v>
      </c>
    </row>
    <row r="681" spans="1:5" ht="15.75" customHeight="1">
      <c r="A681" s="1">
        <v>220600</v>
      </c>
      <c r="B681" s="1" t="s">
        <v>690</v>
      </c>
      <c r="C681" s="1" t="s">
        <v>11</v>
      </c>
      <c r="D681" s="1" t="s">
        <v>11</v>
      </c>
      <c r="E681" s="1" t="s">
        <v>11</v>
      </c>
    </row>
    <row r="682" spans="1:5" ht="15.75" customHeight="1">
      <c r="A682" s="1">
        <v>220710</v>
      </c>
      <c r="B682" s="1" t="s">
        <v>691</v>
      </c>
      <c r="C682" s="1" t="s">
        <v>11</v>
      </c>
      <c r="D682" s="1" t="s">
        <v>11</v>
      </c>
      <c r="E682" s="1" t="s">
        <v>11</v>
      </c>
    </row>
    <row r="683" spans="1:5" ht="15.75" customHeight="1">
      <c r="A683" s="1">
        <v>220720</v>
      </c>
      <c r="B683" s="1" t="s">
        <v>692</v>
      </c>
      <c r="C683" s="1" t="s">
        <v>11</v>
      </c>
      <c r="D683" s="1" t="s">
        <v>11</v>
      </c>
      <c r="E683" s="1" t="s">
        <v>11</v>
      </c>
    </row>
    <row r="684" spans="1:5" ht="15.75" customHeight="1">
      <c r="A684" s="1">
        <v>220820</v>
      </c>
      <c r="B684" s="1" t="s">
        <v>693</v>
      </c>
      <c r="C684" s="1" t="s">
        <v>11</v>
      </c>
      <c r="D684" s="1" t="s">
        <v>11</v>
      </c>
      <c r="E684" s="1" t="s">
        <v>11</v>
      </c>
    </row>
    <row r="685" spans="1:5" ht="15.75" customHeight="1">
      <c r="A685" s="1">
        <v>220830</v>
      </c>
      <c r="B685" s="1" t="s">
        <v>694</v>
      </c>
      <c r="C685" s="1" t="s">
        <v>11</v>
      </c>
      <c r="D685" s="1" t="s">
        <v>11</v>
      </c>
      <c r="E685" s="1" t="s">
        <v>11</v>
      </c>
    </row>
    <row r="686" spans="1:5" ht="15.75" customHeight="1">
      <c r="A686" s="1">
        <v>220840</v>
      </c>
      <c r="B686" s="1" t="s">
        <v>695</v>
      </c>
      <c r="C686" s="1" t="s">
        <v>11</v>
      </c>
      <c r="D686" s="1" t="s">
        <v>11</v>
      </c>
      <c r="E686" s="1" t="s">
        <v>11</v>
      </c>
    </row>
    <row r="687" spans="1:5" ht="15.75" customHeight="1">
      <c r="A687" s="1">
        <v>220850</v>
      </c>
      <c r="B687" s="1" t="s">
        <v>696</v>
      </c>
      <c r="C687" s="1" t="s">
        <v>11</v>
      </c>
      <c r="D687" s="1" t="s">
        <v>11</v>
      </c>
      <c r="E687" s="1" t="s">
        <v>11</v>
      </c>
    </row>
    <row r="688" spans="1:5" ht="15.75" customHeight="1">
      <c r="A688" s="1">
        <v>220860</v>
      </c>
      <c r="B688" s="1" t="s">
        <v>697</v>
      </c>
      <c r="C688" s="1" t="s">
        <v>11</v>
      </c>
      <c r="D688" s="1" t="s">
        <v>11</v>
      </c>
      <c r="E688" s="1" t="s">
        <v>11</v>
      </c>
    </row>
    <row r="689" spans="1:5" ht="15.75" customHeight="1">
      <c r="A689" s="1">
        <v>220870</v>
      </c>
      <c r="B689" s="1" t="s">
        <v>698</v>
      </c>
      <c r="C689" s="1" t="s">
        <v>11</v>
      </c>
      <c r="D689" s="1" t="s">
        <v>11</v>
      </c>
      <c r="E689" s="1" t="s">
        <v>11</v>
      </c>
    </row>
    <row r="690" spans="1:5" ht="15.75" customHeight="1">
      <c r="A690" s="1">
        <v>220890</v>
      </c>
      <c r="B690" s="1" t="s">
        <v>699</v>
      </c>
      <c r="C690" s="1" t="s">
        <v>11</v>
      </c>
      <c r="D690" s="1" t="s">
        <v>11</v>
      </c>
      <c r="E690" s="1" t="s">
        <v>11</v>
      </c>
    </row>
    <row r="691" spans="1:5" ht="15.75" customHeight="1">
      <c r="A691" s="1">
        <v>220900</v>
      </c>
      <c r="B691" s="1" t="s">
        <v>700</v>
      </c>
      <c r="C691" s="1" t="s">
        <v>11</v>
      </c>
      <c r="D691" s="1" t="s">
        <v>11</v>
      </c>
      <c r="E691" s="1" t="s">
        <v>11</v>
      </c>
    </row>
    <row r="692" spans="1:5" ht="15.75" customHeight="1">
      <c r="A692" s="1">
        <v>230110</v>
      </c>
      <c r="B692" s="1" t="s">
        <v>701</v>
      </c>
      <c r="C692" s="1" t="s">
        <v>11</v>
      </c>
      <c r="D692" s="1" t="s">
        <v>11</v>
      </c>
      <c r="E692" s="1" t="s">
        <v>11</v>
      </c>
    </row>
    <row r="693" spans="1:5" ht="15.75" customHeight="1">
      <c r="A693" s="1">
        <v>230120</v>
      </c>
      <c r="B693" s="1" t="s">
        <v>702</v>
      </c>
      <c r="C693" s="1" t="s">
        <v>11</v>
      </c>
      <c r="D693" s="1" t="s">
        <v>11</v>
      </c>
      <c r="E693" s="1" t="s">
        <v>11</v>
      </c>
    </row>
    <row r="694" spans="1:5" ht="15.75" customHeight="1">
      <c r="A694" s="1">
        <v>230210</v>
      </c>
      <c r="B694" s="1" t="s">
        <v>703</v>
      </c>
      <c r="C694" s="1" t="s">
        <v>11</v>
      </c>
      <c r="D694" s="1" t="s">
        <v>11</v>
      </c>
      <c r="E694" s="1" t="s">
        <v>11</v>
      </c>
    </row>
    <row r="695" spans="1:5" ht="15.75" customHeight="1">
      <c r="A695" s="1">
        <v>230230</v>
      </c>
      <c r="B695" s="1" t="s">
        <v>704</v>
      </c>
      <c r="C695" s="1" t="s">
        <v>11</v>
      </c>
      <c r="D695" s="1" t="s">
        <v>11</v>
      </c>
      <c r="E695" s="1" t="s">
        <v>11</v>
      </c>
    </row>
    <row r="696" spans="1:5" ht="15.75" customHeight="1">
      <c r="A696" s="1">
        <v>230240</v>
      </c>
      <c r="B696" s="1" t="s">
        <v>705</v>
      </c>
      <c r="C696" s="1" t="s">
        <v>11</v>
      </c>
      <c r="D696" s="1" t="s">
        <v>11</v>
      </c>
      <c r="E696" s="1" t="s">
        <v>11</v>
      </c>
    </row>
    <row r="697" spans="1:5" ht="15.75" customHeight="1">
      <c r="A697" s="1">
        <v>230250</v>
      </c>
      <c r="B697" s="1" t="s">
        <v>706</v>
      </c>
      <c r="C697" s="1" t="s">
        <v>11</v>
      </c>
      <c r="D697" s="1" t="s">
        <v>11</v>
      </c>
      <c r="E697" s="1" t="s">
        <v>11</v>
      </c>
    </row>
    <row r="698" spans="1:5" ht="15.75" customHeight="1">
      <c r="A698" s="1">
        <v>230310</v>
      </c>
      <c r="B698" s="1" t="s">
        <v>707</v>
      </c>
      <c r="C698" s="1" t="s">
        <v>11</v>
      </c>
      <c r="D698" s="1" t="s">
        <v>11</v>
      </c>
      <c r="E698" s="1" t="s">
        <v>11</v>
      </c>
    </row>
    <row r="699" spans="1:5" ht="15.75" customHeight="1">
      <c r="A699" s="1">
        <v>230320</v>
      </c>
      <c r="B699" s="1" t="s">
        <v>708</v>
      </c>
      <c r="C699" s="1" t="s">
        <v>11</v>
      </c>
      <c r="D699" s="1" t="s">
        <v>11</v>
      </c>
      <c r="E699" s="1" t="s">
        <v>11</v>
      </c>
    </row>
    <row r="700" spans="1:5" ht="15.75" customHeight="1">
      <c r="A700" s="1">
        <v>230330</v>
      </c>
      <c r="B700" s="1" t="s">
        <v>709</v>
      </c>
      <c r="C700" s="1" t="s">
        <v>11</v>
      </c>
      <c r="D700" s="1" t="s">
        <v>11</v>
      </c>
      <c r="E700" s="1" t="s">
        <v>11</v>
      </c>
    </row>
    <row r="701" spans="1:5" ht="15.75" customHeight="1">
      <c r="A701" s="1">
        <v>230400</v>
      </c>
      <c r="B701" s="1" t="s">
        <v>710</v>
      </c>
      <c r="C701" s="1" t="s">
        <v>11</v>
      </c>
      <c r="D701" s="1" t="s">
        <v>11</v>
      </c>
      <c r="E701" s="1" t="s">
        <v>11</v>
      </c>
    </row>
    <row r="702" spans="1:5" ht="15.75" customHeight="1">
      <c r="A702" s="1">
        <v>230500</v>
      </c>
      <c r="B702" s="1" t="s">
        <v>711</v>
      </c>
      <c r="C702" s="1" t="s">
        <v>11</v>
      </c>
      <c r="D702" s="1" t="s">
        <v>11</v>
      </c>
      <c r="E702" s="1" t="s">
        <v>11</v>
      </c>
    </row>
    <row r="703" spans="1:5" ht="15.75" customHeight="1">
      <c r="A703" s="1">
        <v>230610</v>
      </c>
      <c r="B703" s="1" t="s">
        <v>712</v>
      </c>
      <c r="C703" s="1" t="s">
        <v>11</v>
      </c>
      <c r="D703" s="1" t="s">
        <v>11</v>
      </c>
      <c r="E703" s="1" t="s">
        <v>11</v>
      </c>
    </row>
    <row r="704" spans="1:5" ht="15.75" customHeight="1">
      <c r="A704" s="1">
        <v>230620</v>
      </c>
      <c r="B704" s="1" t="s">
        <v>713</v>
      </c>
      <c r="C704" s="1" t="s">
        <v>11</v>
      </c>
      <c r="D704" s="1" t="s">
        <v>11</v>
      </c>
      <c r="E704" s="1" t="s">
        <v>11</v>
      </c>
    </row>
    <row r="705" spans="1:5" ht="15.75" customHeight="1">
      <c r="A705" s="1">
        <v>230630</v>
      </c>
      <c r="B705" s="1" t="s">
        <v>714</v>
      </c>
      <c r="C705" s="1" t="s">
        <v>11</v>
      </c>
      <c r="D705" s="1" t="s">
        <v>11</v>
      </c>
      <c r="E705" s="1" t="s">
        <v>11</v>
      </c>
    </row>
    <row r="706" spans="1:5" ht="15.75" customHeight="1">
      <c r="A706" s="1">
        <v>230641</v>
      </c>
      <c r="B706" s="1" t="s">
        <v>715</v>
      </c>
      <c r="C706" s="1" t="s">
        <v>11</v>
      </c>
      <c r="D706" s="1" t="s">
        <v>11</v>
      </c>
      <c r="E706" s="1" t="s">
        <v>11</v>
      </c>
    </row>
    <row r="707" spans="1:5" ht="15.75" customHeight="1">
      <c r="A707" s="1">
        <v>230649</v>
      </c>
      <c r="B707" s="1" t="s">
        <v>716</v>
      </c>
      <c r="C707" s="1" t="s">
        <v>11</v>
      </c>
      <c r="D707" s="1" t="s">
        <v>11</v>
      </c>
      <c r="E707" s="1" t="s">
        <v>11</v>
      </c>
    </row>
    <row r="708" spans="1:5" ht="15.75" customHeight="1">
      <c r="A708" s="1">
        <v>230650</v>
      </c>
      <c r="B708" s="1" t="s">
        <v>717</v>
      </c>
      <c r="C708" s="1" t="s">
        <v>11</v>
      </c>
      <c r="D708" s="1" t="s">
        <v>11</v>
      </c>
      <c r="E708" s="1" t="s">
        <v>11</v>
      </c>
    </row>
    <row r="709" spans="1:5" ht="15.75" customHeight="1">
      <c r="A709" s="1">
        <v>230660</v>
      </c>
      <c r="B709" s="1" t="s">
        <v>718</v>
      </c>
      <c r="C709" s="1" t="s">
        <v>11</v>
      </c>
      <c r="D709" s="1" t="s">
        <v>11</v>
      </c>
      <c r="E709" s="1" t="s">
        <v>11</v>
      </c>
    </row>
    <row r="710" spans="1:5" ht="15.75" customHeight="1">
      <c r="A710" s="1">
        <v>230690</v>
      </c>
      <c r="B710" s="1" t="s">
        <v>719</v>
      </c>
      <c r="C710" s="1" t="s">
        <v>11</v>
      </c>
      <c r="D710" s="1" t="s">
        <v>11</v>
      </c>
      <c r="E710" s="1" t="s">
        <v>11</v>
      </c>
    </row>
    <row r="711" spans="1:5" ht="15.75" customHeight="1">
      <c r="A711" s="1">
        <v>230700</v>
      </c>
      <c r="B711" s="1" t="s">
        <v>720</v>
      </c>
      <c r="C711" s="1" t="s">
        <v>11</v>
      </c>
      <c r="D711" s="1" t="s">
        <v>11</v>
      </c>
      <c r="E711" s="1" t="s">
        <v>11</v>
      </c>
    </row>
    <row r="712" spans="1:5" ht="15.75" customHeight="1">
      <c r="A712" s="1">
        <v>230800</v>
      </c>
      <c r="B712" s="1" t="s">
        <v>721</v>
      </c>
      <c r="C712" s="1" t="s">
        <v>11</v>
      </c>
      <c r="D712" s="1" t="s">
        <v>11</v>
      </c>
      <c r="E712" s="1" t="s">
        <v>11</v>
      </c>
    </row>
    <row r="713" spans="1:5" ht="15.75" customHeight="1">
      <c r="A713" s="1">
        <v>230910</v>
      </c>
      <c r="B713" s="1" t="s">
        <v>722</v>
      </c>
      <c r="C713" s="1" t="s">
        <v>11</v>
      </c>
      <c r="D713" s="1" t="s">
        <v>11</v>
      </c>
      <c r="E713" s="1" t="s">
        <v>11</v>
      </c>
    </row>
    <row r="714" spans="1:5" ht="15.75" customHeight="1">
      <c r="A714" s="1">
        <v>230990</v>
      </c>
      <c r="B714" s="1" t="s">
        <v>723</v>
      </c>
      <c r="C714" s="1" t="s">
        <v>11</v>
      </c>
      <c r="D714" s="1" t="s">
        <v>11</v>
      </c>
      <c r="E714" s="1" t="s">
        <v>11</v>
      </c>
    </row>
    <row r="715" spans="1:5" ht="15.75" customHeight="1">
      <c r="A715" s="1">
        <v>240110</v>
      </c>
      <c r="B715" s="1" t="s">
        <v>724</v>
      </c>
      <c r="C715" s="1" t="s">
        <v>11</v>
      </c>
      <c r="D715" s="1" t="s">
        <v>11</v>
      </c>
      <c r="E715" s="1" t="s">
        <v>11</v>
      </c>
    </row>
    <row r="716" spans="1:5" ht="15.75" customHeight="1">
      <c r="A716" s="1">
        <v>240120</v>
      </c>
      <c r="B716" s="1" t="s">
        <v>725</v>
      </c>
      <c r="C716" s="1" t="s">
        <v>11</v>
      </c>
      <c r="D716" s="1" t="s">
        <v>11</v>
      </c>
      <c r="E716" s="1" t="s">
        <v>11</v>
      </c>
    </row>
    <row r="717" spans="1:5" ht="15.75" customHeight="1">
      <c r="A717" s="1">
        <v>240130</v>
      </c>
      <c r="B717" s="1" t="s">
        <v>726</v>
      </c>
      <c r="C717" s="1" t="s">
        <v>11</v>
      </c>
      <c r="D717" s="1" t="s">
        <v>11</v>
      </c>
      <c r="E717" s="1" t="s">
        <v>11</v>
      </c>
    </row>
    <row r="718" spans="1:5" ht="15.75" customHeight="1">
      <c r="A718" s="1">
        <v>240210</v>
      </c>
      <c r="B718" s="1" t="s">
        <v>727</v>
      </c>
      <c r="C718" s="1" t="s">
        <v>11</v>
      </c>
      <c r="D718" s="1" t="s">
        <v>11</v>
      </c>
      <c r="E718" s="1" t="s">
        <v>11</v>
      </c>
    </row>
    <row r="719" spans="1:5" ht="15.75" customHeight="1">
      <c r="A719" s="1">
        <v>240220</v>
      </c>
      <c r="B719" s="1" t="s">
        <v>728</v>
      </c>
      <c r="C719" s="1" t="s">
        <v>11</v>
      </c>
      <c r="D719" s="1" t="s">
        <v>11</v>
      </c>
      <c r="E719" s="1" t="s">
        <v>11</v>
      </c>
    </row>
    <row r="720" spans="1:5" ht="15.75" customHeight="1">
      <c r="A720" s="1">
        <v>240290</v>
      </c>
      <c r="B720" s="1" t="s">
        <v>729</v>
      </c>
      <c r="C720" s="1" t="s">
        <v>11</v>
      </c>
      <c r="D720" s="1" t="s">
        <v>11</v>
      </c>
      <c r="E720" s="1" t="s">
        <v>11</v>
      </c>
    </row>
    <row r="721" spans="1:5" ht="15.75" customHeight="1">
      <c r="A721" s="1">
        <v>240310</v>
      </c>
      <c r="B721" s="1" t="s">
        <v>730</v>
      </c>
      <c r="C721" s="1" t="s">
        <v>11</v>
      </c>
      <c r="D721" s="1" t="s">
        <v>11</v>
      </c>
      <c r="E721" s="1" t="s">
        <v>11</v>
      </c>
    </row>
    <row r="722" spans="1:5" ht="15.75" customHeight="1">
      <c r="A722" s="1">
        <v>240391</v>
      </c>
      <c r="B722" s="1" t="s">
        <v>731</v>
      </c>
      <c r="C722" s="1" t="s">
        <v>11</v>
      </c>
      <c r="D722" s="1" t="s">
        <v>11</v>
      </c>
      <c r="E722" s="1" t="s">
        <v>11</v>
      </c>
    </row>
    <row r="723" spans="1:5" ht="15.75" customHeight="1">
      <c r="A723" s="1">
        <v>240399</v>
      </c>
      <c r="B723" s="1" t="s">
        <v>732</v>
      </c>
      <c r="C723" s="1" t="s">
        <v>11</v>
      </c>
      <c r="D723" s="1" t="s">
        <v>11</v>
      </c>
      <c r="E723" s="1" t="s">
        <v>11</v>
      </c>
    </row>
    <row r="724" spans="1:5" ht="15.75" customHeight="1">
      <c r="A724" s="1">
        <v>250100</v>
      </c>
      <c r="B724" s="1" t="s">
        <v>733</v>
      </c>
      <c r="C724" s="1" t="s">
        <v>11</v>
      </c>
      <c r="D724" s="1" t="s">
        <v>11</v>
      </c>
      <c r="E724" s="1" t="s">
        <v>11</v>
      </c>
    </row>
    <row r="725" spans="1:5" ht="15.75" customHeight="1">
      <c r="A725" s="1">
        <v>250200</v>
      </c>
      <c r="B725" s="1" t="s">
        <v>734</v>
      </c>
      <c r="C725" s="1" t="s">
        <v>11</v>
      </c>
      <c r="D725" s="1" t="s">
        <v>11</v>
      </c>
      <c r="E725" s="1" t="s">
        <v>11</v>
      </c>
    </row>
    <row r="726" spans="1:5" ht="15.75" customHeight="1">
      <c r="A726" s="1">
        <v>250300</v>
      </c>
      <c r="B726" s="1" t="s">
        <v>735</v>
      </c>
      <c r="C726" s="1" t="s">
        <v>11</v>
      </c>
      <c r="D726" s="1" t="s">
        <v>11</v>
      </c>
      <c r="E726" s="1" t="s">
        <v>11</v>
      </c>
    </row>
    <row r="727" spans="1:5" ht="15.75" customHeight="1">
      <c r="A727" s="1">
        <v>250410</v>
      </c>
      <c r="B727" s="1" t="s">
        <v>736</v>
      </c>
      <c r="C727" s="1" t="s">
        <v>11</v>
      </c>
      <c r="D727" s="1" t="s">
        <v>11</v>
      </c>
      <c r="E727" s="1" t="s">
        <v>11</v>
      </c>
    </row>
    <row r="728" spans="1:5" ht="15.75" customHeight="1">
      <c r="A728" s="1">
        <v>250490</v>
      </c>
      <c r="B728" s="1" t="s">
        <v>737</v>
      </c>
      <c r="C728" s="1" t="s">
        <v>11</v>
      </c>
      <c r="D728" s="1" t="s">
        <v>11</v>
      </c>
      <c r="E728" s="1" t="s">
        <v>11</v>
      </c>
    </row>
    <row r="729" spans="1:5" ht="15.75" customHeight="1">
      <c r="A729" s="1">
        <v>250510</v>
      </c>
      <c r="B729" s="1" t="s">
        <v>738</v>
      </c>
      <c r="C729" s="1" t="s">
        <v>11</v>
      </c>
      <c r="D729" s="1" t="s">
        <v>11</v>
      </c>
      <c r="E729" s="1" t="s">
        <v>11</v>
      </c>
    </row>
    <row r="730" spans="1:5" ht="15.75" customHeight="1">
      <c r="A730" s="1">
        <v>250590</v>
      </c>
      <c r="B730" s="1" t="s">
        <v>739</v>
      </c>
      <c r="C730" s="1" t="s">
        <v>11</v>
      </c>
      <c r="D730" s="1" t="s">
        <v>11</v>
      </c>
      <c r="E730" s="1" t="s">
        <v>11</v>
      </c>
    </row>
    <row r="731" spans="1:5" ht="15.75" customHeight="1">
      <c r="A731" s="1">
        <v>250610</v>
      </c>
      <c r="B731" s="1" t="s">
        <v>740</v>
      </c>
      <c r="C731" s="1" t="s">
        <v>11</v>
      </c>
      <c r="D731" s="1" t="s">
        <v>11</v>
      </c>
      <c r="E731" s="1" t="s">
        <v>11</v>
      </c>
    </row>
    <row r="732" spans="1:5" ht="15.75" customHeight="1">
      <c r="A732" s="1">
        <v>250620</v>
      </c>
      <c r="B732" s="1" t="s">
        <v>741</v>
      </c>
      <c r="C732" s="1" t="s">
        <v>11</v>
      </c>
      <c r="D732" s="1" t="s">
        <v>11</v>
      </c>
      <c r="E732" s="1" t="s">
        <v>11</v>
      </c>
    </row>
    <row r="733" spans="1:5" ht="15.75" customHeight="1">
      <c r="A733" s="1">
        <v>250700</v>
      </c>
      <c r="B733" s="1" t="s">
        <v>742</v>
      </c>
      <c r="C733" s="1" t="s">
        <v>11</v>
      </c>
      <c r="D733" s="1" t="s">
        <v>11</v>
      </c>
      <c r="E733" s="1" t="s">
        <v>11</v>
      </c>
    </row>
    <row r="734" spans="1:5" ht="15.75" customHeight="1">
      <c r="A734" s="1">
        <v>250810</v>
      </c>
      <c r="B734" s="1" t="s">
        <v>743</v>
      </c>
      <c r="C734" s="1" t="s">
        <v>11</v>
      </c>
      <c r="D734" s="1" t="s">
        <v>11</v>
      </c>
      <c r="E734" s="1" t="s">
        <v>11</v>
      </c>
    </row>
    <row r="735" spans="1:5" ht="15.75" customHeight="1">
      <c r="A735" s="1">
        <v>250830</v>
      </c>
      <c r="B735" s="1" t="s">
        <v>744</v>
      </c>
      <c r="C735" s="1" t="s">
        <v>11</v>
      </c>
      <c r="D735" s="1" t="s">
        <v>11</v>
      </c>
      <c r="E735" s="1" t="s">
        <v>11</v>
      </c>
    </row>
    <row r="736" spans="1:5" ht="15.75" customHeight="1">
      <c r="A736" s="1">
        <v>250840</v>
      </c>
      <c r="B736" s="1" t="s">
        <v>745</v>
      </c>
      <c r="C736" s="1" t="s">
        <v>11</v>
      </c>
      <c r="D736" s="1" t="s">
        <v>11</v>
      </c>
      <c r="E736" s="1" t="s">
        <v>11</v>
      </c>
    </row>
    <row r="737" spans="1:5" ht="15.75" customHeight="1">
      <c r="A737" s="1">
        <v>250850</v>
      </c>
      <c r="B737" s="1" t="s">
        <v>746</v>
      </c>
      <c r="C737" s="1" t="s">
        <v>11</v>
      </c>
      <c r="D737" s="1" t="s">
        <v>11</v>
      </c>
      <c r="E737" s="1" t="s">
        <v>11</v>
      </c>
    </row>
    <row r="738" spans="1:5" ht="15.75" customHeight="1">
      <c r="A738" s="1">
        <v>250860</v>
      </c>
      <c r="B738" s="1" t="s">
        <v>747</v>
      </c>
      <c r="C738" s="1" t="s">
        <v>11</v>
      </c>
      <c r="D738" s="1" t="s">
        <v>11</v>
      </c>
      <c r="E738" s="1" t="s">
        <v>11</v>
      </c>
    </row>
    <row r="739" spans="1:5" ht="15.75" customHeight="1">
      <c r="A739" s="1">
        <v>250870</v>
      </c>
      <c r="B739" s="1" t="s">
        <v>748</v>
      </c>
      <c r="C739" s="1" t="s">
        <v>11</v>
      </c>
      <c r="D739" s="1" t="s">
        <v>11</v>
      </c>
      <c r="E739" s="1" t="s">
        <v>11</v>
      </c>
    </row>
    <row r="740" spans="1:5" ht="15.75" customHeight="1">
      <c r="A740" s="1">
        <v>250900</v>
      </c>
      <c r="B740" s="1" t="s">
        <v>749</v>
      </c>
      <c r="C740" s="1" t="s">
        <v>11</v>
      </c>
      <c r="D740" s="1" t="s">
        <v>11</v>
      </c>
      <c r="E740" s="1" t="s">
        <v>11</v>
      </c>
    </row>
    <row r="741" spans="1:5" ht="15.75" customHeight="1">
      <c r="A741" s="1">
        <v>251010</v>
      </c>
      <c r="B741" s="1" t="s">
        <v>750</v>
      </c>
      <c r="C741" s="1" t="s">
        <v>11</v>
      </c>
      <c r="D741" s="1" t="s">
        <v>11</v>
      </c>
      <c r="E741" s="1" t="s">
        <v>11</v>
      </c>
    </row>
    <row r="742" spans="1:5" ht="15.75" customHeight="1">
      <c r="A742" s="1">
        <v>251020</v>
      </c>
      <c r="B742" s="1" t="s">
        <v>751</v>
      </c>
      <c r="C742" s="1" t="s">
        <v>11</v>
      </c>
      <c r="D742" s="1" t="s">
        <v>11</v>
      </c>
      <c r="E742" s="1" t="s">
        <v>11</v>
      </c>
    </row>
    <row r="743" spans="1:5" ht="15.75" customHeight="1">
      <c r="A743" s="1">
        <v>251110</v>
      </c>
      <c r="B743" s="1" t="s">
        <v>752</v>
      </c>
      <c r="C743" s="1" t="s">
        <v>11</v>
      </c>
      <c r="D743" s="1" t="s">
        <v>11</v>
      </c>
      <c r="E743" s="1" t="s">
        <v>11</v>
      </c>
    </row>
    <row r="744" spans="1:5" ht="15.75" customHeight="1">
      <c r="A744" s="1">
        <v>251120</v>
      </c>
      <c r="B744" s="1" t="s">
        <v>753</v>
      </c>
      <c r="C744" s="1" t="s">
        <v>11</v>
      </c>
      <c r="D744" s="1" t="s">
        <v>11</v>
      </c>
      <c r="E744" s="1" t="s">
        <v>11</v>
      </c>
    </row>
    <row r="745" spans="1:5" ht="15.75" customHeight="1">
      <c r="A745" s="1">
        <v>251200</v>
      </c>
      <c r="B745" s="1" t="s">
        <v>754</v>
      </c>
      <c r="C745" s="1" t="s">
        <v>11</v>
      </c>
      <c r="D745" s="1" t="s">
        <v>11</v>
      </c>
      <c r="E745" s="1" t="s">
        <v>11</v>
      </c>
    </row>
    <row r="746" spans="1:5" ht="15.75" customHeight="1">
      <c r="A746" s="1">
        <v>251310</v>
      </c>
      <c r="B746" s="1" t="s">
        <v>755</v>
      </c>
      <c r="C746" s="1" t="s">
        <v>11</v>
      </c>
      <c r="D746" s="1" t="s">
        <v>11</v>
      </c>
      <c r="E746" s="1" t="s">
        <v>11</v>
      </c>
    </row>
    <row r="747" spans="1:5" ht="15.75" customHeight="1">
      <c r="A747" s="1">
        <v>251320</v>
      </c>
      <c r="B747" s="1" t="s">
        <v>756</v>
      </c>
      <c r="C747" s="1" t="s">
        <v>11</v>
      </c>
      <c r="D747" s="1" t="s">
        <v>11</v>
      </c>
      <c r="E747" s="1" t="s">
        <v>11</v>
      </c>
    </row>
    <row r="748" spans="1:5" ht="15.75" customHeight="1">
      <c r="A748" s="1">
        <v>251400</v>
      </c>
      <c r="B748" s="1" t="s">
        <v>757</v>
      </c>
      <c r="C748" s="1" t="s">
        <v>11</v>
      </c>
      <c r="D748" s="1" t="s">
        <v>11</v>
      </c>
      <c r="E748" s="1" t="s">
        <v>11</v>
      </c>
    </row>
    <row r="749" spans="1:5" ht="15.75" customHeight="1">
      <c r="A749" s="1">
        <v>251511</v>
      </c>
      <c r="B749" s="1" t="s">
        <v>758</v>
      </c>
      <c r="C749" s="1" t="s">
        <v>11</v>
      </c>
      <c r="D749" s="1" t="s">
        <v>11</v>
      </c>
      <c r="E749" s="1" t="s">
        <v>11</v>
      </c>
    </row>
    <row r="750" spans="1:5" ht="15.75" customHeight="1">
      <c r="A750" s="1">
        <v>251512</v>
      </c>
      <c r="B750" s="1" t="s">
        <v>759</v>
      </c>
      <c r="C750" s="1" t="s">
        <v>11</v>
      </c>
      <c r="D750" s="1" t="s">
        <v>11</v>
      </c>
      <c r="E750" s="1" t="s">
        <v>11</v>
      </c>
    </row>
    <row r="751" spans="1:5" ht="15.75" customHeight="1">
      <c r="A751" s="1">
        <v>251520</v>
      </c>
      <c r="B751" s="1" t="s">
        <v>760</v>
      </c>
      <c r="C751" s="1" t="s">
        <v>11</v>
      </c>
      <c r="D751" s="1" t="s">
        <v>11</v>
      </c>
      <c r="E751" s="1" t="s">
        <v>11</v>
      </c>
    </row>
    <row r="752" spans="1:5" ht="15.75" customHeight="1">
      <c r="A752" s="1">
        <v>251611</v>
      </c>
      <c r="B752" s="1" t="s">
        <v>761</v>
      </c>
      <c r="C752" s="1" t="s">
        <v>11</v>
      </c>
      <c r="D752" s="1" t="s">
        <v>11</v>
      </c>
      <c r="E752" s="1" t="s">
        <v>11</v>
      </c>
    </row>
    <row r="753" spans="1:5" ht="15.75" customHeight="1">
      <c r="A753" s="1">
        <v>251612</v>
      </c>
      <c r="B753" s="1" t="s">
        <v>762</v>
      </c>
      <c r="C753" s="1" t="s">
        <v>11</v>
      </c>
      <c r="D753" s="1" t="s">
        <v>11</v>
      </c>
      <c r="E753" s="1" t="s">
        <v>11</v>
      </c>
    </row>
    <row r="754" spans="1:5" ht="15.75" customHeight="1">
      <c r="A754" s="1">
        <v>251620</v>
      </c>
      <c r="B754" s="1" t="s">
        <v>763</v>
      </c>
      <c r="C754" s="1" t="s">
        <v>11</v>
      </c>
      <c r="D754" s="1" t="s">
        <v>11</v>
      </c>
      <c r="E754" s="1" t="s">
        <v>11</v>
      </c>
    </row>
    <row r="755" spans="1:5" ht="15.75" customHeight="1">
      <c r="A755" s="1">
        <v>251690</v>
      </c>
      <c r="B755" s="1" t="s">
        <v>764</v>
      </c>
      <c r="C755" s="1" t="s">
        <v>11</v>
      </c>
      <c r="D755" s="1" t="s">
        <v>11</v>
      </c>
      <c r="E755" s="1" t="s">
        <v>11</v>
      </c>
    </row>
    <row r="756" spans="1:5" ht="15.75" customHeight="1">
      <c r="A756" s="1">
        <v>251710</v>
      </c>
      <c r="B756" s="1" t="s">
        <v>765</v>
      </c>
      <c r="C756" s="1" t="s">
        <v>11</v>
      </c>
      <c r="D756" s="1" t="s">
        <v>11</v>
      </c>
      <c r="E756" s="1" t="s">
        <v>11</v>
      </c>
    </row>
    <row r="757" spans="1:5" ht="15.75" customHeight="1">
      <c r="A757" s="1">
        <v>251720</v>
      </c>
      <c r="B757" s="1" t="s">
        <v>766</v>
      </c>
      <c r="C757" s="1" t="s">
        <v>11</v>
      </c>
      <c r="D757" s="1" t="s">
        <v>11</v>
      </c>
      <c r="E757" s="1" t="s">
        <v>11</v>
      </c>
    </row>
    <row r="758" spans="1:5" ht="15.75" customHeight="1">
      <c r="A758" s="1">
        <v>251730</v>
      </c>
      <c r="B758" s="1" t="s">
        <v>767</v>
      </c>
      <c r="C758" s="1" t="s">
        <v>11</v>
      </c>
      <c r="D758" s="1" t="s">
        <v>11</v>
      </c>
      <c r="E758" s="1" t="s">
        <v>11</v>
      </c>
    </row>
    <row r="759" spans="1:5" ht="15.75" customHeight="1">
      <c r="A759" s="1">
        <v>251741</v>
      </c>
      <c r="B759" s="1" t="s">
        <v>768</v>
      </c>
      <c r="C759" s="1" t="s">
        <v>11</v>
      </c>
      <c r="D759" s="1" t="s">
        <v>11</v>
      </c>
      <c r="E759" s="1" t="s">
        <v>11</v>
      </c>
    </row>
    <row r="760" spans="1:5" ht="15.75" customHeight="1">
      <c r="A760" s="1">
        <v>251749</v>
      </c>
      <c r="B760" s="1" t="s">
        <v>769</v>
      </c>
      <c r="C760" s="1" t="s">
        <v>11</v>
      </c>
      <c r="D760" s="1" t="s">
        <v>11</v>
      </c>
      <c r="E760" s="1" t="s">
        <v>11</v>
      </c>
    </row>
    <row r="761" spans="1:5" ht="15.75" customHeight="1">
      <c r="A761" s="1">
        <v>251810</v>
      </c>
      <c r="B761" s="1" t="s">
        <v>770</v>
      </c>
      <c r="C761" s="1" t="s">
        <v>11</v>
      </c>
      <c r="D761" s="1" t="s">
        <v>11</v>
      </c>
      <c r="E761" s="1" t="s">
        <v>11</v>
      </c>
    </row>
    <row r="762" spans="1:5" ht="15.75" customHeight="1">
      <c r="A762" s="1">
        <v>251820</v>
      </c>
      <c r="B762" s="1" t="s">
        <v>771</v>
      </c>
      <c r="C762" s="1" t="s">
        <v>11</v>
      </c>
      <c r="D762" s="1" t="s">
        <v>11</v>
      </c>
      <c r="E762" s="1" t="s">
        <v>11</v>
      </c>
    </row>
    <row r="763" spans="1:5" ht="15.75" customHeight="1">
      <c r="A763" s="1">
        <v>251830</v>
      </c>
      <c r="B763" s="1" t="s">
        <v>772</v>
      </c>
      <c r="C763" s="1" t="s">
        <v>11</v>
      </c>
      <c r="D763" s="1" t="s">
        <v>11</v>
      </c>
      <c r="E763" s="1" t="s">
        <v>11</v>
      </c>
    </row>
    <row r="764" spans="1:5" ht="15.75" customHeight="1">
      <c r="A764" s="1">
        <v>251910</v>
      </c>
      <c r="B764" s="1" t="s">
        <v>773</v>
      </c>
      <c r="C764" s="1" t="s">
        <v>11</v>
      </c>
      <c r="D764" s="1" t="s">
        <v>11</v>
      </c>
      <c r="E764" s="1" t="s">
        <v>11</v>
      </c>
    </row>
    <row r="765" spans="1:5" ht="15.75" customHeight="1">
      <c r="A765" s="1">
        <v>251990</v>
      </c>
      <c r="B765" s="1" t="s">
        <v>774</v>
      </c>
      <c r="C765" s="1" t="s">
        <v>11</v>
      </c>
      <c r="D765" s="1" t="s">
        <v>11</v>
      </c>
      <c r="E765" s="1" t="s">
        <v>11</v>
      </c>
    </row>
    <row r="766" spans="1:5" ht="15.75" customHeight="1">
      <c r="A766" s="1">
        <v>252010</v>
      </c>
      <c r="B766" s="1" t="s">
        <v>775</v>
      </c>
      <c r="C766" s="1" t="s">
        <v>11</v>
      </c>
      <c r="D766" s="1" t="s">
        <v>11</v>
      </c>
      <c r="E766" s="1" t="s">
        <v>11</v>
      </c>
    </row>
    <row r="767" spans="1:5" ht="15.75" customHeight="1">
      <c r="A767" s="1">
        <v>252020</v>
      </c>
      <c r="B767" s="1" t="s">
        <v>776</v>
      </c>
      <c r="C767" s="1" t="s">
        <v>11</v>
      </c>
      <c r="D767" s="1" t="s">
        <v>11</v>
      </c>
      <c r="E767" s="1" t="s">
        <v>11</v>
      </c>
    </row>
    <row r="768" spans="1:5" ht="15.75" customHeight="1">
      <c r="A768" s="1">
        <v>252100</v>
      </c>
      <c r="B768" s="1" t="s">
        <v>777</v>
      </c>
      <c r="C768" s="1" t="s">
        <v>11</v>
      </c>
      <c r="D768" s="1" t="s">
        <v>11</v>
      </c>
      <c r="E768" s="1" t="s">
        <v>11</v>
      </c>
    </row>
    <row r="769" spans="1:5" ht="15.75" customHeight="1">
      <c r="A769" s="1">
        <v>252210</v>
      </c>
      <c r="B769" s="1" t="s">
        <v>778</v>
      </c>
      <c r="C769" s="1" t="s">
        <v>11</v>
      </c>
      <c r="D769" s="1" t="s">
        <v>11</v>
      </c>
      <c r="E769" s="1" t="s">
        <v>11</v>
      </c>
    </row>
    <row r="770" spans="1:5" ht="15.75" customHeight="1">
      <c r="A770" s="1">
        <v>252220</v>
      </c>
      <c r="B770" s="1" t="s">
        <v>779</v>
      </c>
      <c r="C770" s="1" t="s">
        <v>11</v>
      </c>
      <c r="D770" s="1" t="s">
        <v>11</v>
      </c>
      <c r="E770" s="1" t="s">
        <v>11</v>
      </c>
    </row>
    <row r="771" spans="1:5" ht="15.75" customHeight="1">
      <c r="A771" s="1">
        <v>252230</v>
      </c>
      <c r="B771" s="1" t="s">
        <v>780</v>
      </c>
      <c r="C771" s="1" t="s">
        <v>11</v>
      </c>
      <c r="D771" s="1" t="s">
        <v>11</v>
      </c>
      <c r="E771" s="1" t="s">
        <v>11</v>
      </c>
    </row>
    <row r="772" spans="1:5" ht="15.75" customHeight="1">
      <c r="A772" s="1">
        <v>252310</v>
      </c>
      <c r="B772" s="1" t="s">
        <v>781</v>
      </c>
      <c r="C772" s="1" t="s">
        <v>11</v>
      </c>
      <c r="D772" s="1" t="s">
        <v>11</v>
      </c>
      <c r="E772" s="1" t="s">
        <v>11</v>
      </c>
    </row>
    <row r="773" spans="1:5" ht="15.75" customHeight="1">
      <c r="A773" s="1">
        <v>252321</v>
      </c>
      <c r="B773" s="1" t="s">
        <v>782</v>
      </c>
      <c r="C773" s="1" t="s">
        <v>11</v>
      </c>
      <c r="D773" s="1" t="s">
        <v>11</v>
      </c>
      <c r="E773" s="1" t="s">
        <v>11</v>
      </c>
    </row>
    <row r="774" spans="1:5" ht="15.75" customHeight="1">
      <c r="A774" s="1">
        <v>252329</v>
      </c>
      <c r="B774" s="1" t="s">
        <v>783</v>
      </c>
      <c r="C774" s="1" t="s">
        <v>11</v>
      </c>
      <c r="D774" s="1" t="s">
        <v>11</v>
      </c>
      <c r="E774" s="1" t="s">
        <v>11</v>
      </c>
    </row>
    <row r="775" spans="1:5" ht="15.75" customHeight="1">
      <c r="A775" s="1">
        <v>252330</v>
      </c>
      <c r="B775" s="1" t="s">
        <v>784</v>
      </c>
      <c r="C775" s="1" t="s">
        <v>11</v>
      </c>
      <c r="D775" s="1" t="s">
        <v>11</v>
      </c>
      <c r="E775" s="1" t="s">
        <v>11</v>
      </c>
    </row>
    <row r="776" spans="1:5" ht="15.75" customHeight="1">
      <c r="A776" s="1">
        <v>252390</v>
      </c>
      <c r="B776" s="1" t="s">
        <v>785</v>
      </c>
      <c r="C776" s="1" t="s">
        <v>11</v>
      </c>
      <c r="D776" s="1" t="s">
        <v>11</v>
      </c>
      <c r="E776" s="1" t="s">
        <v>11</v>
      </c>
    </row>
    <row r="777" spans="1:5" ht="15.75" customHeight="1">
      <c r="A777" s="1">
        <v>252410</v>
      </c>
      <c r="B777" s="1" t="s">
        <v>786</v>
      </c>
      <c r="C777" s="1" t="s">
        <v>11</v>
      </c>
      <c r="D777" s="1" t="s">
        <v>11</v>
      </c>
      <c r="E777" s="1" t="s">
        <v>11</v>
      </c>
    </row>
    <row r="778" spans="1:5" ht="15.75" customHeight="1">
      <c r="A778" s="1">
        <v>252490</v>
      </c>
      <c r="B778" s="1" t="s">
        <v>787</v>
      </c>
      <c r="C778" s="1" t="s">
        <v>11</v>
      </c>
      <c r="D778" s="1" t="s">
        <v>11</v>
      </c>
      <c r="E778" s="1" t="s">
        <v>11</v>
      </c>
    </row>
    <row r="779" spans="1:5" ht="15.75" customHeight="1">
      <c r="A779" s="1">
        <v>252510</v>
      </c>
      <c r="B779" s="1" t="s">
        <v>788</v>
      </c>
      <c r="C779" s="1" t="s">
        <v>11</v>
      </c>
      <c r="D779" s="1" t="s">
        <v>11</v>
      </c>
      <c r="E779" s="1" t="s">
        <v>11</v>
      </c>
    </row>
    <row r="780" spans="1:5" ht="15.75" customHeight="1">
      <c r="A780" s="1">
        <v>252520</v>
      </c>
      <c r="B780" s="1" t="s">
        <v>789</v>
      </c>
      <c r="C780" s="1" t="s">
        <v>11</v>
      </c>
      <c r="D780" s="1" t="s">
        <v>11</v>
      </c>
      <c r="E780" s="1" t="s">
        <v>11</v>
      </c>
    </row>
    <row r="781" spans="1:5" ht="15.75" customHeight="1">
      <c r="A781" s="1">
        <v>252530</v>
      </c>
      <c r="B781" s="1" t="s">
        <v>790</v>
      </c>
      <c r="C781" s="1" t="s">
        <v>11</v>
      </c>
      <c r="D781" s="1" t="s">
        <v>11</v>
      </c>
      <c r="E781" s="1" t="s">
        <v>11</v>
      </c>
    </row>
    <row r="782" spans="1:5" ht="15.75" customHeight="1">
      <c r="A782" s="1">
        <v>252610</v>
      </c>
      <c r="B782" s="1" t="s">
        <v>791</v>
      </c>
      <c r="C782" s="1" t="s">
        <v>11</v>
      </c>
      <c r="D782" s="1" t="s">
        <v>11</v>
      </c>
      <c r="E782" s="1" t="s">
        <v>11</v>
      </c>
    </row>
    <row r="783" spans="1:5" ht="15.75" customHeight="1">
      <c r="A783" s="1">
        <v>252620</v>
      </c>
      <c r="B783" s="1" t="s">
        <v>792</v>
      </c>
      <c r="C783" s="1" t="s">
        <v>11</v>
      </c>
      <c r="D783" s="1" t="s">
        <v>11</v>
      </c>
      <c r="E783" s="1" t="s">
        <v>11</v>
      </c>
    </row>
    <row r="784" spans="1:5" ht="15.75" customHeight="1">
      <c r="A784" s="1">
        <v>252810</v>
      </c>
      <c r="B784" s="1" t="s">
        <v>793</v>
      </c>
      <c r="C784" s="1" t="s">
        <v>11</v>
      </c>
      <c r="D784" s="1" t="s">
        <v>11</v>
      </c>
      <c r="E784" s="1" t="s">
        <v>11</v>
      </c>
    </row>
    <row r="785" spans="1:5" ht="15.75" customHeight="1">
      <c r="A785" s="1">
        <v>252890</v>
      </c>
      <c r="B785" s="1" t="s">
        <v>794</v>
      </c>
      <c r="C785" s="1" t="s">
        <v>11</v>
      </c>
      <c r="D785" s="1" t="s">
        <v>11</v>
      </c>
      <c r="E785" s="1" t="s">
        <v>11</v>
      </c>
    </row>
    <row r="786" spans="1:5" ht="15.75" customHeight="1">
      <c r="A786" s="1">
        <v>252910</v>
      </c>
      <c r="B786" s="1" t="s">
        <v>795</v>
      </c>
      <c r="C786" s="1" t="s">
        <v>11</v>
      </c>
      <c r="D786" s="1" t="s">
        <v>11</v>
      </c>
      <c r="E786" s="1" t="s">
        <v>11</v>
      </c>
    </row>
    <row r="787" spans="1:5" ht="15.75" customHeight="1">
      <c r="A787" s="1">
        <v>252921</v>
      </c>
      <c r="B787" s="1" t="s">
        <v>796</v>
      </c>
      <c r="C787" s="1" t="s">
        <v>11</v>
      </c>
      <c r="D787" s="1" t="s">
        <v>11</v>
      </c>
      <c r="E787" s="1" t="s">
        <v>11</v>
      </c>
    </row>
    <row r="788" spans="1:5" ht="15.75" customHeight="1">
      <c r="A788" s="1">
        <v>252922</v>
      </c>
      <c r="B788" s="1" t="s">
        <v>797</v>
      </c>
      <c r="C788" s="1" t="s">
        <v>11</v>
      </c>
      <c r="D788" s="1" t="s">
        <v>11</v>
      </c>
      <c r="E788" s="1" t="s">
        <v>11</v>
      </c>
    </row>
    <row r="789" spans="1:5" ht="15.75" customHeight="1">
      <c r="A789" s="1">
        <v>252930</v>
      </c>
      <c r="B789" s="1" t="s">
        <v>798</v>
      </c>
      <c r="C789" s="1" t="s">
        <v>11</v>
      </c>
      <c r="D789" s="1" t="s">
        <v>11</v>
      </c>
      <c r="E789" s="1" t="s">
        <v>11</v>
      </c>
    </row>
    <row r="790" spans="1:5" ht="15.75" customHeight="1">
      <c r="A790" s="1">
        <v>253010</v>
      </c>
      <c r="B790" s="1" t="s">
        <v>799</v>
      </c>
      <c r="C790" s="1" t="s">
        <v>11</v>
      </c>
      <c r="D790" s="1" t="s">
        <v>11</v>
      </c>
      <c r="E790" s="1" t="s">
        <v>11</v>
      </c>
    </row>
    <row r="791" spans="1:5" ht="15.75" customHeight="1">
      <c r="A791" s="1">
        <v>253020</v>
      </c>
      <c r="B791" s="1" t="s">
        <v>800</v>
      </c>
      <c r="C791" s="1" t="s">
        <v>11</v>
      </c>
      <c r="D791" s="1" t="s">
        <v>11</v>
      </c>
      <c r="E791" s="1" t="s">
        <v>11</v>
      </c>
    </row>
    <row r="792" spans="1:5" ht="15.75" customHeight="1">
      <c r="A792" s="1">
        <v>253090</v>
      </c>
      <c r="B792" s="1" t="s">
        <v>801</v>
      </c>
      <c r="C792" s="1" t="s">
        <v>11</v>
      </c>
      <c r="D792" s="1" t="s">
        <v>11</v>
      </c>
      <c r="E792" s="1" t="s">
        <v>11</v>
      </c>
    </row>
    <row r="793" spans="1:5" ht="15.75" customHeight="1">
      <c r="A793" s="1">
        <v>260111</v>
      </c>
      <c r="B793" s="1" t="s">
        <v>802</v>
      </c>
      <c r="C793" s="1" t="s">
        <v>11</v>
      </c>
      <c r="D793" s="1" t="s">
        <v>11</v>
      </c>
      <c r="E793" s="1" t="s">
        <v>11</v>
      </c>
    </row>
    <row r="794" spans="1:5" ht="15.75" customHeight="1">
      <c r="A794" s="1">
        <v>260112</v>
      </c>
      <c r="B794" s="1" t="s">
        <v>803</v>
      </c>
      <c r="C794" s="1" t="s">
        <v>11</v>
      </c>
      <c r="D794" s="1" t="s">
        <v>11</v>
      </c>
      <c r="E794" s="1" t="s">
        <v>11</v>
      </c>
    </row>
    <row r="795" spans="1:5" ht="15.75" customHeight="1">
      <c r="A795" s="1">
        <v>260120</v>
      </c>
      <c r="B795" s="1" t="s">
        <v>804</v>
      </c>
      <c r="C795" s="1" t="s">
        <v>11</v>
      </c>
      <c r="D795" s="1" t="s">
        <v>11</v>
      </c>
      <c r="E795" s="1" t="s">
        <v>11</v>
      </c>
    </row>
    <row r="796" spans="1:5" ht="15.75" customHeight="1">
      <c r="A796" s="1">
        <v>260200</v>
      </c>
      <c r="B796" s="1" t="s">
        <v>805</v>
      </c>
      <c r="C796" s="1" t="s">
        <v>11</v>
      </c>
      <c r="D796" s="1" t="s">
        <v>11</v>
      </c>
      <c r="E796" s="1" t="s">
        <v>11</v>
      </c>
    </row>
    <row r="797" spans="1:5" ht="15.75" customHeight="1">
      <c r="A797" s="1">
        <v>260300</v>
      </c>
      <c r="B797" s="1" t="s">
        <v>806</v>
      </c>
      <c r="C797" s="1" t="s">
        <v>11</v>
      </c>
      <c r="D797" s="1" t="s">
        <v>11</v>
      </c>
      <c r="E797" s="1" t="s">
        <v>11</v>
      </c>
    </row>
    <row r="798" spans="1:5" ht="15.75" customHeight="1">
      <c r="A798" s="1">
        <v>260400</v>
      </c>
      <c r="B798" s="1" t="s">
        <v>807</v>
      </c>
      <c r="C798" s="1" t="s">
        <v>11</v>
      </c>
      <c r="D798" s="1" t="s">
        <v>11</v>
      </c>
      <c r="E798" s="1" t="s">
        <v>11</v>
      </c>
    </row>
    <row r="799" spans="1:5" ht="15.75" customHeight="1">
      <c r="A799" s="1">
        <v>260500</v>
      </c>
      <c r="B799" s="1" t="s">
        <v>808</v>
      </c>
      <c r="C799" s="1" t="s">
        <v>11</v>
      </c>
      <c r="D799" s="1" t="s">
        <v>11</v>
      </c>
      <c r="E799" s="1" t="s">
        <v>11</v>
      </c>
    </row>
    <row r="800" spans="1:5" ht="15.75" customHeight="1">
      <c r="A800" s="1">
        <v>260600</v>
      </c>
      <c r="B800" s="1" t="s">
        <v>809</v>
      </c>
      <c r="C800" s="1" t="s">
        <v>11</v>
      </c>
      <c r="D800" s="1" t="s">
        <v>11</v>
      </c>
      <c r="E800" s="1" t="s">
        <v>11</v>
      </c>
    </row>
    <row r="801" spans="1:5" ht="15.75" customHeight="1">
      <c r="A801" s="1">
        <v>260700</v>
      </c>
      <c r="B801" s="1" t="s">
        <v>810</v>
      </c>
      <c r="C801" s="1" t="s">
        <v>11</v>
      </c>
      <c r="D801" s="1" t="s">
        <v>11</v>
      </c>
      <c r="E801" s="1" t="s">
        <v>11</v>
      </c>
    </row>
    <row r="802" spans="1:5" ht="15.75" customHeight="1">
      <c r="A802" s="1">
        <v>260800</v>
      </c>
      <c r="B802" s="1" t="s">
        <v>811</v>
      </c>
      <c r="C802" s="1" t="s">
        <v>11</v>
      </c>
      <c r="D802" s="1" t="s">
        <v>11</v>
      </c>
      <c r="E802" s="1" t="s">
        <v>11</v>
      </c>
    </row>
    <row r="803" spans="1:5" ht="15.75" customHeight="1">
      <c r="A803" s="1">
        <v>260900</v>
      </c>
      <c r="B803" s="1" t="s">
        <v>812</v>
      </c>
      <c r="C803" s="1" t="s">
        <v>11</v>
      </c>
      <c r="D803" s="1" t="s">
        <v>11</v>
      </c>
      <c r="E803" s="1" t="s">
        <v>11</v>
      </c>
    </row>
    <row r="804" spans="1:5" ht="15.75" customHeight="1">
      <c r="A804" s="1">
        <v>261000</v>
      </c>
      <c r="B804" s="1" t="s">
        <v>813</v>
      </c>
      <c r="C804" s="1" t="s">
        <v>11</v>
      </c>
      <c r="D804" s="1" t="s">
        <v>11</v>
      </c>
      <c r="E804" s="1" t="s">
        <v>11</v>
      </c>
    </row>
    <row r="805" spans="1:5" ht="15.75" customHeight="1">
      <c r="A805" s="1">
        <v>261100</v>
      </c>
      <c r="B805" s="1" t="s">
        <v>814</v>
      </c>
      <c r="C805" s="1" t="s">
        <v>11</v>
      </c>
      <c r="D805" s="1" t="s">
        <v>11</v>
      </c>
      <c r="E805" s="1" t="s">
        <v>11</v>
      </c>
    </row>
    <row r="806" spans="1:5" ht="15.75" customHeight="1">
      <c r="A806" s="1">
        <v>261210</v>
      </c>
      <c r="B806" s="1" t="s">
        <v>815</v>
      </c>
      <c r="C806" s="1" t="s">
        <v>11</v>
      </c>
      <c r="D806" s="1" t="s">
        <v>11</v>
      </c>
      <c r="E806" s="1" t="s">
        <v>11</v>
      </c>
    </row>
    <row r="807" spans="1:5" ht="15.75" customHeight="1">
      <c r="A807" s="1">
        <v>261220</v>
      </c>
      <c r="B807" s="1" t="s">
        <v>816</v>
      </c>
      <c r="C807" s="1" t="s">
        <v>11</v>
      </c>
      <c r="D807" s="1" t="s">
        <v>11</v>
      </c>
      <c r="E807" s="1" t="s">
        <v>11</v>
      </c>
    </row>
    <row r="808" spans="1:5" ht="15.75" customHeight="1">
      <c r="A808" s="1">
        <v>261310</v>
      </c>
      <c r="B808" s="1" t="s">
        <v>817</v>
      </c>
      <c r="C808" s="1" t="s">
        <v>11</v>
      </c>
      <c r="D808" s="1" t="s">
        <v>11</v>
      </c>
      <c r="E808" s="1" t="s">
        <v>11</v>
      </c>
    </row>
    <row r="809" spans="1:5" ht="15.75" customHeight="1">
      <c r="A809" s="1">
        <v>261390</v>
      </c>
      <c r="B809" s="1" t="s">
        <v>818</v>
      </c>
      <c r="C809" s="1" t="s">
        <v>11</v>
      </c>
      <c r="D809" s="1" t="s">
        <v>11</v>
      </c>
      <c r="E809" s="1" t="s">
        <v>11</v>
      </c>
    </row>
    <row r="810" spans="1:5" ht="15.75" customHeight="1">
      <c r="A810" s="1">
        <v>261400</v>
      </c>
      <c r="B810" s="1" t="s">
        <v>819</v>
      </c>
      <c r="C810" s="1" t="s">
        <v>11</v>
      </c>
      <c r="D810" s="1" t="s">
        <v>11</v>
      </c>
      <c r="E810" s="1" t="s">
        <v>11</v>
      </c>
    </row>
    <row r="811" spans="1:5" ht="15.75" customHeight="1">
      <c r="A811" s="1">
        <v>261510</v>
      </c>
      <c r="B811" s="1" t="s">
        <v>820</v>
      </c>
      <c r="C811" s="1" t="s">
        <v>11</v>
      </c>
      <c r="D811" s="1" t="s">
        <v>11</v>
      </c>
      <c r="E811" s="1" t="s">
        <v>11</v>
      </c>
    </row>
    <row r="812" spans="1:5" ht="15.75" customHeight="1">
      <c r="A812" s="1">
        <v>261590</v>
      </c>
      <c r="B812" s="1" t="s">
        <v>821</v>
      </c>
      <c r="C812" s="1" t="s">
        <v>11</v>
      </c>
      <c r="D812" s="1" t="s">
        <v>11</v>
      </c>
      <c r="E812" s="1" t="s">
        <v>11</v>
      </c>
    </row>
    <row r="813" spans="1:5" ht="15.75" customHeight="1">
      <c r="A813" s="1">
        <v>261610</v>
      </c>
      <c r="B813" s="1" t="s">
        <v>822</v>
      </c>
      <c r="C813" s="1" t="s">
        <v>11</v>
      </c>
      <c r="D813" s="1" t="s">
        <v>11</v>
      </c>
      <c r="E813" s="1" t="s">
        <v>11</v>
      </c>
    </row>
    <row r="814" spans="1:5" ht="15.75" customHeight="1">
      <c r="A814" s="1">
        <v>261690</v>
      </c>
      <c r="B814" s="1" t="s">
        <v>823</v>
      </c>
      <c r="C814" s="1" t="s">
        <v>11</v>
      </c>
      <c r="D814" s="1" t="s">
        <v>11</v>
      </c>
      <c r="E814" s="1" t="s">
        <v>11</v>
      </c>
    </row>
    <row r="815" spans="1:5" ht="15.75" customHeight="1">
      <c r="A815" s="1">
        <v>261710</v>
      </c>
      <c r="B815" s="1" t="s">
        <v>824</v>
      </c>
      <c r="C815" s="1" t="s">
        <v>11</v>
      </c>
      <c r="D815" s="1" t="s">
        <v>11</v>
      </c>
      <c r="E815" s="1" t="s">
        <v>11</v>
      </c>
    </row>
    <row r="816" spans="1:5" ht="15.75" customHeight="1">
      <c r="A816" s="1">
        <v>261790</v>
      </c>
      <c r="B816" s="1" t="s">
        <v>825</v>
      </c>
      <c r="C816" s="1" t="s">
        <v>11</v>
      </c>
      <c r="D816" s="1" t="s">
        <v>11</v>
      </c>
      <c r="E816" s="1" t="s">
        <v>11</v>
      </c>
    </row>
    <row r="817" spans="1:5" ht="15.75" customHeight="1">
      <c r="A817" s="1">
        <v>261800</v>
      </c>
      <c r="B817" s="1" t="s">
        <v>826</v>
      </c>
      <c r="C817" s="1" t="s">
        <v>11</v>
      </c>
      <c r="D817" s="1" t="s">
        <v>11</v>
      </c>
      <c r="E817" s="1" t="s">
        <v>11</v>
      </c>
    </row>
    <row r="818" spans="1:5" ht="15.75" customHeight="1">
      <c r="A818" s="1">
        <v>261900</v>
      </c>
      <c r="B818" s="1" t="s">
        <v>827</v>
      </c>
      <c r="C818" s="1" t="s">
        <v>11</v>
      </c>
      <c r="D818" s="1" t="s">
        <v>11</v>
      </c>
      <c r="E818" s="1" t="s">
        <v>11</v>
      </c>
    </row>
    <row r="819" spans="1:5" ht="15.75" customHeight="1">
      <c r="A819" s="1">
        <v>262011</v>
      </c>
      <c r="B819" s="1" t="s">
        <v>828</v>
      </c>
      <c r="C819" s="1" t="s">
        <v>11</v>
      </c>
      <c r="D819" s="1" t="s">
        <v>11</v>
      </c>
      <c r="E819" s="1" t="s">
        <v>11</v>
      </c>
    </row>
    <row r="820" spans="1:5" ht="15.75" customHeight="1">
      <c r="A820" s="1">
        <v>262019</v>
      </c>
      <c r="B820" s="1" t="s">
        <v>829</v>
      </c>
      <c r="C820" s="1" t="s">
        <v>11</v>
      </c>
      <c r="D820" s="1" t="s">
        <v>11</v>
      </c>
      <c r="E820" s="1" t="s">
        <v>11</v>
      </c>
    </row>
    <row r="821" spans="1:5" ht="15.75" customHeight="1">
      <c r="A821" s="1">
        <v>262021</v>
      </c>
      <c r="B821" s="1" t="s">
        <v>830</v>
      </c>
      <c r="C821" s="1" t="s">
        <v>11</v>
      </c>
      <c r="D821" s="1" t="s">
        <v>11</v>
      </c>
      <c r="E821" s="1" t="s">
        <v>11</v>
      </c>
    </row>
    <row r="822" spans="1:5" ht="15.75" customHeight="1">
      <c r="A822" s="1">
        <v>262029</v>
      </c>
      <c r="B822" s="1" t="s">
        <v>831</v>
      </c>
      <c r="C822" s="1" t="s">
        <v>11</v>
      </c>
      <c r="D822" s="1" t="s">
        <v>11</v>
      </c>
      <c r="E822" s="1" t="s">
        <v>11</v>
      </c>
    </row>
    <row r="823" spans="1:5" ht="15.75" customHeight="1">
      <c r="A823" s="1">
        <v>262030</v>
      </c>
      <c r="B823" s="1" t="s">
        <v>832</v>
      </c>
      <c r="C823" s="1" t="s">
        <v>11</v>
      </c>
      <c r="D823" s="1" t="s">
        <v>11</v>
      </c>
      <c r="E823" s="1" t="s">
        <v>11</v>
      </c>
    </row>
    <row r="824" spans="1:5" ht="15.75" customHeight="1">
      <c r="A824" s="1">
        <v>262040</v>
      </c>
      <c r="B824" s="1" t="s">
        <v>833</v>
      </c>
      <c r="C824" s="1" t="s">
        <v>11</v>
      </c>
      <c r="D824" s="1" t="s">
        <v>11</v>
      </c>
      <c r="E824" s="1" t="s">
        <v>11</v>
      </c>
    </row>
    <row r="825" spans="1:5" ht="15.75" customHeight="1">
      <c r="A825" s="1">
        <v>262060</v>
      </c>
      <c r="B825" s="1" t="s">
        <v>834</v>
      </c>
      <c r="C825" s="1" t="s">
        <v>11</v>
      </c>
      <c r="D825" s="1" t="s">
        <v>11</v>
      </c>
      <c r="E825" s="1" t="s">
        <v>11</v>
      </c>
    </row>
    <row r="826" spans="1:5" ht="15.75" customHeight="1">
      <c r="A826" s="1">
        <v>262091</v>
      </c>
      <c r="B826" s="1" t="s">
        <v>835</v>
      </c>
      <c r="C826" s="1" t="s">
        <v>11</v>
      </c>
      <c r="D826" s="1" t="s">
        <v>11</v>
      </c>
      <c r="E826" s="1" t="s">
        <v>11</v>
      </c>
    </row>
    <row r="827" spans="1:5" ht="15.75" customHeight="1">
      <c r="A827" s="1">
        <v>262099</v>
      </c>
      <c r="B827" s="1" t="s">
        <v>836</v>
      </c>
      <c r="C827" s="1" t="s">
        <v>11</v>
      </c>
      <c r="D827" s="1" t="s">
        <v>11</v>
      </c>
      <c r="E827" s="1" t="s">
        <v>11</v>
      </c>
    </row>
    <row r="828" spans="1:5" ht="15.75" customHeight="1">
      <c r="A828" s="1">
        <v>262110</v>
      </c>
      <c r="B828" s="1" t="s">
        <v>837</v>
      </c>
      <c r="C828" s="1" t="s">
        <v>11</v>
      </c>
      <c r="D828" s="1" t="s">
        <v>11</v>
      </c>
      <c r="E828" s="1" t="s">
        <v>11</v>
      </c>
    </row>
    <row r="829" spans="1:5" ht="15.75" customHeight="1">
      <c r="A829" s="1">
        <v>262190</v>
      </c>
      <c r="B829" s="1" t="s">
        <v>838</v>
      </c>
      <c r="C829" s="1" t="s">
        <v>11</v>
      </c>
      <c r="D829" s="1" t="s">
        <v>11</v>
      </c>
      <c r="E829" s="1" t="s">
        <v>11</v>
      </c>
    </row>
    <row r="830" spans="1:5" ht="15.75" customHeight="1">
      <c r="A830" s="1">
        <v>270111</v>
      </c>
      <c r="B830" s="1" t="s">
        <v>839</v>
      </c>
      <c r="C830" s="1" t="s">
        <v>11</v>
      </c>
      <c r="D830" s="1" t="s">
        <v>11</v>
      </c>
      <c r="E830" s="1" t="s">
        <v>11</v>
      </c>
    </row>
    <row r="831" spans="1:5" ht="15.75" customHeight="1">
      <c r="A831" s="1">
        <v>270112</v>
      </c>
      <c r="B831" s="1" t="s">
        <v>840</v>
      </c>
      <c r="C831" s="1" t="s">
        <v>11</v>
      </c>
      <c r="D831" s="1" t="s">
        <v>11</v>
      </c>
      <c r="E831" s="1" t="s">
        <v>11</v>
      </c>
    </row>
    <row r="832" spans="1:5" ht="15.75" customHeight="1">
      <c r="A832" s="1">
        <v>270119</v>
      </c>
      <c r="B832" s="1" t="s">
        <v>841</v>
      </c>
      <c r="C832" s="1" t="s">
        <v>11</v>
      </c>
      <c r="D832" s="1" t="s">
        <v>11</v>
      </c>
      <c r="E832" s="1" t="s">
        <v>11</v>
      </c>
    </row>
    <row r="833" spans="1:5" ht="15.75" customHeight="1">
      <c r="A833" s="1">
        <v>270120</v>
      </c>
      <c r="B833" s="1" t="s">
        <v>842</v>
      </c>
      <c r="C833" s="1" t="s">
        <v>11</v>
      </c>
      <c r="D833" s="1" t="s">
        <v>11</v>
      </c>
      <c r="E833" s="1" t="s">
        <v>11</v>
      </c>
    </row>
    <row r="834" spans="1:5" ht="15.75" customHeight="1">
      <c r="A834" s="1">
        <v>270210</v>
      </c>
      <c r="B834" s="1" t="s">
        <v>843</v>
      </c>
      <c r="C834" s="1" t="s">
        <v>11</v>
      </c>
      <c r="D834" s="1" t="s">
        <v>11</v>
      </c>
      <c r="E834" s="1" t="s">
        <v>11</v>
      </c>
    </row>
    <row r="835" spans="1:5" ht="15.75" customHeight="1">
      <c r="A835" s="1">
        <v>270220</v>
      </c>
      <c r="B835" s="1" t="s">
        <v>844</v>
      </c>
      <c r="C835" s="1" t="s">
        <v>11</v>
      </c>
      <c r="D835" s="1" t="s">
        <v>11</v>
      </c>
      <c r="E835" s="1" t="s">
        <v>11</v>
      </c>
    </row>
    <row r="836" spans="1:5" ht="15.75" customHeight="1">
      <c r="A836" s="1">
        <v>270300</v>
      </c>
      <c r="B836" s="1" t="s">
        <v>845</v>
      </c>
      <c r="C836" s="1" t="s">
        <v>11</v>
      </c>
      <c r="D836" s="1" t="s">
        <v>11</v>
      </c>
      <c r="E836" s="1" t="s">
        <v>11</v>
      </c>
    </row>
    <row r="837" spans="1:5" ht="15.75" customHeight="1">
      <c r="A837" s="1">
        <v>270400</v>
      </c>
      <c r="B837" s="1" t="s">
        <v>846</v>
      </c>
      <c r="C837" s="1" t="s">
        <v>11</v>
      </c>
      <c r="D837" s="1" t="s">
        <v>11</v>
      </c>
      <c r="E837" s="1" t="s">
        <v>11</v>
      </c>
    </row>
    <row r="838" spans="1:5" ht="15.75" customHeight="1">
      <c r="A838" s="1">
        <v>270500</v>
      </c>
      <c r="B838" s="1" t="s">
        <v>847</v>
      </c>
      <c r="C838" s="1" t="s">
        <v>11</v>
      </c>
      <c r="D838" s="1" t="s">
        <v>11</v>
      </c>
      <c r="E838" s="1" t="s">
        <v>11</v>
      </c>
    </row>
    <row r="839" spans="1:5" ht="15.75" customHeight="1">
      <c r="A839" s="1">
        <v>270600</v>
      </c>
      <c r="B839" s="1" t="s">
        <v>848</v>
      </c>
      <c r="C839" s="1" t="s">
        <v>11</v>
      </c>
      <c r="D839" s="1" t="s">
        <v>11</v>
      </c>
      <c r="E839" s="1" t="s">
        <v>11</v>
      </c>
    </row>
    <row r="840" spans="1:5" ht="15.75" customHeight="1">
      <c r="A840" s="1">
        <v>270710</v>
      </c>
      <c r="B840" s="1" t="s">
        <v>849</v>
      </c>
      <c r="C840" s="1" t="s">
        <v>11</v>
      </c>
      <c r="D840" s="1" t="s">
        <v>11</v>
      </c>
      <c r="E840" s="1" t="s">
        <v>11</v>
      </c>
    </row>
    <row r="841" spans="1:5" ht="15.75" customHeight="1">
      <c r="A841" s="1">
        <v>270720</v>
      </c>
      <c r="B841" s="1" t="s">
        <v>850</v>
      </c>
      <c r="C841" s="1" t="s">
        <v>11</v>
      </c>
      <c r="D841" s="1" t="s">
        <v>11</v>
      </c>
      <c r="E841" s="1" t="s">
        <v>11</v>
      </c>
    </row>
    <row r="842" spans="1:5" ht="15.75" customHeight="1">
      <c r="A842" s="1">
        <v>270730</v>
      </c>
      <c r="B842" s="1" t="s">
        <v>851</v>
      </c>
      <c r="C842" s="1" t="s">
        <v>11</v>
      </c>
      <c r="D842" s="1" t="s">
        <v>11</v>
      </c>
      <c r="E842" s="1" t="s">
        <v>11</v>
      </c>
    </row>
    <row r="843" spans="1:5" ht="15.75" customHeight="1">
      <c r="A843" s="1">
        <v>270740</v>
      </c>
      <c r="B843" s="1" t="s">
        <v>852</v>
      </c>
      <c r="C843" s="1" t="s">
        <v>11</v>
      </c>
      <c r="D843" s="1" t="s">
        <v>11</v>
      </c>
      <c r="E843" s="1" t="s">
        <v>11</v>
      </c>
    </row>
    <row r="844" spans="1:5" ht="15.75" customHeight="1">
      <c r="A844" s="1">
        <v>270750</v>
      </c>
      <c r="B844" s="1" t="s">
        <v>853</v>
      </c>
      <c r="C844" s="1" t="s">
        <v>11</v>
      </c>
      <c r="D844" s="1" t="s">
        <v>11</v>
      </c>
      <c r="E844" s="1" t="s">
        <v>11</v>
      </c>
    </row>
    <row r="845" spans="1:5" ht="15.75" customHeight="1">
      <c r="A845" s="1">
        <v>270791</v>
      </c>
      <c r="B845" s="1" t="s">
        <v>854</v>
      </c>
      <c r="C845" s="1" t="s">
        <v>11</v>
      </c>
      <c r="D845" s="1" t="s">
        <v>11</v>
      </c>
      <c r="E845" s="1" t="s">
        <v>11</v>
      </c>
    </row>
    <row r="846" spans="1:5" ht="15.75" customHeight="1">
      <c r="A846" s="1">
        <v>270799</v>
      </c>
      <c r="B846" s="1" t="s">
        <v>855</v>
      </c>
      <c r="C846" s="1" t="s">
        <v>11</v>
      </c>
      <c r="D846" s="1" t="s">
        <v>11</v>
      </c>
      <c r="E846" s="1" t="s">
        <v>11</v>
      </c>
    </row>
    <row r="847" spans="1:5" ht="15.75" customHeight="1">
      <c r="A847" s="1">
        <v>270810</v>
      </c>
      <c r="B847" s="1" t="s">
        <v>856</v>
      </c>
      <c r="C847" s="1" t="s">
        <v>11</v>
      </c>
      <c r="D847" s="1" t="s">
        <v>11</v>
      </c>
      <c r="E847" s="1" t="s">
        <v>11</v>
      </c>
    </row>
    <row r="848" spans="1:5" ht="15.75" customHeight="1">
      <c r="A848" s="1">
        <v>270820</v>
      </c>
      <c r="B848" s="1" t="s">
        <v>857</v>
      </c>
      <c r="C848" s="1" t="s">
        <v>11</v>
      </c>
      <c r="D848" s="1" t="s">
        <v>11</v>
      </c>
      <c r="E848" s="1" t="s">
        <v>11</v>
      </c>
    </row>
    <row r="849" spans="1:5" ht="15.75" customHeight="1">
      <c r="A849" s="1">
        <v>270900</v>
      </c>
      <c r="B849" s="1" t="s">
        <v>858</v>
      </c>
      <c r="C849" s="1" t="s">
        <v>11</v>
      </c>
      <c r="D849" s="1" t="s">
        <v>11</v>
      </c>
      <c r="E849" s="1" t="s">
        <v>11</v>
      </c>
    </row>
    <row r="850" spans="1:5" ht="15.75" customHeight="1">
      <c r="A850" s="1">
        <v>271000</v>
      </c>
      <c r="B850" s="1" t="s">
        <v>859</v>
      </c>
      <c r="C850" s="1" t="s">
        <v>11</v>
      </c>
      <c r="D850" s="1" t="s">
        <v>11</v>
      </c>
      <c r="E850" s="1" t="s">
        <v>11</v>
      </c>
    </row>
    <row r="851" spans="1:5" ht="15.75" customHeight="1">
      <c r="A851" s="1">
        <v>271111</v>
      </c>
      <c r="B851" s="1" t="s">
        <v>860</v>
      </c>
      <c r="C851" s="1" t="s">
        <v>11</v>
      </c>
      <c r="D851" s="1" t="s">
        <v>11</v>
      </c>
      <c r="E851" s="1" t="s">
        <v>11</v>
      </c>
    </row>
    <row r="852" spans="1:5" ht="15.75" customHeight="1">
      <c r="A852" s="1">
        <v>271112</v>
      </c>
      <c r="B852" s="1" t="s">
        <v>861</v>
      </c>
      <c r="C852" s="1" t="s">
        <v>11</v>
      </c>
      <c r="D852" s="1" t="s">
        <v>11</v>
      </c>
      <c r="E852" s="1" t="s">
        <v>11</v>
      </c>
    </row>
    <row r="853" spans="1:5" ht="15.75" customHeight="1">
      <c r="A853" s="1">
        <v>271113</v>
      </c>
      <c r="B853" s="1" t="s">
        <v>862</v>
      </c>
      <c r="C853" s="1" t="s">
        <v>11</v>
      </c>
      <c r="D853" s="1" t="s">
        <v>11</v>
      </c>
      <c r="E853" s="1" t="s">
        <v>11</v>
      </c>
    </row>
    <row r="854" spans="1:5" ht="15.75" customHeight="1">
      <c r="A854" s="1">
        <v>271114</v>
      </c>
      <c r="B854" s="1" t="s">
        <v>863</v>
      </c>
      <c r="C854" s="1" t="s">
        <v>11</v>
      </c>
      <c r="D854" s="1" t="s">
        <v>11</v>
      </c>
      <c r="E854" s="1" t="s">
        <v>11</v>
      </c>
    </row>
    <row r="855" spans="1:5" ht="15.75" customHeight="1">
      <c r="A855" s="1">
        <v>271119</v>
      </c>
      <c r="B855" s="1" t="s">
        <v>864</v>
      </c>
      <c r="C855" s="1" t="s">
        <v>11</v>
      </c>
      <c r="D855" s="1" t="s">
        <v>11</v>
      </c>
      <c r="E855" s="1" t="s">
        <v>11</v>
      </c>
    </row>
    <row r="856" spans="1:5" ht="15.75" customHeight="1">
      <c r="A856" s="1">
        <v>271121</v>
      </c>
      <c r="B856" s="1" t="s">
        <v>865</v>
      </c>
      <c r="C856" s="1" t="s">
        <v>11</v>
      </c>
      <c r="D856" s="1" t="s">
        <v>11</v>
      </c>
      <c r="E856" s="1" t="s">
        <v>11</v>
      </c>
    </row>
    <row r="857" spans="1:5" ht="15.75" customHeight="1">
      <c r="A857" s="1">
        <v>271129</v>
      </c>
      <c r="B857" s="1" t="s">
        <v>866</v>
      </c>
      <c r="C857" s="1" t="s">
        <v>11</v>
      </c>
      <c r="D857" s="1" t="s">
        <v>11</v>
      </c>
      <c r="E857" s="1" t="s">
        <v>11</v>
      </c>
    </row>
    <row r="858" spans="1:5" ht="15.75" customHeight="1">
      <c r="A858" s="1">
        <v>271210</v>
      </c>
      <c r="B858" s="1" t="s">
        <v>867</v>
      </c>
      <c r="C858" s="1" t="s">
        <v>11</v>
      </c>
      <c r="D858" s="1" t="s">
        <v>11</v>
      </c>
      <c r="E858" s="1" t="s">
        <v>11</v>
      </c>
    </row>
    <row r="859" spans="1:5" ht="15.75" customHeight="1">
      <c r="A859" s="1">
        <v>271220</v>
      </c>
      <c r="B859" s="1" t="s">
        <v>868</v>
      </c>
      <c r="C859" s="1" t="s">
        <v>11</v>
      </c>
      <c r="D859" s="1" t="s">
        <v>11</v>
      </c>
      <c r="E859" s="1" t="s">
        <v>11</v>
      </c>
    </row>
    <row r="860" spans="1:5" ht="15.75" customHeight="1">
      <c r="A860" s="1">
        <v>271290</v>
      </c>
      <c r="B860" s="1" t="s">
        <v>869</v>
      </c>
      <c r="C860" s="1" t="s">
        <v>11</v>
      </c>
      <c r="D860" s="1" t="s">
        <v>11</v>
      </c>
      <c r="E860" s="1" t="s">
        <v>11</v>
      </c>
    </row>
    <row r="861" spans="1:5" ht="15.75" customHeight="1">
      <c r="A861" s="1">
        <v>271311</v>
      </c>
      <c r="B861" s="1" t="s">
        <v>870</v>
      </c>
      <c r="C861" s="1" t="s">
        <v>11</v>
      </c>
      <c r="D861" s="1" t="s">
        <v>11</v>
      </c>
      <c r="E861" s="1" t="s">
        <v>11</v>
      </c>
    </row>
    <row r="862" spans="1:5" ht="15.75" customHeight="1">
      <c r="A862" s="1">
        <v>271312</v>
      </c>
      <c r="B862" s="1" t="s">
        <v>871</v>
      </c>
      <c r="C862" s="1" t="s">
        <v>11</v>
      </c>
      <c r="D862" s="1" t="s">
        <v>11</v>
      </c>
      <c r="E862" s="1" t="s">
        <v>11</v>
      </c>
    </row>
    <row r="863" spans="1:5" ht="15.75" customHeight="1">
      <c r="A863" s="1">
        <v>271320</v>
      </c>
      <c r="B863" s="1" t="s">
        <v>872</v>
      </c>
      <c r="C863" s="1" t="s">
        <v>11</v>
      </c>
      <c r="D863" s="1" t="s">
        <v>11</v>
      </c>
      <c r="E863" s="1" t="s">
        <v>11</v>
      </c>
    </row>
    <row r="864" spans="1:5" ht="15.75" customHeight="1">
      <c r="A864" s="1">
        <v>271390</v>
      </c>
      <c r="B864" s="1" t="s">
        <v>873</v>
      </c>
      <c r="C864" s="1" t="s">
        <v>11</v>
      </c>
      <c r="D864" s="1" t="s">
        <v>11</v>
      </c>
      <c r="E864" s="1" t="s">
        <v>11</v>
      </c>
    </row>
    <row r="865" spans="1:5" ht="15.75" customHeight="1">
      <c r="A865" s="1">
        <v>271410</v>
      </c>
      <c r="B865" s="1" t="s">
        <v>874</v>
      </c>
      <c r="C865" s="1" t="s">
        <v>11</v>
      </c>
      <c r="D865" s="1" t="s">
        <v>11</v>
      </c>
      <c r="E865" s="1" t="s">
        <v>11</v>
      </c>
    </row>
    <row r="866" spans="1:5" ht="15.75" customHeight="1">
      <c r="A866" s="1">
        <v>271490</v>
      </c>
      <c r="B866" s="1" t="s">
        <v>875</v>
      </c>
      <c r="C866" s="1" t="s">
        <v>11</v>
      </c>
      <c r="D866" s="1" t="s">
        <v>11</v>
      </c>
      <c r="E866" s="1" t="s">
        <v>11</v>
      </c>
    </row>
    <row r="867" spans="1:5" ht="15.75" customHeight="1">
      <c r="A867" s="1">
        <v>271500</v>
      </c>
      <c r="B867" s="1" t="s">
        <v>876</v>
      </c>
      <c r="C867" s="1" t="s">
        <v>11</v>
      </c>
      <c r="D867" s="1" t="s">
        <v>11</v>
      </c>
      <c r="E867" s="1" t="s">
        <v>11</v>
      </c>
    </row>
    <row r="868" spans="1:5" ht="15.75" customHeight="1">
      <c r="A868" s="1">
        <v>271600</v>
      </c>
      <c r="B868" s="1" t="s">
        <v>877</v>
      </c>
      <c r="C868" s="1" t="s">
        <v>11</v>
      </c>
      <c r="D868" s="1" t="s">
        <v>11</v>
      </c>
      <c r="E868" s="1" t="s">
        <v>11</v>
      </c>
    </row>
    <row r="869" spans="1:5" ht="15.75" customHeight="1">
      <c r="A869" s="1">
        <v>280110</v>
      </c>
      <c r="B869" s="1" t="s">
        <v>878</v>
      </c>
      <c r="C869" s="1" t="s">
        <v>11</v>
      </c>
      <c r="D869" s="1" t="s">
        <v>11</v>
      </c>
      <c r="E869" s="1" t="s">
        <v>11</v>
      </c>
    </row>
    <row r="870" spans="1:5" ht="15.75" customHeight="1">
      <c r="A870" s="1">
        <v>280120</v>
      </c>
      <c r="B870" s="1" t="s">
        <v>879</v>
      </c>
      <c r="C870" s="1" t="s">
        <v>11</v>
      </c>
      <c r="D870" s="1" t="s">
        <v>11</v>
      </c>
      <c r="E870" s="1" t="s">
        <v>11</v>
      </c>
    </row>
    <row r="871" spans="1:5" ht="15.75" customHeight="1">
      <c r="A871" s="1">
        <v>280130</v>
      </c>
      <c r="B871" s="1" t="s">
        <v>880</v>
      </c>
      <c r="C871" s="1" t="s">
        <v>11</v>
      </c>
      <c r="D871" s="1" t="s">
        <v>11</v>
      </c>
      <c r="E871" s="1" t="s">
        <v>11</v>
      </c>
    </row>
    <row r="872" spans="1:5" ht="15.75" customHeight="1">
      <c r="A872" s="1">
        <v>280200</v>
      </c>
      <c r="B872" s="1" t="s">
        <v>881</v>
      </c>
      <c r="C872" s="1" t="s">
        <v>11</v>
      </c>
      <c r="D872" s="1" t="s">
        <v>11</v>
      </c>
      <c r="E872" s="1" t="s">
        <v>11</v>
      </c>
    </row>
    <row r="873" spans="1:5" ht="15.75" customHeight="1">
      <c r="A873" s="1">
        <v>280300</v>
      </c>
      <c r="B873" s="1" t="s">
        <v>882</v>
      </c>
      <c r="C873" s="1" t="s">
        <v>11</v>
      </c>
      <c r="D873" s="1" t="s">
        <v>11</v>
      </c>
      <c r="E873" s="1" t="s">
        <v>11</v>
      </c>
    </row>
    <row r="874" spans="1:5" ht="15.75" customHeight="1">
      <c r="A874" s="1">
        <v>280410</v>
      </c>
      <c r="B874" s="1" t="s">
        <v>883</v>
      </c>
      <c r="C874" s="1" t="s">
        <v>11</v>
      </c>
      <c r="D874" s="1" t="s">
        <v>11</v>
      </c>
      <c r="E874" s="1" t="s">
        <v>11</v>
      </c>
    </row>
    <row r="875" spans="1:5" ht="15.75" customHeight="1">
      <c r="A875" s="1">
        <v>280421</v>
      </c>
      <c r="B875" s="1" t="s">
        <v>884</v>
      </c>
      <c r="C875" s="1" t="s">
        <v>11</v>
      </c>
      <c r="D875" s="1" t="s">
        <v>11</v>
      </c>
      <c r="E875" s="1" t="s">
        <v>11</v>
      </c>
    </row>
    <row r="876" spans="1:5" ht="15.75" customHeight="1">
      <c r="A876" s="1">
        <v>280429</v>
      </c>
      <c r="B876" s="1" t="s">
        <v>885</v>
      </c>
      <c r="C876" s="1" t="s">
        <v>11</v>
      </c>
      <c r="D876" s="1" t="s">
        <v>11</v>
      </c>
      <c r="E876" s="1" t="s">
        <v>11</v>
      </c>
    </row>
    <row r="877" spans="1:5" ht="15.75" customHeight="1">
      <c r="A877" s="1">
        <v>280430</v>
      </c>
      <c r="B877" s="1" t="s">
        <v>886</v>
      </c>
      <c r="C877" s="1" t="s">
        <v>11</v>
      </c>
      <c r="D877" s="1" t="s">
        <v>11</v>
      </c>
      <c r="E877" s="1" t="s">
        <v>11</v>
      </c>
    </row>
    <row r="878" spans="1:5" ht="15.75" customHeight="1">
      <c r="A878" s="1">
        <v>280440</v>
      </c>
      <c r="B878" s="1" t="s">
        <v>887</v>
      </c>
      <c r="C878" s="1" t="s">
        <v>11</v>
      </c>
      <c r="D878" s="1" t="s">
        <v>11</v>
      </c>
      <c r="E878" s="1" t="s">
        <v>11</v>
      </c>
    </row>
    <row r="879" spans="1:5" ht="15.75" customHeight="1">
      <c r="A879" s="1">
        <v>280450</v>
      </c>
      <c r="B879" s="1" t="s">
        <v>888</v>
      </c>
      <c r="C879" s="1" t="s">
        <v>11</v>
      </c>
      <c r="D879" s="1" t="s">
        <v>11</v>
      </c>
      <c r="E879" s="1" t="s">
        <v>11</v>
      </c>
    </row>
    <row r="880" spans="1:5" ht="15.75" customHeight="1">
      <c r="A880" s="1">
        <v>280461</v>
      </c>
      <c r="B880" s="1" t="s">
        <v>889</v>
      </c>
      <c r="C880" s="1" t="s">
        <v>11</v>
      </c>
      <c r="D880" s="1" t="s">
        <v>11</v>
      </c>
      <c r="E880" s="1" t="s">
        <v>11</v>
      </c>
    </row>
    <row r="881" spans="1:5" ht="15.75" customHeight="1">
      <c r="A881" s="1">
        <v>280469</v>
      </c>
      <c r="B881" s="1" t="s">
        <v>890</v>
      </c>
      <c r="C881" s="1" t="s">
        <v>11</v>
      </c>
      <c r="D881" s="1" t="s">
        <v>11</v>
      </c>
      <c r="E881" s="1" t="s">
        <v>11</v>
      </c>
    </row>
    <row r="882" spans="1:5" ht="15.75" customHeight="1">
      <c r="A882" s="1">
        <v>280470</v>
      </c>
      <c r="B882" s="1" t="s">
        <v>891</v>
      </c>
      <c r="C882" s="1" t="s">
        <v>11</v>
      </c>
      <c r="D882" s="1" t="s">
        <v>11</v>
      </c>
      <c r="E882" s="1" t="s">
        <v>11</v>
      </c>
    </row>
    <row r="883" spans="1:5" ht="15.75" customHeight="1">
      <c r="A883" s="1">
        <v>280480</v>
      </c>
      <c r="B883" s="1" t="s">
        <v>892</v>
      </c>
      <c r="C883" s="1" t="s">
        <v>11</v>
      </c>
      <c r="D883" s="1" t="s">
        <v>11</v>
      </c>
      <c r="E883" s="1" t="s">
        <v>11</v>
      </c>
    </row>
    <row r="884" spans="1:5" ht="15.75" customHeight="1">
      <c r="A884" s="1">
        <v>280490</v>
      </c>
      <c r="B884" s="1" t="s">
        <v>893</v>
      </c>
      <c r="C884" s="1" t="s">
        <v>11</v>
      </c>
      <c r="D884" s="1" t="s">
        <v>11</v>
      </c>
      <c r="E884" s="1" t="s">
        <v>11</v>
      </c>
    </row>
    <row r="885" spans="1:5" ht="15.75" customHeight="1">
      <c r="A885" s="1">
        <v>280511</v>
      </c>
      <c r="B885" s="1" t="s">
        <v>894</v>
      </c>
      <c r="C885" s="1" t="s">
        <v>11</v>
      </c>
      <c r="D885" s="1" t="s">
        <v>11</v>
      </c>
      <c r="E885" s="1" t="s">
        <v>11</v>
      </c>
    </row>
    <row r="886" spans="1:5" ht="15.75" customHeight="1">
      <c r="A886" s="1">
        <v>280512</v>
      </c>
      <c r="B886" s="1" t="s">
        <v>895</v>
      </c>
      <c r="C886" s="1" t="s">
        <v>11</v>
      </c>
      <c r="D886" s="1" t="s">
        <v>11</v>
      </c>
      <c r="E886" s="1" t="s">
        <v>11</v>
      </c>
    </row>
    <row r="887" spans="1:5" ht="15.75" customHeight="1">
      <c r="A887" s="1">
        <v>280519</v>
      </c>
      <c r="B887" s="1" t="s">
        <v>896</v>
      </c>
      <c r="C887" s="1" t="s">
        <v>11</v>
      </c>
      <c r="D887" s="1" t="s">
        <v>11</v>
      </c>
      <c r="E887" s="1" t="s">
        <v>11</v>
      </c>
    </row>
    <row r="888" spans="1:5" ht="15.75" customHeight="1">
      <c r="A888" s="1">
        <v>280530</v>
      </c>
      <c r="B888" s="1" t="s">
        <v>897</v>
      </c>
      <c r="C888" s="1" t="s">
        <v>11</v>
      </c>
      <c r="D888" s="1" t="s">
        <v>11</v>
      </c>
      <c r="E888" s="1" t="s">
        <v>11</v>
      </c>
    </row>
    <row r="889" spans="1:5" ht="15.75" customHeight="1">
      <c r="A889" s="1">
        <v>280540</v>
      </c>
      <c r="B889" s="1" t="s">
        <v>898</v>
      </c>
      <c r="C889" s="1" t="s">
        <v>11</v>
      </c>
      <c r="D889" s="1" t="s">
        <v>11</v>
      </c>
      <c r="E889" s="1" t="s">
        <v>11</v>
      </c>
    </row>
    <row r="890" spans="1:5" ht="15.75" customHeight="1">
      <c r="A890" s="1">
        <v>280610</v>
      </c>
      <c r="B890" s="1" t="s">
        <v>899</v>
      </c>
      <c r="C890" s="1" t="s">
        <v>11</v>
      </c>
      <c r="D890" s="1" t="s">
        <v>11</v>
      </c>
      <c r="E890" s="1" t="s">
        <v>11</v>
      </c>
    </row>
    <row r="891" spans="1:5" ht="15.75" customHeight="1">
      <c r="A891" s="1">
        <v>280620</v>
      </c>
      <c r="B891" s="1" t="s">
        <v>900</v>
      </c>
      <c r="C891" s="1" t="s">
        <v>11</v>
      </c>
      <c r="D891" s="1" t="s">
        <v>11</v>
      </c>
      <c r="E891" s="1" t="s">
        <v>11</v>
      </c>
    </row>
    <row r="892" spans="1:5" ht="15.75" customHeight="1">
      <c r="A892" s="1">
        <v>280700</v>
      </c>
      <c r="B892" s="1" t="s">
        <v>901</v>
      </c>
      <c r="C892" s="1" t="s">
        <v>11</v>
      </c>
      <c r="D892" s="1" t="s">
        <v>11</v>
      </c>
      <c r="E892" s="1" t="s">
        <v>11</v>
      </c>
    </row>
    <row r="893" spans="1:5" ht="15.75" customHeight="1">
      <c r="A893" s="1">
        <v>280800</v>
      </c>
      <c r="B893" s="1" t="s">
        <v>902</v>
      </c>
      <c r="C893" s="1" t="s">
        <v>11</v>
      </c>
      <c r="D893" s="1" t="s">
        <v>11</v>
      </c>
      <c r="E893" s="1" t="s">
        <v>11</v>
      </c>
    </row>
    <row r="894" spans="1:5" ht="15.75" customHeight="1">
      <c r="A894" s="1">
        <v>280910</v>
      </c>
      <c r="B894" s="1" t="s">
        <v>903</v>
      </c>
      <c r="C894" s="1" t="s">
        <v>11</v>
      </c>
      <c r="D894" s="1" t="s">
        <v>11</v>
      </c>
      <c r="E894" s="1" t="s">
        <v>11</v>
      </c>
    </row>
    <row r="895" spans="1:5" ht="15.75" customHeight="1">
      <c r="A895" s="1">
        <v>280920</v>
      </c>
      <c r="B895" s="1" t="s">
        <v>904</v>
      </c>
      <c r="C895" s="1" t="s">
        <v>11</v>
      </c>
      <c r="D895" s="1" t="s">
        <v>11</v>
      </c>
      <c r="E895" s="1" t="s">
        <v>11</v>
      </c>
    </row>
    <row r="896" spans="1:5" ht="15.75" customHeight="1">
      <c r="A896" s="1">
        <v>281000</v>
      </c>
      <c r="B896" s="1" t="s">
        <v>905</v>
      </c>
      <c r="C896" s="1" t="s">
        <v>11</v>
      </c>
      <c r="D896" s="1" t="s">
        <v>11</v>
      </c>
      <c r="E896" s="1" t="s">
        <v>11</v>
      </c>
    </row>
    <row r="897" spans="1:5" ht="15.75" customHeight="1">
      <c r="A897" s="1">
        <v>281111</v>
      </c>
      <c r="B897" s="1" t="s">
        <v>906</v>
      </c>
      <c r="C897" s="1" t="s">
        <v>11</v>
      </c>
      <c r="D897" s="1" t="s">
        <v>11</v>
      </c>
      <c r="E897" s="1" t="s">
        <v>11</v>
      </c>
    </row>
    <row r="898" spans="1:5" ht="15.75" customHeight="1">
      <c r="A898" s="1">
        <v>281119</v>
      </c>
      <c r="B898" s="1" t="s">
        <v>907</v>
      </c>
      <c r="C898" s="1" t="s">
        <v>11</v>
      </c>
      <c r="D898" s="1" t="s">
        <v>11</v>
      </c>
      <c r="E898" s="1" t="s">
        <v>11</v>
      </c>
    </row>
    <row r="899" spans="1:5" ht="15.75" customHeight="1">
      <c r="A899" s="1">
        <v>281121</v>
      </c>
      <c r="B899" s="1" t="s">
        <v>908</v>
      </c>
      <c r="C899" s="1" t="s">
        <v>11</v>
      </c>
      <c r="D899" s="1" t="s">
        <v>11</v>
      </c>
      <c r="E899" s="1" t="s">
        <v>11</v>
      </c>
    </row>
    <row r="900" spans="1:5" ht="15.75" customHeight="1">
      <c r="A900" s="1">
        <v>281122</v>
      </c>
      <c r="B900" s="1" t="s">
        <v>909</v>
      </c>
      <c r="C900" s="1" t="s">
        <v>11</v>
      </c>
      <c r="D900" s="1" t="s">
        <v>11</v>
      </c>
      <c r="E900" s="1" t="s">
        <v>11</v>
      </c>
    </row>
    <row r="901" spans="1:5" ht="15.75" customHeight="1">
      <c r="A901" s="1">
        <v>281129</v>
      </c>
      <c r="B901" s="1" t="s">
        <v>910</v>
      </c>
      <c r="C901" s="1" t="s">
        <v>11</v>
      </c>
      <c r="D901" s="1" t="s">
        <v>11</v>
      </c>
      <c r="E901" s="1" t="s">
        <v>11</v>
      </c>
    </row>
    <row r="902" spans="1:5" ht="15.75" customHeight="1">
      <c r="A902" s="1">
        <v>281210</v>
      </c>
      <c r="B902" s="1" t="s">
        <v>911</v>
      </c>
      <c r="C902" s="1" t="s">
        <v>11</v>
      </c>
      <c r="D902" s="1" t="s">
        <v>11</v>
      </c>
      <c r="E902" s="1" t="s">
        <v>11</v>
      </c>
    </row>
    <row r="903" spans="1:5" ht="15.75" customHeight="1">
      <c r="A903" s="1">
        <v>281290</v>
      </c>
      <c r="B903" s="1" t="s">
        <v>912</v>
      </c>
      <c r="C903" s="1" t="s">
        <v>11</v>
      </c>
      <c r="D903" s="1" t="s">
        <v>11</v>
      </c>
      <c r="E903" s="1" t="s">
        <v>11</v>
      </c>
    </row>
    <row r="904" spans="1:5" ht="15.75" customHeight="1">
      <c r="A904" s="1">
        <v>281310</v>
      </c>
      <c r="B904" s="1" t="s">
        <v>913</v>
      </c>
      <c r="C904" s="1" t="s">
        <v>11</v>
      </c>
      <c r="D904" s="1" t="s">
        <v>11</v>
      </c>
      <c r="E904" s="1" t="s">
        <v>11</v>
      </c>
    </row>
    <row r="905" spans="1:5" ht="15.75" customHeight="1">
      <c r="A905" s="1">
        <v>281390</v>
      </c>
      <c r="B905" s="1" t="s">
        <v>914</v>
      </c>
      <c r="C905" s="1" t="s">
        <v>11</v>
      </c>
      <c r="D905" s="1" t="s">
        <v>11</v>
      </c>
      <c r="E905" s="1" t="s">
        <v>11</v>
      </c>
    </row>
    <row r="906" spans="1:5" ht="15.75" customHeight="1">
      <c r="A906" s="1">
        <v>281410</v>
      </c>
      <c r="B906" s="1" t="s">
        <v>915</v>
      </c>
      <c r="C906" s="1" t="s">
        <v>11</v>
      </c>
      <c r="D906" s="1" t="s">
        <v>11</v>
      </c>
      <c r="E906" s="1" t="s">
        <v>11</v>
      </c>
    </row>
    <row r="907" spans="1:5" ht="15.75" customHeight="1">
      <c r="A907" s="1">
        <v>281420</v>
      </c>
      <c r="B907" s="1" t="s">
        <v>916</v>
      </c>
      <c r="C907" s="1" t="s">
        <v>11</v>
      </c>
      <c r="D907" s="1" t="s">
        <v>11</v>
      </c>
      <c r="E907" s="1" t="s">
        <v>11</v>
      </c>
    </row>
    <row r="908" spans="1:5" ht="15.75" customHeight="1">
      <c r="A908" s="1">
        <v>281511</v>
      </c>
      <c r="B908" s="1" t="s">
        <v>917</v>
      </c>
      <c r="C908" s="1" t="s">
        <v>11</v>
      </c>
      <c r="D908" s="1" t="s">
        <v>11</v>
      </c>
      <c r="E908" s="1" t="s">
        <v>11</v>
      </c>
    </row>
    <row r="909" spans="1:5" ht="15.75" customHeight="1">
      <c r="A909" s="1">
        <v>281512</v>
      </c>
      <c r="B909" s="1" t="s">
        <v>918</v>
      </c>
      <c r="C909" s="1" t="s">
        <v>11</v>
      </c>
      <c r="D909" s="1" t="s">
        <v>11</v>
      </c>
      <c r="E909" s="1" t="s">
        <v>11</v>
      </c>
    </row>
    <row r="910" spans="1:5" ht="15.75" customHeight="1">
      <c r="A910" s="1">
        <v>281520</v>
      </c>
      <c r="B910" s="1" t="s">
        <v>919</v>
      </c>
      <c r="C910" s="1" t="s">
        <v>11</v>
      </c>
      <c r="D910" s="1" t="s">
        <v>11</v>
      </c>
      <c r="E910" s="1" t="s">
        <v>11</v>
      </c>
    </row>
    <row r="911" spans="1:5" ht="15.75" customHeight="1">
      <c r="A911" s="1">
        <v>281530</v>
      </c>
      <c r="B911" s="1" t="s">
        <v>920</v>
      </c>
      <c r="C911" s="1" t="s">
        <v>11</v>
      </c>
      <c r="D911" s="1" t="s">
        <v>11</v>
      </c>
      <c r="E911" s="1" t="s">
        <v>11</v>
      </c>
    </row>
    <row r="912" spans="1:5" ht="15.75" customHeight="1">
      <c r="A912" s="1">
        <v>281610</v>
      </c>
      <c r="B912" s="1" t="s">
        <v>921</v>
      </c>
      <c r="C912" s="1" t="s">
        <v>11</v>
      </c>
      <c r="D912" s="1" t="s">
        <v>11</v>
      </c>
      <c r="E912" s="1" t="s">
        <v>11</v>
      </c>
    </row>
    <row r="913" spans="1:5" ht="15.75" customHeight="1">
      <c r="A913" s="1">
        <v>281640</v>
      </c>
      <c r="B913" s="1" t="s">
        <v>922</v>
      </c>
      <c r="C913" s="1" t="s">
        <v>11</v>
      </c>
      <c r="D913" s="1" t="s">
        <v>11</v>
      </c>
      <c r="E913" s="1" t="s">
        <v>11</v>
      </c>
    </row>
    <row r="914" spans="1:5" ht="15.75" customHeight="1">
      <c r="A914" s="1">
        <v>281700</v>
      </c>
      <c r="B914" s="1" t="s">
        <v>923</v>
      </c>
      <c r="C914" s="1" t="s">
        <v>11</v>
      </c>
      <c r="D914" s="1" t="s">
        <v>11</v>
      </c>
      <c r="E914" s="1" t="s">
        <v>11</v>
      </c>
    </row>
    <row r="915" spans="1:5" ht="15.75" customHeight="1">
      <c r="A915" s="1">
        <v>281810</v>
      </c>
      <c r="B915" s="1" t="s">
        <v>924</v>
      </c>
      <c r="C915" s="1" t="s">
        <v>11</v>
      </c>
      <c r="D915" s="1" t="s">
        <v>11</v>
      </c>
      <c r="E915" s="1" t="s">
        <v>11</v>
      </c>
    </row>
    <row r="916" spans="1:5" ht="15.75" customHeight="1">
      <c r="A916" s="1">
        <v>281820</v>
      </c>
      <c r="B916" s="1" t="s">
        <v>925</v>
      </c>
      <c r="C916" s="1" t="s">
        <v>11</v>
      </c>
      <c r="D916" s="1" t="s">
        <v>11</v>
      </c>
      <c r="E916" s="1" t="s">
        <v>11</v>
      </c>
    </row>
    <row r="917" spans="1:5" ht="15.75" customHeight="1">
      <c r="A917" s="1">
        <v>281830</v>
      </c>
      <c r="B917" s="1" t="s">
        <v>926</v>
      </c>
      <c r="C917" s="1" t="s">
        <v>11</v>
      </c>
      <c r="D917" s="1" t="s">
        <v>11</v>
      </c>
      <c r="E917" s="1" t="s">
        <v>11</v>
      </c>
    </row>
    <row r="918" spans="1:5" ht="15.75" customHeight="1">
      <c r="A918" s="1">
        <v>281910</v>
      </c>
      <c r="B918" s="1" t="s">
        <v>927</v>
      </c>
      <c r="C918" s="1" t="s">
        <v>11</v>
      </c>
      <c r="D918" s="1" t="s">
        <v>11</v>
      </c>
      <c r="E918" s="1" t="s">
        <v>11</v>
      </c>
    </row>
    <row r="919" spans="1:5" ht="15.75" customHeight="1">
      <c r="A919" s="1">
        <v>281990</v>
      </c>
      <c r="B919" s="1" t="s">
        <v>928</v>
      </c>
      <c r="C919" s="1" t="s">
        <v>11</v>
      </c>
      <c r="D919" s="1" t="s">
        <v>11</v>
      </c>
      <c r="E919" s="1" t="s">
        <v>11</v>
      </c>
    </row>
    <row r="920" spans="1:5" ht="15.75" customHeight="1">
      <c r="A920" s="1">
        <v>282010</v>
      </c>
      <c r="B920" s="1" t="s">
        <v>929</v>
      </c>
      <c r="C920" s="1" t="s">
        <v>11</v>
      </c>
      <c r="D920" s="1" t="s">
        <v>11</v>
      </c>
      <c r="E920" s="1" t="s">
        <v>11</v>
      </c>
    </row>
    <row r="921" spans="1:5" ht="15.75" customHeight="1">
      <c r="A921" s="1">
        <v>282090</v>
      </c>
      <c r="B921" s="1" t="s">
        <v>930</v>
      </c>
      <c r="C921" s="1" t="s">
        <v>11</v>
      </c>
      <c r="D921" s="1" t="s">
        <v>11</v>
      </c>
      <c r="E921" s="1" t="s">
        <v>11</v>
      </c>
    </row>
    <row r="922" spans="1:5" ht="15.75" customHeight="1">
      <c r="A922" s="1">
        <v>282110</v>
      </c>
      <c r="B922" s="1" t="s">
        <v>931</v>
      </c>
      <c r="C922" s="1" t="s">
        <v>11</v>
      </c>
      <c r="D922" s="1" t="s">
        <v>11</v>
      </c>
      <c r="E922" s="1" t="s">
        <v>11</v>
      </c>
    </row>
    <row r="923" spans="1:5" ht="15.75" customHeight="1">
      <c r="A923" s="1">
        <v>282120</v>
      </c>
      <c r="B923" s="1" t="s">
        <v>932</v>
      </c>
      <c r="C923" s="1" t="s">
        <v>11</v>
      </c>
      <c r="D923" s="1" t="s">
        <v>11</v>
      </c>
      <c r="E923" s="1" t="s">
        <v>11</v>
      </c>
    </row>
    <row r="924" spans="1:5" ht="15.75" customHeight="1">
      <c r="A924" s="1">
        <v>282200</v>
      </c>
      <c r="B924" s="1" t="s">
        <v>933</v>
      </c>
      <c r="C924" s="1" t="s">
        <v>11</v>
      </c>
      <c r="D924" s="1" t="s">
        <v>11</v>
      </c>
      <c r="E924" s="1" t="s">
        <v>11</v>
      </c>
    </row>
    <row r="925" spans="1:5" ht="15.75" customHeight="1">
      <c r="A925" s="1">
        <v>282300</v>
      </c>
      <c r="B925" s="1" t="s">
        <v>934</v>
      </c>
      <c r="C925" s="1" t="s">
        <v>11</v>
      </c>
      <c r="D925" s="1" t="s">
        <v>11</v>
      </c>
      <c r="E925" s="1" t="s">
        <v>11</v>
      </c>
    </row>
    <row r="926" spans="1:5" ht="15.75" customHeight="1">
      <c r="A926" s="1">
        <v>282410</v>
      </c>
      <c r="B926" s="1" t="s">
        <v>935</v>
      </c>
      <c r="C926" s="1" t="s">
        <v>11</v>
      </c>
      <c r="D926" s="1" t="s">
        <v>11</v>
      </c>
      <c r="E926" s="1" t="s">
        <v>11</v>
      </c>
    </row>
    <row r="927" spans="1:5" ht="15.75" customHeight="1">
      <c r="A927" s="1">
        <v>282490</v>
      </c>
      <c r="B927" s="1" t="s">
        <v>936</v>
      </c>
      <c r="C927" s="1" t="s">
        <v>11</v>
      </c>
      <c r="D927" s="1" t="s">
        <v>11</v>
      </c>
      <c r="E927" s="1" t="s">
        <v>11</v>
      </c>
    </row>
    <row r="928" spans="1:5" ht="15.75" customHeight="1">
      <c r="A928" s="1">
        <v>282510</v>
      </c>
      <c r="B928" s="1" t="s">
        <v>937</v>
      </c>
      <c r="C928" s="1" t="s">
        <v>11</v>
      </c>
      <c r="D928" s="1" t="s">
        <v>11</v>
      </c>
      <c r="E928" s="1" t="s">
        <v>11</v>
      </c>
    </row>
    <row r="929" spans="1:5" ht="15.75" customHeight="1">
      <c r="A929" s="1">
        <v>282520</v>
      </c>
      <c r="B929" s="1" t="s">
        <v>938</v>
      </c>
      <c r="C929" s="1" t="s">
        <v>11</v>
      </c>
      <c r="D929" s="1" t="s">
        <v>11</v>
      </c>
      <c r="E929" s="1" t="s">
        <v>11</v>
      </c>
    </row>
    <row r="930" spans="1:5" ht="15.75" customHeight="1">
      <c r="A930" s="1">
        <v>282530</v>
      </c>
      <c r="B930" s="1" t="s">
        <v>939</v>
      </c>
      <c r="C930" s="1" t="s">
        <v>11</v>
      </c>
      <c r="D930" s="1" t="s">
        <v>11</v>
      </c>
      <c r="E930" s="1" t="s">
        <v>11</v>
      </c>
    </row>
    <row r="931" spans="1:5" ht="15.75" customHeight="1">
      <c r="A931" s="1">
        <v>282540</v>
      </c>
      <c r="B931" s="1" t="s">
        <v>940</v>
      </c>
      <c r="C931" s="1" t="s">
        <v>11</v>
      </c>
      <c r="D931" s="1" t="s">
        <v>11</v>
      </c>
      <c r="E931" s="1" t="s">
        <v>11</v>
      </c>
    </row>
    <row r="932" spans="1:5" ht="15.75" customHeight="1">
      <c r="A932" s="1">
        <v>282550</v>
      </c>
      <c r="B932" s="1" t="s">
        <v>941</v>
      </c>
      <c r="C932" s="1" t="s">
        <v>11</v>
      </c>
      <c r="D932" s="1" t="s">
        <v>11</v>
      </c>
      <c r="E932" s="1" t="s">
        <v>11</v>
      </c>
    </row>
    <row r="933" spans="1:5" ht="15.75" customHeight="1">
      <c r="A933" s="1">
        <v>282560</v>
      </c>
      <c r="B933" s="1" t="s">
        <v>942</v>
      </c>
      <c r="C933" s="1" t="s">
        <v>11</v>
      </c>
      <c r="D933" s="1" t="s">
        <v>11</v>
      </c>
      <c r="E933" s="1" t="s">
        <v>11</v>
      </c>
    </row>
    <row r="934" spans="1:5" ht="15.75" customHeight="1">
      <c r="A934" s="1">
        <v>282570</v>
      </c>
      <c r="B934" s="1" t="s">
        <v>943</v>
      </c>
      <c r="C934" s="1" t="s">
        <v>11</v>
      </c>
      <c r="D934" s="1" t="s">
        <v>11</v>
      </c>
      <c r="E934" s="1" t="s">
        <v>11</v>
      </c>
    </row>
    <row r="935" spans="1:5" ht="15.75" customHeight="1">
      <c r="A935" s="1">
        <v>282580</v>
      </c>
      <c r="B935" s="1" t="s">
        <v>944</v>
      </c>
      <c r="C935" s="1" t="s">
        <v>11</v>
      </c>
      <c r="D935" s="1" t="s">
        <v>11</v>
      </c>
      <c r="E935" s="1" t="s">
        <v>11</v>
      </c>
    </row>
    <row r="936" spans="1:5" ht="15.75" customHeight="1">
      <c r="A936" s="1">
        <v>282590</v>
      </c>
      <c r="B936" s="1" t="s">
        <v>945</v>
      </c>
      <c r="C936" s="1" t="s">
        <v>11</v>
      </c>
      <c r="D936" s="1" t="s">
        <v>11</v>
      </c>
      <c r="E936" s="1" t="s">
        <v>11</v>
      </c>
    </row>
    <row r="937" spans="1:5" ht="15.75" customHeight="1">
      <c r="A937" s="1">
        <v>282612</v>
      </c>
      <c r="B937" s="1" t="s">
        <v>946</v>
      </c>
      <c r="C937" s="1" t="s">
        <v>11</v>
      </c>
      <c r="D937" s="1" t="s">
        <v>11</v>
      </c>
      <c r="E937" s="1" t="s">
        <v>11</v>
      </c>
    </row>
    <row r="938" spans="1:5" ht="15.75" customHeight="1">
      <c r="A938" s="1">
        <v>282619</v>
      </c>
      <c r="B938" s="1" t="s">
        <v>947</v>
      </c>
      <c r="C938" s="1" t="s">
        <v>11</v>
      </c>
      <c r="D938" s="1" t="s">
        <v>11</v>
      </c>
      <c r="E938" s="1" t="s">
        <v>11</v>
      </c>
    </row>
    <row r="939" spans="1:5" ht="15.75" customHeight="1">
      <c r="A939" s="1">
        <v>282630</v>
      </c>
      <c r="B939" s="1" t="s">
        <v>948</v>
      </c>
      <c r="C939" s="1" t="s">
        <v>11</v>
      </c>
      <c r="D939" s="1" t="s">
        <v>11</v>
      </c>
      <c r="E939" s="1" t="s">
        <v>11</v>
      </c>
    </row>
    <row r="940" spans="1:5" ht="15.75" customHeight="1">
      <c r="A940" s="1">
        <v>282690</v>
      </c>
      <c r="B940" s="1" t="s">
        <v>949</v>
      </c>
      <c r="C940" s="1" t="s">
        <v>11</v>
      </c>
      <c r="D940" s="1" t="s">
        <v>11</v>
      </c>
      <c r="E940" s="1" t="s">
        <v>11</v>
      </c>
    </row>
    <row r="941" spans="1:5" ht="15.75" customHeight="1">
      <c r="A941" s="1">
        <v>282710</v>
      </c>
      <c r="B941" s="1" t="s">
        <v>950</v>
      </c>
      <c r="C941" s="1" t="s">
        <v>11</v>
      </c>
      <c r="D941" s="1" t="s">
        <v>11</v>
      </c>
      <c r="E941" s="1" t="s">
        <v>11</v>
      </c>
    </row>
    <row r="942" spans="1:5" ht="15.75" customHeight="1">
      <c r="A942" s="1">
        <v>282720</v>
      </c>
      <c r="B942" s="1" t="s">
        <v>951</v>
      </c>
      <c r="C942" s="1" t="s">
        <v>11</v>
      </c>
      <c r="D942" s="1" t="s">
        <v>11</v>
      </c>
      <c r="E942" s="1" t="s">
        <v>11</v>
      </c>
    </row>
    <row r="943" spans="1:5" ht="15.75" customHeight="1">
      <c r="A943" s="1">
        <v>282731</v>
      </c>
      <c r="B943" s="1" t="s">
        <v>952</v>
      </c>
      <c r="C943" s="1" t="s">
        <v>11</v>
      </c>
      <c r="D943" s="1" t="s">
        <v>11</v>
      </c>
      <c r="E943" s="1" t="s">
        <v>11</v>
      </c>
    </row>
    <row r="944" spans="1:5" ht="15.75" customHeight="1">
      <c r="A944" s="1">
        <v>282732</v>
      </c>
      <c r="B944" s="1" t="s">
        <v>953</v>
      </c>
      <c r="C944" s="1" t="s">
        <v>11</v>
      </c>
      <c r="D944" s="1" t="s">
        <v>11</v>
      </c>
      <c r="E944" s="1" t="s">
        <v>11</v>
      </c>
    </row>
    <row r="945" spans="1:5" ht="15.75" customHeight="1">
      <c r="A945" s="1">
        <v>282735</v>
      </c>
      <c r="B945" s="1" t="s">
        <v>954</v>
      </c>
      <c r="C945" s="1" t="s">
        <v>11</v>
      </c>
      <c r="D945" s="1" t="s">
        <v>11</v>
      </c>
      <c r="E945" s="1" t="s">
        <v>11</v>
      </c>
    </row>
    <row r="946" spans="1:5" ht="15.75" customHeight="1">
      <c r="A946" s="1">
        <v>282739</v>
      </c>
      <c r="B946" s="1" t="s">
        <v>955</v>
      </c>
      <c r="C946" s="1" t="s">
        <v>11</v>
      </c>
      <c r="D946" s="1" t="s">
        <v>11</v>
      </c>
      <c r="E946" s="1" t="s">
        <v>11</v>
      </c>
    </row>
    <row r="947" spans="1:5" ht="15.75" customHeight="1">
      <c r="A947" s="1">
        <v>282741</v>
      </c>
      <c r="B947" s="1" t="s">
        <v>956</v>
      </c>
      <c r="C947" s="1" t="s">
        <v>11</v>
      </c>
      <c r="D947" s="1" t="s">
        <v>11</v>
      </c>
      <c r="E947" s="1" t="s">
        <v>11</v>
      </c>
    </row>
    <row r="948" spans="1:5" ht="15.75" customHeight="1">
      <c r="A948" s="1">
        <v>282749</v>
      </c>
      <c r="B948" s="1" t="s">
        <v>957</v>
      </c>
      <c r="C948" s="1" t="s">
        <v>11</v>
      </c>
      <c r="D948" s="1" t="s">
        <v>11</v>
      </c>
      <c r="E948" s="1" t="s">
        <v>11</v>
      </c>
    </row>
    <row r="949" spans="1:5" ht="15.75" customHeight="1">
      <c r="A949" s="1">
        <v>282751</v>
      </c>
      <c r="B949" s="1" t="s">
        <v>958</v>
      </c>
      <c r="C949" s="1" t="s">
        <v>11</v>
      </c>
      <c r="D949" s="1" t="s">
        <v>11</v>
      </c>
      <c r="E949" s="1" t="s">
        <v>11</v>
      </c>
    </row>
    <row r="950" spans="1:5" ht="15.75" customHeight="1">
      <c r="A950" s="1">
        <v>282759</v>
      </c>
      <c r="B950" s="1" t="s">
        <v>959</v>
      </c>
      <c r="C950" s="1" t="s">
        <v>11</v>
      </c>
      <c r="D950" s="1" t="s">
        <v>11</v>
      </c>
      <c r="E950" s="1" t="s">
        <v>11</v>
      </c>
    </row>
    <row r="951" spans="1:5" ht="15.75" customHeight="1">
      <c r="A951" s="1">
        <v>282760</v>
      </c>
      <c r="B951" s="1" t="s">
        <v>960</v>
      </c>
      <c r="C951" s="1" t="s">
        <v>11</v>
      </c>
      <c r="D951" s="1" t="s">
        <v>11</v>
      </c>
      <c r="E951" s="1" t="s">
        <v>11</v>
      </c>
    </row>
    <row r="952" spans="1:5" ht="15.75" customHeight="1">
      <c r="A952" s="1">
        <v>282810</v>
      </c>
      <c r="B952" s="1" t="s">
        <v>961</v>
      </c>
      <c r="C952" s="1" t="s">
        <v>11</v>
      </c>
      <c r="D952" s="1" t="s">
        <v>11</v>
      </c>
      <c r="E952" s="1" t="s">
        <v>11</v>
      </c>
    </row>
    <row r="953" spans="1:5" ht="15.75" customHeight="1">
      <c r="A953" s="1">
        <v>282890</v>
      </c>
      <c r="B953" s="1" t="s">
        <v>962</v>
      </c>
      <c r="C953" s="1" t="s">
        <v>11</v>
      </c>
      <c r="D953" s="1" t="s">
        <v>11</v>
      </c>
      <c r="E953" s="1" t="s">
        <v>11</v>
      </c>
    </row>
    <row r="954" spans="1:5" ht="15.75" customHeight="1">
      <c r="A954" s="1">
        <v>282911</v>
      </c>
      <c r="B954" s="1" t="s">
        <v>963</v>
      </c>
      <c r="C954" s="1" t="s">
        <v>11</v>
      </c>
      <c r="D954" s="1" t="s">
        <v>11</v>
      </c>
      <c r="E954" s="1" t="s">
        <v>11</v>
      </c>
    </row>
    <row r="955" spans="1:5" ht="15.75" customHeight="1">
      <c r="A955" s="1">
        <v>282919</v>
      </c>
      <c r="B955" s="1" t="s">
        <v>964</v>
      </c>
      <c r="C955" s="1" t="s">
        <v>11</v>
      </c>
      <c r="D955" s="1" t="s">
        <v>11</v>
      </c>
      <c r="E955" s="1" t="s">
        <v>11</v>
      </c>
    </row>
    <row r="956" spans="1:5" ht="15.75" customHeight="1">
      <c r="A956" s="1">
        <v>282990</v>
      </c>
      <c r="B956" s="1" t="s">
        <v>965</v>
      </c>
      <c r="C956" s="1" t="s">
        <v>11</v>
      </c>
      <c r="D956" s="1" t="s">
        <v>11</v>
      </c>
      <c r="E956" s="1" t="s">
        <v>11</v>
      </c>
    </row>
    <row r="957" spans="1:5" ht="15.75" customHeight="1">
      <c r="A957" s="1">
        <v>283010</v>
      </c>
      <c r="B957" s="1" t="s">
        <v>966</v>
      </c>
      <c r="C957" s="1" t="s">
        <v>11</v>
      </c>
      <c r="D957" s="1" t="s">
        <v>11</v>
      </c>
      <c r="E957" s="1" t="s">
        <v>11</v>
      </c>
    </row>
    <row r="958" spans="1:5" ht="15.75" customHeight="1">
      <c r="A958" s="1">
        <v>283090</v>
      </c>
      <c r="B958" s="1" t="s">
        <v>967</v>
      </c>
      <c r="C958" s="1" t="s">
        <v>11</v>
      </c>
      <c r="D958" s="1" t="s">
        <v>11</v>
      </c>
      <c r="E958" s="1" t="s">
        <v>11</v>
      </c>
    </row>
    <row r="959" spans="1:5" ht="15.75" customHeight="1">
      <c r="A959" s="1">
        <v>283110</v>
      </c>
      <c r="B959" s="1" t="s">
        <v>968</v>
      </c>
      <c r="C959" s="1" t="s">
        <v>11</v>
      </c>
      <c r="D959" s="1" t="s">
        <v>11</v>
      </c>
      <c r="E959" s="1" t="s">
        <v>11</v>
      </c>
    </row>
    <row r="960" spans="1:5" ht="15.75" customHeight="1">
      <c r="A960" s="1">
        <v>283190</v>
      </c>
      <c r="B960" s="1" t="s">
        <v>969</v>
      </c>
      <c r="C960" s="1" t="s">
        <v>11</v>
      </c>
      <c r="D960" s="1" t="s">
        <v>11</v>
      </c>
      <c r="E960" s="1" t="s">
        <v>11</v>
      </c>
    </row>
    <row r="961" spans="1:5" ht="15.75" customHeight="1">
      <c r="A961" s="1">
        <v>283210</v>
      </c>
      <c r="B961" s="1" t="s">
        <v>970</v>
      </c>
      <c r="C961" s="1" t="s">
        <v>11</v>
      </c>
      <c r="D961" s="1" t="s">
        <v>11</v>
      </c>
      <c r="E961" s="1" t="s">
        <v>11</v>
      </c>
    </row>
    <row r="962" spans="1:5" ht="15.75" customHeight="1">
      <c r="A962" s="1">
        <v>283220</v>
      </c>
      <c r="B962" s="1" t="s">
        <v>971</v>
      </c>
      <c r="C962" s="1" t="s">
        <v>11</v>
      </c>
      <c r="D962" s="1" t="s">
        <v>11</v>
      </c>
      <c r="E962" s="1" t="s">
        <v>11</v>
      </c>
    </row>
    <row r="963" spans="1:5" ht="15.75" customHeight="1">
      <c r="A963" s="1">
        <v>283230</v>
      </c>
      <c r="B963" s="1" t="s">
        <v>972</v>
      </c>
      <c r="C963" s="1" t="s">
        <v>11</v>
      </c>
      <c r="D963" s="1" t="s">
        <v>11</v>
      </c>
      <c r="E963" s="1" t="s">
        <v>11</v>
      </c>
    </row>
    <row r="964" spans="1:5" ht="15.75" customHeight="1">
      <c r="A964" s="1">
        <v>283311</v>
      </c>
      <c r="B964" s="1" t="s">
        <v>973</v>
      </c>
      <c r="C964" s="1" t="s">
        <v>11</v>
      </c>
      <c r="D964" s="1" t="s">
        <v>11</v>
      </c>
      <c r="E964" s="1" t="s">
        <v>11</v>
      </c>
    </row>
    <row r="965" spans="1:5" ht="15.75" customHeight="1">
      <c r="A965" s="1">
        <v>283319</v>
      </c>
      <c r="B965" s="1" t="s">
        <v>974</v>
      </c>
      <c r="C965" s="1" t="s">
        <v>11</v>
      </c>
      <c r="D965" s="1" t="s">
        <v>11</v>
      </c>
      <c r="E965" s="1" t="s">
        <v>11</v>
      </c>
    </row>
    <row r="966" spans="1:5" ht="15.75" customHeight="1">
      <c r="A966" s="1">
        <v>283321</v>
      </c>
      <c r="B966" s="1" t="s">
        <v>975</v>
      </c>
      <c r="C966" s="1" t="s">
        <v>11</v>
      </c>
      <c r="D966" s="1" t="s">
        <v>11</v>
      </c>
      <c r="E966" s="1" t="s">
        <v>11</v>
      </c>
    </row>
    <row r="967" spans="1:5" ht="15.75" customHeight="1">
      <c r="A967" s="1">
        <v>283322</v>
      </c>
      <c r="B967" s="1" t="s">
        <v>976</v>
      </c>
      <c r="C967" s="1" t="s">
        <v>11</v>
      </c>
      <c r="D967" s="1" t="s">
        <v>11</v>
      </c>
      <c r="E967" s="1" t="s">
        <v>11</v>
      </c>
    </row>
    <row r="968" spans="1:5" ht="15.75" customHeight="1">
      <c r="A968" s="1">
        <v>283324</v>
      </c>
      <c r="B968" s="1" t="s">
        <v>977</v>
      </c>
      <c r="C968" s="1" t="s">
        <v>11</v>
      </c>
      <c r="D968" s="1" t="s">
        <v>11</v>
      </c>
      <c r="E968" s="1" t="s">
        <v>11</v>
      </c>
    </row>
    <row r="969" spans="1:5" ht="15.75" customHeight="1">
      <c r="A969" s="1">
        <v>283325</v>
      </c>
      <c r="B969" s="1" t="s">
        <v>978</v>
      </c>
      <c r="C969" s="1" t="s">
        <v>11</v>
      </c>
      <c r="D969" s="1" t="s">
        <v>11</v>
      </c>
      <c r="E969" s="1" t="s">
        <v>11</v>
      </c>
    </row>
    <row r="970" spans="1:5" ht="15.75" customHeight="1">
      <c r="A970" s="1">
        <v>283327</v>
      </c>
      <c r="B970" s="1" t="s">
        <v>979</v>
      </c>
      <c r="C970" s="1" t="s">
        <v>11</v>
      </c>
      <c r="D970" s="1" t="s">
        <v>11</v>
      </c>
      <c r="E970" s="1" t="s">
        <v>11</v>
      </c>
    </row>
    <row r="971" spans="1:5" ht="15.75" customHeight="1">
      <c r="A971" s="1">
        <v>283329</v>
      </c>
      <c r="B971" s="1" t="s">
        <v>980</v>
      </c>
      <c r="C971" s="1" t="s">
        <v>11</v>
      </c>
      <c r="D971" s="1" t="s">
        <v>11</v>
      </c>
      <c r="E971" s="1" t="s">
        <v>11</v>
      </c>
    </row>
    <row r="972" spans="1:5" ht="15.75" customHeight="1">
      <c r="A972" s="1">
        <v>283330</v>
      </c>
      <c r="B972" s="1" t="s">
        <v>981</v>
      </c>
      <c r="C972" s="1" t="s">
        <v>11</v>
      </c>
      <c r="D972" s="1" t="s">
        <v>11</v>
      </c>
      <c r="E972" s="1" t="s">
        <v>11</v>
      </c>
    </row>
    <row r="973" spans="1:5" ht="15.75" customHeight="1">
      <c r="A973" s="1">
        <v>283340</v>
      </c>
      <c r="B973" s="1" t="s">
        <v>982</v>
      </c>
      <c r="C973" s="1" t="s">
        <v>11</v>
      </c>
      <c r="D973" s="1" t="s">
        <v>11</v>
      </c>
      <c r="E973" s="1" t="s">
        <v>11</v>
      </c>
    </row>
    <row r="974" spans="1:5" ht="15.75" customHeight="1">
      <c r="A974" s="1">
        <v>283410</v>
      </c>
      <c r="B974" s="1" t="s">
        <v>983</v>
      </c>
      <c r="C974" s="1" t="s">
        <v>11</v>
      </c>
      <c r="D974" s="1" t="s">
        <v>11</v>
      </c>
      <c r="E974" s="1" t="s">
        <v>11</v>
      </c>
    </row>
    <row r="975" spans="1:5" ht="15.75" customHeight="1">
      <c r="A975" s="1">
        <v>283421</v>
      </c>
      <c r="B975" s="1" t="s">
        <v>984</v>
      </c>
      <c r="C975" s="1" t="s">
        <v>11</v>
      </c>
      <c r="D975" s="1" t="s">
        <v>11</v>
      </c>
      <c r="E975" s="1" t="s">
        <v>11</v>
      </c>
    </row>
    <row r="976" spans="1:5" ht="15.75" customHeight="1">
      <c r="A976" s="1">
        <v>283429</v>
      </c>
      <c r="B976" s="1" t="s">
        <v>985</v>
      </c>
      <c r="C976" s="1" t="s">
        <v>11</v>
      </c>
      <c r="D976" s="1" t="s">
        <v>11</v>
      </c>
      <c r="E976" s="1" t="s">
        <v>11</v>
      </c>
    </row>
    <row r="977" spans="1:5" ht="15.75" customHeight="1">
      <c r="A977" s="1">
        <v>283510</v>
      </c>
      <c r="B977" s="1" t="s">
        <v>986</v>
      </c>
      <c r="C977" s="1" t="s">
        <v>11</v>
      </c>
      <c r="D977" s="1" t="s">
        <v>11</v>
      </c>
      <c r="E977" s="1" t="s">
        <v>11</v>
      </c>
    </row>
    <row r="978" spans="1:5" ht="15.75" customHeight="1">
      <c r="A978" s="1">
        <v>283522</v>
      </c>
      <c r="B978" s="1" t="s">
        <v>987</v>
      </c>
      <c r="C978" s="1" t="s">
        <v>11</v>
      </c>
      <c r="D978" s="1" t="s">
        <v>11</v>
      </c>
      <c r="E978" s="1" t="s">
        <v>11</v>
      </c>
    </row>
    <row r="979" spans="1:5" ht="15.75" customHeight="1">
      <c r="A979" s="1">
        <v>283524</v>
      </c>
      <c r="B979" s="1" t="s">
        <v>988</v>
      </c>
      <c r="C979" s="1" t="s">
        <v>11</v>
      </c>
      <c r="D979" s="1" t="s">
        <v>11</v>
      </c>
      <c r="E979" s="1" t="s">
        <v>11</v>
      </c>
    </row>
    <row r="980" spans="1:5" ht="15.75" customHeight="1">
      <c r="A980" s="1">
        <v>283525</v>
      </c>
      <c r="B980" s="1" t="s">
        <v>989</v>
      </c>
      <c r="C980" s="1" t="s">
        <v>11</v>
      </c>
      <c r="D980" s="1" t="s">
        <v>11</v>
      </c>
      <c r="E980" s="1" t="s">
        <v>11</v>
      </c>
    </row>
    <row r="981" spans="1:5" ht="15.75" customHeight="1">
      <c r="A981" s="1">
        <v>283526</v>
      </c>
      <c r="B981" s="1" t="s">
        <v>990</v>
      </c>
      <c r="C981" s="1" t="s">
        <v>11</v>
      </c>
      <c r="D981" s="1" t="s">
        <v>11</v>
      </c>
      <c r="E981" s="1" t="s">
        <v>11</v>
      </c>
    </row>
    <row r="982" spans="1:5" ht="15.75" customHeight="1">
      <c r="A982" s="1">
        <v>283529</v>
      </c>
      <c r="B982" s="1" t="s">
        <v>991</v>
      </c>
      <c r="C982" s="1" t="s">
        <v>11</v>
      </c>
      <c r="D982" s="1" t="s">
        <v>11</v>
      </c>
      <c r="E982" s="1" t="s">
        <v>11</v>
      </c>
    </row>
    <row r="983" spans="1:5" ht="15.75" customHeight="1">
      <c r="A983" s="1">
        <v>283531</v>
      </c>
      <c r="B983" s="1" t="s">
        <v>992</v>
      </c>
      <c r="C983" s="1" t="s">
        <v>11</v>
      </c>
      <c r="D983" s="1" t="s">
        <v>11</v>
      </c>
      <c r="E983" s="1" t="s">
        <v>11</v>
      </c>
    </row>
    <row r="984" spans="1:5" ht="15.75" customHeight="1">
      <c r="A984" s="1">
        <v>283539</v>
      </c>
      <c r="B984" s="1" t="s">
        <v>993</v>
      </c>
      <c r="C984" s="1" t="s">
        <v>11</v>
      </c>
      <c r="D984" s="1" t="s">
        <v>11</v>
      </c>
      <c r="E984" s="1" t="s">
        <v>11</v>
      </c>
    </row>
    <row r="985" spans="1:5" ht="15.75" customHeight="1">
      <c r="A985" s="1">
        <v>283620</v>
      </c>
      <c r="B985" s="1" t="s">
        <v>994</v>
      </c>
      <c r="C985" s="1" t="s">
        <v>11</v>
      </c>
      <c r="D985" s="1" t="s">
        <v>11</v>
      </c>
      <c r="E985" s="1" t="s">
        <v>11</v>
      </c>
    </row>
    <row r="986" spans="1:5" ht="15.75" customHeight="1">
      <c r="A986" s="1">
        <v>283630</v>
      </c>
      <c r="B986" s="1" t="s">
        <v>995</v>
      </c>
      <c r="C986" s="1" t="s">
        <v>11</v>
      </c>
      <c r="D986" s="1" t="s">
        <v>11</v>
      </c>
      <c r="E986" s="1" t="s">
        <v>11</v>
      </c>
    </row>
    <row r="987" spans="1:5" ht="15.75" customHeight="1">
      <c r="A987" s="1">
        <v>283640</v>
      </c>
      <c r="B987" s="1" t="s">
        <v>996</v>
      </c>
      <c r="C987" s="1" t="s">
        <v>11</v>
      </c>
      <c r="D987" s="1" t="s">
        <v>11</v>
      </c>
      <c r="E987" s="1" t="s">
        <v>11</v>
      </c>
    </row>
    <row r="988" spans="1:5" ht="15.75" customHeight="1">
      <c r="A988" s="1">
        <v>283650</v>
      </c>
      <c r="B988" s="1" t="s">
        <v>997</v>
      </c>
      <c r="C988" s="1" t="s">
        <v>11</v>
      </c>
      <c r="D988" s="1" t="s">
        <v>11</v>
      </c>
      <c r="E988" s="1" t="s">
        <v>11</v>
      </c>
    </row>
    <row r="989" spans="1:5" ht="15.75" customHeight="1">
      <c r="A989" s="1">
        <v>283660</v>
      </c>
      <c r="B989" s="1" t="s">
        <v>998</v>
      </c>
      <c r="C989" s="1" t="s">
        <v>11</v>
      </c>
      <c r="D989" s="1" t="s">
        <v>11</v>
      </c>
      <c r="E989" s="1" t="s">
        <v>11</v>
      </c>
    </row>
    <row r="990" spans="1:5" ht="15.75" customHeight="1">
      <c r="A990" s="1">
        <v>283691</v>
      </c>
      <c r="B990" s="1" t="s">
        <v>999</v>
      </c>
      <c r="C990" s="1" t="s">
        <v>11</v>
      </c>
      <c r="D990" s="1" t="s">
        <v>11</v>
      </c>
      <c r="E990" s="1" t="s">
        <v>11</v>
      </c>
    </row>
    <row r="991" spans="1:5" ht="15.75" customHeight="1">
      <c r="A991" s="1">
        <v>283692</v>
      </c>
      <c r="B991" s="1" t="s">
        <v>1000</v>
      </c>
      <c r="C991" s="1" t="s">
        <v>11</v>
      </c>
      <c r="D991" s="1" t="s">
        <v>11</v>
      </c>
      <c r="E991" s="1" t="s">
        <v>11</v>
      </c>
    </row>
    <row r="992" spans="1:5" ht="15.75" customHeight="1">
      <c r="A992" s="1">
        <v>283699</v>
      </c>
      <c r="B992" s="1" t="s">
        <v>1001</v>
      </c>
      <c r="C992" s="1" t="s">
        <v>11</v>
      </c>
      <c r="D992" s="1" t="s">
        <v>11</v>
      </c>
      <c r="E992" s="1" t="s">
        <v>11</v>
      </c>
    </row>
    <row r="993" spans="1:5" ht="15.75" customHeight="1">
      <c r="A993" s="1">
        <v>283711</v>
      </c>
      <c r="B993" s="1" t="s">
        <v>1002</v>
      </c>
      <c r="C993" s="1" t="s">
        <v>11</v>
      </c>
      <c r="D993" s="1" t="s">
        <v>11</v>
      </c>
      <c r="E993" s="1" t="s">
        <v>11</v>
      </c>
    </row>
    <row r="994" spans="1:5" ht="15.75" customHeight="1">
      <c r="A994" s="1">
        <v>283719</v>
      </c>
      <c r="B994" s="1" t="s">
        <v>1003</v>
      </c>
      <c r="C994" s="1" t="s">
        <v>11</v>
      </c>
      <c r="D994" s="1" t="s">
        <v>11</v>
      </c>
      <c r="E994" s="1" t="s">
        <v>11</v>
      </c>
    </row>
    <row r="995" spans="1:5" ht="15.75" customHeight="1">
      <c r="A995" s="1">
        <v>283720</v>
      </c>
      <c r="B995" s="1" t="s">
        <v>1004</v>
      </c>
      <c r="C995" s="1" t="s">
        <v>11</v>
      </c>
      <c r="D995" s="1" t="s">
        <v>11</v>
      </c>
      <c r="E995" s="1" t="s">
        <v>11</v>
      </c>
    </row>
    <row r="996" spans="1:5" ht="15.75" customHeight="1">
      <c r="A996" s="1">
        <v>283911</v>
      </c>
      <c r="B996" s="1" t="s">
        <v>1005</v>
      </c>
      <c r="C996" s="1" t="s">
        <v>11</v>
      </c>
      <c r="D996" s="1" t="s">
        <v>11</v>
      </c>
      <c r="E996" s="1" t="s">
        <v>11</v>
      </c>
    </row>
    <row r="997" spans="1:5" ht="15.75" customHeight="1">
      <c r="A997" s="1">
        <v>283919</v>
      </c>
      <c r="B997" s="1" t="s">
        <v>1006</v>
      </c>
      <c r="C997" s="1" t="s">
        <v>11</v>
      </c>
      <c r="D997" s="1" t="s">
        <v>11</v>
      </c>
      <c r="E997" s="1" t="s">
        <v>11</v>
      </c>
    </row>
    <row r="998" spans="1:5" ht="15.75" customHeight="1">
      <c r="A998" s="1">
        <v>283990</v>
      </c>
      <c r="B998" s="1" t="s">
        <v>1007</v>
      </c>
      <c r="C998" s="1" t="s">
        <v>11</v>
      </c>
      <c r="D998" s="1" t="s">
        <v>11</v>
      </c>
      <c r="E998" s="1" t="s">
        <v>11</v>
      </c>
    </row>
    <row r="999" spans="1:5" ht="15.75" customHeight="1">
      <c r="A999" s="1">
        <v>284011</v>
      </c>
      <c r="B999" s="1" t="s">
        <v>1008</v>
      </c>
      <c r="C999" s="1" t="s">
        <v>11</v>
      </c>
      <c r="D999" s="1" t="s">
        <v>11</v>
      </c>
      <c r="E999" s="1" t="s">
        <v>11</v>
      </c>
    </row>
    <row r="1000" spans="1:5" ht="15.75" customHeight="1">
      <c r="A1000" s="1">
        <v>284019</v>
      </c>
      <c r="B1000" s="1" t="s">
        <v>1009</v>
      </c>
      <c r="C1000" s="1" t="s">
        <v>11</v>
      </c>
      <c r="D1000" s="1" t="s">
        <v>11</v>
      </c>
      <c r="E1000" s="1" t="s">
        <v>11</v>
      </c>
    </row>
    <row r="1001" spans="1:5" ht="15.75" customHeight="1">
      <c r="A1001" s="1">
        <v>284020</v>
      </c>
      <c r="B1001" s="1" t="s">
        <v>1010</v>
      </c>
      <c r="C1001" s="1" t="s">
        <v>11</v>
      </c>
      <c r="D1001" s="1" t="s">
        <v>11</v>
      </c>
      <c r="E1001" s="1" t="s">
        <v>11</v>
      </c>
    </row>
    <row r="1002" spans="1:5" ht="15.75" customHeight="1">
      <c r="A1002" s="1">
        <v>284030</v>
      </c>
      <c r="B1002" s="1" t="s">
        <v>1011</v>
      </c>
      <c r="C1002" s="1" t="s">
        <v>11</v>
      </c>
      <c r="D1002" s="1" t="s">
        <v>11</v>
      </c>
      <c r="E1002" s="1" t="s">
        <v>11</v>
      </c>
    </row>
    <row r="1003" spans="1:5" ht="15.75" customHeight="1">
      <c r="A1003" s="1">
        <v>284130</v>
      </c>
      <c r="B1003" s="1" t="s">
        <v>1012</v>
      </c>
      <c r="C1003" s="1" t="s">
        <v>11</v>
      </c>
      <c r="D1003" s="1" t="s">
        <v>11</v>
      </c>
      <c r="E1003" s="1" t="s">
        <v>11</v>
      </c>
    </row>
    <row r="1004" spans="1:5" ht="15.75" customHeight="1">
      <c r="A1004" s="1">
        <v>284150</v>
      </c>
      <c r="B1004" s="1" t="s">
        <v>1013</v>
      </c>
      <c r="C1004" s="1" t="s">
        <v>11</v>
      </c>
      <c r="D1004" s="1" t="s">
        <v>11</v>
      </c>
      <c r="E1004" s="1" t="s">
        <v>11</v>
      </c>
    </row>
    <row r="1005" spans="1:5" ht="15.75" customHeight="1">
      <c r="A1005" s="1">
        <v>284161</v>
      </c>
      <c r="B1005" s="1" t="s">
        <v>1014</v>
      </c>
      <c r="C1005" s="1" t="s">
        <v>11</v>
      </c>
      <c r="D1005" s="1" t="s">
        <v>11</v>
      </c>
      <c r="E1005" s="1" t="s">
        <v>11</v>
      </c>
    </row>
    <row r="1006" spans="1:5" ht="15.75" customHeight="1">
      <c r="A1006" s="1">
        <v>284169</v>
      </c>
      <c r="B1006" s="1" t="s">
        <v>1015</v>
      </c>
      <c r="C1006" s="1" t="s">
        <v>11</v>
      </c>
      <c r="D1006" s="1" t="s">
        <v>11</v>
      </c>
      <c r="E1006" s="1" t="s">
        <v>11</v>
      </c>
    </row>
    <row r="1007" spans="1:5" ht="15.75" customHeight="1">
      <c r="A1007" s="1">
        <v>284170</v>
      </c>
      <c r="B1007" s="1" t="s">
        <v>1016</v>
      </c>
      <c r="C1007" s="1" t="s">
        <v>11</v>
      </c>
      <c r="D1007" s="1" t="s">
        <v>11</v>
      </c>
      <c r="E1007" s="1" t="s">
        <v>11</v>
      </c>
    </row>
    <row r="1008" spans="1:5" ht="15.75" customHeight="1">
      <c r="A1008" s="1">
        <v>284180</v>
      </c>
      <c r="B1008" s="1" t="s">
        <v>1017</v>
      </c>
      <c r="C1008" s="1" t="s">
        <v>11</v>
      </c>
      <c r="D1008" s="1" t="s">
        <v>11</v>
      </c>
      <c r="E1008" s="1" t="s">
        <v>11</v>
      </c>
    </row>
    <row r="1009" spans="1:5" ht="15.75" customHeight="1">
      <c r="A1009" s="1">
        <v>284190</v>
      </c>
      <c r="B1009" s="1" t="s">
        <v>1018</v>
      </c>
      <c r="C1009" s="1" t="s">
        <v>11</v>
      </c>
      <c r="D1009" s="1" t="s">
        <v>11</v>
      </c>
      <c r="E1009" s="1" t="s">
        <v>11</v>
      </c>
    </row>
    <row r="1010" spans="1:5" ht="15.75" customHeight="1">
      <c r="A1010" s="1">
        <v>284210</v>
      </c>
      <c r="B1010" s="1" t="s">
        <v>1019</v>
      </c>
      <c r="C1010" s="1" t="s">
        <v>11</v>
      </c>
      <c r="D1010" s="1" t="s">
        <v>11</v>
      </c>
      <c r="E1010" s="1" t="s">
        <v>11</v>
      </c>
    </row>
    <row r="1011" spans="1:5" ht="15.75" customHeight="1">
      <c r="A1011" s="1">
        <v>284290</v>
      </c>
      <c r="B1011" s="1" t="s">
        <v>1020</v>
      </c>
      <c r="C1011" s="1" t="s">
        <v>11</v>
      </c>
      <c r="D1011" s="1" t="s">
        <v>11</v>
      </c>
      <c r="E1011" s="1" t="s">
        <v>11</v>
      </c>
    </row>
    <row r="1012" spans="1:5" ht="15.75" customHeight="1">
      <c r="A1012" s="1">
        <v>284310</v>
      </c>
      <c r="B1012" s="1" t="s">
        <v>1021</v>
      </c>
      <c r="C1012" s="1" t="s">
        <v>11</v>
      </c>
      <c r="D1012" s="1" t="s">
        <v>11</v>
      </c>
      <c r="E1012" s="1" t="s">
        <v>11</v>
      </c>
    </row>
    <row r="1013" spans="1:5" ht="15.75" customHeight="1">
      <c r="A1013" s="1">
        <v>284321</v>
      </c>
      <c r="B1013" s="1" t="s">
        <v>1022</v>
      </c>
      <c r="C1013" s="1" t="s">
        <v>11</v>
      </c>
      <c r="D1013" s="1" t="s">
        <v>11</v>
      </c>
      <c r="E1013" s="1" t="s">
        <v>11</v>
      </c>
    </row>
    <row r="1014" spans="1:5" ht="15.75" customHeight="1">
      <c r="A1014" s="1">
        <v>284329</v>
      </c>
      <c r="B1014" s="1" t="s">
        <v>1023</v>
      </c>
      <c r="C1014" s="1" t="s">
        <v>11</v>
      </c>
      <c r="D1014" s="1" t="s">
        <v>11</v>
      </c>
      <c r="E1014" s="1" t="s">
        <v>11</v>
      </c>
    </row>
    <row r="1015" spans="1:5" ht="15.75" customHeight="1">
      <c r="A1015" s="1">
        <v>284330</v>
      </c>
      <c r="B1015" s="1" t="s">
        <v>1024</v>
      </c>
      <c r="C1015" s="1" t="s">
        <v>11</v>
      </c>
      <c r="D1015" s="1" t="s">
        <v>11</v>
      </c>
      <c r="E1015" s="1" t="s">
        <v>11</v>
      </c>
    </row>
    <row r="1016" spans="1:5" ht="15.75" customHeight="1">
      <c r="A1016" s="1">
        <v>284390</v>
      </c>
      <c r="B1016" s="1" t="s">
        <v>1025</v>
      </c>
      <c r="C1016" s="1" t="s">
        <v>11</v>
      </c>
      <c r="D1016" s="1" t="s">
        <v>11</v>
      </c>
      <c r="E1016" s="1" t="s">
        <v>11</v>
      </c>
    </row>
    <row r="1017" spans="1:5" ht="15.75" customHeight="1">
      <c r="A1017" s="1">
        <v>284410</v>
      </c>
      <c r="B1017" s="1" t="s">
        <v>1026</v>
      </c>
      <c r="C1017" s="1" t="s">
        <v>11</v>
      </c>
      <c r="D1017" s="1" t="s">
        <v>11</v>
      </c>
      <c r="E1017" s="1" t="s">
        <v>11</v>
      </c>
    </row>
    <row r="1018" spans="1:5" ht="15.75" customHeight="1">
      <c r="A1018" s="1">
        <v>284420</v>
      </c>
      <c r="B1018" s="1" t="s">
        <v>1027</v>
      </c>
      <c r="C1018" s="1" t="s">
        <v>11</v>
      </c>
      <c r="D1018" s="1" t="s">
        <v>11</v>
      </c>
      <c r="E1018" s="1" t="s">
        <v>11</v>
      </c>
    </row>
    <row r="1019" spans="1:5" ht="15.75" customHeight="1">
      <c r="A1019" s="1">
        <v>284430</v>
      </c>
      <c r="B1019" s="1" t="s">
        <v>1028</v>
      </c>
      <c r="C1019" s="1" t="s">
        <v>11</v>
      </c>
      <c r="D1019" s="1" t="s">
        <v>11</v>
      </c>
      <c r="E1019" s="1" t="s">
        <v>11</v>
      </c>
    </row>
    <row r="1020" spans="1:5" ht="15.75" customHeight="1">
      <c r="A1020" s="1">
        <v>284440</v>
      </c>
      <c r="B1020" s="1" t="s">
        <v>1029</v>
      </c>
      <c r="C1020" s="1" t="s">
        <v>11</v>
      </c>
      <c r="D1020" s="1" t="s">
        <v>11</v>
      </c>
      <c r="E1020" s="1" t="s">
        <v>11</v>
      </c>
    </row>
    <row r="1021" spans="1:5" ht="15.75" customHeight="1">
      <c r="A1021" s="1">
        <v>284450</v>
      </c>
      <c r="B1021" s="1" t="s">
        <v>1030</v>
      </c>
      <c r="C1021" s="1" t="s">
        <v>11</v>
      </c>
      <c r="D1021" s="1" t="s">
        <v>11</v>
      </c>
      <c r="E1021" s="1" t="s">
        <v>11</v>
      </c>
    </row>
    <row r="1022" spans="1:5" ht="15.75" customHeight="1">
      <c r="A1022" s="1">
        <v>284510</v>
      </c>
      <c r="B1022" s="1" t="s">
        <v>1031</v>
      </c>
      <c r="C1022" s="1" t="s">
        <v>11</v>
      </c>
      <c r="D1022" s="1" t="s">
        <v>11</v>
      </c>
      <c r="E1022" s="1" t="s">
        <v>11</v>
      </c>
    </row>
    <row r="1023" spans="1:5" ht="15.75" customHeight="1">
      <c r="A1023" s="1">
        <v>284590</v>
      </c>
      <c r="B1023" s="1" t="s">
        <v>1032</v>
      </c>
      <c r="C1023" s="1" t="s">
        <v>11</v>
      </c>
      <c r="D1023" s="1" t="s">
        <v>11</v>
      </c>
      <c r="E1023" s="1" t="s">
        <v>11</v>
      </c>
    </row>
    <row r="1024" spans="1:5" ht="15.75" customHeight="1">
      <c r="A1024" s="1">
        <v>284610</v>
      </c>
      <c r="B1024" s="1" t="s">
        <v>1033</v>
      </c>
      <c r="C1024" s="1" t="s">
        <v>11</v>
      </c>
      <c r="D1024" s="1" t="s">
        <v>11</v>
      </c>
      <c r="E1024" s="1" t="s">
        <v>11</v>
      </c>
    </row>
    <row r="1025" spans="1:5" ht="15.75" customHeight="1">
      <c r="A1025" s="1">
        <v>284690</v>
      </c>
      <c r="B1025" s="1" t="s">
        <v>1034</v>
      </c>
      <c r="C1025" s="1" t="s">
        <v>11</v>
      </c>
      <c r="D1025" s="1" t="s">
        <v>11</v>
      </c>
      <c r="E1025" s="1" t="s">
        <v>11</v>
      </c>
    </row>
    <row r="1026" spans="1:5" ht="15.75" customHeight="1">
      <c r="A1026" s="1">
        <v>284700</v>
      </c>
      <c r="B1026" s="1" t="s">
        <v>1035</v>
      </c>
      <c r="C1026" s="1" t="s">
        <v>11</v>
      </c>
      <c r="D1026" s="1" t="s">
        <v>11</v>
      </c>
      <c r="E1026" s="1" t="s">
        <v>11</v>
      </c>
    </row>
    <row r="1027" spans="1:5" ht="15.75" customHeight="1">
      <c r="A1027" s="1">
        <v>284800</v>
      </c>
      <c r="B1027" s="1" t="s">
        <v>1036</v>
      </c>
      <c r="C1027" s="1" t="s">
        <v>11</v>
      </c>
      <c r="D1027" s="1" t="s">
        <v>11</v>
      </c>
      <c r="E1027" s="1" t="s">
        <v>11</v>
      </c>
    </row>
    <row r="1028" spans="1:5" ht="15.75" customHeight="1">
      <c r="A1028" s="1">
        <v>284910</v>
      </c>
      <c r="B1028" s="1" t="s">
        <v>1037</v>
      </c>
      <c r="C1028" s="1" t="s">
        <v>11</v>
      </c>
      <c r="D1028" s="1" t="s">
        <v>11</v>
      </c>
      <c r="E1028" s="1" t="s">
        <v>11</v>
      </c>
    </row>
    <row r="1029" spans="1:5" ht="15.75" customHeight="1">
      <c r="A1029" s="1">
        <v>284920</v>
      </c>
      <c r="B1029" s="1" t="s">
        <v>1038</v>
      </c>
      <c r="C1029" s="1" t="s">
        <v>11</v>
      </c>
      <c r="D1029" s="1" t="s">
        <v>11</v>
      </c>
      <c r="E1029" s="1" t="s">
        <v>11</v>
      </c>
    </row>
    <row r="1030" spans="1:5" ht="15.75" customHeight="1">
      <c r="A1030" s="1">
        <v>284990</v>
      </c>
      <c r="B1030" s="1" t="s">
        <v>1039</v>
      </c>
      <c r="C1030" s="1" t="s">
        <v>11</v>
      </c>
      <c r="D1030" s="1" t="s">
        <v>11</v>
      </c>
      <c r="E1030" s="1" t="s">
        <v>11</v>
      </c>
    </row>
    <row r="1031" spans="1:5" ht="15.75" customHeight="1">
      <c r="A1031" s="1">
        <v>285000</v>
      </c>
      <c r="B1031" s="1" t="s">
        <v>1040</v>
      </c>
      <c r="C1031" s="1" t="s">
        <v>11</v>
      </c>
      <c r="D1031" s="1" t="s">
        <v>11</v>
      </c>
      <c r="E1031" s="1" t="s">
        <v>11</v>
      </c>
    </row>
    <row r="1032" spans="1:5" ht="15.75" customHeight="1">
      <c r="A1032" s="1">
        <v>285200</v>
      </c>
      <c r="B1032" s="1" t="s">
        <v>1041</v>
      </c>
      <c r="C1032" s="1" t="s">
        <v>11</v>
      </c>
      <c r="D1032" s="1" t="s">
        <v>11</v>
      </c>
      <c r="E1032" s="1" t="s">
        <v>11</v>
      </c>
    </row>
    <row r="1033" spans="1:5" ht="15.75" customHeight="1">
      <c r="A1033" s="1">
        <v>285300</v>
      </c>
      <c r="B1033" s="1" t="s">
        <v>1042</v>
      </c>
      <c r="C1033" s="1" t="s">
        <v>11</v>
      </c>
      <c r="D1033" s="1" t="s">
        <v>11</v>
      </c>
      <c r="E1033" s="1" t="s">
        <v>11</v>
      </c>
    </row>
    <row r="1034" spans="1:5" ht="15.75" customHeight="1">
      <c r="A1034" s="1">
        <v>290110</v>
      </c>
      <c r="B1034" s="1" t="s">
        <v>1043</v>
      </c>
      <c r="C1034" s="1" t="s">
        <v>11</v>
      </c>
      <c r="D1034" s="1" t="s">
        <v>11</v>
      </c>
      <c r="E1034" s="1" t="s">
        <v>11</v>
      </c>
    </row>
    <row r="1035" spans="1:5" ht="15.75" customHeight="1">
      <c r="A1035" s="1">
        <v>290121</v>
      </c>
      <c r="B1035" s="1" t="s">
        <v>1044</v>
      </c>
      <c r="C1035" s="1" t="s">
        <v>11</v>
      </c>
      <c r="D1035" s="1" t="s">
        <v>11</v>
      </c>
      <c r="E1035" s="1" t="s">
        <v>11</v>
      </c>
    </row>
    <row r="1036" spans="1:5" ht="15.75" customHeight="1">
      <c r="A1036" s="1">
        <v>290122</v>
      </c>
      <c r="B1036" s="1" t="s">
        <v>1045</v>
      </c>
      <c r="C1036" s="1" t="s">
        <v>11</v>
      </c>
      <c r="D1036" s="1" t="s">
        <v>11</v>
      </c>
      <c r="E1036" s="1" t="s">
        <v>11</v>
      </c>
    </row>
    <row r="1037" spans="1:5" ht="15.75" customHeight="1">
      <c r="A1037" s="1">
        <v>290123</v>
      </c>
      <c r="B1037" s="1" t="s">
        <v>1046</v>
      </c>
      <c r="C1037" s="1" t="s">
        <v>11</v>
      </c>
      <c r="D1037" s="1" t="s">
        <v>11</v>
      </c>
      <c r="E1037" s="1" t="s">
        <v>11</v>
      </c>
    </row>
    <row r="1038" spans="1:5" ht="15.75" customHeight="1">
      <c r="A1038" s="1">
        <v>290124</v>
      </c>
      <c r="B1038" s="1" t="s">
        <v>1047</v>
      </c>
      <c r="C1038" s="1" t="s">
        <v>11</v>
      </c>
      <c r="D1038" s="1" t="s">
        <v>11</v>
      </c>
      <c r="E1038" s="1" t="s">
        <v>11</v>
      </c>
    </row>
    <row r="1039" spans="1:5" ht="15.75" customHeight="1">
      <c r="A1039" s="1">
        <v>290129</v>
      </c>
      <c r="B1039" s="1" t="s">
        <v>1048</v>
      </c>
      <c r="C1039" s="1" t="s">
        <v>11</v>
      </c>
      <c r="D1039" s="1" t="s">
        <v>11</v>
      </c>
      <c r="E1039" s="1" t="s">
        <v>11</v>
      </c>
    </row>
    <row r="1040" spans="1:5" ht="15.75" customHeight="1">
      <c r="A1040" s="1">
        <v>290211</v>
      </c>
      <c r="B1040" s="1" t="s">
        <v>1049</v>
      </c>
      <c r="C1040" s="1" t="s">
        <v>11</v>
      </c>
      <c r="D1040" s="1" t="s">
        <v>11</v>
      </c>
      <c r="E1040" s="1" t="s">
        <v>11</v>
      </c>
    </row>
    <row r="1041" spans="1:5" ht="15.75" customHeight="1">
      <c r="A1041" s="1">
        <v>290219</v>
      </c>
      <c r="B1041" s="1" t="s">
        <v>1050</v>
      </c>
      <c r="C1041" s="1" t="s">
        <v>11</v>
      </c>
      <c r="D1041" s="1" t="s">
        <v>11</v>
      </c>
      <c r="E1041" s="1" t="s">
        <v>11</v>
      </c>
    </row>
    <row r="1042" spans="1:5" ht="15.75" customHeight="1">
      <c r="A1042" s="1">
        <v>290220</v>
      </c>
      <c r="B1042" s="1" t="s">
        <v>1051</v>
      </c>
      <c r="C1042" s="1" t="s">
        <v>11</v>
      </c>
      <c r="D1042" s="1" t="s">
        <v>11</v>
      </c>
      <c r="E1042" s="1" t="s">
        <v>11</v>
      </c>
    </row>
    <row r="1043" spans="1:5" ht="15.75" customHeight="1">
      <c r="A1043" s="1">
        <v>290230</v>
      </c>
      <c r="B1043" s="1" t="s">
        <v>1052</v>
      </c>
      <c r="C1043" s="1" t="s">
        <v>11</v>
      </c>
      <c r="D1043" s="1" t="s">
        <v>11</v>
      </c>
      <c r="E1043" s="1" t="s">
        <v>11</v>
      </c>
    </row>
    <row r="1044" spans="1:5" ht="15.75" customHeight="1">
      <c r="A1044" s="1">
        <v>290241</v>
      </c>
      <c r="B1044" s="1" t="s">
        <v>1053</v>
      </c>
      <c r="C1044" s="1" t="s">
        <v>11</v>
      </c>
      <c r="D1044" s="1" t="s">
        <v>11</v>
      </c>
      <c r="E1044" s="1" t="s">
        <v>11</v>
      </c>
    </row>
    <row r="1045" spans="1:5" ht="15.75" customHeight="1">
      <c r="A1045" s="1">
        <v>290242</v>
      </c>
      <c r="B1045" s="1" t="s">
        <v>1054</v>
      </c>
      <c r="C1045" s="1" t="s">
        <v>11</v>
      </c>
      <c r="D1045" s="1" t="s">
        <v>11</v>
      </c>
      <c r="E1045" s="1" t="s">
        <v>11</v>
      </c>
    </row>
    <row r="1046" spans="1:5" ht="15.75" customHeight="1">
      <c r="A1046" s="1">
        <v>290243</v>
      </c>
      <c r="B1046" s="1" t="s">
        <v>1055</v>
      </c>
      <c r="C1046" s="1" t="s">
        <v>11</v>
      </c>
      <c r="D1046" s="1" t="s">
        <v>11</v>
      </c>
      <c r="E1046" s="1" t="s">
        <v>11</v>
      </c>
    </row>
    <row r="1047" spans="1:5" ht="15.75" customHeight="1">
      <c r="A1047" s="1">
        <v>290244</v>
      </c>
      <c r="B1047" s="1" t="s">
        <v>1056</v>
      </c>
      <c r="C1047" s="1" t="s">
        <v>11</v>
      </c>
      <c r="D1047" s="1" t="s">
        <v>11</v>
      </c>
      <c r="E1047" s="1" t="s">
        <v>11</v>
      </c>
    </row>
    <row r="1048" spans="1:5" ht="15.75" customHeight="1">
      <c r="A1048" s="1">
        <v>290250</v>
      </c>
      <c r="B1048" s="1" t="s">
        <v>1057</v>
      </c>
      <c r="C1048" s="1" t="s">
        <v>11</v>
      </c>
      <c r="D1048" s="1" t="s">
        <v>11</v>
      </c>
      <c r="E1048" s="1" t="s">
        <v>11</v>
      </c>
    </row>
    <row r="1049" spans="1:5" ht="15.75" customHeight="1">
      <c r="A1049" s="1">
        <v>290260</v>
      </c>
      <c r="B1049" s="1" t="s">
        <v>1058</v>
      </c>
      <c r="C1049" s="1" t="s">
        <v>11</v>
      </c>
      <c r="D1049" s="1" t="s">
        <v>11</v>
      </c>
      <c r="E1049" s="1" t="s">
        <v>11</v>
      </c>
    </row>
    <row r="1050" spans="1:5" ht="15.75" customHeight="1">
      <c r="A1050" s="1">
        <v>290270</v>
      </c>
      <c r="B1050" s="1" t="s">
        <v>1059</v>
      </c>
      <c r="C1050" s="1" t="s">
        <v>11</v>
      </c>
      <c r="D1050" s="1" t="s">
        <v>11</v>
      </c>
      <c r="E1050" s="1" t="s">
        <v>11</v>
      </c>
    </row>
    <row r="1051" spans="1:5" ht="15.75" customHeight="1">
      <c r="A1051" s="1">
        <v>290290</v>
      </c>
      <c r="B1051" s="1" t="s">
        <v>1060</v>
      </c>
      <c r="C1051" s="1" t="s">
        <v>11</v>
      </c>
      <c r="D1051" s="1" t="s">
        <v>11</v>
      </c>
      <c r="E1051" s="1" t="s">
        <v>11</v>
      </c>
    </row>
    <row r="1052" spans="1:5" ht="15.75" customHeight="1">
      <c r="A1052" s="1">
        <v>290311</v>
      </c>
      <c r="B1052" s="1" t="s">
        <v>1061</v>
      </c>
      <c r="C1052" s="1" t="s">
        <v>11</v>
      </c>
      <c r="D1052" s="1" t="s">
        <v>11</v>
      </c>
      <c r="E1052" s="1" t="s">
        <v>11</v>
      </c>
    </row>
    <row r="1053" spans="1:5" ht="15.75" customHeight="1">
      <c r="A1053" s="1">
        <v>290312</v>
      </c>
      <c r="B1053" s="1" t="s">
        <v>1062</v>
      </c>
      <c r="C1053" s="1" t="s">
        <v>11</v>
      </c>
      <c r="D1053" s="1" t="s">
        <v>11</v>
      </c>
      <c r="E1053" s="1" t="s">
        <v>11</v>
      </c>
    </row>
    <row r="1054" spans="1:5" ht="15.75" customHeight="1">
      <c r="A1054" s="1">
        <v>290313</v>
      </c>
      <c r="B1054" s="1" t="s">
        <v>1063</v>
      </c>
      <c r="C1054" s="1" t="s">
        <v>11</v>
      </c>
      <c r="D1054" s="1" t="s">
        <v>11</v>
      </c>
      <c r="E1054" s="1" t="s">
        <v>11</v>
      </c>
    </row>
    <row r="1055" spans="1:5" ht="15.75" customHeight="1">
      <c r="A1055" s="1">
        <v>290314</v>
      </c>
      <c r="B1055" s="1" t="s">
        <v>1064</v>
      </c>
      <c r="C1055" s="1" t="s">
        <v>11</v>
      </c>
      <c r="D1055" s="1" t="s">
        <v>11</v>
      </c>
      <c r="E1055" s="1" t="s">
        <v>11</v>
      </c>
    </row>
    <row r="1056" spans="1:5" ht="15.75" customHeight="1">
      <c r="A1056" s="1">
        <v>290315</v>
      </c>
      <c r="B1056" s="1" t="s">
        <v>1065</v>
      </c>
      <c r="C1056" s="1" t="s">
        <v>11</v>
      </c>
      <c r="D1056" s="1" t="s">
        <v>11</v>
      </c>
      <c r="E1056" s="1" t="s">
        <v>11</v>
      </c>
    </row>
    <row r="1057" spans="1:5" ht="15.75" customHeight="1">
      <c r="A1057" s="1">
        <v>290319</v>
      </c>
      <c r="B1057" s="1" t="s">
        <v>1066</v>
      </c>
      <c r="C1057" s="1" t="s">
        <v>11</v>
      </c>
      <c r="D1057" s="1" t="s">
        <v>11</v>
      </c>
      <c r="E1057" s="1" t="s">
        <v>11</v>
      </c>
    </row>
    <row r="1058" spans="1:5" ht="15.75" customHeight="1">
      <c r="A1058" s="1">
        <v>290321</v>
      </c>
      <c r="B1058" s="1" t="s">
        <v>1067</v>
      </c>
      <c r="C1058" s="1" t="s">
        <v>11</v>
      </c>
      <c r="D1058" s="1" t="s">
        <v>11</v>
      </c>
      <c r="E1058" s="1" t="s">
        <v>11</v>
      </c>
    </row>
    <row r="1059" spans="1:5" ht="15.75" customHeight="1">
      <c r="A1059" s="1">
        <v>290322</v>
      </c>
      <c r="B1059" s="1" t="s">
        <v>1068</v>
      </c>
      <c r="C1059" s="1" t="s">
        <v>11</v>
      </c>
      <c r="D1059" s="1" t="s">
        <v>11</v>
      </c>
      <c r="E1059" s="1" t="s">
        <v>11</v>
      </c>
    </row>
    <row r="1060" spans="1:5" ht="15.75" customHeight="1">
      <c r="A1060" s="1">
        <v>290323</v>
      </c>
      <c r="B1060" s="1" t="s">
        <v>1069</v>
      </c>
      <c r="C1060" s="1" t="s">
        <v>11</v>
      </c>
      <c r="D1060" s="1" t="s">
        <v>11</v>
      </c>
      <c r="E1060" s="1" t="s">
        <v>11</v>
      </c>
    </row>
    <row r="1061" spans="1:5" ht="15.75" customHeight="1">
      <c r="A1061" s="1">
        <v>290329</v>
      </c>
      <c r="B1061" s="1" t="s">
        <v>1070</v>
      </c>
      <c r="C1061" s="1" t="s">
        <v>11</v>
      </c>
      <c r="D1061" s="1" t="s">
        <v>11</v>
      </c>
      <c r="E1061" s="1" t="s">
        <v>11</v>
      </c>
    </row>
    <row r="1062" spans="1:5" ht="15.75" customHeight="1">
      <c r="A1062" s="1">
        <v>290331</v>
      </c>
      <c r="B1062" s="1" t="s">
        <v>1071</v>
      </c>
      <c r="C1062" s="1" t="s">
        <v>11</v>
      </c>
      <c r="D1062" s="1" t="s">
        <v>11</v>
      </c>
      <c r="E1062" s="1" t="s">
        <v>11</v>
      </c>
    </row>
    <row r="1063" spans="1:5" ht="15.75" customHeight="1">
      <c r="A1063" s="1">
        <v>290339</v>
      </c>
      <c r="B1063" s="1" t="s">
        <v>1072</v>
      </c>
      <c r="C1063" s="1" t="s">
        <v>11</v>
      </c>
      <c r="D1063" s="1" t="s">
        <v>11</v>
      </c>
      <c r="E1063" s="1" t="s">
        <v>11</v>
      </c>
    </row>
    <row r="1064" spans="1:5" ht="15.75" customHeight="1">
      <c r="A1064" s="1">
        <v>290341</v>
      </c>
      <c r="B1064" s="1" t="s">
        <v>1073</v>
      </c>
      <c r="C1064" s="1" t="s">
        <v>11</v>
      </c>
      <c r="D1064" s="1" t="s">
        <v>11</v>
      </c>
      <c r="E1064" s="1" t="s">
        <v>11</v>
      </c>
    </row>
    <row r="1065" spans="1:5" ht="15.75" customHeight="1">
      <c r="A1065" s="1">
        <v>290342</v>
      </c>
      <c r="B1065" s="1" t="s">
        <v>1074</v>
      </c>
      <c r="C1065" s="1" t="s">
        <v>11</v>
      </c>
      <c r="D1065" s="1" t="s">
        <v>11</v>
      </c>
      <c r="E1065" s="1" t="s">
        <v>11</v>
      </c>
    </row>
    <row r="1066" spans="1:5" ht="15.75" customHeight="1">
      <c r="A1066" s="1">
        <v>290343</v>
      </c>
      <c r="B1066" s="1" t="s">
        <v>1075</v>
      </c>
      <c r="C1066" s="1" t="s">
        <v>11</v>
      </c>
      <c r="D1066" s="1" t="s">
        <v>11</v>
      </c>
      <c r="E1066" s="1" t="s">
        <v>11</v>
      </c>
    </row>
    <row r="1067" spans="1:5" ht="15.75" customHeight="1">
      <c r="A1067" s="1">
        <v>290344</v>
      </c>
      <c r="B1067" s="1" t="s">
        <v>1076</v>
      </c>
      <c r="C1067" s="1" t="s">
        <v>11</v>
      </c>
      <c r="D1067" s="1" t="s">
        <v>11</v>
      </c>
      <c r="E1067" s="1" t="s">
        <v>11</v>
      </c>
    </row>
    <row r="1068" spans="1:5" ht="15.75" customHeight="1">
      <c r="A1068" s="1">
        <v>290345</v>
      </c>
      <c r="B1068" s="1" t="s">
        <v>1077</v>
      </c>
      <c r="C1068" s="1" t="s">
        <v>11</v>
      </c>
      <c r="D1068" s="1" t="s">
        <v>11</v>
      </c>
      <c r="E1068" s="1" t="s">
        <v>11</v>
      </c>
    </row>
    <row r="1069" spans="1:5" ht="15.75" customHeight="1">
      <c r="A1069" s="1">
        <v>290346</v>
      </c>
      <c r="B1069" s="1" t="s">
        <v>1078</v>
      </c>
      <c r="C1069" s="1" t="s">
        <v>11</v>
      </c>
      <c r="D1069" s="1" t="s">
        <v>11</v>
      </c>
      <c r="E1069" s="1" t="s">
        <v>11</v>
      </c>
    </row>
    <row r="1070" spans="1:5" ht="15.75" customHeight="1">
      <c r="A1070" s="1">
        <v>290347</v>
      </c>
      <c r="B1070" s="1" t="s">
        <v>1079</v>
      </c>
      <c r="C1070" s="1" t="s">
        <v>11</v>
      </c>
      <c r="D1070" s="1" t="s">
        <v>11</v>
      </c>
      <c r="E1070" s="1" t="s">
        <v>11</v>
      </c>
    </row>
    <row r="1071" spans="1:5" ht="15.75" customHeight="1">
      <c r="A1071" s="1">
        <v>290349</v>
      </c>
      <c r="B1071" s="1" t="s">
        <v>1080</v>
      </c>
      <c r="C1071" s="1" t="s">
        <v>11</v>
      </c>
      <c r="D1071" s="1" t="s">
        <v>11</v>
      </c>
      <c r="E1071" s="1" t="s">
        <v>11</v>
      </c>
    </row>
    <row r="1072" spans="1:5" ht="15.75" customHeight="1">
      <c r="A1072" s="1">
        <v>290351</v>
      </c>
      <c r="B1072" s="1" t="s">
        <v>1081</v>
      </c>
      <c r="C1072" s="1" t="s">
        <v>11</v>
      </c>
      <c r="D1072" s="1" t="s">
        <v>11</v>
      </c>
      <c r="E1072" s="1" t="s">
        <v>11</v>
      </c>
    </row>
    <row r="1073" spans="1:5" ht="15.75" customHeight="1">
      <c r="A1073" s="1">
        <v>290352</v>
      </c>
      <c r="B1073" s="1" t="s">
        <v>1082</v>
      </c>
      <c r="C1073" s="1" t="s">
        <v>11</v>
      </c>
      <c r="D1073" s="1" t="s">
        <v>11</v>
      </c>
      <c r="E1073" s="1" t="s">
        <v>11</v>
      </c>
    </row>
    <row r="1074" spans="1:5" ht="15.75" customHeight="1">
      <c r="A1074" s="1">
        <v>290359</v>
      </c>
      <c r="B1074" s="1" t="s">
        <v>1083</v>
      </c>
      <c r="C1074" s="1" t="s">
        <v>11</v>
      </c>
      <c r="D1074" s="1" t="s">
        <v>11</v>
      </c>
      <c r="E1074" s="1" t="s">
        <v>11</v>
      </c>
    </row>
    <row r="1075" spans="1:5" ht="15.75" customHeight="1">
      <c r="A1075" s="1">
        <v>290361</v>
      </c>
      <c r="B1075" s="1" t="s">
        <v>1084</v>
      </c>
      <c r="C1075" s="1" t="s">
        <v>11</v>
      </c>
      <c r="D1075" s="1" t="s">
        <v>11</v>
      </c>
      <c r="E1075" s="1" t="s">
        <v>11</v>
      </c>
    </row>
    <row r="1076" spans="1:5" ht="15.75" customHeight="1">
      <c r="A1076" s="1">
        <v>290362</v>
      </c>
      <c r="B1076" s="1" t="s">
        <v>1085</v>
      </c>
      <c r="C1076" s="1" t="s">
        <v>11</v>
      </c>
      <c r="D1076" s="1" t="s">
        <v>11</v>
      </c>
      <c r="E1076" s="1" t="s">
        <v>11</v>
      </c>
    </row>
    <row r="1077" spans="1:5" ht="15.75" customHeight="1">
      <c r="A1077" s="1">
        <v>290369</v>
      </c>
      <c r="B1077" s="1" t="s">
        <v>1086</v>
      </c>
      <c r="C1077" s="1" t="s">
        <v>11</v>
      </c>
      <c r="D1077" s="1" t="s">
        <v>11</v>
      </c>
      <c r="E1077" s="1" t="s">
        <v>11</v>
      </c>
    </row>
    <row r="1078" spans="1:5" ht="15.75" customHeight="1">
      <c r="A1078" s="1">
        <v>290410</v>
      </c>
      <c r="B1078" s="1" t="s">
        <v>1087</v>
      </c>
      <c r="C1078" s="1" t="s">
        <v>11</v>
      </c>
      <c r="D1078" s="1" t="s">
        <v>11</v>
      </c>
      <c r="E1078" s="1" t="s">
        <v>11</v>
      </c>
    </row>
    <row r="1079" spans="1:5" ht="15.75" customHeight="1">
      <c r="A1079" s="1">
        <v>290420</v>
      </c>
      <c r="B1079" s="1" t="s">
        <v>1088</v>
      </c>
      <c r="C1079" s="1" t="s">
        <v>11</v>
      </c>
      <c r="D1079" s="1" t="s">
        <v>11</v>
      </c>
      <c r="E1079" s="1" t="s">
        <v>11</v>
      </c>
    </row>
    <row r="1080" spans="1:5" ht="15.75" customHeight="1">
      <c r="A1080" s="1">
        <v>290490</v>
      </c>
      <c r="B1080" s="1" t="s">
        <v>1089</v>
      </c>
      <c r="C1080" s="1" t="s">
        <v>11</v>
      </c>
      <c r="D1080" s="1" t="s">
        <v>11</v>
      </c>
      <c r="E1080" s="1" t="s">
        <v>11</v>
      </c>
    </row>
    <row r="1081" spans="1:5" ht="15.75" customHeight="1">
      <c r="A1081" s="1">
        <v>290511</v>
      </c>
      <c r="B1081" s="1" t="s">
        <v>1090</v>
      </c>
      <c r="C1081" s="1" t="s">
        <v>11</v>
      </c>
      <c r="D1081" s="1" t="s">
        <v>11</v>
      </c>
      <c r="E1081" s="1" t="s">
        <v>11</v>
      </c>
    </row>
    <row r="1082" spans="1:5" ht="15.75" customHeight="1">
      <c r="A1082" s="1">
        <v>290512</v>
      </c>
      <c r="B1082" s="1" t="s">
        <v>1091</v>
      </c>
      <c r="C1082" s="1" t="s">
        <v>11</v>
      </c>
      <c r="D1082" s="1" t="s">
        <v>11</v>
      </c>
      <c r="E1082" s="1" t="s">
        <v>11</v>
      </c>
    </row>
    <row r="1083" spans="1:5" ht="15.75" customHeight="1">
      <c r="A1083" s="1">
        <v>290513</v>
      </c>
      <c r="B1083" s="1" t="s">
        <v>1092</v>
      </c>
      <c r="C1083" s="1" t="s">
        <v>11</v>
      </c>
      <c r="D1083" s="1" t="s">
        <v>11</v>
      </c>
      <c r="E1083" s="1" t="s">
        <v>11</v>
      </c>
    </row>
    <row r="1084" spans="1:5" ht="15.75" customHeight="1">
      <c r="A1084" s="1">
        <v>290514</v>
      </c>
      <c r="B1084" s="1" t="s">
        <v>1093</v>
      </c>
      <c r="C1084" s="1" t="s">
        <v>11</v>
      </c>
      <c r="D1084" s="1" t="s">
        <v>11</v>
      </c>
      <c r="E1084" s="1" t="s">
        <v>11</v>
      </c>
    </row>
    <row r="1085" spans="1:5" ht="15.75" customHeight="1">
      <c r="A1085" s="1">
        <v>290516</v>
      </c>
      <c r="B1085" s="1" t="s">
        <v>1094</v>
      </c>
      <c r="C1085" s="1" t="s">
        <v>11</v>
      </c>
      <c r="D1085" s="1" t="s">
        <v>11</v>
      </c>
      <c r="E1085" s="1" t="s">
        <v>11</v>
      </c>
    </row>
    <row r="1086" spans="1:5" ht="15.75" customHeight="1">
      <c r="A1086" s="1">
        <v>290517</v>
      </c>
      <c r="B1086" s="1" t="s">
        <v>1095</v>
      </c>
      <c r="C1086" s="1" t="s">
        <v>11</v>
      </c>
      <c r="D1086" s="1" t="s">
        <v>11</v>
      </c>
      <c r="E1086" s="1" t="s">
        <v>11</v>
      </c>
    </row>
    <row r="1087" spans="1:5" ht="15.75" customHeight="1">
      <c r="A1087" s="1">
        <v>290519</v>
      </c>
      <c r="B1087" s="1" t="s">
        <v>1096</v>
      </c>
      <c r="C1087" s="1" t="s">
        <v>11</v>
      </c>
      <c r="D1087" s="1" t="s">
        <v>11</v>
      </c>
      <c r="E1087" s="1" t="s">
        <v>11</v>
      </c>
    </row>
    <row r="1088" spans="1:5" ht="15.75" customHeight="1">
      <c r="A1088" s="1">
        <v>290522</v>
      </c>
      <c r="B1088" s="1" t="s">
        <v>1097</v>
      </c>
      <c r="C1088" s="1" t="s">
        <v>11</v>
      </c>
      <c r="D1088" s="1" t="s">
        <v>11</v>
      </c>
      <c r="E1088" s="1" t="s">
        <v>11</v>
      </c>
    </row>
    <row r="1089" spans="1:5" ht="15.75" customHeight="1">
      <c r="A1089" s="1">
        <v>290529</v>
      </c>
      <c r="B1089" s="1" t="s">
        <v>1098</v>
      </c>
      <c r="C1089" s="1" t="s">
        <v>11</v>
      </c>
      <c r="D1089" s="1" t="s">
        <v>11</v>
      </c>
      <c r="E1089" s="1" t="s">
        <v>11</v>
      </c>
    </row>
    <row r="1090" spans="1:5" ht="15.75" customHeight="1">
      <c r="A1090" s="1">
        <v>290531</v>
      </c>
      <c r="B1090" s="1" t="s">
        <v>1099</v>
      </c>
      <c r="C1090" s="1" t="s">
        <v>11</v>
      </c>
      <c r="D1090" s="1" t="s">
        <v>11</v>
      </c>
      <c r="E1090" s="1" t="s">
        <v>11</v>
      </c>
    </row>
    <row r="1091" spans="1:5" ht="15.75" customHeight="1">
      <c r="A1091" s="1">
        <v>290532</v>
      </c>
      <c r="B1091" s="1" t="s">
        <v>1100</v>
      </c>
      <c r="C1091" s="1" t="s">
        <v>11</v>
      </c>
      <c r="D1091" s="1" t="s">
        <v>11</v>
      </c>
      <c r="E1091" s="1" t="s">
        <v>11</v>
      </c>
    </row>
    <row r="1092" spans="1:5" ht="15.75" customHeight="1">
      <c r="A1092" s="1">
        <v>290539</v>
      </c>
      <c r="B1092" s="1" t="s">
        <v>1101</v>
      </c>
      <c r="C1092" s="1" t="s">
        <v>11</v>
      </c>
      <c r="D1092" s="1" t="s">
        <v>11</v>
      </c>
      <c r="E1092" s="1" t="s">
        <v>11</v>
      </c>
    </row>
    <row r="1093" spans="1:5" ht="15.75" customHeight="1">
      <c r="A1093" s="1">
        <v>290541</v>
      </c>
      <c r="B1093" s="1" t="s">
        <v>1102</v>
      </c>
      <c r="C1093" s="1" t="s">
        <v>11</v>
      </c>
      <c r="D1093" s="1" t="s">
        <v>11</v>
      </c>
      <c r="E1093" s="1" t="s">
        <v>11</v>
      </c>
    </row>
    <row r="1094" spans="1:5" ht="15.75" customHeight="1">
      <c r="A1094" s="1">
        <v>290542</v>
      </c>
      <c r="B1094" s="1" t="s">
        <v>1103</v>
      </c>
      <c r="C1094" s="1" t="s">
        <v>11</v>
      </c>
      <c r="D1094" s="1" t="s">
        <v>11</v>
      </c>
      <c r="E1094" s="1" t="s">
        <v>11</v>
      </c>
    </row>
    <row r="1095" spans="1:5" ht="15.75" customHeight="1">
      <c r="A1095" s="1">
        <v>290543</v>
      </c>
      <c r="B1095" s="1" t="s">
        <v>1104</v>
      </c>
      <c r="C1095" s="1" t="s">
        <v>11</v>
      </c>
      <c r="D1095" s="1" t="s">
        <v>11</v>
      </c>
      <c r="E1095" s="1" t="s">
        <v>11</v>
      </c>
    </row>
    <row r="1096" spans="1:5" ht="15.75" customHeight="1">
      <c r="A1096" s="1">
        <v>290544</v>
      </c>
      <c r="B1096" s="1" t="s">
        <v>1105</v>
      </c>
      <c r="C1096" s="1" t="s">
        <v>11</v>
      </c>
      <c r="D1096" s="1" t="s">
        <v>11</v>
      </c>
      <c r="E1096" s="1" t="s">
        <v>11</v>
      </c>
    </row>
    <row r="1097" spans="1:5" ht="15.75" customHeight="1">
      <c r="A1097" s="1">
        <v>290545</v>
      </c>
      <c r="B1097" s="1" t="s">
        <v>1106</v>
      </c>
      <c r="C1097" s="1" t="s">
        <v>11</v>
      </c>
      <c r="D1097" s="1" t="s">
        <v>11</v>
      </c>
      <c r="E1097" s="1" t="s">
        <v>11</v>
      </c>
    </row>
    <row r="1098" spans="1:5" ht="15.75" customHeight="1">
      <c r="A1098" s="1">
        <v>290549</v>
      </c>
      <c r="B1098" s="1" t="s">
        <v>1107</v>
      </c>
      <c r="C1098" s="1" t="s">
        <v>11</v>
      </c>
      <c r="D1098" s="1" t="s">
        <v>11</v>
      </c>
      <c r="E1098" s="1" t="s">
        <v>11</v>
      </c>
    </row>
    <row r="1099" spans="1:5" ht="15.75" customHeight="1">
      <c r="A1099" s="1">
        <v>290551</v>
      </c>
      <c r="B1099" s="1" t="s">
        <v>1108</v>
      </c>
      <c r="C1099" s="1" t="s">
        <v>11</v>
      </c>
      <c r="D1099" s="1" t="s">
        <v>11</v>
      </c>
      <c r="E1099" s="1" t="s">
        <v>11</v>
      </c>
    </row>
    <row r="1100" spans="1:5" ht="15.75" customHeight="1">
      <c r="A1100" s="1">
        <v>290559</v>
      </c>
      <c r="B1100" s="1" t="s">
        <v>1109</v>
      </c>
      <c r="C1100" s="1" t="s">
        <v>11</v>
      </c>
      <c r="D1100" s="1" t="s">
        <v>11</v>
      </c>
      <c r="E1100" s="1" t="s">
        <v>11</v>
      </c>
    </row>
    <row r="1101" spans="1:5" ht="15.75" customHeight="1">
      <c r="A1101" s="1">
        <v>290611</v>
      </c>
      <c r="B1101" s="1" t="s">
        <v>1110</v>
      </c>
      <c r="C1101" s="1" t="s">
        <v>11</v>
      </c>
      <c r="D1101" s="1" t="s">
        <v>11</v>
      </c>
      <c r="E1101" s="1" t="s">
        <v>11</v>
      </c>
    </row>
    <row r="1102" spans="1:5" ht="15.75" customHeight="1">
      <c r="A1102" s="1">
        <v>290612</v>
      </c>
      <c r="B1102" s="1" t="s">
        <v>1111</v>
      </c>
      <c r="C1102" s="1" t="s">
        <v>11</v>
      </c>
      <c r="D1102" s="1" t="s">
        <v>11</v>
      </c>
      <c r="E1102" s="1" t="s">
        <v>11</v>
      </c>
    </row>
    <row r="1103" spans="1:5" ht="15.75" customHeight="1">
      <c r="A1103" s="1">
        <v>290613</v>
      </c>
      <c r="B1103" s="1" t="s">
        <v>1112</v>
      </c>
      <c r="C1103" s="1" t="s">
        <v>11</v>
      </c>
      <c r="D1103" s="1" t="s">
        <v>11</v>
      </c>
      <c r="E1103" s="1" t="s">
        <v>11</v>
      </c>
    </row>
    <row r="1104" spans="1:5" ht="15.75" customHeight="1">
      <c r="A1104" s="1">
        <v>290619</v>
      </c>
      <c r="B1104" s="1" t="s">
        <v>1113</v>
      </c>
      <c r="C1104" s="1" t="s">
        <v>11</v>
      </c>
      <c r="D1104" s="1" t="s">
        <v>11</v>
      </c>
      <c r="E1104" s="1" t="s">
        <v>11</v>
      </c>
    </row>
    <row r="1105" spans="1:5" ht="15.75" customHeight="1">
      <c r="A1105" s="1">
        <v>290621</v>
      </c>
      <c r="B1105" s="1" t="s">
        <v>1114</v>
      </c>
      <c r="C1105" s="1" t="s">
        <v>11</v>
      </c>
      <c r="D1105" s="1" t="s">
        <v>11</v>
      </c>
      <c r="E1105" s="1" t="s">
        <v>11</v>
      </c>
    </row>
    <row r="1106" spans="1:5" ht="15.75" customHeight="1">
      <c r="A1106" s="1">
        <v>290629</v>
      </c>
      <c r="B1106" s="1" t="s">
        <v>1115</v>
      </c>
      <c r="C1106" s="1" t="s">
        <v>11</v>
      </c>
      <c r="D1106" s="1" t="s">
        <v>11</v>
      </c>
      <c r="E1106" s="1" t="s">
        <v>11</v>
      </c>
    </row>
    <row r="1107" spans="1:5" ht="15.75" customHeight="1">
      <c r="A1107" s="1">
        <v>290711</v>
      </c>
      <c r="B1107" s="1" t="s">
        <v>1116</v>
      </c>
      <c r="C1107" s="1" t="s">
        <v>11</v>
      </c>
      <c r="D1107" s="1" t="s">
        <v>11</v>
      </c>
      <c r="E1107" s="1" t="s">
        <v>11</v>
      </c>
    </row>
    <row r="1108" spans="1:5" ht="15.75" customHeight="1">
      <c r="A1108" s="1">
        <v>290712</v>
      </c>
      <c r="B1108" s="1" t="s">
        <v>1117</v>
      </c>
      <c r="C1108" s="1" t="s">
        <v>11</v>
      </c>
      <c r="D1108" s="1" t="s">
        <v>11</v>
      </c>
      <c r="E1108" s="1" t="s">
        <v>11</v>
      </c>
    </row>
    <row r="1109" spans="1:5" ht="15.75" customHeight="1">
      <c r="A1109" s="1">
        <v>290713</v>
      </c>
      <c r="B1109" s="1" t="s">
        <v>1118</v>
      </c>
      <c r="C1109" s="1" t="s">
        <v>11</v>
      </c>
      <c r="D1109" s="1" t="s">
        <v>11</v>
      </c>
      <c r="E1109" s="1" t="s">
        <v>11</v>
      </c>
    </row>
    <row r="1110" spans="1:5" ht="15.75" customHeight="1">
      <c r="A1110" s="1">
        <v>290715</v>
      </c>
      <c r="B1110" s="1" t="s">
        <v>1119</v>
      </c>
      <c r="C1110" s="1" t="s">
        <v>11</v>
      </c>
      <c r="D1110" s="1" t="s">
        <v>11</v>
      </c>
      <c r="E1110" s="1" t="s">
        <v>11</v>
      </c>
    </row>
    <row r="1111" spans="1:5" ht="15.75" customHeight="1">
      <c r="A1111" s="1">
        <v>290719</v>
      </c>
      <c r="B1111" s="1" t="s">
        <v>1120</v>
      </c>
      <c r="C1111" s="1" t="s">
        <v>11</v>
      </c>
      <c r="D1111" s="1" t="s">
        <v>11</v>
      </c>
      <c r="E1111" s="1" t="s">
        <v>11</v>
      </c>
    </row>
    <row r="1112" spans="1:5" ht="15.75" customHeight="1">
      <c r="A1112" s="1">
        <v>290721</v>
      </c>
      <c r="B1112" s="1" t="s">
        <v>1121</v>
      </c>
      <c r="C1112" s="1" t="s">
        <v>11</v>
      </c>
      <c r="D1112" s="1" t="s">
        <v>11</v>
      </c>
      <c r="E1112" s="1" t="s">
        <v>11</v>
      </c>
    </row>
    <row r="1113" spans="1:5" ht="15.75" customHeight="1">
      <c r="A1113" s="1">
        <v>290722</v>
      </c>
      <c r="B1113" s="1" t="s">
        <v>1122</v>
      </c>
      <c r="C1113" s="1" t="s">
        <v>11</v>
      </c>
      <c r="D1113" s="1" t="s">
        <v>11</v>
      </c>
      <c r="E1113" s="1" t="s">
        <v>11</v>
      </c>
    </row>
    <row r="1114" spans="1:5" ht="15.75" customHeight="1">
      <c r="A1114" s="1">
        <v>290723</v>
      </c>
      <c r="B1114" s="1" t="s">
        <v>1123</v>
      </c>
      <c r="C1114" s="1" t="s">
        <v>11</v>
      </c>
      <c r="D1114" s="1" t="s">
        <v>11</v>
      </c>
      <c r="E1114" s="1" t="s">
        <v>11</v>
      </c>
    </row>
    <row r="1115" spans="1:5" ht="15.75" customHeight="1">
      <c r="A1115" s="1">
        <v>290729</v>
      </c>
      <c r="B1115" s="1" t="s">
        <v>1124</v>
      </c>
      <c r="C1115" s="1" t="s">
        <v>11</v>
      </c>
      <c r="D1115" s="1" t="s">
        <v>11</v>
      </c>
      <c r="E1115" s="1" t="s">
        <v>11</v>
      </c>
    </row>
    <row r="1116" spans="1:5" ht="15.75" customHeight="1">
      <c r="A1116" s="1">
        <v>290811</v>
      </c>
      <c r="B1116" s="1" t="s">
        <v>1125</v>
      </c>
      <c r="C1116" s="1" t="s">
        <v>11</v>
      </c>
      <c r="D1116" s="1" t="s">
        <v>11</v>
      </c>
      <c r="E1116" s="1" t="s">
        <v>11</v>
      </c>
    </row>
    <row r="1117" spans="1:5" ht="15.75" customHeight="1">
      <c r="A1117" s="1">
        <v>290819</v>
      </c>
      <c r="B1117" s="1" t="s">
        <v>1126</v>
      </c>
      <c r="C1117" s="1" t="s">
        <v>11</v>
      </c>
      <c r="D1117" s="1" t="s">
        <v>11</v>
      </c>
      <c r="E1117" s="1" t="s">
        <v>11</v>
      </c>
    </row>
    <row r="1118" spans="1:5" ht="15.75" customHeight="1">
      <c r="A1118" s="1">
        <v>290891</v>
      </c>
      <c r="B1118" s="1" t="s">
        <v>1127</v>
      </c>
      <c r="C1118" s="1" t="s">
        <v>11</v>
      </c>
      <c r="D1118" s="1" t="s">
        <v>11</v>
      </c>
      <c r="E1118" s="1" t="s">
        <v>11</v>
      </c>
    </row>
    <row r="1119" spans="1:5" ht="15.75" customHeight="1">
      <c r="A1119" s="1">
        <v>290899</v>
      </c>
      <c r="B1119" s="1" t="s">
        <v>1128</v>
      </c>
      <c r="C1119" s="1" t="s">
        <v>11</v>
      </c>
      <c r="D1119" s="1" t="s">
        <v>11</v>
      </c>
      <c r="E1119" s="1" t="s">
        <v>11</v>
      </c>
    </row>
    <row r="1120" spans="1:5" ht="15.75" customHeight="1">
      <c r="A1120" s="1">
        <v>290911</v>
      </c>
      <c r="B1120" s="1" t="s">
        <v>1129</v>
      </c>
      <c r="C1120" s="1" t="s">
        <v>11</v>
      </c>
      <c r="D1120" s="1" t="s">
        <v>11</v>
      </c>
      <c r="E1120" s="1" t="s">
        <v>11</v>
      </c>
    </row>
    <row r="1121" spans="1:5" ht="15.75" customHeight="1">
      <c r="A1121" s="1">
        <v>290919</v>
      </c>
      <c r="B1121" s="1" t="s">
        <v>1130</v>
      </c>
      <c r="C1121" s="1" t="s">
        <v>11</v>
      </c>
      <c r="D1121" s="1" t="s">
        <v>11</v>
      </c>
      <c r="E1121" s="1" t="s">
        <v>11</v>
      </c>
    </row>
    <row r="1122" spans="1:5" ht="15.75" customHeight="1">
      <c r="A1122" s="1">
        <v>290920</v>
      </c>
      <c r="B1122" s="1" t="s">
        <v>1131</v>
      </c>
      <c r="C1122" s="1" t="s">
        <v>11</v>
      </c>
      <c r="D1122" s="1" t="s">
        <v>11</v>
      </c>
      <c r="E1122" s="1" t="s">
        <v>11</v>
      </c>
    </row>
    <row r="1123" spans="1:5" ht="15.75" customHeight="1">
      <c r="A1123" s="1">
        <v>290930</v>
      </c>
      <c r="B1123" s="1" t="s">
        <v>1132</v>
      </c>
      <c r="C1123" s="1" t="s">
        <v>11</v>
      </c>
      <c r="D1123" s="1" t="s">
        <v>11</v>
      </c>
      <c r="E1123" s="1" t="s">
        <v>11</v>
      </c>
    </row>
    <row r="1124" spans="1:5" ht="15.75" customHeight="1">
      <c r="A1124" s="1">
        <v>290941</v>
      </c>
      <c r="B1124" s="1" t="s">
        <v>1133</v>
      </c>
      <c r="C1124" s="1" t="s">
        <v>11</v>
      </c>
      <c r="D1124" s="1" t="s">
        <v>11</v>
      </c>
      <c r="E1124" s="1" t="s">
        <v>11</v>
      </c>
    </row>
    <row r="1125" spans="1:5" ht="15.75" customHeight="1">
      <c r="A1125" s="1">
        <v>290943</v>
      </c>
      <c r="B1125" s="1" t="s">
        <v>1134</v>
      </c>
      <c r="C1125" s="1" t="s">
        <v>11</v>
      </c>
      <c r="D1125" s="1" t="s">
        <v>11</v>
      </c>
      <c r="E1125" s="1" t="s">
        <v>11</v>
      </c>
    </row>
    <row r="1126" spans="1:5" ht="15.75" customHeight="1">
      <c r="A1126" s="1">
        <v>290944</v>
      </c>
      <c r="B1126" s="1" t="s">
        <v>1135</v>
      </c>
      <c r="C1126" s="1" t="s">
        <v>11</v>
      </c>
      <c r="D1126" s="1" t="s">
        <v>11</v>
      </c>
      <c r="E1126" s="1" t="s">
        <v>11</v>
      </c>
    </row>
    <row r="1127" spans="1:5" ht="15.75" customHeight="1">
      <c r="A1127" s="1">
        <v>290949</v>
      </c>
      <c r="B1127" s="1" t="s">
        <v>1136</v>
      </c>
      <c r="C1127" s="1" t="s">
        <v>11</v>
      </c>
      <c r="D1127" s="1" t="s">
        <v>11</v>
      </c>
      <c r="E1127" s="1" t="s">
        <v>11</v>
      </c>
    </row>
    <row r="1128" spans="1:5" ht="15.75" customHeight="1">
      <c r="A1128" s="1">
        <v>290950</v>
      </c>
      <c r="B1128" s="1" t="s">
        <v>1137</v>
      </c>
      <c r="C1128" s="1" t="s">
        <v>11</v>
      </c>
      <c r="D1128" s="1" t="s">
        <v>11</v>
      </c>
      <c r="E1128" s="1" t="s">
        <v>11</v>
      </c>
    </row>
    <row r="1129" spans="1:5" ht="15.75" customHeight="1">
      <c r="A1129" s="1">
        <v>290960</v>
      </c>
      <c r="B1129" s="1" t="s">
        <v>1138</v>
      </c>
      <c r="C1129" s="1" t="s">
        <v>11</v>
      </c>
      <c r="D1129" s="1" t="s">
        <v>11</v>
      </c>
      <c r="E1129" s="1" t="s">
        <v>11</v>
      </c>
    </row>
    <row r="1130" spans="1:5" ht="15.75" customHeight="1">
      <c r="A1130" s="1">
        <v>291010</v>
      </c>
      <c r="B1130" s="1" t="s">
        <v>1139</v>
      </c>
      <c r="C1130" s="1" t="s">
        <v>11</v>
      </c>
      <c r="D1130" s="1" t="s">
        <v>11</v>
      </c>
      <c r="E1130" s="1" t="s">
        <v>11</v>
      </c>
    </row>
    <row r="1131" spans="1:5" ht="15.75" customHeight="1">
      <c r="A1131" s="1">
        <v>291020</v>
      </c>
      <c r="B1131" s="1" t="s">
        <v>1140</v>
      </c>
      <c r="C1131" s="1" t="s">
        <v>11</v>
      </c>
      <c r="D1131" s="1" t="s">
        <v>11</v>
      </c>
      <c r="E1131" s="1" t="s">
        <v>11</v>
      </c>
    </row>
    <row r="1132" spans="1:5" ht="15.75" customHeight="1">
      <c r="A1132" s="1">
        <v>291030</v>
      </c>
      <c r="B1132" s="1" t="s">
        <v>1141</v>
      </c>
      <c r="C1132" s="1" t="s">
        <v>11</v>
      </c>
      <c r="D1132" s="1" t="s">
        <v>11</v>
      </c>
      <c r="E1132" s="1" t="s">
        <v>11</v>
      </c>
    </row>
    <row r="1133" spans="1:5" ht="15.75" customHeight="1">
      <c r="A1133" s="1">
        <v>291040</v>
      </c>
      <c r="B1133" s="1" t="s">
        <v>1142</v>
      </c>
      <c r="C1133" s="1" t="s">
        <v>11</v>
      </c>
      <c r="D1133" s="1" t="s">
        <v>11</v>
      </c>
      <c r="E1133" s="1" t="s">
        <v>11</v>
      </c>
    </row>
    <row r="1134" spans="1:5" ht="15.75" customHeight="1">
      <c r="A1134" s="1">
        <v>291090</v>
      </c>
      <c r="B1134" s="1" t="s">
        <v>1143</v>
      </c>
      <c r="C1134" s="1" t="s">
        <v>11</v>
      </c>
      <c r="D1134" s="1" t="s">
        <v>11</v>
      </c>
      <c r="E1134" s="1" t="s">
        <v>11</v>
      </c>
    </row>
    <row r="1135" spans="1:5" ht="15.75" customHeight="1">
      <c r="A1135" s="1">
        <v>291100</v>
      </c>
      <c r="B1135" s="1" t="s">
        <v>1144</v>
      </c>
      <c r="C1135" s="1" t="s">
        <v>11</v>
      </c>
      <c r="D1135" s="1" t="s">
        <v>11</v>
      </c>
      <c r="E1135" s="1" t="s">
        <v>11</v>
      </c>
    </row>
    <row r="1136" spans="1:5" ht="15.75" customHeight="1">
      <c r="A1136" s="1">
        <v>291211</v>
      </c>
      <c r="B1136" s="1" t="s">
        <v>1145</v>
      </c>
      <c r="C1136" s="1" t="s">
        <v>11</v>
      </c>
      <c r="D1136" s="1" t="s">
        <v>11</v>
      </c>
      <c r="E1136" s="1" t="s">
        <v>11</v>
      </c>
    </row>
    <row r="1137" spans="1:5" ht="15.75" customHeight="1">
      <c r="A1137" s="1">
        <v>291212</v>
      </c>
      <c r="B1137" s="1" t="s">
        <v>1146</v>
      </c>
      <c r="C1137" s="1" t="s">
        <v>11</v>
      </c>
      <c r="D1137" s="1" t="s">
        <v>11</v>
      </c>
      <c r="E1137" s="1" t="s">
        <v>11</v>
      </c>
    </row>
    <row r="1138" spans="1:5" ht="15.75" customHeight="1">
      <c r="A1138" s="1">
        <v>291219</v>
      </c>
      <c r="B1138" s="1" t="s">
        <v>1147</v>
      </c>
      <c r="C1138" s="1" t="s">
        <v>11</v>
      </c>
      <c r="D1138" s="1" t="s">
        <v>11</v>
      </c>
      <c r="E1138" s="1" t="s">
        <v>11</v>
      </c>
    </row>
    <row r="1139" spans="1:5" ht="15.75" customHeight="1">
      <c r="A1139" s="1">
        <v>291221</v>
      </c>
      <c r="B1139" s="1" t="s">
        <v>1148</v>
      </c>
      <c r="C1139" s="1" t="s">
        <v>11</v>
      </c>
      <c r="D1139" s="1" t="s">
        <v>11</v>
      </c>
      <c r="E1139" s="1" t="s">
        <v>11</v>
      </c>
    </row>
    <row r="1140" spans="1:5" ht="15.75" customHeight="1">
      <c r="A1140" s="1">
        <v>291229</v>
      </c>
      <c r="B1140" s="1" t="s">
        <v>1149</v>
      </c>
      <c r="C1140" s="1" t="s">
        <v>11</v>
      </c>
      <c r="D1140" s="1" t="s">
        <v>11</v>
      </c>
      <c r="E1140" s="1" t="s">
        <v>11</v>
      </c>
    </row>
    <row r="1141" spans="1:5" ht="15.75" customHeight="1">
      <c r="A1141" s="1">
        <v>291230</v>
      </c>
      <c r="B1141" s="1" t="s">
        <v>1150</v>
      </c>
      <c r="C1141" s="1" t="s">
        <v>11</v>
      </c>
      <c r="D1141" s="1" t="s">
        <v>11</v>
      </c>
      <c r="E1141" s="1" t="s">
        <v>11</v>
      </c>
    </row>
    <row r="1142" spans="1:5" ht="15.75" customHeight="1">
      <c r="A1142" s="1">
        <v>291241</v>
      </c>
      <c r="B1142" s="1" t="s">
        <v>1151</v>
      </c>
      <c r="C1142" s="1" t="s">
        <v>11</v>
      </c>
      <c r="D1142" s="1" t="s">
        <v>11</v>
      </c>
      <c r="E1142" s="1" t="s">
        <v>11</v>
      </c>
    </row>
    <row r="1143" spans="1:5" ht="15.75" customHeight="1">
      <c r="A1143" s="1">
        <v>291242</v>
      </c>
      <c r="B1143" s="1" t="s">
        <v>1152</v>
      </c>
      <c r="C1143" s="1" t="s">
        <v>11</v>
      </c>
      <c r="D1143" s="1" t="s">
        <v>11</v>
      </c>
      <c r="E1143" s="1" t="s">
        <v>11</v>
      </c>
    </row>
    <row r="1144" spans="1:5" ht="15.75" customHeight="1">
      <c r="A1144" s="1">
        <v>291249</v>
      </c>
      <c r="B1144" s="1" t="s">
        <v>1153</v>
      </c>
      <c r="C1144" s="1" t="s">
        <v>11</v>
      </c>
      <c r="D1144" s="1" t="s">
        <v>11</v>
      </c>
      <c r="E1144" s="1" t="s">
        <v>11</v>
      </c>
    </row>
    <row r="1145" spans="1:5" ht="15.75" customHeight="1">
      <c r="A1145" s="1">
        <v>291250</v>
      </c>
      <c r="B1145" s="1" t="s">
        <v>1154</v>
      </c>
      <c r="C1145" s="1" t="s">
        <v>11</v>
      </c>
      <c r="D1145" s="1" t="s">
        <v>11</v>
      </c>
      <c r="E1145" s="1" t="s">
        <v>11</v>
      </c>
    </row>
    <row r="1146" spans="1:5" ht="15.75" customHeight="1">
      <c r="A1146" s="1">
        <v>291260</v>
      </c>
      <c r="B1146" s="1" t="s">
        <v>1155</v>
      </c>
      <c r="C1146" s="1" t="s">
        <v>11</v>
      </c>
      <c r="D1146" s="1" t="s">
        <v>11</v>
      </c>
      <c r="E1146" s="1" t="s">
        <v>11</v>
      </c>
    </row>
    <row r="1147" spans="1:5" ht="15.75" customHeight="1">
      <c r="A1147" s="1">
        <v>291300</v>
      </c>
      <c r="B1147" s="1" t="s">
        <v>1156</v>
      </c>
      <c r="C1147" s="1" t="s">
        <v>11</v>
      </c>
      <c r="D1147" s="1" t="s">
        <v>11</v>
      </c>
      <c r="E1147" s="1" t="s">
        <v>11</v>
      </c>
    </row>
    <row r="1148" spans="1:5" ht="15.75" customHeight="1">
      <c r="A1148" s="1">
        <v>291411</v>
      </c>
      <c r="B1148" s="1" t="s">
        <v>1157</v>
      </c>
      <c r="C1148" s="1" t="s">
        <v>11</v>
      </c>
      <c r="D1148" s="1" t="s">
        <v>11</v>
      </c>
      <c r="E1148" s="1" t="s">
        <v>11</v>
      </c>
    </row>
    <row r="1149" spans="1:5" ht="15.75" customHeight="1">
      <c r="A1149" s="1">
        <v>291412</v>
      </c>
      <c r="B1149" s="1" t="s">
        <v>1158</v>
      </c>
      <c r="C1149" s="1" t="s">
        <v>11</v>
      </c>
      <c r="D1149" s="1" t="s">
        <v>11</v>
      </c>
      <c r="E1149" s="1" t="s">
        <v>11</v>
      </c>
    </row>
    <row r="1150" spans="1:5" ht="15.75" customHeight="1">
      <c r="A1150" s="1">
        <v>291413</v>
      </c>
      <c r="B1150" s="1" t="s">
        <v>1159</v>
      </c>
      <c r="C1150" s="1" t="s">
        <v>11</v>
      </c>
      <c r="D1150" s="1" t="s">
        <v>11</v>
      </c>
      <c r="E1150" s="1" t="s">
        <v>11</v>
      </c>
    </row>
    <row r="1151" spans="1:5" ht="15.75" customHeight="1">
      <c r="A1151" s="1">
        <v>291419</v>
      </c>
      <c r="B1151" s="1" t="s">
        <v>1160</v>
      </c>
      <c r="C1151" s="1" t="s">
        <v>11</v>
      </c>
      <c r="D1151" s="1" t="s">
        <v>11</v>
      </c>
      <c r="E1151" s="1" t="s">
        <v>11</v>
      </c>
    </row>
    <row r="1152" spans="1:5" ht="15.75" customHeight="1">
      <c r="A1152" s="1">
        <v>291421</v>
      </c>
      <c r="B1152" s="1" t="s">
        <v>1161</v>
      </c>
      <c r="C1152" s="1" t="s">
        <v>11</v>
      </c>
      <c r="D1152" s="1" t="s">
        <v>11</v>
      </c>
      <c r="E1152" s="1" t="s">
        <v>11</v>
      </c>
    </row>
    <row r="1153" spans="1:5" ht="15.75" customHeight="1">
      <c r="A1153" s="1">
        <v>291422</v>
      </c>
      <c r="B1153" s="1" t="s">
        <v>1162</v>
      </c>
      <c r="C1153" s="1" t="s">
        <v>11</v>
      </c>
      <c r="D1153" s="1" t="s">
        <v>11</v>
      </c>
      <c r="E1153" s="1" t="s">
        <v>11</v>
      </c>
    </row>
    <row r="1154" spans="1:5" ht="15.75" customHeight="1">
      <c r="A1154" s="1">
        <v>291423</v>
      </c>
      <c r="B1154" s="1" t="s">
        <v>1163</v>
      </c>
      <c r="C1154" s="1" t="s">
        <v>11</v>
      </c>
      <c r="D1154" s="1" t="s">
        <v>11</v>
      </c>
      <c r="E1154" s="1" t="s">
        <v>11</v>
      </c>
    </row>
    <row r="1155" spans="1:5" ht="15.75" customHeight="1">
      <c r="A1155" s="1">
        <v>291429</v>
      </c>
      <c r="B1155" s="1" t="s">
        <v>1164</v>
      </c>
      <c r="C1155" s="1" t="s">
        <v>11</v>
      </c>
      <c r="D1155" s="1" t="s">
        <v>11</v>
      </c>
      <c r="E1155" s="1" t="s">
        <v>11</v>
      </c>
    </row>
    <row r="1156" spans="1:5" ht="15.75" customHeight="1">
      <c r="A1156" s="1">
        <v>291431</v>
      </c>
      <c r="B1156" s="1" t="s">
        <v>1165</v>
      </c>
      <c r="C1156" s="1" t="s">
        <v>11</v>
      </c>
      <c r="D1156" s="1" t="s">
        <v>11</v>
      </c>
      <c r="E1156" s="1" t="s">
        <v>11</v>
      </c>
    </row>
    <row r="1157" spans="1:5" ht="15.75" customHeight="1">
      <c r="A1157" s="1">
        <v>291439</v>
      </c>
      <c r="B1157" s="1" t="s">
        <v>1166</v>
      </c>
      <c r="C1157" s="1" t="s">
        <v>11</v>
      </c>
      <c r="D1157" s="1" t="s">
        <v>11</v>
      </c>
      <c r="E1157" s="1" t="s">
        <v>11</v>
      </c>
    </row>
    <row r="1158" spans="1:5" ht="15.75" customHeight="1">
      <c r="A1158" s="1">
        <v>291440</v>
      </c>
      <c r="B1158" s="1" t="s">
        <v>1167</v>
      </c>
      <c r="C1158" s="1" t="s">
        <v>11</v>
      </c>
      <c r="D1158" s="1" t="s">
        <v>11</v>
      </c>
      <c r="E1158" s="1" t="s">
        <v>11</v>
      </c>
    </row>
    <row r="1159" spans="1:5" ht="15.75" customHeight="1">
      <c r="A1159" s="1">
        <v>291450</v>
      </c>
      <c r="B1159" s="1" t="s">
        <v>1168</v>
      </c>
      <c r="C1159" s="1" t="s">
        <v>11</v>
      </c>
      <c r="D1159" s="1" t="s">
        <v>11</v>
      </c>
      <c r="E1159" s="1" t="s">
        <v>11</v>
      </c>
    </row>
    <row r="1160" spans="1:5" ht="15.75" customHeight="1">
      <c r="A1160" s="1">
        <v>291461</v>
      </c>
      <c r="B1160" s="1" t="s">
        <v>1169</v>
      </c>
      <c r="C1160" s="1" t="s">
        <v>11</v>
      </c>
      <c r="D1160" s="1" t="s">
        <v>11</v>
      </c>
      <c r="E1160" s="1" t="s">
        <v>11</v>
      </c>
    </row>
    <row r="1161" spans="1:5" ht="15.75" customHeight="1">
      <c r="A1161" s="1">
        <v>291469</v>
      </c>
      <c r="B1161" s="1" t="s">
        <v>1170</v>
      </c>
      <c r="C1161" s="1" t="s">
        <v>11</v>
      </c>
      <c r="D1161" s="1" t="s">
        <v>11</v>
      </c>
      <c r="E1161" s="1" t="s">
        <v>11</v>
      </c>
    </row>
    <row r="1162" spans="1:5" ht="15.75" customHeight="1">
      <c r="A1162" s="1">
        <v>291470</v>
      </c>
      <c r="B1162" s="1" t="s">
        <v>1171</v>
      </c>
      <c r="C1162" s="1" t="s">
        <v>11</v>
      </c>
      <c r="D1162" s="1" t="s">
        <v>11</v>
      </c>
      <c r="E1162" s="1" t="s">
        <v>11</v>
      </c>
    </row>
    <row r="1163" spans="1:5" ht="15.75" customHeight="1">
      <c r="A1163" s="1">
        <v>291511</v>
      </c>
      <c r="B1163" s="1" t="s">
        <v>1172</v>
      </c>
      <c r="C1163" s="1" t="s">
        <v>11</v>
      </c>
      <c r="D1163" s="1" t="s">
        <v>11</v>
      </c>
      <c r="E1163" s="1" t="s">
        <v>11</v>
      </c>
    </row>
    <row r="1164" spans="1:5" ht="15.75" customHeight="1">
      <c r="A1164" s="1">
        <v>291512</v>
      </c>
      <c r="B1164" s="1" t="s">
        <v>1173</v>
      </c>
      <c r="C1164" s="1" t="s">
        <v>11</v>
      </c>
      <c r="D1164" s="1" t="s">
        <v>11</v>
      </c>
      <c r="E1164" s="1" t="s">
        <v>11</v>
      </c>
    </row>
    <row r="1165" spans="1:5" ht="15.75" customHeight="1">
      <c r="A1165" s="1">
        <v>291513</v>
      </c>
      <c r="B1165" s="1" t="s">
        <v>1174</v>
      </c>
      <c r="C1165" s="1" t="s">
        <v>11</v>
      </c>
      <c r="D1165" s="1" t="s">
        <v>11</v>
      </c>
      <c r="E1165" s="1" t="s">
        <v>11</v>
      </c>
    </row>
    <row r="1166" spans="1:5" ht="15.75" customHeight="1">
      <c r="A1166" s="1">
        <v>291521</v>
      </c>
      <c r="B1166" s="1" t="s">
        <v>1175</v>
      </c>
      <c r="C1166" s="1" t="s">
        <v>11</v>
      </c>
      <c r="D1166" s="1" t="s">
        <v>11</v>
      </c>
      <c r="E1166" s="1" t="s">
        <v>11</v>
      </c>
    </row>
    <row r="1167" spans="1:5" ht="15.75" customHeight="1">
      <c r="A1167" s="1">
        <v>291524</v>
      </c>
      <c r="B1167" s="1" t="s">
        <v>1176</v>
      </c>
      <c r="C1167" s="1" t="s">
        <v>11</v>
      </c>
      <c r="D1167" s="1" t="s">
        <v>11</v>
      </c>
      <c r="E1167" s="1" t="s">
        <v>11</v>
      </c>
    </row>
    <row r="1168" spans="1:5" ht="15.75" customHeight="1">
      <c r="A1168" s="1">
        <v>291529</v>
      </c>
      <c r="B1168" s="1" t="s">
        <v>1177</v>
      </c>
      <c r="C1168" s="1" t="s">
        <v>11</v>
      </c>
      <c r="D1168" s="1" t="s">
        <v>11</v>
      </c>
      <c r="E1168" s="1" t="s">
        <v>11</v>
      </c>
    </row>
    <row r="1169" spans="1:5" ht="15.75" customHeight="1">
      <c r="A1169" s="1">
        <v>291531</v>
      </c>
      <c r="B1169" s="1" t="s">
        <v>1178</v>
      </c>
      <c r="C1169" s="1" t="s">
        <v>11</v>
      </c>
      <c r="D1169" s="1" t="s">
        <v>11</v>
      </c>
      <c r="E1169" s="1" t="s">
        <v>11</v>
      </c>
    </row>
    <row r="1170" spans="1:5" ht="15.75" customHeight="1">
      <c r="A1170" s="1">
        <v>291532</v>
      </c>
      <c r="B1170" s="1" t="s">
        <v>1179</v>
      </c>
      <c r="C1170" s="1" t="s">
        <v>11</v>
      </c>
      <c r="D1170" s="1" t="s">
        <v>11</v>
      </c>
      <c r="E1170" s="1" t="s">
        <v>11</v>
      </c>
    </row>
    <row r="1171" spans="1:5" ht="15.75" customHeight="1">
      <c r="A1171" s="1">
        <v>291533</v>
      </c>
      <c r="B1171" s="1" t="s">
        <v>1180</v>
      </c>
      <c r="C1171" s="1" t="s">
        <v>11</v>
      </c>
      <c r="D1171" s="1" t="s">
        <v>11</v>
      </c>
      <c r="E1171" s="1" t="s">
        <v>11</v>
      </c>
    </row>
    <row r="1172" spans="1:5" ht="15.75" customHeight="1">
      <c r="A1172" s="1">
        <v>291536</v>
      </c>
      <c r="B1172" s="1" t="s">
        <v>1181</v>
      </c>
      <c r="C1172" s="1" t="s">
        <v>11</v>
      </c>
      <c r="D1172" s="1" t="s">
        <v>11</v>
      </c>
      <c r="E1172" s="1" t="s">
        <v>11</v>
      </c>
    </row>
    <row r="1173" spans="1:5" ht="15.75" customHeight="1">
      <c r="A1173" s="1">
        <v>291539</v>
      </c>
      <c r="B1173" s="1" t="s">
        <v>1182</v>
      </c>
      <c r="C1173" s="1" t="s">
        <v>11</v>
      </c>
      <c r="D1173" s="1" t="s">
        <v>11</v>
      </c>
      <c r="E1173" s="1" t="s">
        <v>11</v>
      </c>
    </row>
    <row r="1174" spans="1:5" ht="15.75" customHeight="1">
      <c r="A1174" s="1">
        <v>291540</v>
      </c>
      <c r="B1174" s="1" t="s">
        <v>1183</v>
      </c>
      <c r="C1174" s="1" t="s">
        <v>11</v>
      </c>
      <c r="D1174" s="1" t="s">
        <v>11</v>
      </c>
      <c r="E1174" s="1" t="s">
        <v>11</v>
      </c>
    </row>
    <row r="1175" spans="1:5" ht="15.75" customHeight="1">
      <c r="A1175" s="1">
        <v>291550</v>
      </c>
      <c r="B1175" s="1" t="s">
        <v>1184</v>
      </c>
      <c r="C1175" s="1" t="s">
        <v>11</v>
      </c>
      <c r="D1175" s="1" t="s">
        <v>11</v>
      </c>
      <c r="E1175" s="1" t="s">
        <v>11</v>
      </c>
    </row>
    <row r="1176" spans="1:5" ht="15.75" customHeight="1">
      <c r="A1176" s="1">
        <v>291560</v>
      </c>
      <c r="B1176" s="1" t="s">
        <v>1185</v>
      </c>
      <c r="C1176" s="1" t="s">
        <v>11</v>
      </c>
      <c r="D1176" s="1" t="s">
        <v>11</v>
      </c>
      <c r="E1176" s="1" t="s">
        <v>11</v>
      </c>
    </row>
    <row r="1177" spans="1:5" ht="15.75" customHeight="1">
      <c r="A1177" s="1">
        <v>291570</v>
      </c>
      <c r="B1177" s="1" t="s">
        <v>1186</v>
      </c>
      <c r="C1177" s="1" t="s">
        <v>11</v>
      </c>
      <c r="D1177" s="1" t="s">
        <v>11</v>
      </c>
      <c r="E1177" s="1" t="s">
        <v>11</v>
      </c>
    </row>
    <row r="1178" spans="1:5" ht="15.75" customHeight="1">
      <c r="A1178" s="1">
        <v>291590</v>
      </c>
      <c r="B1178" s="1" t="s">
        <v>1187</v>
      </c>
      <c r="C1178" s="1" t="s">
        <v>11</v>
      </c>
      <c r="D1178" s="1" t="s">
        <v>11</v>
      </c>
      <c r="E1178" s="1" t="s">
        <v>11</v>
      </c>
    </row>
    <row r="1179" spans="1:5" ht="15.75" customHeight="1">
      <c r="A1179" s="1">
        <v>291611</v>
      </c>
      <c r="B1179" s="1" t="s">
        <v>1188</v>
      </c>
      <c r="C1179" s="1" t="s">
        <v>11</v>
      </c>
      <c r="D1179" s="1" t="s">
        <v>11</v>
      </c>
      <c r="E1179" s="1" t="s">
        <v>11</v>
      </c>
    </row>
    <row r="1180" spans="1:5" ht="15.75" customHeight="1">
      <c r="A1180" s="1">
        <v>291612</v>
      </c>
      <c r="B1180" s="1" t="s">
        <v>1189</v>
      </c>
      <c r="C1180" s="1" t="s">
        <v>11</v>
      </c>
      <c r="D1180" s="1" t="s">
        <v>11</v>
      </c>
      <c r="E1180" s="1" t="s">
        <v>11</v>
      </c>
    </row>
    <row r="1181" spans="1:5" ht="15.75" customHeight="1">
      <c r="A1181" s="1">
        <v>291613</v>
      </c>
      <c r="B1181" s="1" t="s">
        <v>1190</v>
      </c>
      <c r="C1181" s="1" t="s">
        <v>11</v>
      </c>
      <c r="D1181" s="1" t="s">
        <v>11</v>
      </c>
      <c r="E1181" s="1" t="s">
        <v>11</v>
      </c>
    </row>
    <row r="1182" spans="1:5" ht="15.75" customHeight="1">
      <c r="A1182" s="1">
        <v>291614</v>
      </c>
      <c r="B1182" s="1" t="s">
        <v>1191</v>
      </c>
      <c r="C1182" s="1" t="s">
        <v>11</v>
      </c>
      <c r="D1182" s="1" t="s">
        <v>11</v>
      </c>
      <c r="E1182" s="1" t="s">
        <v>11</v>
      </c>
    </row>
    <row r="1183" spans="1:5" ht="15.75" customHeight="1">
      <c r="A1183" s="1">
        <v>291615</v>
      </c>
      <c r="B1183" s="1" t="s">
        <v>1192</v>
      </c>
      <c r="C1183" s="1" t="s">
        <v>11</v>
      </c>
      <c r="D1183" s="1" t="s">
        <v>11</v>
      </c>
      <c r="E1183" s="1" t="s">
        <v>11</v>
      </c>
    </row>
    <row r="1184" spans="1:5" ht="15.75" customHeight="1">
      <c r="A1184" s="1">
        <v>291619</v>
      </c>
      <c r="B1184" s="1" t="s">
        <v>1193</v>
      </c>
      <c r="C1184" s="1" t="s">
        <v>11</v>
      </c>
      <c r="D1184" s="1" t="s">
        <v>11</v>
      </c>
      <c r="E1184" s="1" t="s">
        <v>11</v>
      </c>
    </row>
    <row r="1185" spans="1:5" ht="15.75" customHeight="1">
      <c r="A1185" s="1">
        <v>291620</v>
      </c>
      <c r="B1185" s="1" t="s">
        <v>1194</v>
      </c>
      <c r="C1185" s="1" t="s">
        <v>11</v>
      </c>
      <c r="D1185" s="1" t="s">
        <v>11</v>
      </c>
      <c r="E1185" s="1" t="s">
        <v>11</v>
      </c>
    </row>
    <row r="1186" spans="1:5" ht="15.75" customHeight="1">
      <c r="A1186" s="1">
        <v>291631</v>
      </c>
      <c r="B1186" s="1" t="s">
        <v>1195</v>
      </c>
      <c r="C1186" s="1" t="s">
        <v>11</v>
      </c>
      <c r="D1186" s="1" t="s">
        <v>11</v>
      </c>
      <c r="E1186" s="1" t="s">
        <v>11</v>
      </c>
    </row>
    <row r="1187" spans="1:5" ht="15.75" customHeight="1">
      <c r="A1187" s="1">
        <v>291632</v>
      </c>
      <c r="B1187" s="1" t="s">
        <v>1196</v>
      </c>
      <c r="C1187" s="1" t="s">
        <v>11</v>
      </c>
      <c r="D1187" s="1" t="s">
        <v>11</v>
      </c>
      <c r="E1187" s="1" t="s">
        <v>11</v>
      </c>
    </row>
    <row r="1188" spans="1:5" ht="15.75" customHeight="1">
      <c r="A1188" s="1">
        <v>291634</v>
      </c>
      <c r="B1188" s="1" t="s">
        <v>1197</v>
      </c>
      <c r="C1188" s="1" t="s">
        <v>11</v>
      </c>
      <c r="D1188" s="1" t="s">
        <v>11</v>
      </c>
      <c r="E1188" s="1" t="s">
        <v>11</v>
      </c>
    </row>
    <row r="1189" spans="1:5" ht="15.75" customHeight="1">
      <c r="A1189" s="1">
        <v>291635</v>
      </c>
      <c r="B1189" s="1" t="s">
        <v>1198</v>
      </c>
      <c r="C1189" s="1" t="s">
        <v>11</v>
      </c>
      <c r="D1189" s="1" t="s">
        <v>11</v>
      </c>
      <c r="E1189" s="1" t="s">
        <v>11</v>
      </c>
    </row>
    <row r="1190" spans="1:5" ht="15.75" customHeight="1">
      <c r="A1190" s="1">
        <v>291636</v>
      </c>
      <c r="B1190" s="1" t="s">
        <v>1199</v>
      </c>
      <c r="C1190" s="1" t="s">
        <v>11</v>
      </c>
      <c r="D1190" s="1" t="s">
        <v>11</v>
      </c>
      <c r="E1190" s="1" t="s">
        <v>11</v>
      </c>
    </row>
    <row r="1191" spans="1:5" ht="15.75" customHeight="1">
      <c r="A1191" s="1">
        <v>291639</v>
      </c>
      <c r="B1191" s="1" t="s">
        <v>1200</v>
      </c>
      <c r="C1191" s="1" t="s">
        <v>11</v>
      </c>
      <c r="D1191" s="1" t="s">
        <v>11</v>
      </c>
      <c r="E1191" s="1" t="s">
        <v>11</v>
      </c>
    </row>
    <row r="1192" spans="1:5" ht="15.75" customHeight="1">
      <c r="A1192" s="1">
        <v>291711</v>
      </c>
      <c r="B1192" s="1" t="s">
        <v>1201</v>
      </c>
      <c r="C1192" s="1" t="s">
        <v>11</v>
      </c>
      <c r="D1192" s="1" t="s">
        <v>11</v>
      </c>
      <c r="E1192" s="1" t="s">
        <v>11</v>
      </c>
    </row>
    <row r="1193" spans="1:5" ht="15.75" customHeight="1">
      <c r="A1193" s="1">
        <v>291712</v>
      </c>
      <c r="B1193" s="1" t="s">
        <v>1202</v>
      </c>
      <c r="C1193" s="1" t="s">
        <v>11</v>
      </c>
      <c r="D1193" s="1" t="s">
        <v>11</v>
      </c>
      <c r="E1193" s="1" t="s">
        <v>11</v>
      </c>
    </row>
    <row r="1194" spans="1:5" ht="15.75" customHeight="1">
      <c r="A1194" s="1">
        <v>291713</v>
      </c>
      <c r="B1194" s="1" t="s">
        <v>1203</v>
      </c>
      <c r="C1194" s="1" t="s">
        <v>11</v>
      </c>
      <c r="D1194" s="1" t="s">
        <v>11</v>
      </c>
      <c r="E1194" s="1" t="s">
        <v>11</v>
      </c>
    </row>
    <row r="1195" spans="1:5" ht="15.75" customHeight="1">
      <c r="A1195" s="1">
        <v>291714</v>
      </c>
      <c r="B1195" s="1" t="s">
        <v>1204</v>
      </c>
      <c r="C1195" s="1" t="s">
        <v>11</v>
      </c>
      <c r="D1195" s="1" t="s">
        <v>11</v>
      </c>
      <c r="E1195" s="1" t="s">
        <v>11</v>
      </c>
    </row>
    <row r="1196" spans="1:5" ht="15.75" customHeight="1">
      <c r="A1196" s="1">
        <v>291719</v>
      </c>
      <c r="B1196" s="1" t="s">
        <v>1205</v>
      </c>
      <c r="C1196" s="1" t="s">
        <v>11</v>
      </c>
      <c r="D1196" s="1" t="s">
        <v>11</v>
      </c>
      <c r="E1196" s="1" t="s">
        <v>11</v>
      </c>
    </row>
    <row r="1197" spans="1:5" ht="15.75" customHeight="1">
      <c r="A1197" s="1">
        <v>291720</v>
      </c>
      <c r="B1197" s="1" t="s">
        <v>1206</v>
      </c>
      <c r="C1197" s="1" t="s">
        <v>11</v>
      </c>
      <c r="D1197" s="1" t="s">
        <v>11</v>
      </c>
      <c r="E1197" s="1" t="s">
        <v>11</v>
      </c>
    </row>
    <row r="1198" spans="1:5" ht="15.75" customHeight="1">
      <c r="A1198" s="1">
        <v>291732</v>
      </c>
      <c r="B1198" s="1" t="s">
        <v>1207</v>
      </c>
      <c r="C1198" s="1" t="s">
        <v>11</v>
      </c>
      <c r="D1198" s="1" t="s">
        <v>11</v>
      </c>
      <c r="E1198" s="1" t="s">
        <v>11</v>
      </c>
    </row>
    <row r="1199" spans="1:5" ht="15.75" customHeight="1">
      <c r="A1199" s="1">
        <v>291733</v>
      </c>
      <c r="B1199" s="1" t="s">
        <v>1208</v>
      </c>
      <c r="C1199" s="1" t="s">
        <v>11</v>
      </c>
      <c r="D1199" s="1" t="s">
        <v>11</v>
      </c>
      <c r="E1199" s="1" t="s">
        <v>11</v>
      </c>
    </row>
    <row r="1200" spans="1:5" ht="15.75" customHeight="1">
      <c r="A1200" s="1">
        <v>291734</v>
      </c>
      <c r="B1200" s="1" t="s">
        <v>1209</v>
      </c>
      <c r="C1200" s="1" t="s">
        <v>11</v>
      </c>
      <c r="D1200" s="1" t="s">
        <v>11</v>
      </c>
      <c r="E1200" s="1" t="s">
        <v>11</v>
      </c>
    </row>
    <row r="1201" spans="1:8" ht="15.75" customHeight="1">
      <c r="A1201" s="1">
        <v>291735</v>
      </c>
      <c r="B1201" s="1" t="s">
        <v>1210</v>
      </c>
      <c r="C1201" s="1" t="s">
        <v>11</v>
      </c>
      <c r="D1201" s="1" t="s">
        <v>11</v>
      </c>
      <c r="E1201" s="1" t="s">
        <v>11</v>
      </c>
    </row>
    <row r="1202" spans="1:8" ht="15.75" customHeight="1">
      <c r="A1202" s="1">
        <v>291736</v>
      </c>
      <c r="B1202" s="1" t="s">
        <v>1211</v>
      </c>
      <c r="C1202" s="1" t="s">
        <v>11</v>
      </c>
      <c r="D1202" s="1" t="s">
        <v>11</v>
      </c>
      <c r="E1202" s="1" t="s">
        <v>11</v>
      </c>
    </row>
    <row r="1203" spans="1:8" ht="15.75" customHeight="1">
      <c r="A1203" s="1">
        <v>291737</v>
      </c>
      <c r="B1203" s="1" t="s">
        <v>1212</v>
      </c>
      <c r="C1203" s="1" t="s">
        <v>11</v>
      </c>
      <c r="D1203" s="1" t="s">
        <v>11</v>
      </c>
      <c r="E1203" s="1" t="s">
        <v>11</v>
      </c>
    </row>
    <row r="1204" spans="1:8" ht="15.75" customHeight="1">
      <c r="A1204" s="1">
        <v>291739</v>
      </c>
      <c r="B1204" s="1" t="s">
        <v>1213</v>
      </c>
      <c r="C1204" s="1" t="s">
        <v>11</v>
      </c>
      <c r="D1204" s="1" t="s">
        <v>11</v>
      </c>
      <c r="E1204" s="1" t="s">
        <v>11</v>
      </c>
    </row>
    <row r="1205" spans="1:8" ht="15.75" customHeight="1">
      <c r="A1205" s="1">
        <v>291811</v>
      </c>
      <c r="B1205" s="1" t="s">
        <v>1214</v>
      </c>
      <c r="C1205" s="1" t="s">
        <v>11</v>
      </c>
      <c r="D1205" s="1" t="s">
        <v>11</v>
      </c>
      <c r="E1205" s="1" t="s">
        <v>11</v>
      </c>
    </row>
    <row r="1206" spans="1:8" ht="15.75" customHeight="1">
      <c r="A1206" s="1">
        <v>291812</v>
      </c>
      <c r="B1206" s="1" t="s">
        <v>1215</v>
      </c>
      <c r="C1206" s="1" t="s">
        <v>11</v>
      </c>
      <c r="D1206" s="1" t="s">
        <v>11</v>
      </c>
      <c r="E1206" s="1" t="s">
        <v>11</v>
      </c>
    </row>
    <row r="1207" spans="1:8" ht="15.75" customHeight="1">
      <c r="A1207" s="1">
        <v>291813</v>
      </c>
      <c r="B1207" s="1" t="s">
        <v>1216</v>
      </c>
      <c r="C1207" s="1" t="s">
        <v>11</v>
      </c>
      <c r="D1207" s="1" t="s">
        <v>11</v>
      </c>
      <c r="E1207" s="1" t="s">
        <v>11</v>
      </c>
    </row>
    <row r="1208" spans="1:8" ht="15.75" customHeight="1">
      <c r="A1208" s="1">
        <v>291814</v>
      </c>
      <c r="B1208" s="1" t="s">
        <v>1217</v>
      </c>
      <c r="C1208" s="1" t="s">
        <v>11</v>
      </c>
      <c r="D1208" s="1" t="s">
        <v>11</v>
      </c>
      <c r="E1208" s="1" t="s">
        <v>11</v>
      </c>
    </row>
    <row r="1209" spans="1:8" ht="15.75" customHeight="1">
      <c r="A1209" s="1">
        <v>291815</v>
      </c>
      <c r="B1209" s="1" t="s">
        <v>1218</v>
      </c>
      <c r="C1209" s="1" t="s">
        <v>11</v>
      </c>
      <c r="D1209" s="1" t="s">
        <v>11</v>
      </c>
      <c r="E1209" s="1" t="s">
        <v>11</v>
      </c>
    </row>
    <row r="1210" spans="1:8" ht="15.75" customHeight="1">
      <c r="A1210" s="1">
        <v>291816</v>
      </c>
      <c r="B1210" s="1" t="s">
        <v>1219</v>
      </c>
      <c r="C1210" s="1" t="s">
        <v>11</v>
      </c>
      <c r="D1210" s="1" t="s">
        <v>11</v>
      </c>
      <c r="E1210" s="1" t="s">
        <v>11</v>
      </c>
    </row>
    <row r="1211" spans="1:8" ht="15.75" customHeight="1">
      <c r="A1211" s="1">
        <v>291818</v>
      </c>
      <c r="B1211" s="1" t="s">
        <v>1220</v>
      </c>
      <c r="C1211" s="1" t="s">
        <v>11</v>
      </c>
      <c r="D1211" s="1" t="s">
        <v>11</v>
      </c>
      <c r="E1211" s="1" t="s">
        <v>11</v>
      </c>
    </row>
    <row r="1212" spans="1:8" ht="15.75" customHeight="1">
      <c r="A1212" s="1">
        <v>291819</v>
      </c>
      <c r="B1212" s="1" t="s">
        <v>1221</v>
      </c>
      <c r="C1212" s="1" t="s">
        <v>11</v>
      </c>
      <c r="D1212" s="1" t="s">
        <v>11</v>
      </c>
      <c r="E1212" s="1" t="s">
        <v>11</v>
      </c>
    </row>
    <row r="1213" spans="1:8" ht="15.75" customHeight="1">
      <c r="A1213" s="1">
        <v>291821</v>
      </c>
      <c r="B1213" s="1" t="s">
        <v>1222</v>
      </c>
      <c r="C1213" s="1">
        <v>1</v>
      </c>
      <c r="D1213" s="1" t="s">
        <v>1223</v>
      </c>
      <c r="E1213" s="1" t="s">
        <v>1224</v>
      </c>
      <c r="F1213" s="1" t="s">
        <v>1224</v>
      </c>
      <c r="G1213" s="4"/>
      <c r="H1213" s="4"/>
    </row>
    <row r="1214" spans="1:8" ht="15.75" customHeight="1">
      <c r="A1214" s="1">
        <v>291822</v>
      </c>
      <c r="B1214" s="1" t="s">
        <v>1225</v>
      </c>
      <c r="C1214" s="1">
        <v>1</v>
      </c>
      <c r="D1214" s="1" t="s">
        <v>1223</v>
      </c>
      <c r="E1214" s="1" t="s">
        <v>1224</v>
      </c>
      <c r="F1214" s="1" t="s">
        <v>1224</v>
      </c>
      <c r="G1214" s="4"/>
      <c r="H1214" s="4"/>
    </row>
    <row r="1215" spans="1:8" ht="15.75" customHeight="1">
      <c r="A1215" s="1">
        <v>291823</v>
      </c>
      <c r="B1215" s="1" t="s">
        <v>1226</v>
      </c>
      <c r="C1215" s="1">
        <v>1</v>
      </c>
      <c r="D1215" s="1" t="s">
        <v>1223</v>
      </c>
      <c r="E1215" s="1" t="s">
        <v>1224</v>
      </c>
      <c r="F1215" s="1" t="s">
        <v>1224</v>
      </c>
      <c r="G1215" s="4"/>
      <c r="H1215" s="4"/>
    </row>
    <row r="1216" spans="1:8" ht="15.75" customHeight="1">
      <c r="A1216" s="1">
        <v>291829</v>
      </c>
      <c r="B1216" s="1" t="s">
        <v>1227</v>
      </c>
      <c r="C1216" s="1" t="s">
        <v>11</v>
      </c>
      <c r="D1216" s="1" t="s">
        <v>11</v>
      </c>
      <c r="E1216" s="1" t="s">
        <v>1228</v>
      </c>
    </row>
    <row r="1217" spans="1:8" ht="15.75" customHeight="1">
      <c r="A1217" s="1">
        <v>291830</v>
      </c>
      <c r="B1217" s="1" t="s">
        <v>1229</v>
      </c>
      <c r="C1217" s="1" t="s">
        <v>11</v>
      </c>
      <c r="D1217" s="1" t="s">
        <v>11</v>
      </c>
      <c r="E1217" s="1" t="s">
        <v>1228</v>
      </c>
      <c r="G1217" s="4"/>
      <c r="H1217" s="4"/>
    </row>
    <row r="1218" spans="1:8" ht="15.75" customHeight="1">
      <c r="A1218" s="1">
        <v>291891</v>
      </c>
      <c r="B1218" s="1" t="s">
        <v>1230</v>
      </c>
      <c r="C1218" s="1" t="s">
        <v>11</v>
      </c>
      <c r="D1218" s="1" t="s">
        <v>11</v>
      </c>
      <c r="E1218" s="1" t="s">
        <v>1228</v>
      </c>
      <c r="G1218" s="5"/>
      <c r="H1218" s="5"/>
    </row>
    <row r="1219" spans="1:8" ht="15.75" customHeight="1">
      <c r="A1219" s="1">
        <v>291899</v>
      </c>
      <c r="B1219" s="1" t="s">
        <v>1231</v>
      </c>
      <c r="C1219" s="1" t="s">
        <v>11</v>
      </c>
      <c r="D1219" s="1" t="s">
        <v>11</v>
      </c>
      <c r="E1219" s="1" t="s">
        <v>1228</v>
      </c>
      <c r="G1219" s="4"/>
      <c r="H1219" s="4"/>
    </row>
    <row r="1220" spans="1:8" ht="15.75" customHeight="1">
      <c r="A1220" s="1">
        <v>291910</v>
      </c>
      <c r="B1220" s="1" t="s">
        <v>1232</v>
      </c>
      <c r="C1220" s="1" t="s">
        <v>11</v>
      </c>
      <c r="D1220" s="1" t="s">
        <v>11</v>
      </c>
      <c r="E1220" s="1" t="s">
        <v>1228</v>
      </c>
    </row>
    <row r="1221" spans="1:8" ht="15.75" customHeight="1">
      <c r="A1221" s="1">
        <v>291990</v>
      </c>
      <c r="B1221" s="1" t="s">
        <v>1233</v>
      </c>
      <c r="C1221" s="1" t="s">
        <v>11</v>
      </c>
      <c r="D1221" s="1" t="s">
        <v>11</v>
      </c>
      <c r="E1221" s="1" t="s">
        <v>1228</v>
      </c>
    </row>
    <row r="1222" spans="1:8" ht="15.75" customHeight="1">
      <c r="A1222" s="1">
        <v>292011</v>
      </c>
      <c r="B1222" s="1" t="s">
        <v>1234</v>
      </c>
      <c r="C1222" s="1" t="s">
        <v>11</v>
      </c>
      <c r="D1222" s="1" t="s">
        <v>11</v>
      </c>
      <c r="E1222" s="1" t="s">
        <v>1228</v>
      </c>
      <c r="G1222" s="5"/>
      <c r="H1222" s="5"/>
    </row>
    <row r="1223" spans="1:8" ht="15.75" customHeight="1">
      <c r="A1223" s="1">
        <v>292019</v>
      </c>
      <c r="B1223" s="1" t="s">
        <v>1235</v>
      </c>
      <c r="C1223" s="1" t="s">
        <v>11</v>
      </c>
      <c r="D1223" s="1" t="s">
        <v>11</v>
      </c>
      <c r="E1223" s="1" t="s">
        <v>1228</v>
      </c>
    </row>
    <row r="1224" spans="1:8" ht="15.75" customHeight="1">
      <c r="A1224" s="1">
        <v>292090</v>
      </c>
      <c r="B1224" s="1" t="s">
        <v>1236</v>
      </c>
      <c r="C1224" s="1" t="s">
        <v>11</v>
      </c>
      <c r="D1224" s="1" t="s">
        <v>11</v>
      </c>
      <c r="E1224" s="1" t="s">
        <v>1228</v>
      </c>
    </row>
    <row r="1225" spans="1:8" ht="15.75" customHeight="1">
      <c r="A1225" s="1">
        <v>292111</v>
      </c>
      <c r="B1225" s="1" t="s">
        <v>1237</v>
      </c>
      <c r="C1225" s="1" t="s">
        <v>11</v>
      </c>
      <c r="D1225" s="1" t="s">
        <v>11</v>
      </c>
      <c r="E1225" s="1" t="s">
        <v>1228</v>
      </c>
    </row>
    <row r="1226" spans="1:8" ht="15.75" customHeight="1">
      <c r="A1226" s="1">
        <v>292119</v>
      </c>
      <c r="B1226" s="1" t="s">
        <v>1238</v>
      </c>
      <c r="C1226" s="1" t="s">
        <v>11</v>
      </c>
      <c r="D1226" s="1" t="s">
        <v>11</v>
      </c>
      <c r="E1226" s="1" t="s">
        <v>1228</v>
      </c>
    </row>
    <row r="1227" spans="1:8" ht="15.75" customHeight="1">
      <c r="A1227" s="1">
        <v>292121</v>
      </c>
      <c r="B1227" s="1" t="s">
        <v>1239</v>
      </c>
      <c r="C1227" s="1" t="s">
        <v>11</v>
      </c>
      <c r="D1227" s="1" t="s">
        <v>11</v>
      </c>
      <c r="E1227" s="1" t="s">
        <v>1228</v>
      </c>
    </row>
    <row r="1228" spans="1:8" ht="15.75" customHeight="1">
      <c r="A1228" s="1">
        <v>292122</v>
      </c>
      <c r="B1228" s="1" t="s">
        <v>1240</v>
      </c>
      <c r="C1228" s="1" t="s">
        <v>11</v>
      </c>
      <c r="D1228" s="1" t="s">
        <v>11</v>
      </c>
      <c r="E1228" s="1" t="s">
        <v>1228</v>
      </c>
    </row>
    <row r="1229" spans="1:8" ht="15.75" customHeight="1">
      <c r="A1229" s="1">
        <v>292129</v>
      </c>
      <c r="B1229" s="1" t="s">
        <v>1241</v>
      </c>
      <c r="C1229" s="1" t="s">
        <v>11</v>
      </c>
      <c r="D1229" s="1" t="s">
        <v>11</v>
      </c>
      <c r="E1229" s="1" t="s">
        <v>1228</v>
      </c>
    </row>
    <row r="1230" spans="1:8" ht="15.75" customHeight="1">
      <c r="A1230" s="1">
        <v>292130</v>
      </c>
      <c r="B1230" s="1" t="s">
        <v>1242</v>
      </c>
      <c r="C1230" s="1" t="s">
        <v>11</v>
      </c>
      <c r="D1230" s="1" t="s">
        <v>11</v>
      </c>
      <c r="E1230" s="1" t="s">
        <v>1228</v>
      </c>
    </row>
    <row r="1231" spans="1:8" ht="15.75" customHeight="1">
      <c r="A1231" s="1">
        <v>292141</v>
      </c>
      <c r="B1231" s="1" t="s">
        <v>1243</v>
      </c>
      <c r="C1231" s="1" t="s">
        <v>11</v>
      </c>
      <c r="D1231" s="1" t="s">
        <v>11</v>
      </c>
      <c r="E1231" s="1" t="s">
        <v>1228</v>
      </c>
    </row>
    <row r="1232" spans="1:8" ht="15.75" customHeight="1">
      <c r="A1232" s="1">
        <v>292142</v>
      </c>
      <c r="B1232" s="1" t="s">
        <v>1244</v>
      </c>
      <c r="C1232" s="1" t="s">
        <v>11</v>
      </c>
      <c r="D1232" s="1" t="s">
        <v>11</v>
      </c>
      <c r="E1232" s="1" t="s">
        <v>1228</v>
      </c>
    </row>
    <row r="1233" spans="1:17" ht="15.75" customHeight="1">
      <c r="A1233" s="1">
        <v>292143</v>
      </c>
      <c r="B1233" s="1" t="s">
        <v>1245</v>
      </c>
      <c r="C1233" s="1" t="s">
        <v>11</v>
      </c>
      <c r="D1233" s="1" t="s">
        <v>11</v>
      </c>
      <c r="E1233" s="1" t="s">
        <v>1228</v>
      </c>
    </row>
    <row r="1234" spans="1:17" ht="15.75" customHeight="1">
      <c r="A1234" s="1">
        <v>292144</v>
      </c>
      <c r="B1234" s="1" t="s">
        <v>1246</v>
      </c>
      <c r="C1234" s="1" t="s">
        <v>11</v>
      </c>
      <c r="D1234" s="1" t="s">
        <v>11</v>
      </c>
      <c r="E1234" s="1" t="s">
        <v>1228</v>
      </c>
    </row>
    <row r="1235" spans="1:17" ht="15.75" customHeight="1">
      <c r="A1235" s="1">
        <v>292145</v>
      </c>
      <c r="B1235" s="1" t="s">
        <v>1247</v>
      </c>
      <c r="C1235" s="1" t="s">
        <v>11</v>
      </c>
      <c r="D1235" s="1" t="s">
        <v>11</v>
      </c>
      <c r="E1235" s="1" t="s">
        <v>1228</v>
      </c>
    </row>
    <row r="1236" spans="1:17" ht="15.75" customHeight="1">
      <c r="A1236" s="6">
        <v>292146</v>
      </c>
      <c r="B1236" s="6" t="s">
        <v>1248</v>
      </c>
      <c r="C1236" s="6" t="s">
        <v>11</v>
      </c>
      <c r="D1236" s="6" t="s">
        <v>11</v>
      </c>
      <c r="E1236" s="6" t="s">
        <v>1224</v>
      </c>
      <c r="F1236" s="6"/>
      <c r="G1236" s="6"/>
      <c r="H1236" s="6"/>
      <c r="I1236" s="6"/>
      <c r="J1236" s="6"/>
      <c r="K1236" s="6"/>
      <c r="L1236" s="6"/>
      <c r="M1236" s="6"/>
      <c r="N1236" s="6"/>
      <c r="O1236" s="6"/>
      <c r="P1236" s="6"/>
      <c r="Q1236" s="6"/>
    </row>
    <row r="1237" spans="1:17" ht="15.75" customHeight="1">
      <c r="A1237" s="1">
        <v>292149</v>
      </c>
      <c r="B1237" s="1" t="s">
        <v>1249</v>
      </c>
      <c r="C1237" s="1" t="s">
        <v>11</v>
      </c>
      <c r="D1237" s="1" t="s">
        <v>11</v>
      </c>
      <c r="E1237" s="1" t="s">
        <v>1228</v>
      </c>
    </row>
    <row r="1238" spans="1:17" ht="15.75" customHeight="1">
      <c r="A1238" s="1">
        <v>292151</v>
      </c>
      <c r="B1238" s="1" t="s">
        <v>1250</v>
      </c>
      <c r="C1238" s="1" t="s">
        <v>11</v>
      </c>
      <c r="D1238" s="1" t="s">
        <v>11</v>
      </c>
      <c r="E1238" s="1" t="s">
        <v>1228</v>
      </c>
    </row>
    <row r="1239" spans="1:17" ht="15.75" customHeight="1">
      <c r="A1239" s="1">
        <v>292159</v>
      </c>
      <c r="B1239" s="1" t="s">
        <v>1251</v>
      </c>
      <c r="C1239" s="1" t="s">
        <v>11</v>
      </c>
      <c r="D1239" s="1" t="s">
        <v>11</v>
      </c>
      <c r="E1239" s="1" t="s">
        <v>1228</v>
      </c>
    </row>
    <row r="1240" spans="1:17" ht="15.75" customHeight="1">
      <c r="A1240" s="1">
        <v>292211</v>
      </c>
      <c r="B1240" s="1" t="s">
        <v>1252</v>
      </c>
      <c r="C1240" s="1" t="s">
        <v>11</v>
      </c>
      <c r="D1240" s="1" t="s">
        <v>11</v>
      </c>
      <c r="E1240" s="1" t="s">
        <v>1228</v>
      </c>
    </row>
    <row r="1241" spans="1:17" ht="15.75" customHeight="1">
      <c r="A1241" s="1">
        <v>292212</v>
      </c>
      <c r="B1241" s="1" t="s">
        <v>1253</v>
      </c>
      <c r="C1241" s="1" t="s">
        <v>11</v>
      </c>
      <c r="D1241" s="1" t="s">
        <v>11</v>
      </c>
      <c r="E1241" s="1" t="s">
        <v>1228</v>
      </c>
    </row>
    <row r="1242" spans="1:17" ht="15.75" customHeight="1">
      <c r="A1242" s="1">
        <v>292213</v>
      </c>
      <c r="B1242" s="1" t="s">
        <v>1254</v>
      </c>
      <c r="C1242" s="1" t="s">
        <v>11</v>
      </c>
      <c r="D1242" s="1" t="s">
        <v>11</v>
      </c>
      <c r="E1242" s="1" t="s">
        <v>1228</v>
      </c>
    </row>
    <row r="1243" spans="1:17" ht="15.75" customHeight="1">
      <c r="A1243" s="6">
        <v>292214</v>
      </c>
      <c r="B1243" s="6" t="s">
        <v>1255</v>
      </c>
      <c r="C1243" s="6" t="s">
        <v>11</v>
      </c>
      <c r="D1243" s="6" t="s">
        <v>11</v>
      </c>
      <c r="E1243" s="6" t="s">
        <v>1224</v>
      </c>
      <c r="F1243" s="6"/>
      <c r="G1243" s="6"/>
      <c r="H1243" s="6"/>
      <c r="I1243" s="6"/>
      <c r="J1243" s="6"/>
      <c r="K1243" s="6"/>
      <c r="L1243" s="6"/>
      <c r="M1243" s="6"/>
      <c r="N1243" s="6"/>
      <c r="O1243" s="6"/>
      <c r="P1243" s="6"/>
      <c r="Q1243" s="6"/>
    </row>
    <row r="1244" spans="1:17" ht="15.75" customHeight="1">
      <c r="A1244" s="1">
        <v>292219</v>
      </c>
      <c r="B1244" s="1" t="s">
        <v>1256</v>
      </c>
      <c r="C1244" s="1" t="s">
        <v>11</v>
      </c>
      <c r="D1244" s="1" t="s">
        <v>11</v>
      </c>
      <c r="E1244" s="1" t="s">
        <v>1228</v>
      </c>
    </row>
    <row r="1245" spans="1:17" ht="15.75" customHeight="1">
      <c r="A1245" s="1">
        <v>292221</v>
      </c>
      <c r="B1245" s="1" t="s">
        <v>1257</v>
      </c>
      <c r="C1245" s="1" t="s">
        <v>11</v>
      </c>
      <c r="D1245" s="1" t="s">
        <v>11</v>
      </c>
      <c r="E1245" s="1" t="s">
        <v>1228</v>
      </c>
    </row>
    <row r="1246" spans="1:17" ht="15.75" customHeight="1">
      <c r="A1246" s="1">
        <v>292229</v>
      </c>
      <c r="B1246" s="1" t="s">
        <v>1258</v>
      </c>
      <c r="C1246" s="1" t="s">
        <v>11</v>
      </c>
      <c r="D1246" s="1" t="s">
        <v>11</v>
      </c>
      <c r="E1246" s="1" t="s">
        <v>1228</v>
      </c>
    </row>
    <row r="1247" spans="1:17" ht="15.75" customHeight="1">
      <c r="A1247" s="1">
        <v>292231</v>
      </c>
      <c r="B1247" s="1" t="s">
        <v>1259</v>
      </c>
      <c r="C1247" s="1" t="s">
        <v>11</v>
      </c>
      <c r="D1247" s="1" t="s">
        <v>11</v>
      </c>
      <c r="E1247" s="1" t="s">
        <v>1228</v>
      </c>
    </row>
    <row r="1248" spans="1:17" ht="15" customHeight="1">
      <c r="A1248" s="1">
        <v>292239</v>
      </c>
      <c r="B1248" s="1" t="s">
        <v>1260</v>
      </c>
      <c r="C1248" s="1" t="s">
        <v>11</v>
      </c>
      <c r="D1248" s="1" t="s">
        <v>11</v>
      </c>
      <c r="E1248" s="1" t="s">
        <v>1228</v>
      </c>
    </row>
    <row r="1249" spans="1:17" ht="15.75" customHeight="1">
      <c r="A1249" s="1">
        <v>292241</v>
      </c>
      <c r="B1249" s="1" t="s">
        <v>1261</v>
      </c>
      <c r="C1249" s="1">
        <v>1</v>
      </c>
      <c r="D1249" s="1" t="s">
        <v>1223</v>
      </c>
      <c r="E1249" s="1" t="s">
        <v>1224</v>
      </c>
      <c r="F1249" s="1" t="s">
        <v>1224</v>
      </c>
    </row>
    <row r="1250" spans="1:17" ht="15.75" customHeight="1">
      <c r="A1250" s="1">
        <v>292242</v>
      </c>
      <c r="B1250" s="1" t="s">
        <v>1262</v>
      </c>
      <c r="C1250" s="1">
        <v>1</v>
      </c>
      <c r="D1250" s="1" t="s">
        <v>1223</v>
      </c>
      <c r="E1250" s="1" t="s">
        <v>1224</v>
      </c>
      <c r="F1250" s="1" t="s">
        <v>1224</v>
      </c>
    </row>
    <row r="1251" spans="1:17" ht="15.75" customHeight="1">
      <c r="A1251" s="1">
        <v>292243</v>
      </c>
      <c r="B1251" s="1" t="s">
        <v>1263</v>
      </c>
      <c r="C1251" s="1" t="s">
        <v>11</v>
      </c>
      <c r="D1251" s="1" t="s">
        <v>11</v>
      </c>
      <c r="E1251" s="1" t="s">
        <v>1228</v>
      </c>
    </row>
    <row r="1252" spans="1:17" ht="15.75" customHeight="1">
      <c r="A1252" s="6">
        <v>292244</v>
      </c>
      <c r="B1252" s="6" t="s">
        <v>1264</v>
      </c>
      <c r="C1252" s="6" t="s">
        <v>11</v>
      </c>
      <c r="D1252" s="6" t="s">
        <v>11</v>
      </c>
      <c r="E1252" s="6" t="s">
        <v>1224</v>
      </c>
      <c r="F1252" s="6"/>
      <c r="G1252" s="6"/>
      <c r="H1252" s="6"/>
      <c r="I1252" s="6"/>
      <c r="J1252" s="6"/>
      <c r="K1252" s="6"/>
      <c r="L1252" s="6"/>
      <c r="M1252" s="6"/>
      <c r="N1252" s="6"/>
      <c r="O1252" s="6"/>
      <c r="P1252" s="6"/>
      <c r="Q1252" s="6"/>
    </row>
    <row r="1253" spans="1:17" ht="15.75" customHeight="1">
      <c r="A1253" s="1">
        <v>292249</v>
      </c>
      <c r="B1253" s="1" t="s">
        <v>1265</v>
      </c>
      <c r="C1253" s="1" t="s">
        <v>11</v>
      </c>
      <c r="D1253" s="1" t="s">
        <v>11</v>
      </c>
      <c r="E1253" s="1" t="s">
        <v>1228</v>
      </c>
    </row>
    <row r="1254" spans="1:17" ht="15.75" customHeight="1">
      <c r="A1254" s="1">
        <v>292250</v>
      </c>
      <c r="B1254" s="1" t="s">
        <v>1266</v>
      </c>
      <c r="C1254" s="1" t="s">
        <v>11</v>
      </c>
      <c r="D1254" s="1" t="s">
        <v>11</v>
      </c>
      <c r="E1254" s="1" t="s">
        <v>1228</v>
      </c>
    </row>
    <row r="1255" spans="1:17" ht="15.75" customHeight="1">
      <c r="A1255" s="1">
        <v>292310</v>
      </c>
      <c r="B1255" s="1" t="s">
        <v>1267</v>
      </c>
      <c r="C1255" s="1">
        <v>1</v>
      </c>
      <c r="D1255" s="1" t="s">
        <v>1223</v>
      </c>
      <c r="E1255" s="1" t="s">
        <v>1224</v>
      </c>
      <c r="F1255" s="1" t="s">
        <v>1224</v>
      </c>
    </row>
    <row r="1256" spans="1:17" ht="15.75" customHeight="1">
      <c r="A1256" s="1">
        <v>292320</v>
      </c>
      <c r="B1256" s="1" t="s">
        <v>1268</v>
      </c>
      <c r="C1256" s="1">
        <v>1</v>
      </c>
      <c r="D1256" s="1" t="s">
        <v>1223</v>
      </c>
      <c r="E1256" s="1" t="s">
        <v>1224</v>
      </c>
      <c r="F1256" s="1" t="s">
        <v>1224</v>
      </c>
    </row>
    <row r="1257" spans="1:17" ht="15.75" customHeight="1">
      <c r="A1257" s="1">
        <v>292390</v>
      </c>
      <c r="B1257" s="1" t="s">
        <v>1269</v>
      </c>
      <c r="C1257" s="1">
        <v>1</v>
      </c>
      <c r="D1257" s="1" t="s">
        <v>1223</v>
      </c>
      <c r="E1257" s="1" t="s">
        <v>1224</v>
      </c>
      <c r="F1257" s="1" t="s">
        <v>1224</v>
      </c>
    </row>
    <row r="1258" spans="1:17" ht="15.75" customHeight="1">
      <c r="A1258" s="1">
        <v>292411</v>
      </c>
      <c r="B1258" s="1" t="s">
        <v>1270</v>
      </c>
      <c r="C1258" s="1">
        <v>1</v>
      </c>
      <c r="D1258" s="1" t="s">
        <v>1223</v>
      </c>
      <c r="E1258" s="1" t="s">
        <v>1224</v>
      </c>
      <c r="F1258" s="1" t="s">
        <v>1224</v>
      </c>
      <c r="H1258" s="1" t="s">
        <v>1228</v>
      </c>
    </row>
    <row r="1259" spans="1:17" ht="15.75" customHeight="1">
      <c r="A1259" s="1">
        <v>292412</v>
      </c>
      <c r="B1259" s="1" t="s">
        <v>1271</v>
      </c>
      <c r="C1259" s="1">
        <v>1</v>
      </c>
      <c r="D1259" s="1" t="s">
        <v>1223</v>
      </c>
      <c r="E1259" s="1" t="s">
        <v>1224</v>
      </c>
      <c r="F1259" s="1" t="s">
        <v>1224</v>
      </c>
    </row>
    <row r="1260" spans="1:17" ht="15.75" customHeight="1">
      <c r="A1260" s="1">
        <v>292419</v>
      </c>
      <c r="B1260" s="1" t="s">
        <v>1272</v>
      </c>
      <c r="C1260" s="1">
        <v>1</v>
      </c>
      <c r="D1260" s="1" t="s">
        <v>1223</v>
      </c>
      <c r="E1260" s="1" t="s">
        <v>1224</v>
      </c>
      <c r="F1260" s="1" t="s">
        <v>1224</v>
      </c>
      <c r="H1260" s="1" t="s">
        <v>1228</v>
      </c>
    </row>
    <row r="1261" spans="1:17" ht="15.75" customHeight="1">
      <c r="A1261" s="1">
        <v>292421</v>
      </c>
      <c r="B1261" s="1" t="s">
        <v>1273</v>
      </c>
      <c r="C1261" s="1" t="s">
        <v>11</v>
      </c>
      <c r="D1261" s="1" t="s">
        <v>11</v>
      </c>
      <c r="E1261" s="1" t="s">
        <v>11</v>
      </c>
      <c r="H1261" s="1" t="s">
        <v>1228</v>
      </c>
    </row>
    <row r="1262" spans="1:17" ht="15.75" customHeight="1">
      <c r="A1262" s="1">
        <v>292423</v>
      </c>
      <c r="B1262" s="1" t="s">
        <v>1274</v>
      </c>
      <c r="C1262" s="1">
        <v>1</v>
      </c>
      <c r="D1262" s="1" t="s">
        <v>1223</v>
      </c>
      <c r="E1262" s="1" t="s">
        <v>1224</v>
      </c>
      <c r="F1262" s="1" t="s">
        <v>1224</v>
      </c>
    </row>
    <row r="1263" spans="1:17" ht="15.75" customHeight="1">
      <c r="A1263" s="1">
        <v>292424</v>
      </c>
      <c r="B1263" s="1" t="s">
        <v>1275</v>
      </c>
      <c r="C1263" s="1">
        <v>1</v>
      </c>
      <c r="D1263" s="1" t="s">
        <v>1223</v>
      </c>
      <c r="E1263" s="1" t="s">
        <v>1224</v>
      </c>
      <c r="F1263" s="1" t="s">
        <v>1224</v>
      </c>
      <c r="H1263" s="1" t="s">
        <v>1228</v>
      </c>
    </row>
    <row r="1264" spans="1:17" ht="15.75" customHeight="1">
      <c r="A1264" s="1">
        <v>292429</v>
      </c>
      <c r="B1264" s="1" t="s">
        <v>1276</v>
      </c>
      <c r="C1264" s="1">
        <v>1</v>
      </c>
      <c r="D1264" s="1" t="s">
        <v>1223</v>
      </c>
      <c r="E1264" s="1" t="s">
        <v>1224</v>
      </c>
      <c r="F1264" s="1" t="s">
        <v>1224</v>
      </c>
    </row>
    <row r="1265" spans="1:17" ht="15.75" customHeight="1">
      <c r="A1265" s="1">
        <v>292511</v>
      </c>
      <c r="B1265" s="1" t="s">
        <v>1277</v>
      </c>
      <c r="C1265" s="1" t="s">
        <v>11</v>
      </c>
      <c r="D1265" s="1" t="s">
        <v>11</v>
      </c>
      <c r="E1265" s="1" t="s">
        <v>11</v>
      </c>
      <c r="H1265" s="1" t="s">
        <v>1228</v>
      </c>
    </row>
    <row r="1266" spans="1:17" ht="15.75" customHeight="1">
      <c r="A1266" s="6">
        <v>292512</v>
      </c>
      <c r="B1266" s="6" t="s">
        <v>1278</v>
      </c>
      <c r="C1266" s="6" t="s">
        <v>11</v>
      </c>
      <c r="D1266" s="6" t="s">
        <v>11</v>
      </c>
      <c r="E1266" s="6" t="s">
        <v>1224</v>
      </c>
      <c r="F1266" s="6"/>
      <c r="G1266" s="6"/>
      <c r="I1266" s="6"/>
      <c r="J1266" s="6"/>
      <c r="K1266" s="6"/>
      <c r="L1266" s="6"/>
      <c r="M1266" s="6"/>
      <c r="N1266" s="6"/>
      <c r="O1266" s="6"/>
      <c r="P1266" s="6"/>
      <c r="Q1266" s="6"/>
    </row>
    <row r="1267" spans="1:17" ht="15.75" customHeight="1">
      <c r="A1267" s="1">
        <v>292519</v>
      </c>
      <c r="B1267" s="1" t="s">
        <v>1279</v>
      </c>
      <c r="C1267" s="1" t="s">
        <v>11</v>
      </c>
      <c r="D1267" s="1" t="s">
        <v>11</v>
      </c>
      <c r="E1267" s="1" t="s">
        <v>11</v>
      </c>
      <c r="H1267" s="6" t="s">
        <v>1280</v>
      </c>
    </row>
    <row r="1268" spans="1:17" ht="15.75" customHeight="1">
      <c r="A1268" s="1">
        <v>292521</v>
      </c>
      <c r="B1268" s="1" t="s">
        <v>1281</v>
      </c>
      <c r="C1268" s="1" t="s">
        <v>11</v>
      </c>
      <c r="D1268" s="1" t="s">
        <v>11</v>
      </c>
      <c r="E1268" s="1" t="s">
        <v>11</v>
      </c>
    </row>
    <row r="1269" spans="1:17" ht="15.75" customHeight="1">
      <c r="A1269" s="1">
        <v>292529</v>
      </c>
      <c r="B1269" s="1" t="s">
        <v>1282</v>
      </c>
      <c r="C1269" s="1" t="s">
        <v>11</v>
      </c>
      <c r="D1269" s="1" t="s">
        <v>11</v>
      </c>
      <c r="E1269" s="1" t="s">
        <v>1228</v>
      </c>
    </row>
    <row r="1270" spans="1:17" ht="15.75" customHeight="1">
      <c r="A1270" s="1">
        <v>292610</v>
      </c>
      <c r="B1270" s="1" t="s">
        <v>1283</v>
      </c>
      <c r="C1270" s="1" t="s">
        <v>11</v>
      </c>
      <c r="D1270" s="1" t="s">
        <v>11</v>
      </c>
      <c r="E1270" s="1" t="s">
        <v>1228</v>
      </c>
    </row>
    <row r="1271" spans="1:17" ht="15.75" customHeight="1">
      <c r="A1271" s="1">
        <v>292620</v>
      </c>
      <c r="B1271" s="1" t="s">
        <v>1284</v>
      </c>
      <c r="C1271" s="1" t="s">
        <v>11</v>
      </c>
      <c r="D1271" s="1" t="s">
        <v>11</v>
      </c>
      <c r="E1271" s="1" t="s">
        <v>1228</v>
      </c>
    </row>
    <row r="1272" spans="1:17" ht="15.75" customHeight="1">
      <c r="A1272" s="1">
        <v>292630</v>
      </c>
      <c r="B1272" s="1" t="s">
        <v>1285</v>
      </c>
      <c r="C1272" s="1" t="s">
        <v>11</v>
      </c>
      <c r="D1272" s="1" t="s">
        <v>11</v>
      </c>
      <c r="E1272" s="1" t="s">
        <v>11</v>
      </c>
    </row>
    <row r="1273" spans="1:17" ht="15.75" customHeight="1">
      <c r="A1273" s="1">
        <v>292690</v>
      </c>
      <c r="B1273" s="1" t="s">
        <v>1286</v>
      </c>
      <c r="C1273" s="1" t="s">
        <v>11</v>
      </c>
      <c r="D1273" s="1" t="s">
        <v>11</v>
      </c>
      <c r="E1273" s="1" t="s">
        <v>1228</v>
      </c>
      <c r="H1273" s="1" t="s">
        <v>1280</v>
      </c>
    </row>
    <row r="1274" spans="1:17" ht="15.75" customHeight="1">
      <c r="A1274" s="1">
        <v>292700</v>
      </c>
      <c r="B1274" s="1" t="s">
        <v>1287</v>
      </c>
      <c r="C1274" s="1" t="s">
        <v>11</v>
      </c>
      <c r="D1274" s="1" t="s">
        <v>11</v>
      </c>
      <c r="E1274" s="1" t="s">
        <v>1228</v>
      </c>
    </row>
    <row r="1275" spans="1:17" ht="15.75" customHeight="1">
      <c r="A1275" s="1">
        <v>292800</v>
      </c>
      <c r="B1275" s="1" t="s">
        <v>1288</v>
      </c>
      <c r="C1275" s="1" t="s">
        <v>11</v>
      </c>
      <c r="D1275" s="1" t="s">
        <v>11</v>
      </c>
      <c r="E1275" s="1" t="s">
        <v>1228</v>
      </c>
    </row>
    <row r="1276" spans="1:17" ht="15.75" customHeight="1">
      <c r="A1276" s="1">
        <v>292910</v>
      </c>
      <c r="B1276" s="1" t="s">
        <v>1289</v>
      </c>
      <c r="C1276" s="1" t="s">
        <v>11</v>
      </c>
      <c r="D1276" s="1" t="s">
        <v>11</v>
      </c>
      <c r="E1276" s="1" t="s">
        <v>1228</v>
      </c>
    </row>
    <row r="1277" spans="1:17" ht="0.75" customHeight="1">
      <c r="A1277" s="1">
        <v>292990</v>
      </c>
      <c r="B1277" s="1" t="s">
        <v>1290</v>
      </c>
      <c r="C1277" s="1" t="s">
        <v>11</v>
      </c>
      <c r="D1277" s="1" t="s">
        <v>11</v>
      </c>
      <c r="E1277" s="1" t="s">
        <v>11</v>
      </c>
    </row>
    <row r="1278" spans="1:17" ht="15.75" customHeight="1">
      <c r="A1278" s="1">
        <v>293020</v>
      </c>
      <c r="B1278" s="1" t="s">
        <v>1291</v>
      </c>
      <c r="C1278" s="1" t="s">
        <v>11</v>
      </c>
      <c r="D1278" s="1" t="s">
        <v>11</v>
      </c>
      <c r="E1278" s="1" t="s">
        <v>1228</v>
      </c>
    </row>
    <row r="1279" spans="1:17" ht="15.75" customHeight="1">
      <c r="A1279" s="1">
        <v>293030</v>
      </c>
      <c r="B1279" s="1" t="s">
        <v>1292</v>
      </c>
      <c r="C1279" s="1" t="s">
        <v>11</v>
      </c>
      <c r="D1279" s="1" t="s">
        <v>11</v>
      </c>
      <c r="E1279" s="1" t="s">
        <v>1228</v>
      </c>
    </row>
    <row r="1280" spans="1:17" ht="15.75" customHeight="1">
      <c r="A1280" s="1">
        <v>293040</v>
      </c>
      <c r="B1280" s="1" t="s">
        <v>1293</v>
      </c>
      <c r="C1280" s="1" t="s">
        <v>11</v>
      </c>
      <c r="D1280" s="1" t="s">
        <v>11</v>
      </c>
      <c r="E1280" s="1" t="s">
        <v>11</v>
      </c>
    </row>
    <row r="1281" spans="1:8" ht="15.75" customHeight="1">
      <c r="A1281" s="1">
        <v>293050</v>
      </c>
      <c r="B1281" s="1" t="s">
        <v>1294</v>
      </c>
      <c r="C1281" s="1" t="s">
        <v>11</v>
      </c>
      <c r="D1281" s="1" t="s">
        <v>11</v>
      </c>
      <c r="E1281" s="1" t="s">
        <v>1228</v>
      </c>
      <c r="H1281" s="1" t="s">
        <v>1280</v>
      </c>
    </row>
    <row r="1282" spans="1:8" ht="15.75" customHeight="1">
      <c r="A1282" s="1">
        <v>293090</v>
      </c>
      <c r="B1282" s="1" t="s">
        <v>1295</v>
      </c>
      <c r="C1282" s="1" t="s">
        <v>11</v>
      </c>
      <c r="D1282" s="1" t="s">
        <v>11</v>
      </c>
      <c r="E1282" s="1" t="s">
        <v>1228</v>
      </c>
    </row>
    <row r="1283" spans="1:8" ht="15.75" customHeight="1">
      <c r="A1283" s="1">
        <v>293100</v>
      </c>
      <c r="B1283" s="1" t="s">
        <v>1296</v>
      </c>
      <c r="C1283" s="1" t="s">
        <v>11</v>
      </c>
      <c r="D1283" s="1" t="s">
        <v>11</v>
      </c>
      <c r="E1283" s="1" t="s">
        <v>1228</v>
      </c>
    </row>
    <row r="1284" spans="1:8" ht="15.75" customHeight="1">
      <c r="A1284" s="1">
        <v>293211</v>
      </c>
      <c r="B1284" s="1" t="s">
        <v>1297</v>
      </c>
      <c r="C1284" s="1" t="s">
        <v>11</v>
      </c>
      <c r="D1284" s="1" t="s">
        <v>11</v>
      </c>
      <c r="E1284" s="1" t="s">
        <v>1228</v>
      </c>
    </row>
    <row r="1285" spans="1:8" ht="15.75" customHeight="1">
      <c r="A1285" s="1">
        <v>293212</v>
      </c>
      <c r="B1285" s="1" t="s">
        <v>1298</v>
      </c>
      <c r="C1285" s="1" t="s">
        <v>11</v>
      </c>
      <c r="D1285" s="1" t="s">
        <v>11</v>
      </c>
      <c r="E1285" s="1" t="s">
        <v>1228</v>
      </c>
    </row>
    <row r="1286" spans="1:8" ht="15.75" customHeight="1">
      <c r="A1286" s="1">
        <v>293213</v>
      </c>
      <c r="B1286" s="1" t="s">
        <v>1299</v>
      </c>
      <c r="C1286" s="1" t="s">
        <v>11</v>
      </c>
      <c r="D1286" s="1" t="s">
        <v>11</v>
      </c>
      <c r="E1286" s="1" t="s">
        <v>1228</v>
      </c>
    </row>
    <row r="1287" spans="1:8" ht="15.75" customHeight="1">
      <c r="A1287" s="1">
        <v>293219</v>
      </c>
      <c r="B1287" s="1" t="s">
        <v>1300</v>
      </c>
      <c r="C1287" s="1" t="s">
        <v>11</v>
      </c>
      <c r="D1287" s="1" t="s">
        <v>11</v>
      </c>
      <c r="E1287" s="1" t="s">
        <v>1228</v>
      </c>
    </row>
    <row r="1288" spans="1:8" ht="15.75" customHeight="1">
      <c r="A1288" s="1">
        <v>293221</v>
      </c>
      <c r="B1288" s="1" t="s">
        <v>1301</v>
      </c>
      <c r="C1288" s="1" t="s">
        <v>11</v>
      </c>
      <c r="D1288" s="1" t="s">
        <v>11</v>
      </c>
      <c r="E1288" s="1" t="s">
        <v>1228</v>
      </c>
    </row>
    <row r="1289" spans="1:8" ht="15.75" customHeight="1">
      <c r="A1289" s="1">
        <v>293229</v>
      </c>
      <c r="B1289" s="1" t="s">
        <v>1302</v>
      </c>
      <c r="C1289" s="1">
        <v>1</v>
      </c>
      <c r="D1289" s="1" t="s">
        <v>1223</v>
      </c>
      <c r="E1289" s="1" t="s">
        <v>1224</v>
      </c>
      <c r="F1289" s="1" t="s">
        <v>1224</v>
      </c>
    </row>
    <row r="1290" spans="1:8" ht="15.75" customHeight="1">
      <c r="A1290" s="1">
        <v>293291</v>
      </c>
      <c r="B1290" s="1" t="s">
        <v>1303</v>
      </c>
      <c r="C1290" s="1" t="s">
        <v>11</v>
      </c>
      <c r="D1290" s="1" t="s">
        <v>11</v>
      </c>
      <c r="E1290" s="1" t="s">
        <v>11</v>
      </c>
    </row>
    <row r="1291" spans="1:8" ht="15.75" customHeight="1">
      <c r="A1291" s="1">
        <v>293292</v>
      </c>
      <c r="B1291" s="1" t="s">
        <v>1304</v>
      </c>
      <c r="C1291" s="1" t="s">
        <v>11</v>
      </c>
      <c r="D1291" s="1" t="s">
        <v>11</v>
      </c>
      <c r="E1291" s="1" t="s">
        <v>11</v>
      </c>
    </row>
    <row r="1292" spans="1:8" ht="15.75" customHeight="1">
      <c r="A1292" s="1">
        <v>293293</v>
      </c>
      <c r="B1292" s="1" t="s">
        <v>1305</v>
      </c>
      <c r="C1292" s="1" t="s">
        <v>11</v>
      </c>
      <c r="D1292" s="1" t="s">
        <v>11</v>
      </c>
      <c r="E1292" s="1" t="s">
        <v>11</v>
      </c>
    </row>
    <row r="1293" spans="1:8" ht="15.75" customHeight="1">
      <c r="A1293" s="1">
        <v>293294</v>
      </c>
      <c r="B1293" s="1" t="s">
        <v>1306</v>
      </c>
      <c r="C1293" s="1" t="s">
        <v>11</v>
      </c>
      <c r="D1293" s="1" t="s">
        <v>11</v>
      </c>
      <c r="E1293" s="1" t="s">
        <v>11</v>
      </c>
    </row>
    <row r="1294" spans="1:8" ht="15.75" customHeight="1">
      <c r="A1294" s="1">
        <v>293295</v>
      </c>
      <c r="B1294" s="1" t="s">
        <v>1307</v>
      </c>
      <c r="C1294" s="1" t="s">
        <v>11</v>
      </c>
      <c r="D1294" s="1" t="s">
        <v>11</v>
      </c>
      <c r="E1294" s="1" t="s">
        <v>11</v>
      </c>
    </row>
    <row r="1295" spans="1:8" ht="15.75" customHeight="1">
      <c r="A1295" s="1">
        <v>293299</v>
      </c>
      <c r="B1295" s="1" t="s">
        <v>1308</v>
      </c>
      <c r="C1295" s="1" t="s">
        <v>11</v>
      </c>
      <c r="D1295" s="1" t="s">
        <v>11</v>
      </c>
      <c r="E1295" s="1" t="s">
        <v>11</v>
      </c>
    </row>
    <row r="1296" spans="1:8" ht="15.75" customHeight="1">
      <c r="A1296" s="1">
        <v>293311</v>
      </c>
      <c r="B1296" s="1" t="s">
        <v>1309</v>
      </c>
      <c r="C1296" s="1">
        <v>1</v>
      </c>
      <c r="D1296" s="1" t="s">
        <v>1223</v>
      </c>
      <c r="E1296" s="1" t="s">
        <v>1224</v>
      </c>
      <c r="F1296" s="1" t="s">
        <v>1224</v>
      </c>
    </row>
    <row r="1297" spans="1:6" ht="15.75" customHeight="1">
      <c r="A1297" s="1">
        <v>293319</v>
      </c>
      <c r="B1297" s="1" t="s">
        <v>1310</v>
      </c>
      <c r="C1297" s="1">
        <v>1</v>
      </c>
      <c r="D1297" s="1" t="s">
        <v>1223</v>
      </c>
      <c r="E1297" s="1" t="s">
        <v>1224</v>
      </c>
      <c r="F1297" s="1" t="s">
        <v>1224</v>
      </c>
    </row>
    <row r="1298" spans="1:6" ht="15.75" customHeight="1">
      <c r="A1298" s="1">
        <v>293321</v>
      </c>
      <c r="B1298" s="1" t="s">
        <v>1311</v>
      </c>
      <c r="C1298" s="1">
        <v>1</v>
      </c>
      <c r="D1298" s="1" t="s">
        <v>1223</v>
      </c>
      <c r="E1298" s="1" t="s">
        <v>1224</v>
      </c>
      <c r="F1298" s="1" t="s">
        <v>1224</v>
      </c>
    </row>
    <row r="1299" spans="1:6" ht="15.75" customHeight="1">
      <c r="A1299" s="1">
        <v>293329</v>
      </c>
      <c r="B1299" s="1" t="s">
        <v>1312</v>
      </c>
      <c r="C1299" s="1" t="s">
        <v>11</v>
      </c>
      <c r="D1299" s="1" t="s">
        <v>11</v>
      </c>
      <c r="E1299" s="1" t="s">
        <v>11</v>
      </c>
    </row>
    <row r="1300" spans="1:6" ht="15.75" customHeight="1">
      <c r="A1300" s="1">
        <v>293331</v>
      </c>
      <c r="B1300" s="1" t="s">
        <v>1313</v>
      </c>
      <c r="C1300" s="1" t="s">
        <v>11</v>
      </c>
      <c r="D1300" s="1" t="s">
        <v>11</v>
      </c>
      <c r="E1300" s="1" t="s">
        <v>11</v>
      </c>
    </row>
    <row r="1301" spans="1:6" ht="15.75" customHeight="1">
      <c r="A1301" s="1">
        <v>293332</v>
      </c>
      <c r="B1301" s="1" t="s">
        <v>1314</v>
      </c>
      <c r="C1301" s="1" t="s">
        <v>11</v>
      </c>
      <c r="D1301" s="1" t="s">
        <v>11</v>
      </c>
      <c r="E1301" s="1" t="s">
        <v>11</v>
      </c>
    </row>
    <row r="1302" spans="1:6" ht="15.75" customHeight="1">
      <c r="A1302" s="1">
        <v>293333</v>
      </c>
      <c r="B1302" s="1" t="s">
        <v>1315</v>
      </c>
      <c r="C1302" s="1" t="s">
        <v>11</v>
      </c>
      <c r="D1302" s="1" t="s">
        <v>11</v>
      </c>
      <c r="E1302" s="1" t="s">
        <v>11</v>
      </c>
    </row>
    <row r="1303" spans="1:6" ht="15.75" customHeight="1">
      <c r="A1303" s="1">
        <v>293339</v>
      </c>
      <c r="B1303" s="1" t="s">
        <v>1316</v>
      </c>
      <c r="C1303" s="1" t="s">
        <v>11</v>
      </c>
      <c r="D1303" s="1" t="s">
        <v>11</v>
      </c>
      <c r="E1303" s="1" t="s">
        <v>11</v>
      </c>
    </row>
    <row r="1304" spans="1:6" ht="15.75" customHeight="1">
      <c r="A1304" s="1">
        <v>293341</v>
      </c>
      <c r="B1304" s="1" t="s">
        <v>1317</v>
      </c>
      <c r="C1304" s="1" t="s">
        <v>11</v>
      </c>
      <c r="D1304" s="1" t="s">
        <v>11</v>
      </c>
      <c r="E1304" s="1" t="s">
        <v>11</v>
      </c>
    </row>
    <row r="1305" spans="1:6" ht="15.75" customHeight="1">
      <c r="A1305" s="1">
        <v>293349</v>
      </c>
      <c r="B1305" s="1" t="s">
        <v>1318</v>
      </c>
      <c r="C1305" s="1" t="s">
        <v>11</v>
      </c>
      <c r="D1305" s="1" t="s">
        <v>11</v>
      </c>
      <c r="E1305" s="1" t="s">
        <v>11</v>
      </c>
    </row>
    <row r="1306" spans="1:6" ht="15.75" customHeight="1">
      <c r="A1306" s="1">
        <v>293352</v>
      </c>
      <c r="B1306" s="1" t="s">
        <v>1319</v>
      </c>
      <c r="C1306" s="1">
        <v>1</v>
      </c>
      <c r="D1306" s="1" t="s">
        <v>1223</v>
      </c>
      <c r="E1306" s="1" t="s">
        <v>1224</v>
      </c>
      <c r="F1306" s="1" t="s">
        <v>1224</v>
      </c>
    </row>
    <row r="1307" spans="1:6" ht="15.75" customHeight="1">
      <c r="A1307" s="1">
        <v>293353</v>
      </c>
      <c r="B1307" s="1" t="s">
        <v>1320</v>
      </c>
      <c r="C1307" s="1">
        <v>1</v>
      </c>
      <c r="D1307" s="1" t="s">
        <v>1223</v>
      </c>
      <c r="E1307" s="1" t="s">
        <v>1224</v>
      </c>
      <c r="F1307" s="1" t="s">
        <v>1224</v>
      </c>
    </row>
    <row r="1308" spans="1:6" ht="15.75" customHeight="1">
      <c r="A1308" s="1">
        <v>293354</v>
      </c>
      <c r="B1308" s="1" t="s">
        <v>1321</v>
      </c>
      <c r="C1308" s="1">
        <v>1</v>
      </c>
      <c r="D1308" s="1" t="s">
        <v>1223</v>
      </c>
      <c r="E1308" s="1" t="s">
        <v>1224</v>
      </c>
      <c r="F1308" s="1" t="s">
        <v>1224</v>
      </c>
    </row>
    <row r="1309" spans="1:6" ht="15.75" customHeight="1">
      <c r="A1309" s="1">
        <v>293355</v>
      </c>
      <c r="B1309" s="1" t="s">
        <v>1322</v>
      </c>
      <c r="C1309" s="1">
        <v>1</v>
      </c>
      <c r="D1309" s="1" t="s">
        <v>1223</v>
      </c>
      <c r="E1309" s="1" t="s">
        <v>1224</v>
      </c>
      <c r="F1309" s="1" t="s">
        <v>1224</v>
      </c>
    </row>
    <row r="1310" spans="1:6" ht="15.75" customHeight="1">
      <c r="A1310" s="1">
        <v>293359</v>
      </c>
      <c r="B1310" s="1" t="s">
        <v>1323</v>
      </c>
      <c r="C1310" s="1">
        <v>1</v>
      </c>
      <c r="D1310" s="1" t="s">
        <v>1223</v>
      </c>
      <c r="E1310" s="1" t="s">
        <v>1224</v>
      </c>
      <c r="F1310" s="1" t="s">
        <v>1224</v>
      </c>
    </row>
    <row r="1311" spans="1:6" ht="15.75" customHeight="1">
      <c r="A1311" s="1">
        <v>293361</v>
      </c>
      <c r="B1311" s="1" t="s">
        <v>1324</v>
      </c>
      <c r="C1311" s="1" t="s">
        <v>11</v>
      </c>
      <c r="D1311" s="1" t="s">
        <v>11</v>
      </c>
      <c r="E1311" s="1" t="s">
        <v>1228</v>
      </c>
    </row>
    <row r="1312" spans="1:6" ht="12.75" customHeight="1">
      <c r="A1312" s="1">
        <v>293369</v>
      </c>
      <c r="B1312" s="1" t="s">
        <v>1325</v>
      </c>
      <c r="C1312" s="1">
        <v>1</v>
      </c>
      <c r="D1312" s="1" t="s">
        <v>1223</v>
      </c>
      <c r="E1312" s="1" t="s">
        <v>1224</v>
      </c>
      <c r="F1312" s="1" t="s">
        <v>1224</v>
      </c>
    </row>
    <row r="1313" spans="1:8" ht="15.75" customHeight="1">
      <c r="A1313" s="1">
        <v>293371</v>
      </c>
      <c r="B1313" s="1" t="s">
        <v>1326</v>
      </c>
      <c r="C1313" s="1" t="s">
        <v>11</v>
      </c>
      <c r="D1313" s="1" t="s">
        <v>11</v>
      </c>
      <c r="E1313" s="1" t="s">
        <v>11</v>
      </c>
    </row>
    <row r="1314" spans="1:8" ht="15.75" customHeight="1">
      <c r="A1314" s="1">
        <v>293372</v>
      </c>
      <c r="B1314" s="1" t="s">
        <v>1327</v>
      </c>
      <c r="C1314" s="1" t="s">
        <v>11</v>
      </c>
      <c r="D1314" s="1" t="s">
        <v>11</v>
      </c>
      <c r="E1314" s="1" t="s">
        <v>11</v>
      </c>
    </row>
    <row r="1315" spans="1:8" ht="15.75" customHeight="1">
      <c r="A1315" s="1">
        <v>293379</v>
      </c>
      <c r="B1315" s="1" t="s">
        <v>1328</v>
      </c>
      <c r="C1315" s="1" t="s">
        <v>11</v>
      </c>
      <c r="D1315" s="1" t="s">
        <v>11</v>
      </c>
      <c r="E1315" s="1" t="s">
        <v>11</v>
      </c>
    </row>
    <row r="1316" spans="1:8" ht="15.75" customHeight="1">
      <c r="A1316" s="1">
        <v>293391</v>
      </c>
      <c r="B1316" s="1" t="s">
        <v>1329</v>
      </c>
      <c r="C1316" s="1" t="s">
        <v>11</v>
      </c>
      <c r="D1316" s="1" t="s">
        <v>11</v>
      </c>
      <c r="E1316" s="1" t="s">
        <v>11</v>
      </c>
      <c r="G1316" s="4"/>
      <c r="H1316" s="4"/>
    </row>
    <row r="1317" spans="1:8" ht="15.75" customHeight="1">
      <c r="A1317" s="1">
        <v>293399</v>
      </c>
      <c r="B1317" s="1" t="s">
        <v>1330</v>
      </c>
      <c r="C1317" s="1" t="s">
        <v>11</v>
      </c>
      <c r="D1317" s="1" t="s">
        <v>11</v>
      </c>
      <c r="E1317" s="1" t="s">
        <v>11</v>
      </c>
      <c r="G1317" s="4"/>
      <c r="H1317" s="4"/>
    </row>
    <row r="1318" spans="1:8" ht="15.75" customHeight="1">
      <c r="A1318" s="1">
        <v>293410</v>
      </c>
      <c r="B1318" s="1" t="s">
        <v>1331</v>
      </c>
      <c r="C1318" s="1" t="s">
        <v>11</v>
      </c>
      <c r="D1318" s="1" t="s">
        <v>11</v>
      </c>
      <c r="E1318" s="1" t="s">
        <v>11</v>
      </c>
    </row>
    <row r="1319" spans="1:8" ht="15.75" customHeight="1">
      <c r="A1319" s="1">
        <v>293420</v>
      </c>
      <c r="B1319" s="1" t="s">
        <v>1332</v>
      </c>
      <c r="C1319" s="1" t="s">
        <v>11</v>
      </c>
      <c r="D1319" s="1" t="s">
        <v>11</v>
      </c>
      <c r="E1319" s="1" t="s">
        <v>11</v>
      </c>
    </row>
    <row r="1320" spans="1:8" ht="15.75" customHeight="1">
      <c r="A1320" s="1">
        <v>293430</v>
      </c>
      <c r="B1320" s="1" t="s">
        <v>1333</v>
      </c>
      <c r="C1320" s="1">
        <v>1</v>
      </c>
      <c r="D1320" s="1" t="s">
        <v>1223</v>
      </c>
      <c r="E1320" s="1" t="s">
        <v>1224</v>
      </c>
      <c r="F1320" s="1" t="s">
        <v>1224</v>
      </c>
    </row>
    <row r="1321" spans="1:8" ht="15.75" customHeight="1">
      <c r="A1321" s="1">
        <v>293491</v>
      </c>
      <c r="B1321" s="1" t="s">
        <v>1334</v>
      </c>
      <c r="C1321" s="1" t="s">
        <v>11</v>
      </c>
      <c r="D1321" s="1" t="s">
        <v>11</v>
      </c>
      <c r="E1321" s="1" t="s">
        <v>11</v>
      </c>
    </row>
    <row r="1322" spans="1:8" ht="15.75" customHeight="1">
      <c r="A1322" s="1">
        <v>293499</v>
      </c>
      <c r="B1322" s="1" t="s">
        <v>1335</v>
      </c>
      <c r="C1322" s="1" t="s">
        <v>11</v>
      </c>
      <c r="D1322" s="1" t="s">
        <v>11</v>
      </c>
      <c r="E1322" s="1" t="s">
        <v>11</v>
      </c>
    </row>
    <row r="1323" spans="1:8" ht="15.75" customHeight="1">
      <c r="A1323" s="1">
        <v>293500</v>
      </c>
      <c r="B1323" s="1" t="s">
        <v>1336</v>
      </c>
      <c r="C1323" s="1">
        <v>1</v>
      </c>
      <c r="D1323" s="1" t="s">
        <v>1223</v>
      </c>
      <c r="E1323" s="1" t="s">
        <v>1224</v>
      </c>
      <c r="F1323" s="1" t="s">
        <v>1224</v>
      </c>
    </row>
    <row r="1324" spans="1:8" ht="15.75" customHeight="1">
      <c r="A1324" s="1">
        <v>293621</v>
      </c>
      <c r="B1324" s="1" t="s">
        <v>1337</v>
      </c>
      <c r="C1324" s="1">
        <v>1</v>
      </c>
      <c r="D1324" s="1" t="s">
        <v>1223</v>
      </c>
      <c r="E1324" s="1" t="s">
        <v>1224</v>
      </c>
      <c r="F1324" s="1" t="s">
        <v>1224</v>
      </c>
    </row>
    <row r="1325" spans="1:8" ht="15.75" customHeight="1">
      <c r="A1325" s="1">
        <v>293622</v>
      </c>
      <c r="B1325" s="1" t="s">
        <v>1338</v>
      </c>
      <c r="C1325" s="1" t="s">
        <v>11</v>
      </c>
      <c r="D1325" s="1" t="s">
        <v>11</v>
      </c>
      <c r="E1325" s="1" t="s">
        <v>11</v>
      </c>
    </row>
    <row r="1326" spans="1:8" ht="15.75" customHeight="1">
      <c r="A1326" s="1">
        <v>293623</v>
      </c>
      <c r="B1326" s="1" t="s">
        <v>1339</v>
      </c>
      <c r="C1326" s="1">
        <v>1</v>
      </c>
      <c r="D1326" s="1" t="s">
        <v>1223</v>
      </c>
      <c r="E1326" s="1" t="s">
        <v>1224</v>
      </c>
      <c r="F1326" s="1" t="s">
        <v>1224</v>
      </c>
    </row>
    <row r="1327" spans="1:8" ht="15.75" customHeight="1">
      <c r="A1327" s="1">
        <v>293624</v>
      </c>
      <c r="B1327" s="1" t="s">
        <v>1340</v>
      </c>
      <c r="C1327" s="1">
        <v>1</v>
      </c>
      <c r="D1327" s="1" t="s">
        <v>1223</v>
      </c>
      <c r="E1327" s="1" t="s">
        <v>1224</v>
      </c>
      <c r="F1327" s="1" t="s">
        <v>1224</v>
      </c>
    </row>
    <row r="1328" spans="1:8" ht="15.75" customHeight="1">
      <c r="A1328" s="1">
        <v>293625</v>
      </c>
      <c r="B1328" s="1" t="s">
        <v>1341</v>
      </c>
      <c r="C1328" s="1">
        <v>1</v>
      </c>
      <c r="D1328" s="1" t="s">
        <v>1223</v>
      </c>
      <c r="E1328" s="1" t="s">
        <v>1224</v>
      </c>
      <c r="F1328" s="1" t="s">
        <v>1224</v>
      </c>
    </row>
    <row r="1329" spans="1:6" ht="15.75" customHeight="1">
      <c r="A1329" s="1">
        <v>293626</v>
      </c>
      <c r="B1329" s="1" t="s">
        <v>1342</v>
      </c>
      <c r="C1329" s="1">
        <v>1</v>
      </c>
      <c r="D1329" s="1" t="s">
        <v>1223</v>
      </c>
      <c r="E1329" s="1" t="s">
        <v>1224</v>
      </c>
      <c r="F1329" s="1" t="s">
        <v>1224</v>
      </c>
    </row>
    <row r="1330" spans="1:6" ht="15.75" customHeight="1">
      <c r="A1330" s="1">
        <v>293627</v>
      </c>
      <c r="B1330" s="1" t="s">
        <v>1343</v>
      </c>
      <c r="C1330" s="1">
        <v>1</v>
      </c>
      <c r="D1330" s="1" t="s">
        <v>1223</v>
      </c>
      <c r="E1330" s="1" t="s">
        <v>1224</v>
      </c>
      <c r="F1330" s="1" t="s">
        <v>1224</v>
      </c>
    </row>
    <row r="1331" spans="1:6" ht="15.75" customHeight="1">
      <c r="A1331" s="1">
        <v>293628</v>
      </c>
      <c r="B1331" s="1" t="s">
        <v>1344</v>
      </c>
      <c r="C1331" s="1">
        <v>1</v>
      </c>
      <c r="D1331" s="1" t="s">
        <v>1223</v>
      </c>
      <c r="E1331" s="1" t="s">
        <v>1224</v>
      </c>
      <c r="F1331" s="1" t="s">
        <v>1224</v>
      </c>
    </row>
    <row r="1332" spans="1:6" ht="15.75" customHeight="1">
      <c r="A1332" s="1">
        <v>293629</v>
      </c>
      <c r="B1332" s="1" t="s">
        <v>1345</v>
      </c>
      <c r="C1332" s="1">
        <v>1</v>
      </c>
      <c r="D1332" s="1" t="s">
        <v>1223</v>
      </c>
      <c r="E1332" s="1" t="s">
        <v>1224</v>
      </c>
      <c r="F1332" s="1" t="s">
        <v>1224</v>
      </c>
    </row>
    <row r="1333" spans="1:6" ht="15.75" customHeight="1">
      <c r="A1333" s="1">
        <v>293690</v>
      </c>
      <c r="B1333" s="1" t="s">
        <v>1346</v>
      </c>
      <c r="C1333" s="1">
        <v>1</v>
      </c>
      <c r="D1333" s="1" t="s">
        <v>1223</v>
      </c>
      <c r="E1333" s="1" t="s">
        <v>1224</v>
      </c>
      <c r="F1333" s="1" t="s">
        <v>1224</v>
      </c>
    </row>
    <row r="1334" spans="1:6" ht="15.75" customHeight="1">
      <c r="A1334" s="1">
        <v>293711</v>
      </c>
      <c r="B1334" s="1" t="s">
        <v>1347</v>
      </c>
      <c r="C1334" s="1">
        <v>1</v>
      </c>
      <c r="D1334" s="1" t="s">
        <v>1223</v>
      </c>
      <c r="E1334" s="1" t="s">
        <v>1224</v>
      </c>
      <c r="F1334" s="1" t="s">
        <v>1224</v>
      </c>
    </row>
    <row r="1335" spans="1:6" ht="15.75" customHeight="1">
      <c r="A1335" s="1">
        <v>293712</v>
      </c>
      <c r="B1335" s="1" t="s">
        <v>1348</v>
      </c>
      <c r="C1335" s="1">
        <v>1</v>
      </c>
      <c r="D1335" s="1" t="s">
        <v>1223</v>
      </c>
      <c r="E1335" s="1" t="s">
        <v>1224</v>
      </c>
      <c r="F1335" s="1" t="s">
        <v>1224</v>
      </c>
    </row>
    <row r="1336" spans="1:6" ht="15.75" customHeight="1">
      <c r="A1336" s="1">
        <v>293719</v>
      </c>
      <c r="B1336" s="1" t="s">
        <v>1349</v>
      </c>
      <c r="C1336" s="1">
        <v>1</v>
      </c>
      <c r="D1336" s="1" t="s">
        <v>1223</v>
      </c>
      <c r="E1336" s="1" t="s">
        <v>1224</v>
      </c>
      <c r="F1336" s="1" t="s">
        <v>1224</v>
      </c>
    </row>
    <row r="1337" spans="1:6" ht="15.75" customHeight="1">
      <c r="A1337" s="1">
        <v>293721</v>
      </c>
      <c r="B1337" s="1" t="s">
        <v>1350</v>
      </c>
      <c r="C1337" s="1">
        <v>1</v>
      </c>
      <c r="D1337" s="1" t="s">
        <v>1223</v>
      </c>
      <c r="E1337" s="1" t="s">
        <v>1224</v>
      </c>
      <c r="F1337" s="1" t="s">
        <v>1224</v>
      </c>
    </row>
    <row r="1338" spans="1:6" ht="15.75" customHeight="1">
      <c r="A1338" s="1">
        <v>293722</v>
      </c>
      <c r="B1338" s="1" t="s">
        <v>1351</v>
      </c>
      <c r="C1338" s="1">
        <v>1</v>
      </c>
      <c r="D1338" s="1" t="s">
        <v>1223</v>
      </c>
      <c r="E1338" s="1" t="s">
        <v>1224</v>
      </c>
      <c r="F1338" s="1" t="s">
        <v>1224</v>
      </c>
    </row>
    <row r="1339" spans="1:6" ht="15.75" customHeight="1">
      <c r="A1339" s="1">
        <v>293723</v>
      </c>
      <c r="B1339" s="1" t="s">
        <v>1352</v>
      </c>
      <c r="C1339" s="1">
        <v>1</v>
      </c>
      <c r="D1339" s="1" t="s">
        <v>1223</v>
      </c>
      <c r="E1339" s="1" t="s">
        <v>1224</v>
      </c>
      <c r="F1339" s="1" t="s">
        <v>1224</v>
      </c>
    </row>
    <row r="1340" spans="1:6" ht="15.75" customHeight="1">
      <c r="A1340" s="1">
        <v>293729</v>
      </c>
      <c r="B1340" s="1" t="s">
        <v>1353</v>
      </c>
      <c r="C1340" s="1">
        <v>1</v>
      </c>
      <c r="D1340" s="1" t="s">
        <v>1223</v>
      </c>
      <c r="E1340" s="1" t="s">
        <v>1224</v>
      </c>
      <c r="F1340" s="1" t="s">
        <v>1224</v>
      </c>
    </row>
    <row r="1341" spans="1:6" ht="15.75" customHeight="1">
      <c r="A1341" s="1">
        <v>293731</v>
      </c>
      <c r="B1341" s="1" t="s">
        <v>1354</v>
      </c>
      <c r="C1341" s="1">
        <v>1</v>
      </c>
      <c r="D1341" s="1" t="s">
        <v>1223</v>
      </c>
      <c r="E1341" s="1" t="s">
        <v>1224</v>
      </c>
      <c r="F1341" s="1" t="s">
        <v>1224</v>
      </c>
    </row>
    <row r="1342" spans="1:6" ht="15.75" customHeight="1">
      <c r="A1342" s="1">
        <v>293739</v>
      </c>
      <c r="B1342" s="1" t="s">
        <v>1355</v>
      </c>
      <c r="C1342" s="1">
        <v>1</v>
      </c>
      <c r="D1342" s="1" t="s">
        <v>1223</v>
      </c>
      <c r="E1342" s="1" t="s">
        <v>1224</v>
      </c>
      <c r="F1342" s="1" t="s">
        <v>1224</v>
      </c>
    </row>
    <row r="1343" spans="1:6" ht="15.75" customHeight="1">
      <c r="A1343" s="1">
        <v>293740</v>
      </c>
      <c r="B1343" s="1" t="s">
        <v>1356</v>
      </c>
      <c r="C1343" s="1">
        <v>1</v>
      </c>
      <c r="D1343" s="1" t="s">
        <v>1223</v>
      </c>
      <c r="E1343" s="1" t="s">
        <v>1224</v>
      </c>
      <c r="F1343" s="1" t="s">
        <v>1224</v>
      </c>
    </row>
    <row r="1344" spans="1:6" ht="15.75" customHeight="1">
      <c r="A1344" s="1">
        <v>293750</v>
      </c>
      <c r="B1344" s="1" t="s">
        <v>1357</v>
      </c>
      <c r="C1344" s="1">
        <v>1</v>
      </c>
      <c r="D1344" s="1" t="s">
        <v>1223</v>
      </c>
      <c r="E1344" s="1" t="s">
        <v>1224</v>
      </c>
      <c r="F1344" s="1" t="s">
        <v>1224</v>
      </c>
    </row>
    <row r="1345" spans="1:17" ht="15.75" customHeight="1">
      <c r="A1345" s="1">
        <v>293790</v>
      </c>
      <c r="B1345" s="1" t="s">
        <v>1358</v>
      </c>
      <c r="C1345" s="1">
        <v>1</v>
      </c>
      <c r="D1345" s="1" t="s">
        <v>1223</v>
      </c>
      <c r="E1345" s="1" t="s">
        <v>1224</v>
      </c>
      <c r="F1345" s="1" t="s">
        <v>1224</v>
      </c>
    </row>
    <row r="1346" spans="1:17" ht="15.75" customHeight="1">
      <c r="A1346" s="1">
        <v>293810</v>
      </c>
      <c r="B1346" s="1" t="s">
        <v>1359</v>
      </c>
      <c r="C1346" s="1">
        <v>1</v>
      </c>
      <c r="D1346" s="1" t="s">
        <v>1223</v>
      </c>
      <c r="E1346" s="1" t="s">
        <v>1224</v>
      </c>
      <c r="F1346" s="1" t="s">
        <v>1224</v>
      </c>
    </row>
    <row r="1347" spans="1:17" ht="15.75" customHeight="1">
      <c r="A1347" s="1">
        <v>293890</v>
      </c>
      <c r="B1347" s="1" t="s">
        <v>1360</v>
      </c>
      <c r="C1347" s="1">
        <v>1</v>
      </c>
      <c r="D1347" s="1" t="s">
        <v>1223</v>
      </c>
      <c r="E1347" s="1" t="s">
        <v>1224</v>
      </c>
      <c r="F1347" s="1" t="s">
        <v>1224</v>
      </c>
    </row>
    <row r="1348" spans="1:17" ht="15.75" customHeight="1">
      <c r="A1348" s="1">
        <v>293911</v>
      </c>
      <c r="B1348" s="1" t="s">
        <v>1361</v>
      </c>
      <c r="C1348" s="1">
        <v>1</v>
      </c>
      <c r="D1348" s="1" t="s">
        <v>1223</v>
      </c>
      <c r="E1348" s="1" t="s">
        <v>1224</v>
      </c>
      <c r="F1348" s="1" t="s">
        <v>1224</v>
      </c>
    </row>
    <row r="1349" spans="1:17" ht="15.75" customHeight="1">
      <c r="A1349" s="1">
        <v>293919</v>
      </c>
      <c r="B1349" s="1" t="s">
        <v>1362</v>
      </c>
      <c r="C1349" s="1">
        <v>1</v>
      </c>
      <c r="D1349" s="1" t="s">
        <v>1223</v>
      </c>
      <c r="E1349" s="1" t="s">
        <v>1224</v>
      </c>
      <c r="F1349" s="1" t="s">
        <v>1224</v>
      </c>
    </row>
    <row r="1350" spans="1:17" ht="15.75" customHeight="1">
      <c r="A1350" s="1">
        <v>293920</v>
      </c>
      <c r="B1350" s="1" t="s">
        <v>1363</v>
      </c>
      <c r="C1350" s="1">
        <v>1</v>
      </c>
      <c r="D1350" s="1" t="s">
        <v>1223</v>
      </c>
      <c r="E1350" s="1" t="s">
        <v>1224</v>
      </c>
      <c r="F1350" s="1" t="s">
        <v>1224</v>
      </c>
    </row>
    <row r="1351" spans="1:17" ht="15.75" customHeight="1">
      <c r="A1351" s="1">
        <v>293930</v>
      </c>
      <c r="B1351" s="1" t="s">
        <v>1364</v>
      </c>
      <c r="C1351" s="1">
        <v>1</v>
      </c>
      <c r="D1351" s="1" t="s">
        <v>1223</v>
      </c>
      <c r="E1351" s="1" t="s">
        <v>1224</v>
      </c>
      <c r="F1351" s="1" t="s">
        <v>1224</v>
      </c>
    </row>
    <row r="1352" spans="1:17" ht="15.75" customHeight="1">
      <c r="A1352" s="1">
        <v>293941</v>
      </c>
      <c r="B1352" s="1" t="s">
        <v>1365</v>
      </c>
      <c r="C1352" s="1">
        <v>1</v>
      </c>
      <c r="D1352" s="1" t="s">
        <v>1223</v>
      </c>
      <c r="E1352" s="1" t="s">
        <v>1224</v>
      </c>
      <c r="F1352" s="1" t="s">
        <v>1224</v>
      </c>
    </row>
    <row r="1353" spans="1:17" ht="15.75" customHeight="1">
      <c r="A1353" s="1">
        <v>293942</v>
      </c>
      <c r="B1353" s="1" t="s">
        <v>1366</v>
      </c>
      <c r="C1353" s="1">
        <v>1</v>
      </c>
      <c r="D1353" s="1" t="s">
        <v>1223</v>
      </c>
      <c r="E1353" s="1" t="s">
        <v>1224</v>
      </c>
      <c r="F1353" s="1" t="s">
        <v>1224</v>
      </c>
      <c r="J1353" s="7"/>
      <c r="K1353" s="7"/>
      <c r="L1353" s="7"/>
      <c r="M1353" s="7"/>
      <c r="N1353" s="7"/>
      <c r="O1353" s="7"/>
      <c r="P1353" s="7"/>
      <c r="Q1353" s="7"/>
    </row>
    <row r="1354" spans="1:17" ht="15.75" customHeight="1">
      <c r="A1354" s="1">
        <v>293943</v>
      </c>
      <c r="B1354" s="1" t="s">
        <v>1367</v>
      </c>
      <c r="C1354" s="1">
        <v>1</v>
      </c>
      <c r="D1354" s="1" t="s">
        <v>1223</v>
      </c>
      <c r="E1354" s="1" t="s">
        <v>1224</v>
      </c>
      <c r="F1354" s="1" t="s">
        <v>1224</v>
      </c>
    </row>
    <row r="1355" spans="1:17" ht="15.75" customHeight="1">
      <c r="A1355" s="1">
        <v>293949</v>
      </c>
      <c r="B1355" s="1" t="s">
        <v>1368</v>
      </c>
      <c r="C1355" s="1">
        <v>1</v>
      </c>
      <c r="D1355" s="1" t="s">
        <v>1223</v>
      </c>
      <c r="E1355" s="1" t="s">
        <v>1224</v>
      </c>
      <c r="F1355" s="1" t="s">
        <v>1224</v>
      </c>
    </row>
    <row r="1356" spans="1:17" ht="15.75" customHeight="1">
      <c r="A1356" s="1">
        <v>293951</v>
      </c>
      <c r="B1356" s="1" t="s">
        <v>1369</v>
      </c>
      <c r="C1356" s="1">
        <v>1</v>
      </c>
      <c r="D1356" s="1" t="s">
        <v>1223</v>
      </c>
      <c r="E1356" s="1" t="s">
        <v>1224</v>
      </c>
      <c r="F1356" s="1" t="s">
        <v>1224</v>
      </c>
    </row>
    <row r="1357" spans="1:17" ht="15.75" customHeight="1">
      <c r="A1357" s="1">
        <v>293959</v>
      </c>
      <c r="B1357" s="1" t="s">
        <v>1370</v>
      </c>
      <c r="C1357" s="1">
        <v>1</v>
      </c>
      <c r="D1357" s="1" t="s">
        <v>1223</v>
      </c>
      <c r="E1357" s="1" t="s">
        <v>1224</v>
      </c>
      <c r="F1357" s="1" t="s">
        <v>1224</v>
      </c>
    </row>
    <row r="1358" spans="1:17" ht="15.75" customHeight="1">
      <c r="A1358" s="1">
        <v>293961</v>
      </c>
      <c r="B1358" s="1" t="s">
        <v>1371</v>
      </c>
      <c r="C1358" s="1">
        <v>1</v>
      </c>
      <c r="D1358" s="1" t="s">
        <v>1223</v>
      </c>
      <c r="E1358" s="1" t="s">
        <v>1224</v>
      </c>
      <c r="F1358" s="1" t="s">
        <v>1224</v>
      </c>
    </row>
    <row r="1359" spans="1:17" ht="15.75" customHeight="1">
      <c r="A1359" s="1">
        <v>293962</v>
      </c>
      <c r="B1359" s="1" t="s">
        <v>1372</v>
      </c>
      <c r="C1359" s="1">
        <v>1</v>
      </c>
      <c r="D1359" s="1" t="s">
        <v>1223</v>
      </c>
      <c r="E1359" s="1" t="s">
        <v>1224</v>
      </c>
      <c r="F1359" s="1" t="s">
        <v>1224</v>
      </c>
    </row>
    <row r="1360" spans="1:17" ht="15.75" customHeight="1">
      <c r="A1360" s="1">
        <v>293963</v>
      </c>
      <c r="B1360" s="1" t="s">
        <v>1373</v>
      </c>
      <c r="C1360" s="1">
        <v>1</v>
      </c>
      <c r="D1360" s="1" t="s">
        <v>1223</v>
      </c>
      <c r="E1360" s="1" t="s">
        <v>1224</v>
      </c>
      <c r="F1360" s="1" t="s">
        <v>1224</v>
      </c>
    </row>
    <row r="1361" spans="1:17" ht="15.75" customHeight="1">
      <c r="A1361" s="1">
        <v>293969</v>
      </c>
      <c r="B1361" s="1" t="s">
        <v>1374</v>
      </c>
      <c r="C1361" s="1">
        <v>1</v>
      </c>
      <c r="D1361" s="1" t="s">
        <v>1223</v>
      </c>
      <c r="E1361" s="1" t="s">
        <v>1224</v>
      </c>
      <c r="F1361" s="1" t="s">
        <v>1224</v>
      </c>
    </row>
    <row r="1362" spans="1:17" ht="15.75" customHeight="1">
      <c r="A1362" s="1">
        <v>293991</v>
      </c>
      <c r="B1362" s="1" t="s">
        <v>1375</v>
      </c>
      <c r="C1362" s="1">
        <v>1</v>
      </c>
      <c r="D1362" s="1" t="s">
        <v>1223</v>
      </c>
      <c r="E1362" s="1" t="s">
        <v>1224</v>
      </c>
      <c r="F1362" s="1" t="s">
        <v>1224</v>
      </c>
    </row>
    <row r="1363" spans="1:17" ht="15.75" customHeight="1">
      <c r="A1363" s="1">
        <v>293999</v>
      </c>
      <c r="B1363" s="1" t="s">
        <v>1376</v>
      </c>
      <c r="C1363" s="1">
        <v>1</v>
      </c>
      <c r="D1363" s="1" t="s">
        <v>1223</v>
      </c>
      <c r="E1363" s="1" t="s">
        <v>1224</v>
      </c>
      <c r="F1363" s="1" t="s">
        <v>1224</v>
      </c>
    </row>
    <row r="1364" spans="1:17" ht="15.75" customHeight="1">
      <c r="A1364" s="8">
        <v>294000</v>
      </c>
      <c r="B1364" s="8" t="s">
        <v>1377</v>
      </c>
      <c r="C1364" s="8">
        <v>1</v>
      </c>
      <c r="D1364" s="8" t="s">
        <v>1223</v>
      </c>
      <c r="E1364" s="8" t="s">
        <v>1224</v>
      </c>
      <c r="G1364" s="9" t="s">
        <v>1378</v>
      </c>
      <c r="H1364" s="9" t="s">
        <v>1379</v>
      </c>
      <c r="I1364" s="8"/>
      <c r="J1364" s="10"/>
      <c r="K1364" s="10"/>
      <c r="L1364" s="10"/>
      <c r="M1364" s="10"/>
      <c r="N1364" s="10"/>
      <c r="O1364" s="10"/>
      <c r="P1364" s="10"/>
      <c r="Q1364" s="10"/>
    </row>
    <row r="1365" spans="1:17" ht="15.75" customHeight="1">
      <c r="A1365" s="1">
        <v>294110</v>
      </c>
      <c r="B1365" s="1" t="s">
        <v>1380</v>
      </c>
      <c r="C1365" s="1">
        <v>1</v>
      </c>
      <c r="D1365" s="1" t="s">
        <v>1223</v>
      </c>
      <c r="E1365" s="1" t="s">
        <v>1224</v>
      </c>
      <c r="F1365" s="1" t="s">
        <v>1224</v>
      </c>
      <c r="J1365" s="7"/>
      <c r="K1365" s="7"/>
      <c r="L1365" s="7"/>
      <c r="M1365" s="7"/>
      <c r="N1365" s="7"/>
      <c r="O1365" s="7"/>
      <c r="P1365" s="7"/>
      <c r="Q1365" s="7"/>
    </row>
    <row r="1366" spans="1:17" ht="15.75" customHeight="1">
      <c r="A1366" s="1">
        <v>294120</v>
      </c>
      <c r="B1366" s="1" t="s">
        <v>1381</v>
      </c>
      <c r="C1366" s="1">
        <v>1</v>
      </c>
      <c r="D1366" s="1" t="s">
        <v>1223</v>
      </c>
      <c r="E1366" s="1" t="s">
        <v>1224</v>
      </c>
      <c r="F1366" s="1" t="s">
        <v>1224</v>
      </c>
    </row>
    <row r="1367" spans="1:17" ht="15.75" customHeight="1">
      <c r="A1367" s="1">
        <v>294130</v>
      </c>
      <c r="B1367" s="1" t="s">
        <v>1382</v>
      </c>
      <c r="C1367" s="1">
        <v>1</v>
      </c>
      <c r="D1367" s="1" t="s">
        <v>1223</v>
      </c>
      <c r="E1367" s="1" t="s">
        <v>1224</v>
      </c>
      <c r="F1367" s="1" t="s">
        <v>1224</v>
      </c>
    </row>
    <row r="1368" spans="1:17" ht="15.75" customHeight="1">
      <c r="A1368" s="1">
        <v>294140</v>
      </c>
      <c r="B1368" s="1" t="s">
        <v>1383</v>
      </c>
      <c r="C1368" s="1">
        <v>1</v>
      </c>
      <c r="D1368" s="1" t="s">
        <v>1223</v>
      </c>
      <c r="E1368" s="1" t="s">
        <v>1224</v>
      </c>
      <c r="F1368" s="1" t="s">
        <v>1224</v>
      </c>
    </row>
    <row r="1369" spans="1:17" ht="15.75" customHeight="1">
      <c r="A1369" s="1">
        <v>294150</v>
      </c>
      <c r="B1369" s="1" t="s">
        <v>1384</v>
      </c>
      <c r="C1369" s="1">
        <v>1</v>
      </c>
      <c r="D1369" s="1" t="s">
        <v>1223</v>
      </c>
      <c r="E1369" s="1" t="s">
        <v>1224</v>
      </c>
      <c r="F1369" s="1" t="s">
        <v>1224</v>
      </c>
    </row>
    <row r="1370" spans="1:17" ht="15.75" customHeight="1">
      <c r="A1370" s="1">
        <v>294190</v>
      </c>
      <c r="B1370" s="1" t="s">
        <v>1385</v>
      </c>
      <c r="C1370" s="1">
        <v>1</v>
      </c>
      <c r="D1370" s="1" t="s">
        <v>1223</v>
      </c>
      <c r="E1370" s="1" t="s">
        <v>1224</v>
      </c>
      <c r="F1370" s="1" t="s">
        <v>1224</v>
      </c>
    </row>
    <row r="1371" spans="1:17" ht="15.75" customHeight="1">
      <c r="A1371" s="1">
        <v>294200</v>
      </c>
      <c r="B1371" s="1" t="s">
        <v>1386</v>
      </c>
      <c r="C1371" s="1" t="s">
        <v>11</v>
      </c>
      <c r="D1371" s="1" t="s">
        <v>11</v>
      </c>
      <c r="E1371" s="1" t="s">
        <v>11</v>
      </c>
    </row>
    <row r="1372" spans="1:17" ht="15.75" customHeight="1">
      <c r="A1372" s="1">
        <v>300120</v>
      </c>
      <c r="B1372" s="1" t="s">
        <v>1387</v>
      </c>
      <c r="C1372" s="1">
        <v>1</v>
      </c>
      <c r="D1372" s="1" t="s">
        <v>1223</v>
      </c>
      <c r="E1372" s="1" t="s">
        <v>1388</v>
      </c>
      <c r="F1372" s="1" t="s">
        <v>1388</v>
      </c>
      <c r="H1372" s="1" t="s">
        <v>1389</v>
      </c>
    </row>
    <row r="1373" spans="1:17" ht="15.75" customHeight="1">
      <c r="A1373" s="1">
        <v>300190</v>
      </c>
      <c r="B1373" s="1" t="s">
        <v>1390</v>
      </c>
      <c r="C1373" s="1">
        <v>1</v>
      </c>
      <c r="D1373" s="1" t="s">
        <v>1223</v>
      </c>
      <c r="E1373" s="1" t="s">
        <v>1388</v>
      </c>
      <c r="F1373" s="1" t="s">
        <v>1388</v>
      </c>
      <c r="H1373" s="1" t="s">
        <v>1389</v>
      </c>
    </row>
    <row r="1374" spans="1:17" ht="15.75" customHeight="1">
      <c r="A1374" s="1">
        <v>300210</v>
      </c>
      <c r="B1374" s="1" t="s">
        <v>1391</v>
      </c>
      <c r="C1374" s="1">
        <v>1</v>
      </c>
      <c r="D1374" s="1" t="s">
        <v>1223</v>
      </c>
      <c r="E1374" s="1" t="s">
        <v>1388</v>
      </c>
      <c r="F1374" s="1" t="s">
        <v>1388</v>
      </c>
      <c r="H1374" s="1" t="s">
        <v>1389</v>
      </c>
    </row>
    <row r="1375" spans="1:17" ht="15.75" customHeight="1">
      <c r="A1375" s="1">
        <v>300220</v>
      </c>
      <c r="B1375" s="1" t="s">
        <v>1392</v>
      </c>
      <c r="C1375" s="1">
        <v>1</v>
      </c>
      <c r="D1375" s="1" t="s">
        <v>1223</v>
      </c>
      <c r="E1375" s="1" t="s">
        <v>1388</v>
      </c>
      <c r="F1375" s="2" t="s">
        <v>1393</v>
      </c>
      <c r="G1375" s="11" t="s">
        <v>1394</v>
      </c>
      <c r="H1375" s="6" t="s">
        <v>1395</v>
      </c>
    </row>
    <row r="1376" spans="1:17" ht="15.75" customHeight="1">
      <c r="A1376" s="8">
        <v>300230</v>
      </c>
      <c r="B1376" s="8" t="s">
        <v>1396</v>
      </c>
      <c r="C1376" s="8">
        <v>1</v>
      </c>
      <c r="D1376" s="8" t="s">
        <v>1223</v>
      </c>
      <c r="E1376" s="1" t="s">
        <v>1388</v>
      </c>
      <c r="G1376" s="9" t="s">
        <v>1378</v>
      </c>
      <c r="H1376" s="8"/>
      <c r="I1376" s="8"/>
      <c r="J1376" s="10"/>
      <c r="K1376" s="10"/>
      <c r="L1376" s="10"/>
      <c r="M1376" s="10"/>
      <c r="N1376" s="10"/>
      <c r="O1376" s="10"/>
      <c r="P1376" s="10"/>
      <c r="Q1376" s="10"/>
    </row>
    <row r="1377" spans="1:17" ht="15.75" customHeight="1">
      <c r="A1377" s="1">
        <v>300290</v>
      </c>
      <c r="B1377" s="1" t="s">
        <v>1397</v>
      </c>
      <c r="C1377" s="1">
        <v>1</v>
      </c>
      <c r="D1377" s="1" t="s">
        <v>1223</v>
      </c>
      <c r="E1377" s="1" t="s">
        <v>1388</v>
      </c>
      <c r="F1377" s="1" t="s">
        <v>1388</v>
      </c>
      <c r="G1377" s="11" t="s">
        <v>1394</v>
      </c>
      <c r="H1377" s="6" t="s">
        <v>1398</v>
      </c>
      <c r="I1377" s="2" t="s">
        <v>1399</v>
      </c>
      <c r="J1377" s="2" t="s">
        <v>1400</v>
      </c>
    </row>
    <row r="1378" spans="1:17" ht="15.75" customHeight="1">
      <c r="A1378" s="1">
        <v>300310</v>
      </c>
      <c r="B1378" s="1" t="s">
        <v>1401</v>
      </c>
      <c r="C1378" s="1">
        <v>1</v>
      </c>
      <c r="D1378" s="1" t="s">
        <v>1223</v>
      </c>
      <c r="E1378" s="1" t="s">
        <v>1402</v>
      </c>
      <c r="F1378" s="1" t="s">
        <v>1402</v>
      </c>
    </row>
    <row r="1379" spans="1:17" ht="15.75" customHeight="1">
      <c r="A1379" s="1">
        <v>300320</v>
      </c>
      <c r="B1379" s="1" t="s">
        <v>1403</v>
      </c>
      <c r="C1379" s="1">
        <v>1</v>
      </c>
      <c r="D1379" s="1" t="s">
        <v>1223</v>
      </c>
      <c r="E1379" s="1" t="s">
        <v>1402</v>
      </c>
      <c r="F1379" s="1" t="s">
        <v>1402</v>
      </c>
    </row>
    <row r="1380" spans="1:17" ht="15.75" customHeight="1">
      <c r="A1380" s="1">
        <v>300331</v>
      </c>
      <c r="B1380" s="1" t="s">
        <v>1404</v>
      </c>
      <c r="C1380" s="1">
        <v>1</v>
      </c>
      <c r="D1380" s="1" t="s">
        <v>1223</v>
      </c>
      <c r="E1380" s="1" t="s">
        <v>1402</v>
      </c>
      <c r="F1380" s="1" t="s">
        <v>1402</v>
      </c>
      <c r="H1380" s="1" t="s">
        <v>1405</v>
      </c>
    </row>
    <row r="1381" spans="1:17" ht="15.75" customHeight="1">
      <c r="A1381" s="1">
        <v>300339</v>
      </c>
      <c r="B1381" s="1" t="s">
        <v>1406</v>
      </c>
      <c r="C1381" s="1">
        <v>1</v>
      </c>
      <c r="D1381" s="1" t="s">
        <v>1223</v>
      </c>
      <c r="E1381" s="1" t="s">
        <v>1402</v>
      </c>
      <c r="F1381" s="1" t="s">
        <v>1402</v>
      </c>
    </row>
    <row r="1382" spans="1:17" ht="15.75" customHeight="1">
      <c r="A1382" s="1">
        <v>300340</v>
      </c>
      <c r="B1382" s="1" t="s">
        <v>1407</v>
      </c>
      <c r="C1382" s="1">
        <v>1</v>
      </c>
      <c r="D1382" s="1" t="s">
        <v>1223</v>
      </c>
      <c r="E1382" s="1" t="s">
        <v>1402</v>
      </c>
      <c r="F1382" s="1" t="s">
        <v>1402</v>
      </c>
    </row>
    <row r="1383" spans="1:17" ht="15.75" customHeight="1">
      <c r="A1383" s="1">
        <v>300390</v>
      </c>
      <c r="B1383" s="1" t="s">
        <v>1408</v>
      </c>
      <c r="C1383" s="1">
        <v>1</v>
      </c>
      <c r="D1383" s="1" t="s">
        <v>1223</v>
      </c>
      <c r="E1383" s="1" t="s">
        <v>1402</v>
      </c>
      <c r="F1383" s="1" t="s">
        <v>1402</v>
      </c>
    </row>
    <row r="1384" spans="1:17" ht="15.75" customHeight="1">
      <c r="A1384" s="1">
        <v>300410</v>
      </c>
      <c r="B1384" s="1" t="s">
        <v>1409</v>
      </c>
      <c r="C1384" s="1">
        <v>1</v>
      </c>
      <c r="D1384" s="1" t="s">
        <v>1223</v>
      </c>
      <c r="E1384" s="1" t="s">
        <v>1402</v>
      </c>
      <c r="F1384" s="1" t="s">
        <v>1402</v>
      </c>
    </row>
    <row r="1385" spans="1:17" ht="15.75" customHeight="1">
      <c r="A1385" s="1">
        <v>300420</v>
      </c>
      <c r="B1385" s="1" t="s">
        <v>1410</v>
      </c>
      <c r="C1385" s="1">
        <v>1</v>
      </c>
      <c r="D1385" s="1" t="s">
        <v>1223</v>
      </c>
      <c r="E1385" s="1" t="s">
        <v>1402</v>
      </c>
      <c r="F1385" s="1" t="s">
        <v>1402</v>
      </c>
    </row>
    <row r="1386" spans="1:17" ht="15.75" customHeight="1">
      <c r="A1386" s="1">
        <v>300431</v>
      </c>
      <c r="B1386" s="1" t="s">
        <v>1411</v>
      </c>
      <c r="C1386" s="1">
        <v>1</v>
      </c>
      <c r="D1386" s="1" t="s">
        <v>1223</v>
      </c>
      <c r="E1386" s="1" t="s">
        <v>1402</v>
      </c>
      <c r="F1386" s="1" t="s">
        <v>1402</v>
      </c>
      <c r="H1386" s="1" t="s">
        <v>1405</v>
      </c>
    </row>
    <row r="1387" spans="1:17" ht="15.75" customHeight="1">
      <c r="A1387" s="1">
        <v>300432</v>
      </c>
      <c r="B1387" s="1" t="s">
        <v>1412</v>
      </c>
      <c r="C1387" s="1">
        <v>1</v>
      </c>
      <c r="D1387" s="1" t="s">
        <v>1223</v>
      </c>
      <c r="E1387" s="1" t="s">
        <v>1402</v>
      </c>
      <c r="F1387" s="1" t="s">
        <v>1402</v>
      </c>
    </row>
    <row r="1388" spans="1:17" ht="15.75" customHeight="1">
      <c r="A1388" s="1">
        <v>300439</v>
      </c>
      <c r="B1388" s="1" t="s">
        <v>1413</v>
      </c>
      <c r="C1388" s="1">
        <v>1</v>
      </c>
      <c r="D1388" s="1" t="s">
        <v>1223</v>
      </c>
      <c r="E1388" s="1" t="s">
        <v>1402</v>
      </c>
      <c r="F1388" s="1" t="s">
        <v>1402</v>
      </c>
      <c r="J1388" s="12"/>
      <c r="K1388" s="12"/>
      <c r="L1388" s="12"/>
      <c r="M1388" s="12"/>
      <c r="N1388" s="12"/>
      <c r="O1388" s="12"/>
      <c r="P1388" s="12"/>
      <c r="Q1388" s="12"/>
    </row>
    <row r="1389" spans="1:17" ht="15.75" customHeight="1">
      <c r="A1389" s="1">
        <v>300440</v>
      </c>
      <c r="B1389" s="1" t="s">
        <v>1414</v>
      </c>
      <c r="C1389" s="1">
        <v>1</v>
      </c>
      <c r="D1389" s="1" t="s">
        <v>1223</v>
      </c>
      <c r="E1389" s="1" t="s">
        <v>1402</v>
      </c>
      <c r="F1389" s="1" t="s">
        <v>1402</v>
      </c>
    </row>
    <row r="1390" spans="1:17" ht="15.75" customHeight="1">
      <c r="A1390" s="1">
        <v>300450</v>
      </c>
      <c r="B1390" s="1" t="s">
        <v>1415</v>
      </c>
      <c r="C1390" s="1">
        <v>1</v>
      </c>
      <c r="D1390" s="1" t="s">
        <v>1223</v>
      </c>
      <c r="E1390" s="1" t="s">
        <v>1402</v>
      </c>
      <c r="F1390" s="1" t="s">
        <v>1402</v>
      </c>
    </row>
    <row r="1391" spans="1:17" ht="15.75" customHeight="1">
      <c r="A1391" s="1">
        <v>300490</v>
      </c>
      <c r="B1391" s="1" t="s">
        <v>1416</v>
      </c>
      <c r="C1391" s="1">
        <v>1</v>
      </c>
      <c r="D1391" s="1" t="s">
        <v>1223</v>
      </c>
      <c r="E1391" s="1" t="s">
        <v>1402</v>
      </c>
      <c r="F1391" s="1" t="s">
        <v>1402</v>
      </c>
    </row>
    <row r="1392" spans="1:17" ht="15.75" customHeight="1">
      <c r="A1392" s="1">
        <v>300510</v>
      </c>
      <c r="B1392" s="1" t="s">
        <v>1417</v>
      </c>
      <c r="C1392" s="1">
        <v>1</v>
      </c>
      <c r="D1392" s="1" t="s">
        <v>1418</v>
      </c>
      <c r="E1392" s="1" t="s">
        <v>1418</v>
      </c>
      <c r="F1392" s="2" t="s">
        <v>1419</v>
      </c>
    </row>
    <row r="1393" spans="1:17" ht="15.75" customHeight="1">
      <c r="A1393" s="1">
        <v>300590</v>
      </c>
      <c r="B1393" s="1" t="s">
        <v>1420</v>
      </c>
      <c r="C1393" s="1">
        <v>1</v>
      </c>
      <c r="D1393" s="1" t="s">
        <v>1418</v>
      </c>
      <c r="E1393" s="1" t="s">
        <v>1418</v>
      </c>
      <c r="F1393" s="2" t="s">
        <v>1419</v>
      </c>
    </row>
    <row r="1394" spans="1:17" ht="15.75" customHeight="1">
      <c r="A1394" s="1">
        <v>300610</v>
      </c>
      <c r="B1394" s="1" t="s">
        <v>1421</v>
      </c>
      <c r="C1394" s="1">
        <v>1</v>
      </c>
      <c r="D1394" s="1" t="s">
        <v>1418</v>
      </c>
      <c r="E1394" s="1" t="s">
        <v>1418</v>
      </c>
      <c r="F1394" s="2" t="s">
        <v>1419</v>
      </c>
    </row>
    <row r="1395" spans="1:17" ht="15.75" customHeight="1">
      <c r="A1395" s="6">
        <v>300620</v>
      </c>
      <c r="B1395" s="6" t="s">
        <v>1422</v>
      </c>
      <c r="C1395" s="6">
        <v>1</v>
      </c>
      <c r="D1395" s="6" t="s">
        <v>1418</v>
      </c>
      <c r="E1395" s="6" t="s">
        <v>1418</v>
      </c>
      <c r="F1395" s="11" t="s">
        <v>1423</v>
      </c>
      <c r="G1395" s="11" t="s">
        <v>1394</v>
      </c>
      <c r="H1395" s="6" t="s">
        <v>1424</v>
      </c>
      <c r="I1395" s="6"/>
      <c r="J1395" s="10"/>
      <c r="K1395" s="10"/>
      <c r="L1395" s="10"/>
      <c r="M1395" s="10"/>
      <c r="N1395" s="10"/>
      <c r="O1395" s="10"/>
      <c r="P1395" s="10"/>
      <c r="Q1395" s="10"/>
    </row>
    <row r="1396" spans="1:17" ht="15.75" customHeight="1">
      <c r="A1396" s="6">
        <v>300630</v>
      </c>
      <c r="B1396" s="6" t="s">
        <v>1425</v>
      </c>
      <c r="C1396" s="6">
        <v>1</v>
      </c>
      <c r="D1396" s="6" t="s">
        <v>1418</v>
      </c>
      <c r="E1396" s="6" t="s">
        <v>1418</v>
      </c>
      <c r="F1396" s="11" t="s">
        <v>1423</v>
      </c>
      <c r="G1396" s="11" t="s">
        <v>1394</v>
      </c>
      <c r="H1396" s="6" t="s">
        <v>1424</v>
      </c>
    </row>
    <row r="1397" spans="1:17" ht="15.75" customHeight="1">
      <c r="A1397" s="1">
        <v>300640</v>
      </c>
      <c r="B1397" s="1" t="s">
        <v>1426</v>
      </c>
      <c r="C1397" s="1">
        <v>1</v>
      </c>
      <c r="D1397" s="1" t="s">
        <v>1418</v>
      </c>
      <c r="E1397" s="1" t="s">
        <v>1418</v>
      </c>
      <c r="F1397" s="2" t="s">
        <v>1419</v>
      </c>
    </row>
    <row r="1398" spans="1:17" ht="15.75" customHeight="1">
      <c r="A1398" s="1">
        <v>300650</v>
      </c>
      <c r="B1398" s="1" t="s">
        <v>1427</v>
      </c>
      <c r="C1398" s="1">
        <v>1</v>
      </c>
      <c r="D1398" s="1" t="s">
        <v>1418</v>
      </c>
      <c r="E1398" s="1" t="s">
        <v>1418</v>
      </c>
      <c r="F1398" s="2" t="s">
        <v>1419</v>
      </c>
    </row>
    <row r="1399" spans="1:17" ht="15.75" customHeight="1">
      <c r="A1399" s="1">
        <v>300660</v>
      </c>
      <c r="B1399" s="1" t="s">
        <v>1428</v>
      </c>
      <c r="C1399" s="1">
        <v>1</v>
      </c>
      <c r="D1399" s="1" t="s">
        <v>1418</v>
      </c>
      <c r="E1399" s="1" t="s">
        <v>1418</v>
      </c>
      <c r="F1399" s="2" t="s">
        <v>1419</v>
      </c>
      <c r="I1399" s="2" t="s">
        <v>1429</v>
      </c>
      <c r="J1399" s="7"/>
      <c r="K1399" s="7"/>
      <c r="L1399" s="7"/>
      <c r="M1399" s="7"/>
      <c r="N1399" s="7"/>
      <c r="O1399" s="7"/>
      <c r="P1399" s="7"/>
      <c r="Q1399" s="7"/>
    </row>
    <row r="1400" spans="1:17" ht="15.75" customHeight="1">
      <c r="A1400" s="1">
        <v>300670</v>
      </c>
      <c r="B1400" s="1" t="s">
        <v>1430</v>
      </c>
      <c r="C1400" s="1">
        <v>1</v>
      </c>
      <c r="D1400" s="1" t="s">
        <v>1418</v>
      </c>
      <c r="E1400" s="1" t="s">
        <v>1418</v>
      </c>
      <c r="F1400" s="2" t="s">
        <v>1419</v>
      </c>
    </row>
    <row r="1401" spans="1:17" ht="15.75" customHeight="1">
      <c r="A1401" s="1">
        <v>300691</v>
      </c>
      <c r="B1401" s="1" t="s">
        <v>1431</v>
      </c>
      <c r="C1401" s="1">
        <v>1</v>
      </c>
      <c r="D1401" s="1" t="s">
        <v>1418</v>
      </c>
      <c r="E1401" s="1" t="s">
        <v>1418</v>
      </c>
      <c r="F1401" s="2" t="s">
        <v>1419</v>
      </c>
      <c r="J1401" s="7"/>
      <c r="K1401" s="7"/>
      <c r="L1401" s="7"/>
      <c r="M1401" s="7"/>
      <c r="N1401" s="7"/>
      <c r="O1401" s="7"/>
      <c r="P1401" s="7"/>
      <c r="Q1401" s="7"/>
    </row>
    <row r="1402" spans="1:17" ht="15.75" customHeight="1">
      <c r="A1402" s="1">
        <v>300692</v>
      </c>
      <c r="B1402" s="1" t="s">
        <v>1432</v>
      </c>
      <c r="C1402" s="1">
        <v>1</v>
      </c>
      <c r="D1402" s="1" t="s">
        <v>1418</v>
      </c>
      <c r="E1402" s="1" t="s">
        <v>1418</v>
      </c>
      <c r="F1402" s="2" t="s">
        <v>1419</v>
      </c>
      <c r="I1402" s="2" t="s">
        <v>1433</v>
      </c>
    </row>
    <row r="1403" spans="1:17" ht="15.75" customHeight="1">
      <c r="A1403" s="1">
        <v>310100</v>
      </c>
      <c r="B1403" s="1" t="s">
        <v>1434</v>
      </c>
      <c r="C1403" s="1" t="s">
        <v>11</v>
      </c>
      <c r="D1403" s="1" t="s">
        <v>11</v>
      </c>
      <c r="E1403" s="1" t="s">
        <v>11</v>
      </c>
    </row>
    <row r="1404" spans="1:17" ht="15.75" customHeight="1">
      <c r="A1404" s="1">
        <v>310210</v>
      </c>
      <c r="B1404" s="1" t="s">
        <v>1435</v>
      </c>
      <c r="C1404" s="1" t="s">
        <v>11</v>
      </c>
      <c r="D1404" s="1" t="s">
        <v>11</v>
      </c>
      <c r="E1404" s="1" t="s">
        <v>11</v>
      </c>
    </row>
    <row r="1405" spans="1:17" ht="15.75" customHeight="1">
      <c r="A1405" s="1">
        <v>310221</v>
      </c>
      <c r="B1405" s="1" t="s">
        <v>1436</v>
      </c>
      <c r="C1405" s="1" t="s">
        <v>11</v>
      </c>
      <c r="D1405" s="1" t="s">
        <v>11</v>
      </c>
      <c r="E1405" s="1" t="s">
        <v>11</v>
      </c>
    </row>
    <row r="1406" spans="1:17" ht="15.75" customHeight="1">
      <c r="A1406" s="1">
        <v>310229</v>
      </c>
      <c r="B1406" s="1" t="s">
        <v>1437</v>
      </c>
      <c r="C1406" s="1" t="s">
        <v>11</v>
      </c>
      <c r="D1406" s="1" t="s">
        <v>11</v>
      </c>
      <c r="E1406" s="1" t="s">
        <v>11</v>
      </c>
    </row>
    <row r="1407" spans="1:17" ht="15.75" customHeight="1">
      <c r="A1407" s="1">
        <v>310230</v>
      </c>
      <c r="B1407" s="1" t="s">
        <v>1438</v>
      </c>
      <c r="C1407" s="1" t="s">
        <v>11</v>
      </c>
      <c r="D1407" s="1" t="s">
        <v>11</v>
      </c>
      <c r="E1407" s="1" t="s">
        <v>11</v>
      </c>
    </row>
    <row r="1408" spans="1:17" ht="15.75" customHeight="1">
      <c r="A1408" s="1">
        <v>310240</v>
      </c>
      <c r="B1408" s="1" t="s">
        <v>1439</v>
      </c>
      <c r="C1408" s="1" t="s">
        <v>11</v>
      </c>
      <c r="D1408" s="1" t="s">
        <v>11</v>
      </c>
      <c r="E1408" s="1" t="s">
        <v>11</v>
      </c>
    </row>
    <row r="1409" spans="1:5" ht="15.75" customHeight="1">
      <c r="A1409" s="1">
        <v>310250</v>
      </c>
      <c r="B1409" s="1" t="s">
        <v>1440</v>
      </c>
      <c r="C1409" s="1" t="s">
        <v>11</v>
      </c>
      <c r="D1409" s="1" t="s">
        <v>11</v>
      </c>
      <c r="E1409" s="1" t="s">
        <v>11</v>
      </c>
    </row>
    <row r="1410" spans="1:5" ht="15.75" customHeight="1">
      <c r="A1410" s="1">
        <v>310260</v>
      </c>
      <c r="B1410" s="1" t="s">
        <v>1441</v>
      </c>
      <c r="C1410" s="1" t="s">
        <v>11</v>
      </c>
      <c r="D1410" s="1" t="s">
        <v>11</v>
      </c>
      <c r="E1410" s="1" t="s">
        <v>11</v>
      </c>
    </row>
    <row r="1411" spans="1:5" ht="15.75" customHeight="1">
      <c r="A1411" s="1">
        <v>310280</v>
      </c>
      <c r="B1411" s="1" t="s">
        <v>1442</v>
      </c>
      <c r="C1411" s="1" t="s">
        <v>11</v>
      </c>
      <c r="D1411" s="1" t="s">
        <v>11</v>
      </c>
      <c r="E1411" s="1" t="s">
        <v>11</v>
      </c>
    </row>
    <row r="1412" spans="1:5" ht="15.75" customHeight="1">
      <c r="A1412" s="1">
        <v>310290</v>
      </c>
      <c r="B1412" s="1" t="s">
        <v>1443</v>
      </c>
      <c r="C1412" s="1" t="s">
        <v>11</v>
      </c>
      <c r="D1412" s="1" t="s">
        <v>11</v>
      </c>
      <c r="E1412" s="1" t="s">
        <v>11</v>
      </c>
    </row>
    <row r="1413" spans="1:5" ht="15.75" customHeight="1">
      <c r="A1413" s="1">
        <v>310310</v>
      </c>
      <c r="B1413" s="1" t="s">
        <v>1444</v>
      </c>
      <c r="C1413" s="1" t="s">
        <v>11</v>
      </c>
      <c r="D1413" s="1" t="s">
        <v>11</v>
      </c>
      <c r="E1413" s="1" t="s">
        <v>11</v>
      </c>
    </row>
    <row r="1414" spans="1:5" ht="15.75" customHeight="1">
      <c r="A1414" s="1">
        <v>310390</v>
      </c>
      <c r="B1414" s="1" t="s">
        <v>1445</v>
      </c>
      <c r="C1414" s="1" t="s">
        <v>11</v>
      </c>
      <c r="D1414" s="1" t="s">
        <v>11</v>
      </c>
      <c r="E1414" s="1" t="s">
        <v>11</v>
      </c>
    </row>
    <row r="1415" spans="1:5" ht="15.75" customHeight="1">
      <c r="A1415" s="1">
        <v>310420</v>
      </c>
      <c r="B1415" s="1" t="s">
        <v>1446</v>
      </c>
      <c r="C1415" s="1" t="s">
        <v>11</v>
      </c>
      <c r="D1415" s="1" t="s">
        <v>11</v>
      </c>
      <c r="E1415" s="1" t="s">
        <v>11</v>
      </c>
    </row>
    <row r="1416" spans="1:5" ht="15.75" customHeight="1">
      <c r="A1416" s="1">
        <v>310430</v>
      </c>
      <c r="B1416" s="1" t="s">
        <v>1447</v>
      </c>
      <c r="C1416" s="1" t="s">
        <v>11</v>
      </c>
      <c r="D1416" s="1" t="s">
        <v>11</v>
      </c>
      <c r="E1416" s="1" t="s">
        <v>11</v>
      </c>
    </row>
    <row r="1417" spans="1:5" ht="15.75" customHeight="1">
      <c r="A1417" s="1">
        <v>310490</v>
      </c>
      <c r="B1417" s="1" t="s">
        <v>1448</v>
      </c>
      <c r="C1417" s="1" t="s">
        <v>11</v>
      </c>
      <c r="D1417" s="1" t="s">
        <v>11</v>
      </c>
      <c r="E1417" s="1" t="s">
        <v>11</v>
      </c>
    </row>
    <row r="1418" spans="1:5" ht="15.75" customHeight="1">
      <c r="A1418" s="1">
        <v>310510</v>
      </c>
      <c r="B1418" s="1" t="s">
        <v>1449</v>
      </c>
      <c r="C1418" s="1" t="s">
        <v>11</v>
      </c>
      <c r="D1418" s="1" t="s">
        <v>11</v>
      </c>
      <c r="E1418" s="1" t="s">
        <v>11</v>
      </c>
    </row>
    <row r="1419" spans="1:5" ht="15.75" customHeight="1">
      <c r="A1419" s="1">
        <v>310520</v>
      </c>
      <c r="B1419" s="1" t="s">
        <v>1450</v>
      </c>
      <c r="C1419" s="1" t="s">
        <v>11</v>
      </c>
      <c r="D1419" s="1" t="s">
        <v>11</v>
      </c>
      <c r="E1419" s="1" t="s">
        <v>11</v>
      </c>
    </row>
    <row r="1420" spans="1:5" ht="15.75" customHeight="1">
      <c r="A1420" s="1">
        <v>310530</v>
      </c>
      <c r="B1420" s="1" t="s">
        <v>1451</v>
      </c>
      <c r="C1420" s="1" t="s">
        <v>11</v>
      </c>
      <c r="D1420" s="1" t="s">
        <v>11</v>
      </c>
      <c r="E1420" s="1" t="s">
        <v>11</v>
      </c>
    </row>
    <row r="1421" spans="1:5" ht="15.75" customHeight="1">
      <c r="A1421" s="1">
        <v>310540</v>
      </c>
      <c r="B1421" s="1" t="s">
        <v>1452</v>
      </c>
      <c r="C1421" s="1" t="s">
        <v>11</v>
      </c>
      <c r="D1421" s="1" t="s">
        <v>11</v>
      </c>
      <c r="E1421" s="1" t="s">
        <v>11</v>
      </c>
    </row>
    <row r="1422" spans="1:5" ht="15.75" customHeight="1">
      <c r="A1422" s="1">
        <v>310551</v>
      </c>
      <c r="B1422" s="1" t="s">
        <v>1453</v>
      </c>
      <c r="C1422" s="1" t="s">
        <v>11</v>
      </c>
      <c r="D1422" s="1" t="s">
        <v>11</v>
      </c>
      <c r="E1422" s="1" t="s">
        <v>11</v>
      </c>
    </row>
    <row r="1423" spans="1:5" ht="15.75" customHeight="1">
      <c r="A1423" s="1">
        <v>310559</v>
      </c>
      <c r="B1423" s="1" t="s">
        <v>1454</v>
      </c>
      <c r="C1423" s="1" t="s">
        <v>11</v>
      </c>
      <c r="D1423" s="1" t="s">
        <v>11</v>
      </c>
      <c r="E1423" s="1" t="s">
        <v>11</v>
      </c>
    </row>
    <row r="1424" spans="1:5" ht="15.75" customHeight="1">
      <c r="A1424" s="1">
        <v>310560</v>
      </c>
      <c r="B1424" s="1" t="s">
        <v>1455</v>
      </c>
      <c r="C1424" s="1" t="s">
        <v>11</v>
      </c>
      <c r="D1424" s="1" t="s">
        <v>11</v>
      </c>
      <c r="E1424" s="1" t="s">
        <v>11</v>
      </c>
    </row>
    <row r="1425" spans="1:5" ht="15.75" customHeight="1">
      <c r="A1425" s="1">
        <v>310590</v>
      </c>
      <c r="B1425" s="1" t="s">
        <v>1456</v>
      </c>
      <c r="C1425" s="1" t="s">
        <v>11</v>
      </c>
      <c r="D1425" s="1" t="s">
        <v>11</v>
      </c>
      <c r="E1425" s="1" t="s">
        <v>11</v>
      </c>
    </row>
    <row r="1426" spans="1:5" ht="15.75" customHeight="1">
      <c r="A1426" s="1">
        <v>320110</v>
      </c>
      <c r="B1426" s="1" t="s">
        <v>1457</v>
      </c>
      <c r="C1426" s="1" t="s">
        <v>11</v>
      </c>
      <c r="D1426" s="1" t="s">
        <v>11</v>
      </c>
      <c r="E1426" s="1" t="s">
        <v>11</v>
      </c>
    </row>
    <row r="1427" spans="1:5" ht="15.75" customHeight="1">
      <c r="A1427" s="1">
        <v>320120</v>
      </c>
      <c r="B1427" s="1" t="s">
        <v>1458</v>
      </c>
      <c r="C1427" s="1" t="s">
        <v>11</v>
      </c>
      <c r="D1427" s="1" t="s">
        <v>11</v>
      </c>
      <c r="E1427" s="1" t="s">
        <v>11</v>
      </c>
    </row>
    <row r="1428" spans="1:5" ht="15.75" customHeight="1">
      <c r="A1428" s="1">
        <v>320190</v>
      </c>
      <c r="B1428" s="1" t="s">
        <v>1459</v>
      </c>
      <c r="C1428" s="1" t="s">
        <v>11</v>
      </c>
      <c r="D1428" s="1" t="s">
        <v>11</v>
      </c>
      <c r="E1428" s="1" t="s">
        <v>11</v>
      </c>
    </row>
    <row r="1429" spans="1:5" ht="15.75" customHeight="1">
      <c r="A1429" s="1">
        <v>320210</v>
      </c>
      <c r="B1429" s="1" t="s">
        <v>1460</v>
      </c>
      <c r="C1429" s="1" t="s">
        <v>11</v>
      </c>
      <c r="D1429" s="1" t="s">
        <v>11</v>
      </c>
      <c r="E1429" s="1" t="s">
        <v>11</v>
      </c>
    </row>
    <row r="1430" spans="1:5" ht="15.75" customHeight="1">
      <c r="A1430" s="1">
        <v>320290</v>
      </c>
      <c r="B1430" s="1" t="s">
        <v>1461</v>
      </c>
      <c r="C1430" s="1" t="s">
        <v>11</v>
      </c>
      <c r="D1430" s="1" t="s">
        <v>11</v>
      </c>
      <c r="E1430" s="1" t="s">
        <v>11</v>
      </c>
    </row>
    <row r="1431" spans="1:5" ht="15.75" customHeight="1">
      <c r="A1431" s="1">
        <v>320300</v>
      </c>
      <c r="B1431" s="1" t="s">
        <v>1462</v>
      </c>
      <c r="C1431" s="1" t="s">
        <v>11</v>
      </c>
      <c r="D1431" s="1" t="s">
        <v>11</v>
      </c>
      <c r="E1431" s="1" t="s">
        <v>11</v>
      </c>
    </row>
    <row r="1432" spans="1:5" ht="15.75" customHeight="1">
      <c r="A1432" s="1">
        <v>320411</v>
      </c>
      <c r="B1432" s="1" t="s">
        <v>1463</v>
      </c>
      <c r="C1432" s="1" t="s">
        <v>11</v>
      </c>
      <c r="D1432" s="1" t="s">
        <v>11</v>
      </c>
      <c r="E1432" s="1" t="s">
        <v>11</v>
      </c>
    </row>
    <row r="1433" spans="1:5" ht="15.75" customHeight="1">
      <c r="A1433" s="1">
        <v>320412</v>
      </c>
      <c r="B1433" s="1" t="s">
        <v>1464</v>
      </c>
      <c r="C1433" s="1" t="s">
        <v>11</v>
      </c>
      <c r="D1433" s="1" t="s">
        <v>11</v>
      </c>
      <c r="E1433" s="1" t="s">
        <v>11</v>
      </c>
    </row>
    <row r="1434" spans="1:5" ht="15.75" customHeight="1">
      <c r="A1434" s="1">
        <v>320413</v>
      </c>
      <c r="B1434" s="1" t="s">
        <v>1465</v>
      </c>
      <c r="C1434" s="1" t="s">
        <v>11</v>
      </c>
      <c r="D1434" s="1" t="s">
        <v>11</v>
      </c>
      <c r="E1434" s="1" t="s">
        <v>11</v>
      </c>
    </row>
    <row r="1435" spans="1:5" ht="15.75" customHeight="1">
      <c r="A1435" s="1">
        <v>320414</v>
      </c>
      <c r="B1435" s="1" t="s">
        <v>1466</v>
      </c>
      <c r="C1435" s="1" t="s">
        <v>11</v>
      </c>
      <c r="D1435" s="1" t="s">
        <v>11</v>
      </c>
      <c r="E1435" s="1" t="s">
        <v>11</v>
      </c>
    </row>
    <row r="1436" spans="1:5" ht="15.75" customHeight="1">
      <c r="A1436" s="1">
        <v>320415</v>
      </c>
      <c r="B1436" s="1" t="s">
        <v>1467</v>
      </c>
      <c r="C1436" s="1" t="s">
        <v>11</v>
      </c>
      <c r="D1436" s="1" t="s">
        <v>11</v>
      </c>
      <c r="E1436" s="1" t="s">
        <v>11</v>
      </c>
    </row>
    <row r="1437" spans="1:5" ht="15.75" customHeight="1">
      <c r="A1437" s="1">
        <v>320416</v>
      </c>
      <c r="B1437" s="1" t="s">
        <v>1468</v>
      </c>
      <c r="C1437" s="1" t="s">
        <v>11</v>
      </c>
      <c r="D1437" s="1" t="s">
        <v>11</v>
      </c>
      <c r="E1437" s="1" t="s">
        <v>11</v>
      </c>
    </row>
    <row r="1438" spans="1:5" ht="15.75" customHeight="1">
      <c r="A1438" s="1">
        <v>320417</v>
      </c>
      <c r="B1438" s="1" t="s">
        <v>1469</v>
      </c>
      <c r="C1438" s="1" t="s">
        <v>11</v>
      </c>
      <c r="D1438" s="1" t="s">
        <v>11</v>
      </c>
      <c r="E1438" s="1" t="s">
        <v>11</v>
      </c>
    </row>
    <row r="1439" spans="1:5" ht="15.75" customHeight="1">
      <c r="A1439" s="1">
        <v>320419</v>
      </c>
      <c r="B1439" s="1" t="s">
        <v>1470</v>
      </c>
      <c r="C1439" s="1" t="s">
        <v>11</v>
      </c>
      <c r="D1439" s="1" t="s">
        <v>11</v>
      </c>
      <c r="E1439" s="1" t="s">
        <v>11</v>
      </c>
    </row>
    <row r="1440" spans="1:5" ht="15.75" customHeight="1">
      <c r="A1440" s="1">
        <v>320420</v>
      </c>
      <c r="B1440" s="1" t="s">
        <v>1471</v>
      </c>
      <c r="C1440" s="1" t="s">
        <v>11</v>
      </c>
      <c r="D1440" s="1" t="s">
        <v>11</v>
      </c>
      <c r="E1440" s="1" t="s">
        <v>11</v>
      </c>
    </row>
    <row r="1441" spans="1:5" ht="15.75" customHeight="1">
      <c r="A1441" s="1">
        <v>320490</v>
      </c>
      <c r="B1441" s="1" t="s">
        <v>1472</v>
      </c>
      <c r="C1441" s="1" t="s">
        <v>11</v>
      </c>
      <c r="D1441" s="1" t="s">
        <v>11</v>
      </c>
      <c r="E1441" s="1" t="s">
        <v>11</v>
      </c>
    </row>
    <row r="1442" spans="1:5" ht="15.75" customHeight="1">
      <c r="A1442" s="1">
        <v>320500</v>
      </c>
      <c r="B1442" s="1" t="s">
        <v>1473</v>
      </c>
      <c r="C1442" s="1" t="s">
        <v>11</v>
      </c>
      <c r="D1442" s="1" t="s">
        <v>11</v>
      </c>
      <c r="E1442" s="1" t="s">
        <v>11</v>
      </c>
    </row>
    <row r="1443" spans="1:5" ht="15.75" customHeight="1">
      <c r="A1443" s="1">
        <v>320611</v>
      </c>
      <c r="B1443" s="1" t="s">
        <v>1474</v>
      </c>
      <c r="C1443" s="1" t="s">
        <v>11</v>
      </c>
      <c r="D1443" s="1" t="s">
        <v>11</v>
      </c>
      <c r="E1443" s="1" t="s">
        <v>11</v>
      </c>
    </row>
    <row r="1444" spans="1:5" ht="15.75" customHeight="1">
      <c r="A1444" s="1">
        <v>320619</v>
      </c>
      <c r="B1444" s="1" t="s">
        <v>1475</v>
      </c>
      <c r="C1444" s="1" t="s">
        <v>11</v>
      </c>
      <c r="D1444" s="1" t="s">
        <v>11</v>
      </c>
      <c r="E1444" s="1" t="s">
        <v>11</v>
      </c>
    </row>
    <row r="1445" spans="1:5" ht="15.75" customHeight="1">
      <c r="A1445" s="1">
        <v>320620</v>
      </c>
      <c r="B1445" s="1" t="s">
        <v>1476</v>
      </c>
      <c r="C1445" s="1" t="s">
        <v>11</v>
      </c>
      <c r="D1445" s="1" t="s">
        <v>11</v>
      </c>
      <c r="E1445" s="1" t="s">
        <v>11</v>
      </c>
    </row>
    <row r="1446" spans="1:5" ht="15.75" customHeight="1">
      <c r="A1446" s="1">
        <v>320641</v>
      </c>
      <c r="B1446" s="1" t="s">
        <v>1477</v>
      </c>
      <c r="C1446" s="1" t="s">
        <v>11</v>
      </c>
      <c r="D1446" s="1" t="s">
        <v>11</v>
      </c>
      <c r="E1446" s="1" t="s">
        <v>11</v>
      </c>
    </row>
    <row r="1447" spans="1:5" ht="15.75" customHeight="1">
      <c r="A1447" s="1">
        <v>320642</v>
      </c>
      <c r="B1447" s="1" t="s">
        <v>1478</v>
      </c>
      <c r="C1447" s="1" t="s">
        <v>11</v>
      </c>
      <c r="D1447" s="1" t="s">
        <v>11</v>
      </c>
      <c r="E1447" s="1" t="s">
        <v>11</v>
      </c>
    </row>
    <row r="1448" spans="1:5" ht="15.75" customHeight="1">
      <c r="A1448" s="1">
        <v>320649</v>
      </c>
      <c r="B1448" s="1" t="s">
        <v>1479</v>
      </c>
      <c r="C1448" s="1" t="s">
        <v>11</v>
      </c>
      <c r="D1448" s="1" t="s">
        <v>11</v>
      </c>
      <c r="E1448" s="1" t="s">
        <v>11</v>
      </c>
    </row>
    <row r="1449" spans="1:5" ht="15.75" customHeight="1">
      <c r="A1449" s="1">
        <v>320650</v>
      </c>
      <c r="B1449" s="1" t="s">
        <v>1480</v>
      </c>
      <c r="C1449" s="1" t="s">
        <v>11</v>
      </c>
      <c r="D1449" s="1" t="s">
        <v>11</v>
      </c>
      <c r="E1449" s="1" t="s">
        <v>11</v>
      </c>
    </row>
    <row r="1450" spans="1:5" ht="15.75" customHeight="1">
      <c r="A1450" s="1">
        <v>320710</v>
      </c>
      <c r="B1450" s="1" t="s">
        <v>1481</v>
      </c>
      <c r="C1450" s="1" t="s">
        <v>11</v>
      </c>
      <c r="D1450" s="1" t="s">
        <v>11</v>
      </c>
      <c r="E1450" s="1" t="s">
        <v>11</v>
      </c>
    </row>
    <row r="1451" spans="1:5" ht="15.75" customHeight="1">
      <c r="A1451" s="1">
        <v>320720</v>
      </c>
      <c r="B1451" s="1" t="s">
        <v>1482</v>
      </c>
      <c r="C1451" s="1" t="s">
        <v>11</v>
      </c>
      <c r="D1451" s="1" t="s">
        <v>11</v>
      </c>
      <c r="E1451" s="1" t="s">
        <v>11</v>
      </c>
    </row>
    <row r="1452" spans="1:5" ht="15.75" customHeight="1">
      <c r="A1452" s="1">
        <v>320730</v>
      </c>
      <c r="B1452" s="1" t="s">
        <v>1483</v>
      </c>
      <c r="C1452" s="1" t="s">
        <v>11</v>
      </c>
      <c r="D1452" s="1" t="s">
        <v>11</v>
      </c>
      <c r="E1452" s="1" t="s">
        <v>11</v>
      </c>
    </row>
    <row r="1453" spans="1:5" ht="15.75" customHeight="1">
      <c r="A1453" s="1">
        <v>320740</v>
      </c>
      <c r="B1453" s="1" t="s">
        <v>1484</v>
      </c>
      <c r="C1453" s="1" t="s">
        <v>11</v>
      </c>
      <c r="D1453" s="1" t="s">
        <v>11</v>
      </c>
      <c r="E1453" s="1" t="s">
        <v>11</v>
      </c>
    </row>
    <row r="1454" spans="1:5" ht="15.75" customHeight="1">
      <c r="A1454" s="1">
        <v>320810</v>
      </c>
      <c r="B1454" s="1" t="s">
        <v>1485</v>
      </c>
      <c r="C1454" s="1" t="s">
        <v>11</v>
      </c>
      <c r="D1454" s="1" t="s">
        <v>11</v>
      </c>
      <c r="E1454" s="1" t="s">
        <v>11</v>
      </c>
    </row>
    <row r="1455" spans="1:5" ht="15.75" customHeight="1">
      <c r="A1455" s="1">
        <v>320820</v>
      </c>
      <c r="B1455" s="1" t="s">
        <v>1486</v>
      </c>
      <c r="C1455" s="1" t="s">
        <v>11</v>
      </c>
      <c r="D1455" s="1" t="s">
        <v>11</v>
      </c>
      <c r="E1455" s="1" t="s">
        <v>11</v>
      </c>
    </row>
    <row r="1456" spans="1:5" ht="15.75" customHeight="1">
      <c r="A1456" s="1">
        <v>320890</v>
      </c>
      <c r="B1456" s="1" t="s">
        <v>1487</v>
      </c>
      <c r="C1456" s="1" t="s">
        <v>11</v>
      </c>
      <c r="D1456" s="1" t="s">
        <v>11</v>
      </c>
      <c r="E1456" s="1" t="s">
        <v>11</v>
      </c>
    </row>
    <row r="1457" spans="1:5" ht="15.75" customHeight="1">
      <c r="A1457" s="1">
        <v>320910</v>
      </c>
      <c r="B1457" s="1" t="s">
        <v>1488</v>
      </c>
      <c r="C1457" s="1" t="s">
        <v>11</v>
      </c>
      <c r="D1457" s="1" t="s">
        <v>11</v>
      </c>
      <c r="E1457" s="1" t="s">
        <v>11</v>
      </c>
    </row>
    <row r="1458" spans="1:5" ht="15.75" customHeight="1">
      <c r="A1458" s="1">
        <v>320990</v>
      </c>
      <c r="B1458" s="1" t="s">
        <v>1489</v>
      </c>
      <c r="C1458" s="1" t="s">
        <v>11</v>
      </c>
      <c r="D1458" s="1" t="s">
        <v>11</v>
      </c>
      <c r="E1458" s="1" t="s">
        <v>11</v>
      </c>
    </row>
    <row r="1459" spans="1:5" ht="15.75" customHeight="1">
      <c r="A1459" s="1">
        <v>321000</v>
      </c>
      <c r="B1459" s="1" t="s">
        <v>1490</v>
      </c>
      <c r="C1459" s="1" t="s">
        <v>11</v>
      </c>
      <c r="D1459" s="1" t="s">
        <v>11</v>
      </c>
      <c r="E1459" s="1" t="s">
        <v>11</v>
      </c>
    </row>
    <row r="1460" spans="1:5" ht="15.75" customHeight="1">
      <c r="A1460" s="1">
        <v>321100</v>
      </c>
      <c r="B1460" s="1" t="s">
        <v>1491</v>
      </c>
      <c r="C1460" s="1" t="s">
        <v>11</v>
      </c>
      <c r="D1460" s="1" t="s">
        <v>11</v>
      </c>
      <c r="E1460" s="1" t="s">
        <v>11</v>
      </c>
    </row>
    <row r="1461" spans="1:5" ht="15.75" customHeight="1">
      <c r="A1461" s="1">
        <v>321210</v>
      </c>
      <c r="B1461" s="1" t="s">
        <v>1492</v>
      </c>
      <c r="C1461" s="1" t="s">
        <v>11</v>
      </c>
      <c r="D1461" s="1" t="s">
        <v>11</v>
      </c>
      <c r="E1461" s="1" t="s">
        <v>11</v>
      </c>
    </row>
    <row r="1462" spans="1:5" ht="15.75" customHeight="1">
      <c r="A1462" s="1">
        <v>321290</v>
      </c>
      <c r="B1462" s="1" t="s">
        <v>1493</v>
      </c>
      <c r="C1462" s="1" t="s">
        <v>11</v>
      </c>
      <c r="D1462" s="1" t="s">
        <v>11</v>
      </c>
      <c r="E1462" s="1" t="s">
        <v>11</v>
      </c>
    </row>
    <row r="1463" spans="1:5" ht="15.75" customHeight="1">
      <c r="A1463" s="1">
        <v>321310</v>
      </c>
      <c r="B1463" s="1" t="s">
        <v>1494</v>
      </c>
      <c r="C1463" s="1" t="s">
        <v>11</v>
      </c>
      <c r="D1463" s="1" t="s">
        <v>11</v>
      </c>
      <c r="E1463" s="1" t="s">
        <v>11</v>
      </c>
    </row>
    <row r="1464" spans="1:5" ht="15.75" customHeight="1">
      <c r="A1464" s="1">
        <v>321390</v>
      </c>
      <c r="B1464" s="1" t="s">
        <v>1495</v>
      </c>
      <c r="C1464" s="1" t="s">
        <v>11</v>
      </c>
      <c r="D1464" s="1" t="s">
        <v>11</v>
      </c>
      <c r="E1464" s="1" t="s">
        <v>11</v>
      </c>
    </row>
    <row r="1465" spans="1:5" ht="15.75" customHeight="1">
      <c r="A1465" s="1">
        <v>321410</v>
      </c>
      <c r="B1465" s="1" t="s">
        <v>1496</v>
      </c>
      <c r="C1465" s="1" t="s">
        <v>11</v>
      </c>
      <c r="D1465" s="1" t="s">
        <v>11</v>
      </c>
      <c r="E1465" s="1" t="s">
        <v>11</v>
      </c>
    </row>
    <row r="1466" spans="1:5" ht="15.75" customHeight="1">
      <c r="A1466" s="1">
        <v>321490</v>
      </c>
      <c r="B1466" s="1" t="s">
        <v>1497</v>
      </c>
      <c r="C1466" s="1" t="s">
        <v>11</v>
      </c>
      <c r="D1466" s="1" t="s">
        <v>11</v>
      </c>
      <c r="E1466" s="1" t="s">
        <v>11</v>
      </c>
    </row>
    <row r="1467" spans="1:5" ht="15.75" customHeight="1">
      <c r="A1467" s="1">
        <v>321511</v>
      </c>
      <c r="B1467" s="1" t="s">
        <v>1498</v>
      </c>
      <c r="C1467" s="1" t="s">
        <v>11</v>
      </c>
      <c r="D1467" s="1" t="s">
        <v>11</v>
      </c>
      <c r="E1467" s="1" t="s">
        <v>11</v>
      </c>
    </row>
    <row r="1468" spans="1:5" ht="15.75" customHeight="1">
      <c r="A1468" s="1">
        <v>321519</v>
      </c>
      <c r="B1468" s="1" t="s">
        <v>1499</v>
      </c>
      <c r="C1468" s="1" t="s">
        <v>11</v>
      </c>
      <c r="D1468" s="1" t="s">
        <v>11</v>
      </c>
      <c r="E1468" s="1" t="s">
        <v>11</v>
      </c>
    </row>
    <row r="1469" spans="1:5" ht="15.75" customHeight="1">
      <c r="A1469" s="1">
        <v>321590</v>
      </c>
      <c r="B1469" s="1" t="s">
        <v>1500</v>
      </c>
      <c r="C1469" s="1" t="s">
        <v>11</v>
      </c>
      <c r="D1469" s="1" t="s">
        <v>11</v>
      </c>
      <c r="E1469" s="1" t="s">
        <v>11</v>
      </c>
    </row>
    <row r="1470" spans="1:5" ht="15.75" customHeight="1">
      <c r="A1470" s="1">
        <v>330112</v>
      </c>
      <c r="B1470" s="1" t="s">
        <v>1501</v>
      </c>
      <c r="C1470" s="1" t="s">
        <v>11</v>
      </c>
      <c r="D1470" s="1" t="s">
        <v>11</v>
      </c>
      <c r="E1470" s="1" t="s">
        <v>11</v>
      </c>
    </row>
    <row r="1471" spans="1:5" ht="15.75" customHeight="1">
      <c r="A1471" s="1">
        <v>330113</v>
      </c>
      <c r="B1471" s="1" t="s">
        <v>1502</v>
      </c>
      <c r="C1471" s="1" t="s">
        <v>11</v>
      </c>
      <c r="D1471" s="1" t="s">
        <v>11</v>
      </c>
      <c r="E1471" s="1" t="s">
        <v>11</v>
      </c>
    </row>
    <row r="1472" spans="1:5" ht="15.75" customHeight="1">
      <c r="A1472" s="1">
        <v>330119</v>
      </c>
      <c r="B1472" s="1" t="s">
        <v>1503</v>
      </c>
      <c r="C1472" s="1" t="s">
        <v>11</v>
      </c>
      <c r="D1472" s="1" t="s">
        <v>11</v>
      </c>
      <c r="E1472" s="1" t="s">
        <v>11</v>
      </c>
    </row>
    <row r="1473" spans="1:5" ht="15.75" customHeight="1">
      <c r="A1473" s="1">
        <v>330124</v>
      </c>
      <c r="B1473" s="1" t="s">
        <v>1504</v>
      </c>
      <c r="C1473" s="1" t="s">
        <v>11</v>
      </c>
      <c r="D1473" s="1" t="s">
        <v>11</v>
      </c>
      <c r="E1473" s="1" t="s">
        <v>11</v>
      </c>
    </row>
    <row r="1474" spans="1:5" ht="15.75" customHeight="1">
      <c r="A1474" s="1">
        <v>330125</v>
      </c>
      <c r="B1474" s="1" t="s">
        <v>1505</v>
      </c>
      <c r="C1474" s="1" t="s">
        <v>11</v>
      </c>
      <c r="D1474" s="1" t="s">
        <v>11</v>
      </c>
      <c r="E1474" s="1" t="s">
        <v>11</v>
      </c>
    </row>
    <row r="1475" spans="1:5" ht="15.75" customHeight="1">
      <c r="A1475" s="1">
        <v>330129</v>
      </c>
      <c r="B1475" s="1" t="s">
        <v>1506</v>
      </c>
      <c r="C1475" s="1" t="s">
        <v>11</v>
      </c>
      <c r="D1475" s="1" t="s">
        <v>11</v>
      </c>
      <c r="E1475" s="1" t="s">
        <v>11</v>
      </c>
    </row>
    <row r="1476" spans="1:5" ht="15.75" customHeight="1">
      <c r="A1476" s="1">
        <v>330130</v>
      </c>
      <c r="B1476" s="1" t="s">
        <v>1507</v>
      </c>
      <c r="C1476" s="1" t="s">
        <v>11</v>
      </c>
      <c r="D1476" s="1" t="s">
        <v>11</v>
      </c>
      <c r="E1476" s="1" t="s">
        <v>11</v>
      </c>
    </row>
    <row r="1477" spans="1:5" ht="15.75" customHeight="1">
      <c r="A1477" s="1">
        <v>330190</v>
      </c>
      <c r="B1477" s="1" t="s">
        <v>1508</v>
      </c>
      <c r="C1477" s="1" t="s">
        <v>11</v>
      </c>
      <c r="D1477" s="1" t="s">
        <v>11</v>
      </c>
      <c r="E1477" s="1" t="s">
        <v>11</v>
      </c>
    </row>
    <row r="1478" spans="1:5" ht="15.75" customHeight="1">
      <c r="A1478" s="1">
        <v>330210</v>
      </c>
      <c r="B1478" s="1" t="s">
        <v>1509</v>
      </c>
      <c r="C1478" s="1" t="s">
        <v>11</v>
      </c>
      <c r="D1478" s="1" t="s">
        <v>11</v>
      </c>
      <c r="E1478" s="1" t="s">
        <v>11</v>
      </c>
    </row>
    <row r="1479" spans="1:5" ht="15.75" customHeight="1">
      <c r="A1479" s="1">
        <v>330290</v>
      </c>
      <c r="B1479" s="1" t="s">
        <v>1510</v>
      </c>
      <c r="C1479" s="1" t="s">
        <v>11</v>
      </c>
      <c r="D1479" s="1" t="s">
        <v>11</v>
      </c>
      <c r="E1479" s="1" t="s">
        <v>11</v>
      </c>
    </row>
    <row r="1480" spans="1:5" ht="15.75" customHeight="1">
      <c r="A1480" s="1">
        <v>330300</v>
      </c>
      <c r="B1480" s="1" t="s">
        <v>1511</v>
      </c>
      <c r="C1480" s="1" t="s">
        <v>11</v>
      </c>
      <c r="D1480" s="1" t="s">
        <v>11</v>
      </c>
      <c r="E1480" s="1" t="s">
        <v>11</v>
      </c>
    </row>
    <row r="1481" spans="1:5" ht="15.75" customHeight="1">
      <c r="A1481" s="1">
        <v>330410</v>
      </c>
      <c r="B1481" s="1" t="s">
        <v>1512</v>
      </c>
      <c r="C1481" s="1" t="s">
        <v>11</v>
      </c>
      <c r="D1481" s="1" t="s">
        <v>11</v>
      </c>
      <c r="E1481" s="1" t="s">
        <v>11</v>
      </c>
    </row>
    <row r="1482" spans="1:5" ht="15.75" customHeight="1">
      <c r="A1482" s="1">
        <v>330420</v>
      </c>
      <c r="B1482" s="1" t="s">
        <v>1513</v>
      </c>
      <c r="C1482" s="1" t="s">
        <v>11</v>
      </c>
      <c r="D1482" s="1" t="s">
        <v>11</v>
      </c>
      <c r="E1482" s="1" t="s">
        <v>11</v>
      </c>
    </row>
    <row r="1483" spans="1:5" ht="15.75" customHeight="1">
      <c r="A1483" s="1">
        <v>330430</v>
      </c>
      <c r="B1483" s="1" t="s">
        <v>1514</v>
      </c>
      <c r="C1483" s="1" t="s">
        <v>11</v>
      </c>
      <c r="D1483" s="1" t="s">
        <v>11</v>
      </c>
      <c r="E1483" s="1" t="s">
        <v>11</v>
      </c>
    </row>
    <row r="1484" spans="1:5" ht="15.75" customHeight="1">
      <c r="A1484" s="1">
        <v>330491</v>
      </c>
      <c r="B1484" s="1" t="s">
        <v>1515</v>
      </c>
      <c r="C1484" s="1" t="s">
        <v>11</v>
      </c>
      <c r="D1484" s="1" t="s">
        <v>11</v>
      </c>
      <c r="E1484" s="1" t="s">
        <v>11</v>
      </c>
    </row>
    <row r="1485" spans="1:5" ht="15.75" customHeight="1">
      <c r="A1485" s="1">
        <v>330499</v>
      </c>
      <c r="B1485" s="1" t="s">
        <v>1516</v>
      </c>
      <c r="C1485" s="1" t="s">
        <v>11</v>
      </c>
      <c r="D1485" s="1" t="s">
        <v>11</v>
      </c>
      <c r="E1485" s="1" t="s">
        <v>11</v>
      </c>
    </row>
    <row r="1486" spans="1:5" ht="15.75" customHeight="1">
      <c r="A1486" s="1">
        <v>330510</v>
      </c>
      <c r="B1486" s="1" t="s">
        <v>1517</v>
      </c>
      <c r="C1486" s="1" t="s">
        <v>11</v>
      </c>
      <c r="D1486" s="1" t="s">
        <v>11</v>
      </c>
      <c r="E1486" s="1" t="s">
        <v>11</v>
      </c>
    </row>
    <row r="1487" spans="1:5" ht="15.75" customHeight="1">
      <c r="A1487" s="1">
        <v>330520</v>
      </c>
      <c r="B1487" s="1" t="s">
        <v>1518</v>
      </c>
      <c r="C1487" s="1" t="s">
        <v>11</v>
      </c>
      <c r="D1487" s="1" t="s">
        <v>11</v>
      </c>
      <c r="E1487" s="1" t="s">
        <v>11</v>
      </c>
    </row>
    <row r="1488" spans="1:5" ht="15.75" customHeight="1">
      <c r="A1488" s="1">
        <v>330530</v>
      </c>
      <c r="B1488" s="1" t="s">
        <v>1519</v>
      </c>
      <c r="C1488" s="1" t="s">
        <v>11</v>
      </c>
      <c r="D1488" s="1" t="s">
        <v>11</v>
      </c>
      <c r="E1488" s="1" t="s">
        <v>11</v>
      </c>
    </row>
    <row r="1489" spans="1:5" ht="15.75" customHeight="1">
      <c r="A1489" s="1">
        <v>330590</v>
      </c>
      <c r="B1489" s="1" t="s">
        <v>1520</v>
      </c>
      <c r="C1489" s="1" t="s">
        <v>11</v>
      </c>
      <c r="D1489" s="1" t="s">
        <v>11</v>
      </c>
      <c r="E1489" s="1" t="s">
        <v>11</v>
      </c>
    </row>
    <row r="1490" spans="1:5" ht="15.75" customHeight="1">
      <c r="A1490" s="1">
        <v>330610</v>
      </c>
      <c r="B1490" s="1" t="s">
        <v>1521</v>
      </c>
      <c r="C1490" s="1" t="s">
        <v>11</v>
      </c>
      <c r="D1490" s="1" t="s">
        <v>11</v>
      </c>
      <c r="E1490" s="1" t="s">
        <v>11</v>
      </c>
    </row>
    <row r="1491" spans="1:5" ht="15.75" customHeight="1">
      <c r="A1491" s="1">
        <v>330620</v>
      </c>
      <c r="B1491" s="1" t="s">
        <v>1522</v>
      </c>
      <c r="C1491" s="1" t="s">
        <v>11</v>
      </c>
      <c r="D1491" s="1" t="s">
        <v>11</v>
      </c>
      <c r="E1491" s="1" t="s">
        <v>11</v>
      </c>
    </row>
    <row r="1492" spans="1:5" ht="15.75" customHeight="1">
      <c r="A1492" s="1">
        <v>330690</v>
      </c>
      <c r="B1492" s="1" t="s">
        <v>1523</v>
      </c>
      <c r="C1492" s="1" t="s">
        <v>11</v>
      </c>
      <c r="D1492" s="1" t="s">
        <v>11</v>
      </c>
      <c r="E1492" s="1" t="s">
        <v>11</v>
      </c>
    </row>
    <row r="1493" spans="1:5" ht="15.75" customHeight="1">
      <c r="A1493" s="1">
        <v>330710</v>
      </c>
      <c r="B1493" s="1" t="s">
        <v>1524</v>
      </c>
      <c r="C1493" s="1" t="s">
        <v>11</v>
      </c>
      <c r="D1493" s="1" t="s">
        <v>11</v>
      </c>
      <c r="E1493" s="1" t="s">
        <v>11</v>
      </c>
    </row>
    <row r="1494" spans="1:5" ht="15.75" customHeight="1">
      <c r="A1494" s="1">
        <v>330720</v>
      </c>
      <c r="B1494" s="1" t="s">
        <v>1525</v>
      </c>
      <c r="C1494" s="1" t="s">
        <v>11</v>
      </c>
      <c r="D1494" s="1" t="s">
        <v>11</v>
      </c>
      <c r="E1494" s="1" t="s">
        <v>11</v>
      </c>
    </row>
    <row r="1495" spans="1:5" ht="15.75" customHeight="1">
      <c r="A1495" s="1">
        <v>330730</v>
      </c>
      <c r="B1495" s="1" t="s">
        <v>1526</v>
      </c>
      <c r="C1495" s="1" t="s">
        <v>11</v>
      </c>
      <c r="D1495" s="1" t="s">
        <v>11</v>
      </c>
      <c r="E1495" s="1" t="s">
        <v>11</v>
      </c>
    </row>
    <row r="1496" spans="1:5" ht="15.75" customHeight="1">
      <c r="A1496" s="1">
        <v>330741</v>
      </c>
      <c r="B1496" s="1" t="s">
        <v>1527</v>
      </c>
      <c r="C1496" s="1" t="s">
        <v>11</v>
      </c>
      <c r="D1496" s="1" t="s">
        <v>11</v>
      </c>
      <c r="E1496" s="1" t="s">
        <v>11</v>
      </c>
    </row>
    <row r="1497" spans="1:5" ht="15.75" customHeight="1">
      <c r="A1497" s="1">
        <v>330749</v>
      </c>
      <c r="B1497" s="1" t="s">
        <v>1528</v>
      </c>
      <c r="C1497" s="1" t="s">
        <v>11</v>
      </c>
      <c r="D1497" s="1" t="s">
        <v>11</v>
      </c>
      <c r="E1497" s="1" t="s">
        <v>11</v>
      </c>
    </row>
    <row r="1498" spans="1:5" ht="15.75" customHeight="1">
      <c r="A1498" s="1">
        <v>330790</v>
      </c>
      <c r="B1498" s="1" t="s">
        <v>1529</v>
      </c>
      <c r="C1498" s="1" t="s">
        <v>11</v>
      </c>
      <c r="D1498" s="1" t="s">
        <v>11</v>
      </c>
      <c r="E1498" s="1" t="s">
        <v>11</v>
      </c>
    </row>
    <row r="1499" spans="1:5" ht="15.75" customHeight="1">
      <c r="A1499" s="1">
        <v>340111</v>
      </c>
      <c r="B1499" s="1" t="s">
        <v>1530</v>
      </c>
      <c r="C1499" s="1" t="s">
        <v>11</v>
      </c>
      <c r="D1499" s="1" t="s">
        <v>11</v>
      </c>
      <c r="E1499" s="1" t="s">
        <v>11</v>
      </c>
    </row>
    <row r="1500" spans="1:5" ht="15.75" customHeight="1">
      <c r="A1500" s="1">
        <v>340119</v>
      </c>
      <c r="B1500" s="1" t="s">
        <v>1531</v>
      </c>
      <c r="C1500" s="1" t="s">
        <v>11</v>
      </c>
      <c r="D1500" s="1" t="s">
        <v>11</v>
      </c>
      <c r="E1500" s="1" t="s">
        <v>11</v>
      </c>
    </row>
    <row r="1501" spans="1:5" ht="15.75" customHeight="1">
      <c r="A1501" s="1">
        <v>340120</v>
      </c>
      <c r="B1501" s="1" t="s">
        <v>1532</v>
      </c>
      <c r="C1501" s="1" t="s">
        <v>11</v>
      </c>
      <c r="D1501" s="1" t="s">
        <v>11</v>
      </c>
      <c r="E1501" s="1" t="s">
        <v>11</v>
      </c>
    </row>
    <row r="1502" spans="1:5" ht="15.75" customHeight="1">
      <c r="A1502" s="1">
        <v>340130</v>
      </c>
      <c r="B1502" s="1" t="s">
        <v>1533</v>
      </c>
      <c r="C1502" s="1" t="s">
        <v>11</v>
      </c>
      <c r="D1502" s="1" t="s">
        <v>11</v>
      </c>
      <c r="E1502" s="1" t="s">
        <v>11</v>
      </c>
    </row>
    <row r="1503" spans="1:5" ht="15.75" customHeight="1">
      <c r="A1503" s="1">
        <v>340211</v>
      </c>
      <c r="B1503" s="1" t="s">
        <v>1534</v>
      </c>
      <c r="C1503" s="1" t="s">
        <v>11</v>
      </c>
      <c r="D1503" s="1" t="s">
        <v>11</v>
      </c>
      <c r="E1503" s="1" t="s">
        <v>11</v>
      </c>
    </row>
    <row r="1504" spans="1:5" ht="15.75" customHeight="1">
      <c r="A1504" s="1">
        <v>340212</v>
      </c>
      <c r="B1504" s="1" t="s">
        <v>1535</v>
      </c>
      <c r="C1504" s="1" t="s">
        <v>11</v>
      </c>
      <c r="D1504" s="1" t="s">
        <v>11</v>
      </c>
      <c r="E1504" s="1" t="s">
        <v>11</v>
      </c>
    </row>
    <row r="1505" spans="1:5" ht="15.75" customHeight="1">
      <c r="A1505" s="1">
        <v>340213</v>
      </c>
      <c r="B1505" s="1" t="s">
        <v>1536</v>
      </c>
      <c r="C1505" s="1" t="s">
        <v>11</v>
      </c>
      <c r="D1505" s="1" t="s">
        <v>11</v>
      </c>
      <c r="E1505" s="1" t="s">
        <v>11</v>
      </c>
    </row>
    <row r="1506" spans="1:5" ht="15.75" customHeight="1">
      <c r="A1506" s="1">
        <v>340219</v>
      </c>
      <c r="B1506" s="1" t="s">
        <v>1537</v>
      </c>
      <c r="C1506" s="1" t="s">
        <v>11</v>
      </c>
      <c r="D1506" s="1" t="s">
        <v>11</v>
      </c>
      <c r="E1506" s="1" t="s">
        <v>11</v>
      </c>
    </row>
    <row r="1507" spans="1:5" ht="15.75" customHeight="1">
      <c r="A1507" s="1">
        <v>340220</v>
      </c>
      <c r="B1507" s="1" t="s">
        <v>1538</v>
      </c>
      <c r="C1507" s="1" t="s">
        <v>11</v>
      </c>
      <c r="D1507" s="1" t="s">
        <v>11</v>
      </c>
      <c r="E1507" s="1" t="s">
        <v>11</v>
      </c>
    </row>
    <row r="1508" spans="1:5" ht="15.75" customHeight="1">
      <c r="A1508" s="1">
        <v>340290</v>
      </c>
      <c r="B1508" s="1" t="s">
        <v>1539</v>
      </c>
      <c r="C1508" s="1" t="s">
        <v>11</v>
      </c>
      <c r="D1508" s="1" t="s">
        <v>11</v>
      </c>
      <c r="E1508" s="1" t="s">
        <v>11</v>
      </c>
    </row>
    <row r="1509" spans="1:5" ht="15.75" customHeight="1">
      <c r="A1509" s="1">
        <v>340311</v>
      </c>
      <c r="B1509" s="1" t="s">
        <v>1540</v>
      </c>
      <c r="C1509" s="1" t="s">
        <v>11</v>
      </c>
      <c r="D1509" s="1" t="s">
        <v>11</v>
      </c>
      <c r="E1509" s="1" t="s">
        <v>11</v>
      </c>
    </row>
    <row r="1510" spans="1:5" ht="15.75" customHeight="1">
      <c r="A1510" s="1">
        <v>340319</v>
      </c>
      <c r="B1510" s="1" t="s">
        <v>1541</v>
      </c>
      <c r="C1510" s="1" t="s">
        <v>11</v>
      </c>
      <c r="D1510" s="1" t="s">
        <v>11</v>
      </c>
      <c r="E1510" s="1" t="s">
        <v>11</v>
      </c>
    </row>
    <row r="1511" spans="1:5" ht="15.75" customHeight="1">
      <c r="A1511" s="1">
        <v>340391</v>
      </c>
      <c r="B1511" s="1" t="s">
        <v>1542</v>
      </c>
      <c r="C1511" s="1" t="s">
        <v>11</v>
      </c>
      <c r="D1511" s="1" t="s">
        <v>11</v>
      </c>
      <c r="E1511" s="1" t="s">
        <v>11</v>
      </c>
    </row>
    <row r="1512" spans="1:5" ht="15.75" customHeight="1">
      <c r="A1512" s="1">
        <v>340399</v>
      </c>
      <c r="B1512" s="1" t="s">
        <v>1543</v>
      </c>
      <c r="C1512" s="1" t="s">
        <v>11</v>
      </c>
      <c r="D1512" s="1" t="s">
        <v>11</v>
      </c>
      <c r="E1512" s="1" t="s">
        <v>11</v>
      </c>
    </row>
    <row r="1513" spans="1:5" ht="15.75" customHeight="1">
      <c r="A1513" s="1">
        <v>340420</v>
      </c>
      <c r="B1513" s="1" t="s">
        <v>1544</v>
      </c>
      <c r="C1513" s="1" t="s">
        <v>11</v>
      </c>
      <c r="D1513" s="1" t="s">
        <v>11</v>
      </c>
      <c r="E1513" s="1" t="s">
        <v>11</v>
      </c>
    </row>
    <row r="1514" spans="1:5" ht="15.75" customHeight="1">
      <c r="A1514" s="1">
        <v>340490</v>
      </c>
      <c r="B1514" s="1" t="s">
        <v>1545</v>
      </c>
      <c r="C1514" s="1" t="s">
        <v>11</v>
      </c>
      <c r="D1514" s="1" t="s">
        <v>11</v>
      </c>
      <c r="E1514" s="1" t="s">
        <v>11</v>
      </c>
    </row>
    <row r="1515" spans="1:5" ht="15.75" customHeight="1">
      <c r="A1515" s="1">
        <v>340510</v>
      </c>
      <c r="B1515" s="1" t="s">
        <v>1546</v>
      </c>
      <c r="C1515" s="1" t="s">
        <v>11</v>
      </c>
      <c r="D1515" s="1" t="s">
        <v>11</v>
      </c>
      <c r="E1515" s="1" t="s">
        <v>11</v>
      </c>
    </row>
    <row r="1516" spans="1:5" ht="15.75" customHeight="1">
      <c r="A1516" s="1">
        <v>340520</v>
      </c>
      <c r="B1516" s="1" t="s">
        <v>1547</v>
      </c>
      <c r="C1516" s="1" t="s">
        <v>11</v>
      </c>
      <c r="D1516" s="1" t="s">
        <v>11</v>
      </c>
      <c r="E1516" s="1" t="s">
        <v>11</v>
      </c>
    </row>
    <row r="1517" spans="1:5" ht="15.75" customHeight="1">
      <c r="A1517" s="1">
        <v>340530</v>
      </c>
      <c r="B1517" s="1" t="s">
        <v>1548</v>
      </c>
      <c r="C1517" s="1" t="s">
        <v>11</v>
      </c>
      <c r="D1517" s="1" t="s">
        <v>11</v>
      </c>
      <c r="E1517" s="1" t="s">
        <v>11</v>
      </c>
    </row>
    <row r="1518" spans="1:5" ht="15.75" customHeight="1">
      <c r="A1518" s="1">
        <v>340540</v>
      </c>
      <c r="B1518" s="1" t="s">
        <v>1549</v>
      </c>
      <c r="C1518" s="1" t="s">
        <v>11</v>
      </c>
      <c r="D1518" s="1" t="s">
        <v>11</v>
      </c>
      <c r="E1518" s="1" t="s">
        <v>11</v>
      </c>
    </row>
    <row r="1519" spans="1:5" ht="15.75" customHeight="1">
      <c r="A1519" s="1">
        <v>340590</v>
      </c>
      <c r="B1519" s="1" t="s">
        <v>1550</v>
      </c>
      <c r="C1519" s="1" t="s">
        <v>11</v>
      </c>
      <c r="D1519" s="1" t="s">
        <v>11</v>
      </c>
      <c r="E1519" s="1" t="s">
        <v>11</v>
      </c>
    </row>
    <row r="1520" spans="1:5" ht="15.75" customHeight="1">
      <c r="A1520" s="1">
        <v>340600</v>
      </c>
      <c r="B1520" s="1" t="s">
        <v>1551</v>
      </c>
      <c r="C1520" s="1" t="s">
        <v>11</v>
      </c>
      <c r="D1520" s="1" t="s">
        <v>11</v>
      </c>
      <c r="E1520" s="1" t="s">
        <v>11</v>
      </c>
    </row>
    <row r="1521" spans="1:6" ht="24.75" customHeight="1">
      <c r="A1521" s="1">
        <v>340700</v>
      </c>
      <c r="B1521" s="1" t="s">
        <v>1552</v>
      </c>
      <c r="C1521" s="1">
        <v>1</v>
      </c>
      <c r="D1521" s="1" t="s">
        <v>1418</v>
      </c>
      <c r="E1521" s="1" t="s">
        <v>1418</v>
      </c>
      <c r="F1521" s="2" t="s">
        <v>1419</v>
      </c>
    </row>
    <row r="1522" spans="1:6" ht="15.75" customHeight="1">
      <c r="A1522" s="1">
        <v>350110</v>
      </c>
      <c r="B1522" s="1" t="s">
        <v>1553</v>
      </c>
      <c r="C1522" s="1" t="s">
        <v>11</v>
      </c>
      <c r="D1522" s="1" t="s">
        <v>11</v>
      </c>
      <c r="E1522" s="1" t="s">
        <v>11</v>
      </c>
    </row>
    <row r="1523" spans="1:6" ht="15.75" customHeight="1">
      <c r="A1523" s="1">
        <v>350190</v>
      </c>
      <c r="B1523" s="1" t="s">
        <v>1554</v>
      </c>
      <c r="C1523" s="1" t="s">
        <v>11</v>
      </c>
      <c r="D1523" s="1" t="s">
        <v>11</v>
      </c>
      <c r="E1523" s="1" t="s">
        <v>11</v>
      </c>
    </row>
    <row r="1524" spans="1:6" ht="15.75" customHeight="1">
      <c r="A1524" s="1">
        <v>350211</v>
      </c>
      <c r="B1524" s="1" t="s">
        <v>1555</v>
      </c>
      <c r="C1524" s="1" t="s">
        <v>11</v>
      </c>
      <c r="D1524" s="1" t="s">
        <v>11</v>
      </c>
      <c r="E1524" s="1" t="s">
        <v>11</v>
      </c>
    </row>
    <row r="1525" spans="1:6" ht="15.75" customHeight="1">
      <c r="A1525" s="1">
        <v>350219</v>
      </c>
      <c r="B1525" s="1" t="s">
        <v>1556</v>
      </c>
      <c r="C1525" s="1" t="s">
        <v>11</v>
      </c>
      <c r="D1525" s="1" t="s">
        <v>11</v>
      </c>
      <c r="E1525" s="1" t="s">
        <v>11</v>
      </c>
    </row>
    <row r="1526" spans="1:6" ht="15.75" customHeight="1">
      <c r="A1526" s="1">
        <v>350220</v>
      </c>
      <c r="B1526" s="1" t="s">
        <v>1557</v>
      </c>
      <c r="C1526" s="1" t="s">
        <v>11</v>
      </c>
      <c r="D1526" s="1" t="s">
        <v>11</v>
      </c>
      <c r="E1526" s="1" t="s">
        <v>11</v>
      </c>
    </row>
    <row r="1527" spans="1:6" ht="15.75" customHeight="1">
      <c r="A1527" s="1">
        <v>350290</v>
      </c>
      <c r="B1527" s="1" t="s">
        <v>1558</v>
      </c>
      <c r="C1527" s="1" t="s">
        <v>11</v>
      </c>
      <c r="D1527" s="1" t="s">
        <v>11</v>
      </c>
      <c r="E1527" s="1" t="s">
        <v>11</v>
      </c>
    </row>
    <row r="1528" spans="1:6" ht="15.75" customHeight="1">
      <c r="A1528" s="1">
        <v>350300</v>
      </c>
      <c r="B1528" s="1" t="s">
        <v>1559</v>
      </c>
      <c r="C1528" s="1" t="s">
        <v>11</v>
      </c>
      <c r="D1528" s="1" t="s">
        <v>11</v>
      </c>
      <c r="E1528" s="1" t="s">
        <v>11</v>
      </c>
    </row>
    <row r="1529" spans="1:6" ht="15.75" customHeight="1">
      <c r="A1529" s="1">
        <v>350400</v>
      </c>
      <c r="B1529" s="1" t="s">
        <v>1560</v>
      </c>
      <c r="C1529" s="1" t="s">
        <v>11</v>
      </c>
      <c r="D1529" s="1" t="s">
        <v>11</v>
      </c>
      <c r="E1529" s="1" t="s">
        <v>11</v>
      </c>
    </row>
    <row r="1530" spans="1:6" ht="15.75" customHeight="1">
      <c r="A1530" s="1">
        <v>350510</v>
      </c>
      <c r="B1530" s="1" t="s">
        <v>1561</v>
      </c>
      <c r="C1530" s="1" t="s">
        <v>11</v>
      </c>
      <c r="D1530" s="1" t="s">
        <v>11</v>
      </c>
      <c r="E1530" s="1" t="s">
        <v>11</v>
      </c>
    </row>
    <row r="1531" spans="1:6" ht="15.75" customHeight="1">
      <c r="A1531" s="1">
        <v>350520</v>
      </c>
      <c r="B1531" s="1" t="s">
        <v>1562</v>
      </c>
      <c r="C1531" s="1" t="s">
        <v>11</v>
      </c>
      <c r="D1531" s="1" t="s">
        <v>11</v>
      </c>
      <c r="E1531" s="1" t="s">
        <v>11</v>
      </c>
    </row>
    <row r="1532" spans="1:6" ht="15.75" customHeight="1">
      <c r="A1532" s="1">
        <v>350610</v>
      </c>
      <c r="B1532" s="1" t="s">
        <v>1563</v>
      </c>
      <c r="C1532" s="1" t="s">
        <v>11</v>
      </c>
      <c r="D1532" s="1" t="s">
        <v>11</v>
      </c>
      <c r="E1532" s="1" t="s">
        <v>11</v>
      </c>
    </row>
    <row r="1533" spans="1:6" ht="15.75" customHeight="1">
      <c r="A1533" s="1">
        <v>350691</v>
      </c>
      <c r="B1533" s="1" t="s">
        <v>1564</v>
      </c>
      <c r="C1533" s="1" t="s">
        <v>11</v>
      </c>
      <c r="D1533" s="1" t="s">
        <v>11</v>
      </c>
      <c r="E1533" s="1" t="s">
        <v>11</v>
      </c>
    </row>
    <row r="1534" spans="1:6" ht="15.75" customHeight="1">
      <c r="A1534" s="1">
        <v>350699</v>
      </c>
      <c r="B1534" s="1" t="s">
        <v>1565</v>
      </c>
      <c r="C1534" s="1" t="s">
        <v>11</v>
      </c>
      <c r="D1534" s="1" t="s">
        <v>11</v>
      </c>
      <c r="E1534" s="1" t="s">
        <v>11</v>
      </c>
    </row>
    <row r="1535" spans="1:6" ht="15.75" customHeight="1">
      <c r="A1535" s="1">
        <v>350710</v>
      </c>
      <c r="B1535" s="1" t="s">
        <v>1566</v>
      </c>
      <c r="C1535" s="1" t="s">
        <v>11</v>
      </c>
      <c r="D1535" s="1" t="s">
        <v>11</v>
      </c>
      <c r="E1535" s="1" t="s">
        <v>11</v>
      </c>
    </row>
    <row r="1536" spans="1:6" ht="15.75" customHeight="1">
      <c r="A1536" s="1">
        <v>350790</v>
      </c>
      <c r="B1536" s="1" t="s">
        <v>1567</v>
      </c>
      <c r="C1536" s="1" t="s">
        <v>11</v>
      </c>
      <c r="D1536" s="1" t="s">
        <v>11</v>
      </c>
      <c r="E1536" s="1" t="s">
        <v>11</v>
      </c>
    </row>
    <row r="1537" spans="1:5" ht="15.75" customHeight="1">
      <c r="A1537" s="1">
        <v>360100</v>
      </c>
      <c r="B1537" s="1" t="s">
        <v>1568</v>
      </c>
      <c r="C1537" s="1" t="s">
        <v>11</v>
      </c>
      <c r="D1537" s="1" t="s">
        <v>11</v>
      </c>
      <c r="E1537" s="1" t="s">
        <v>11</v>
      </c>
    </row>
    <row r="1538" spans="1:5" ht="15.75" customHeight="1">
      <c r="A1538" s="1">
        <v>360200</v>
      </c>
      <c r="B1538" s="1" t="s">
        <v>1569</v>
      </c>
      <c r="C1538" s="1" t="s">
        <v>11</v>
      </c>
      <c r="D1538" s="1" t="s">
        <v>11</v>
      </c>
      <c r="E1538" s="1" t="s">
        <v>11</v>
      </c>
    </row>
    <row r="1539" spans="1:5" ht="15.75" customHeight="1">
      <c r="A1539" s="1">
        <v>360300</v>
      </c>
      <c r="B1539" s="1" t="s">
        <v>1570</v>
      </c>
      <c r="C1539" s="1" t="s">
        <v>11</v>
      </c>
      <c r="D1539" s="1" t="s">
        <v>11</v>
      </c>
      <c r="E1539" s="1" t="s">
        <v>11</v>
      </c>
    </row>
    <row r="1540" spans="1:5" ht="15.75" customHeight="1">
      <c r="A1540" s="1">
        <v>360410</v>
      </c>
      <c r="B1540" s="1" t="s">
        <v>1571</v>
      </c>
      <c r="C1540" s="1" t="s">
        <v>11</v>
      </c>
      <c r="D1540" s="1" t="s">
        <v>11</v>
      </c>
      <c r="E1540" s="1" t="s">
        <v>11</v>
      </c>
    </row>
    <row r="1541" spans="1:5" ht="15.75" customHeight="1">
      <c r="A1541" s="1">
        <v>360490</v>
      </c>
      <c r="B1541" s="1" t="s">
        <v>1572</v>
      </c>
      <c r="C1541" s="1" t="s">
        <v>11</v>
      </c>
      <c r="D1541" s="1" t="s">
        <v>11</v>
      </c>
      <c r="E1541" s="1" t="s">
        <v>11</v>
      </c>
    </row>
    <row r="1542" spans="1:5" ht="15.75" customHeight="1">
      <c r="A1542" s="1">
        <v>360500</v>
      </c>
      <c r="B1542" s="1" t="s">
        <v>1573</v>
      </c>
      <c r="C1542" s="1" t="s">
        <v>11</v>
      </c>
      <c r="D1542" s="1" t="s">
        <v>11</v>
      </c>
      <c r="E1542" s="1" t="s">
        <v>11</v>
      </c>
    </row>
    <row r="1543" spans="1:5" ht="15.75" customHeight="1">
      <c r="A1543" s="1">
        <v>360610</v>
      </c>
      <c r="B1543" s="1" t="s">
        <v>1574</v>
      </c>
      <c r="C1543" s="1" t="s">
        <v>11</v>
      </c>
      <c r="D1543" s="1" t="s">
        <v>11</v>
      </c>
      <c r="E1543" s="1" t="s">
        <v>11</v>
      </c>
    </row>
    <row r="1544" spans="1:5" ht="15.75" customHeight="1">
      <c r="A1544" s="1">
        <v>360690</v>
      </c>
      <c r="B1544" s="1" t="s">
        <v>1575</v>
      </c>
      <c r="C1544" s="1" t="s">
        <v>11</v>
      </c>
      <c r="D1544" s="1" t="s">
        <v>11</v>
      </c>
      <c r="E1544" s="1" t="s">
        <v>11</v>
      </c>
    </row>
    <row r="1545" spans="1:5" ht="15.75" customHeight="1">
      <c r="A1545" s="1">
        <v>370110</v>
      </c>
      <c r="B1545" s="1" t="s">
        <v>1576</v>
      </c>
      <c r="C1545" s="1" t="s">
        <v>11</v>
      </c>
      <c r="D1545" s="1" t="s">
        <v>11</v>
      </c>
      <c r="E1545" s="1" t="s">
        <v>11</v>
      </c>
    </row>
    <row r="1546" spans="1:5" ht="15.75" customHeight="1">
      <c r="A1546" s="1">
        <v>370120</v>
      </c>
      <c r="B1546" s="1" t="s">
        <v>1577</v>
      </c>
      <c r="C1546" s="1" t="s">
        <v>11</v>
      </c>
      <c r="D1546" s="1" t="s">
        <v>11</v>
      </c>
      <c r="E1546" s="1" t="s">
        <v>11</v>
      </c>
    </row>
    <row r="1547" spans="1:5" ht="15.75" customHeight="1">
      <c r="A1547" s="1">
        <v>370130</v>
      </c>
      <c r="B1547" s="1" t="s">
        <v>1578</v>
      </c>
      <c r="C1547" s="1" t="s">
        <v>11</v>
      </c>
      <c r="D1547" s="1" t="s">
        <v>11</v>
      </c>
      <c r="E1547" s="1" t="s">
        <v>11</v>
      </c>
    </row>
    <row r="1548" spans="1:5" ht="15.75" customHeight="1">
      <c r="A1548" s="1">
        <v>370191</v>
      </c>
      <c r="B1548" s="1" t="s">
        <v>1579</v>
      </c>
      <c r="C1548" s="1" t="s">
        <v>11</v>
      </c>
      <c r="D1548" s="1" t="s">
        <v>11</v>
      </c>
      <c r="E1548" s="1" t="s">
        <v>11</v>
      </c>
    </row>
    <row r="1549" spans="1:5" ht="15.75" customHeight="1">
      <c r="A1549" s="1">
        <v>370199</v>
      </c>
      <c r="B1549" s="1" t="s">
        <v>1580</v>
      </c>
      <c r="C1549" s="1" t="s">
        <v>11</v>
      </c>
      <c r="D1549" s="1" t="s">
        <v>11</v>
      </c>
      <c r="E1549" s="1" t="s">
        <v>11</v>
      </c>
    </row>
    <row r="1550" spans="1:5" ht="15.75" customHeight="1">
      <c r="A1550" s="1">
        <v>370210</v>
      </c>
      <c r="B1550" s="1" t="s">
        <v>1581</v>
      </c>
      <c r="C1550" s="1" t="s">
        <v>11</v>
      </c>
      <c r="D1550" s="1" t="s">
        <v>11</v>
      </c>
      <c r="E1550" s="1" t="s">
        <v>11</v>
      </c>
    </row>
    <row r="1551" spans="1:5" ht="15.75" customHeight="1">
      <c r="A1551" s="1">
        <v>370231</v>
      </c>
      <c r="B1551" s="1" t="s">
        <v>1582</v>
      </c>
      <c r="C1551" s="1" t="s">
        <v>11</v>
      </c>
      <c r="D1551" s="1" t="s">
        <v>11</v>
      </c>
      <c r="E1551" s="1" t="s">
        <v>11</v>
      </c>
    </row>
    <row r="1552" spans="1:5" ht="15.75" customHeight="1">
      <c r="A1552" s="1">
        <v>370232</v>
      </c>
      <c r="B1552" s="1" t="s">
        <v>1583</v>
      </c>
      <c r="C1552" s="1" t="s">
        <v>11</v>
      </c>
      <c r="D1552" s="1" t="s">
        <v>11</v>
      </c>
      <c r="E1552" s="1" t="s">
        <v>11</v>
      </c>
    </row>
    <row r="1553" spans="1:5" ht="15.75" customHeight="1">
      <c r="A1553" s="1">
        <v>370239</v>
      </c>
      <c r="B1553" s="1" t="s">
        <v>1584</v>
      </c>
      <c r="C1553" s="1" t="s">
        <v>11</v>
      </c>
      <c r="D1553" s="1" t="s">
        <v>11</v>
      </c>
      <c r="E1553" s="1" t="s">
        <v>11</v>
      </c>
    </row>
    <row r="1554" spans="1:5" ht="15.75" customHeight="1">
      <c r="A1554" s="1">
        <v>370241</v>
      </c>
      <c r="B1554" s="1" t="s">
        <v>1585</v>
      </c>
      <c r="C1554" s="1" t="s">
        <v>11</v>
      </c>
      <c r="D1554" s="1" t="s">
        <v>11</v>
      </c>
      <c r="E1554" s="1" t="s">
        <v>11</v>
      </c>
    </row>
    <row r="1555" spans="1:5" ht="15.75" customHeight="1">
      <c r="A1555" s="1">
        <v>370242</v>
      </c>
      <c r="B1555" s="1" t="s">
        <v>1586</v>
      </c>
      <c r="C1555" s="1" t="s">
        <v>11</v>
      </c>
      <c r="D1555" s="1" t="s">
        <v>11</v>
      </c>
      <c r="E1555" s="1" t="s">
        <v>11</v>
      </c>
    </row>
    <row r="1556" spans="1:5" ht="15.75" customHeight="1">
      <c r="A1556" s="1">
        <v>370243</v>
      </c>
      <c r="B1556" s="1" t="s">
        <v>1587</v>
      </c>
      <c r="C1556" s="1" t="s">
        <v>11</v>
      </c>
      <c r="D1556" s="1" t="s">
        <v>11</v>
      </c>
      <c r="E1556" s="1" t="s">
        <v>11</v>
      </c>
    </row>
    <row r="1557" spans="1:5" ht="15.75" customHeight="1">
      <c r="A1557" s="1">
        <v>370244</v>
      </c>
      <c r="B1557" s="1" t="s">
        <v>1588</v>
      </c>
      <c r="C1557" s="1" t="s">
        <v>11</v>
      </c>
      <c r="D1557" s="1" t="s">
        <v>11</v>
      </c>
      <c r="E1557" s="1" t="s">
        <v>11</v>
      </c>
    </row>
    <row r="1558" spans="1:5" ht="15.75" customHeight="1">
      <c r="A1558" s="1">
        <v>370251</v>
      </c>
      <c r="B1558" s="1" t="s">
        <v>1589</v>
      </c>
      <c r="C1558" s="1" t="s">
        <v>11</v>
      </c>
      <c r="D1558" s="1" t="s">
        <v>11</v>
      </c>
      <c r="E1558" s="1" t="s">
        <v>11</v>
      </c>
    </row>
    <row r="1559" spans="1:5" ht="15.75" customHeight="1">
      <c r="A1559" s="1">
        <v>370252</v>
      </c>
      <c r="B1559" s="1" t="s">
        <v>1590</v>
      </c>
      <c r="C1559" s="1" t="s">
        <v>11</v>
      </c>
      <c r="D1559" s="1" t="s">
        <v>11</v>
      </c>
      <c r="E1559" s="1" t="s">
        <v>11</v>
      </c>
    </row>
    <row r="1560" spans="1:5" ht="15.75" customHeight="1">
      <c r="A1560" s="1">
        <v>370253</v>
      </c>
      <c r="B1560" s="1" t="s">
        <v>1591</v>
      </c>
      <c r="C1560" s="1" t="s">
        <v>11</v>
      </c>
      <c r="D1560" s="1" t="s">
        <v>11</v>
      </c>
      <c r="E1560" s="1" t="s">
        <v>11</v>
      </c>
    </row>
    <row r="1561" spans="1:5" ht="15.75" customHeight="1">
      <c r="A1561" s="1">
        <v>370254</v>
      </c>
      <c r="B1561" s="1" t="s">
        <v>1592</v>
      </c>
      <c r="C1561" s="1" t="s">
        <v>11</v>
      </c>
      <c r="D1561" s="1" t="s">
        <v>11</v>
      </c>
      <c r="E1561" s="1" t="s">
        <v>11</v>
      </c>
    </row>
    <row r="1562" spans="1:5" ht="15.75" customHeight="1">
      <c r="A1562" s="1">
        <v>370255</v>
      </c>
      <c r="B1562" s="1" t="s">
        <v>1593</v>
      </c>
      <c r="C1562" s="1" t="s">
        <v>11</v>
      </c>
      <c r="D1562" s="1" t="s">
        <v>11</v>
      </c>
      <c r="E1562" s="1" t="s">
        <v>11</v>
      </c>
    </row>
    <row r="1563" spans="1:5" ht="15.75" customHeight="1">
      <c r="A1563" s="1">
        <v>370256</v>
      </c>
      <c r="B1563" s="1" t="s">
        <v>1594</v>
      </c>
      <c r="C1563" s="1" t="s">
        <v>11</v>
      </c>
      <c r="D1563" s="1" t="s">
        <v>11</v>
      </c>
      <c r="E1563" s="1" t="s">
        <v>11</v>
      </c>
    </row>
    <row r="1564" spans="1:5" ht="15.75" customHeight="1">
      <c r="A1564" s="1">
        <v>370291</v>
      </c>
      <c r="B1564" s="1" t="s">
        <v>1595</v>
      </c>
      <c r="C1564" s="1" t="s">
        <v>11</v>
      </c>
      <c r="D1564" s="1" t="s">
        <v>11</v>
      </c>
      <c r="E1564" s="1" t="s">
        <v>11</v>
      </c>
    </row>
    <row r="1565" spans="1:5" ht="15.75" customHeight="1">
      <c r="A1565" s="1">
        <v>370293</v>
      </c>
      <c r="B1565" s="1" t="s">
        <v>1596</v>
      </c>
      <c r="C1565" s="1" t="s">
        <v>11</v>
      </c>
      <c r="D1565" s="1" t="s">
        <v>11</v>
      </c>
      <c r="E1565" s="1" t="s">
        <v>11</v>
      </c>
    </row>
    <row r="1566" spans="1:5" ht="15.75" customHeight="1">
      <c r="A1566" s="1">
        <v>370294</v>
      </c>
      <c r="B1566" s="1" t="s">
        <v>1597</v>
      </c>
      <c r="C1566" s="1" t="s">
        <v>11</v>
      </c>
      <c r="D1566" s="1" t="s">
        <v>11</v>
      </c>
      <c r="E1566" s="1" t="s">
        <v>11</v>
      </c>
    </row>
    <row r="1567" spans="1:5" ht="15.75" customHeight="1">
      <c r="A1567" s="1">
        <v>370295</v>
      </c>
      <c r="B1567" s="1" t="s">
        <v>1598</v>
      </c>
      <c r="C1567" s="1" t="s">
        <v>11</v>
      </c>
      <c r="D1567" s="1" t="s">
        <v>11</v>
      </c>
      <c r="E1567" s="1" t="s">
        <v>11</v>
      </c>
    </row>
    <row r="1568" spans="1:5" ht="15.75" customHeight="1">
      <c r="A1568" s="1">
        <v>370310</v>
      </c>
      <c r="B1568" s="1" t="s">
        <v>1599</v>
      </c>
      <c r="C1568" s="1" t="s">
        <v>11</v>
      </c>
      <c r="D1568" s="1" t="s">
        <v>11</v>
      </c>
      <c r="E1568" s="1" t="s">
        <v>11</v>
      </c>
    </row>
    <row r="1569" spans="1:5" ht="15.75" customHeight="1">
      <c r="A1569" s="1">
        <v>370320</v>
      </c>
      <c r="B1569" s="1" t="s">
        <v>1600</v>
      </c>
      <c r="C1569" s="1" t="s">
        <v>11</v>
      </c>
      <c r="D1569" s="1" t="s">
        <v>11</v>
      </c>
      <c r="E1569" s="1" t="s">
        <v>11</v>
      </c>
    </row>
    <row r="1570" spans="1:5" ht="15.75" customHeight="1">
      <c r="A1570" s="1">
        <v>370390</v>
      </c>
      <c r="B1570" s="1" t="s">
        <v>1601</v>
      </c>
      <c r="C1570" s="1" t="s">
        <v>11</v>
      </c>
      <c r="D1570" s="1" t="s">
        <v>11</v>
      </c>
      <c r="E1570" s="1" t="s">
        <v>11</v>
      </c>
    </row>
    <row r="1571" spans="1:5" ht="15.75" customHeight="1">
      <c r="A1571" s="1">
        <v>370400</v>
      </c>
      <c r="B1571" s="1" t="s">
        <v>1602</v>
      </c>
      <c r="C1571" s="1" t="s">
        <v>11</v>
      </c>
      <c r="D1571" s="1" t="s">
        <v>11</v>
      </c>
      <c r="E1571" s="1" t="s">
        <v>11</v>
      </c>
    </row>
    <row r="1572" spans="1:5" ht="15.75" customHeight="1">
      <c r="A1572" s="1">
        <v>370510</v>
      </c>
      <c r="B1572" s="1" t="s">
        <v>1603</v>
      </c>
      <c r="C1572" s="1" t="s">
        <v>11</v>
      </c>
      <c r="D1572" s="1" t="s">
        <v>11</v>
      </c>
      <c r="E1572" s="1" t="s">
        <v>11</v>
      </c>
    </row>
    <row r="1573" spans="1:5" ht="15.75" customHeight="1">
      <c r="A1573" s="1">
        <v>370590</v>
      </c>
      <c r="B1573" s="1" t="s">
        <v>1604</v>
      </c>
      <c r="C1573" s="1" t="s">
        <v>11</v>
      </c>
      <c r="D1573" s="1" t="s">
        <v>11</v>
      </c>
      <c r="E1573" s="1" t="s">
        <v>11</v>
      </c>
    </row>
    <row r="1574" spans="1:5" ht="15.75" customHeight="1">
      <c r="A1574" s="1">
        <v>370610</v>
      </c>
      <c r="B1574" s="1" t="s">
        <v>1605</v>
      </c>
      <c r="C1574" s="1" t="s">
        <v>11</v>
      </c>
      <c r="D1574" s="1" t="s">
        <v>11</v>
      </c>
      <c r="E1574" s="1" t="s">
        <v>11</v>
      </c>
    </row>
    <row r="1575" spans="1:5" ht="15.75" customHeight="1">
      <c r="A1575" s="1">
        <v>370690</v>
      </c>
      <c r="B1575" s="1" t="s">
        <v>1606</v>
      </c>
      <c r="C1575" s="1" t="s">
        <v>11</v>
      </c>
      <c r="D1575" s="1" t="s">
        <v>11</v>
      </c>
      <c r="E1575" s="1" t="s">
        <v>11</v>
      </c>
    </row>
    <row r="1576" spans="1:5" ht="15.75" customHeight="1">
      <c r="A1576" s="1">
        <v>370710</v>
      </c>
      <c r="B1576" s="1" t="s">
        <v>1607</v>
      </c>
      <c r="C1576" s="1" t="s">
        <v>11</v>
      </c>
      <c r="D1576" s="1" t="s">
        <v>11</v>
      </c>
      <c r="E1576" s="1" t="s">
        <v>11</v>
      </c>
    </row>
    <row r="1577" spans="1:5" ht="15.75" customHeight="1">
      <c r="A1577" s="1">
        <v>370790</v>
      </c>
      <c r="B1577" s="1" t="s">
        <v>1608</v>
      </c>
      <c r="C1577" s="1" t="s">
        <v>11</v>
      </c>
      <c r="D1577" s="1" t="s">
        <v>11</v>
      </c>
      <c r="E1577" s="1" t="s">
        <v>11</v>
      </c>
    </row>
    <row r="1578" spans="1:5" ht="15.75" customHeight="1">
      <c r="A1578" s="1">
        <v>380110</v>
      </c>
      <c r="B1578" s="1" t="s">
        <v>1609</v>
      </c>
      <c r="C1578" s="1" t="s">
        <v>11</v>
      </c>
      <c r="D1578" s="1" t="s">
        <v>11</v>
      </c>
      <c r="E1578" s="1" t="s">
        <v>11</v>
      </c>
    </row>
    <row r="1579" spans="1:5" ht="15.75" customHeight="1">
      <c r="A1579" s="1">
        <v>380120</v>
      </c>
      <c r="B1579" s="1" t="s">
        <v>1610</v>
      </c>
      <c r="C1579" s="1" t="s">
        <v>11</v>
      </c>
      <c r="D1579" s="1" t="s">
        <v>11</v>
      </c>
      <c r="E1579" s="1" t="s">
        <v>11</v>
      </c>
    </row>
    <row r="1580" spans="1:5" ht="15.75" customHeight="1">
      <c r="A1580" s="1">
        <v>380130</v>
      </c>
      <c r="B1580" s="1" t="s">
        <v>1611</v>
      </c>
      <c r="C1580" s="1" t="s">
        <v>11</v>
      </c>
      <c r="D1580" s="1" t="s">
        <v>11</v>
      </c>
      <c r="E1580" s="1" t="s">
        <v>11</v>
      </c>
    </row>
    <row r="1581" spans="1:5" ht="15.75" customHeight="1">
      <c r="A1581" s="1">
        <v>380190</v>
      </c>
      <c r="B1581" s="1" t="s">
        <v>1612</v>
      </c>
      <c r="C1581" s="1" t="s">
        <v>11</v>
      </c>
      <c r="D1581" s="1" t="s">
        <v>11</v>
      </c>
      <c r="E1581" s="1" t="s">
        <v>11</v>
      </c>
    </row>
    <row r="1582" spans="1:5" ht="15.75" customHeight="1">
      <c r="A1582" s="1">
        <v>380210</v>
      </c>
      <c r="B1582" s="1" t="s">
        <v>1613</v>
      </c>
      <c r="C1582" s="1" t="s">
        <v>11</v>
      </c>
      <c r="D1582" s="1" t="s">
        <v>11</v>
      </c>
      <c r="E1582" s="1" t="s">
        <v>11</v>
      </c>
    </row>
    <row r="1583" spans="1:5" ht="15.75" customHeight="1">
      <c r="A1583" s="1">
        <v>380290</v>
      </c>
      <c r="B1583" s="1" t="s">
        <v>1614</v>
      </c>
      <c r="C1583" s="1" t="s">
        <v>11</v>
      </c>
      <c r="D1583" s="1" t="s">
        <v>11</v>
      </c>
      <c r="E1583" s="1" t="s">
        <v>11</v>
      </c>
    </row>
    <row r="1584" spans="1:5" ht="15.75" customHeight="1">
      <c r="A1584" s="1">
        <v>380300</v>
      </c>
      <c r="B1584" s="1" t="s">
        <v>1615</v>
      </c>
      <c r="C1584" s="1" t="s">
        <v>11</v>
      </c>
      <c r="D1584" s="1" t="s">
        <v>11</v>
      </c>
      <c r="E1584" s="1" t="s">
        <v>11</v>
      </c>
    </row>
    <row r="1585" spans="1:5" ht="15.75" customHeight="1">
      <c r="A1585" s="1">
        <v>380400</v>
      </c>
      <c r="B1585" s="1" t="s">
        <v>1616</v>
      </c>
      <c r="C1585" s="1" t="s">
        <v>11</v>
      </c>
      <c r="D1585" s="1" t="s">
        <v>11</v>
      </c>
      <c r="E1585" s="1" t="s">
        <v>11</v>
      </c>
    </row>
    <row r="1586" spans="1:5" ht="15.75" customHeight="1">
      <c r="A1586" s="1">
        <v>380510</v>
      </c>
      <c r="B1586" s="1" t="s">
        <v>1617</v>
      </c>
      <c r="C1586" s="1" t="s">
        <v>11</v>
      </c>
      <c r="D1586" s="1" t="s">
        <v>11</v>
      </c>
      <c r="E1586" s="1" t="s">
        <v>11</v>
      </c>
    </row>
    <row r="1587" spans="1:5" ht="15.75" customHeight="1">
      <c r="A1587" s="1">
        <v>380590</v>
      </c>
      <c r="B1587" s="1" t="s">
        <v>1618</v>
      </c>
      <c r="C1587" s="1" t="s">
        <v>11</v>
      </c>
      <c r="D1587" s="1" t="s">
        <v>11</v>
      </c>
      <c r="E1587" s="1" t="s">
        <v>11</v>
      </c>
    </row>
    <row r="1588" spans="1:5" ht="15.75" customHeight="1">
      <c r="A1588" s="1">
        <v>380610</v>
      </c>
      <c r="B1588" s="1" t="s">
        <v>1619</v>
      </c>
      <c r="C1588" s="1" t="s">
        <v>11</v>
      </c>
      <c r="D1588" s="1" t="s">
        <v>11</v>
      </c>
      <c r="E1588" s="1" t="s">
        <v>11</v>
      </c>
    </row>
    <row r="1589" spans="1:5" ht="15.75" customHeight="1">
      <c r="A1589" s="1">
        <v>380620</v>
      </c>
      <c r="B1589" s="1" t="s">
        <v>1620</v>
      </c>
      <c r="C1589" s="1" t="s">
        <v>11</v>
      </c>
      <c r="D1589" s="1" t="s">
        <v>11</v>
      </c>
      <c r="E1589" s="1" t="s">
        <v>11</v>
      </c>
    </row>
    <row r="1590" spans="1:5" ht="15.75" customHeight="1">
      <c r="A1590" s="1">
        <v>380630</v>
      </c>
      <c r="B1590" s="1" t="s">
        <v>1621</v>
      </c>
      <c r="C1590" s="1" t="s">
        <v>11</v>
      </c>
      <c r="D1590" s="1" t="s">
        <v>11</v>
      </c>
      <c r="E1590" s="1" t="s">
        <v>11</v>
      </c>
    </row>
    <row r="1591" spans="1:5" ht="15.75" customHeight="1">
      <c r="A1591" s="1">
        <v>380690</v>
      </c>
      <c r="B1591" s="1" t="s">
        <v>1622</v>
      </c>
      <c r="C1591" s="1" t="s">
        <v>11</v>
      </c>
      <c r="D1591" s="1" t="s">
        <v>11</v>
      </c>
      <c r="E1591" s="1" t="s">
        <v>11</v>
      </c>
    </row>
    <row r="1592" spans="1:5" ht="15.75" customHeight="1">
      <c r="A1592" s="1">
        <v>380700</v>
      </c>
      <c r="B1592" s="1" t="s">
        <v>1623</v>
      </c>
      <c r="C1592" s="1" t="s">
        <v>11</v>
      </c>
      <c r="D1592" s="1" t="s">
        <v>11</v>
      </c>
      <c r="E1592" s="1" t="s">
        <v>11</v>
      </c>
    </row>
    <row r="1593" spans="1:5" ht="15.75" customHeight="1">
      <c r="A1593" s="1">
        <v>380850</v>
      </c>
      <c r="B1593" s="1" t="s">
        <v>1624</v>
      </c>
      <c r="C1593" s="1" t="s">
        <v>11</v>
      </c>
      <c r="D1593" s="1" t="s">
        <v>11</v>
      </c>
      <c r="E1593" s="1" t="s">
        <v>11</v>
      </c>
    </row>
    <row r="1594" spans="1:5" ht="15.75" customHeight="1">
      <c r="A1594" s="1">
        <v>380891</v>
      </c>
      <c r="B1594" s="1" t="s">
        <v>1625</v>
      </c>
      <c r="C1594" s="1" t="s">
        <v>11</v>
      </c>
      <c r="D1594" s="1" t="s">
        <v>11</v>
      </c>
      <c r="E1594" s="1" t="s">
        <v>11</v>
      </c>
    </row>
    <row r="1595" spans="1:5" ht="15.75" customHeight="1">
      <c r="A1595" s="1">
        <v>380892</v>
      </c>
      <c r="B1595" s="1" t="s">
        <v>1626</v>
      </c>
      <c r="C1595" s="1" t="s">
        <v>11</v>
      </c>
      <c r="D1595" s="1" t="s">
        <v>11</v>
      </c>
      <c r="E1595" s="1" t="s">
        <v>11</v>
      </c>
    </row>
    <row r="1596" spans="1:5" ht="15.75" customHeight="1">
      <c r="A1596" s="1">
        <v>380893</v>
      </c>
      <c r="B1596" s="1" t="s">
        <v>1627</v>
      </c>
      <c r="C1596" s="1" t="s">
        <v>11</v>
      </c>
      <c r="D1596" s="1" t="s">
        <v>11</v>
      </c>
      <c r="E1596" s="1" t="s">
        <v>11</v>
      </c>
    </row>
    <row r="1597" spans="1:5" ht="15.75" customHeight="1">
      <c r="A1597" s="1">
        <v>380894</v>
      </c>
      <c r="B1597" s="1" t="s">
        <v>1628</v>
      </c>
      <c r="C1597" s="1" t="s">
        <v>11</v>
      </c>
      <c r="D1597" s="1" t="s">
        <v>11</v>
      </c>
      <c r="E1597" s="1" t="s">
        <v>11</v>
      </c>
    </row>
    <row r="1598" spans="1:5" ht="15.75" customHeight="1">
      <c r="A1598" s="1">
        <v>380899</v>
      </c>
      <c r="B1598" s="1" t="s">
        <v>1629</v>
      </c>
      <c r="C1598" s="1" t="s">
        <v>11</v>
      </c>
      <c r="D1598" s="1" t="s">
        <v>11</v>
      </c>
      <c r="E1598" s="1" t="s">
        <v>11</v>
      </c>
    </row>
    <row r="1599" spans="1:5" ht="15.75" customHeight="1">
      <c r="A1599" s="1">
        <v>380910</v>
      </c>
      <c r="B1599" s="1" t="s">
        <v>1630</v>
      </c>
      <c r="C1599" s="1" t="s">
        <v>11</v>
      </c>
      <c r="D1599" s="1" t="s">
        <v>11</v>
      </c>
      <c r="E1599" s="1" t="s">
        <v>11</v>
      </c>
    </row>
    <row r="1600" spans="1:5" ht="15.75" customHeight="1">
      <c r="A1600" s="1">
        <v>380991</v>
      </c>
      <c r="B1600" s="1" t="s">
        <v>1631</v>
      </c>
      <c r="C1600" s="1" t="s">
        <v>11</v>
      </c>
      <c r="D1600" s="1" t="s">
        <v>11</v>
      </c>
      <c r="E1600" s="1" t="s">
        <v>11</v>
      </c>
    </row>
    <row r="1601" spans="1:5" ht="15.75" customHeight="1">
      <c r="A1601" s="1">
        <v>380992</v>
      </c>
      <c r="B1601" s="1" t="s">
        <v>1632</v>
      </c>
      <c r="C1601" s="1" t="s">
        <v>11</v>
      </c>
      <c r="D1601" s="1" t="s">
        <v>11</v>
      </c>
      <c r="E1601" s="1" t="s">
        <v>11</v>
      </c>
    </row>
    <row r="1602" spans="1:5" ht="15.75" customHeight="1">
      <c r="A1602" s="1">
        <v>380993</v>
      </c>
      <c r="B1602" s="1" t="s">
        <v>1633</v>
      </c>
      <c r="C1602" s="1" t="s">
        <v>11</v>
      </c>
      <c r="D1602" s="1" t="s">
        <v>11</v>
      </c>
      <c r="E1602" s="1" t="s">
        <v>11</v>
      </c>
    </row>
    <row r="1603" spans="1:5" ht="15.75" customHeight="1">
      <c r="A1603" s="1">
        <v>381010</v>
      </c>
      <c r="B1603" s="1" t="s">
        <v>1634</v>
      </c>
      <c r="C1603" s="1" t="s">
        <v>11</v>
      </c>
      <c r="D1603" s="1" t="s">
        <v>11</v>
      </c>
      <c r="E1603" s="1" t="s">
        <v>11</v>
      </c>
    </row>
    <row r="1604" spans="1:5" ht="15.75" customHeight="1">
      <c r="A1604" s="1">
        <v>381090</v>
      </c>
      <c r="B1604" s="1" t="s">
        <v>1635</v>
      </c>
      <c r="C1604" s="1" t="s">
        <v>11</v>
      </c>
      <c r="D1604" s="1" t="s">
        <v>11</v>
      </c>
      <c r="E1604" s="1" t="s">
        <v>11</v>
      </c>
    </row>
    <row r="1605" spans="1:5" ht="15.75" customHeight="1">
      <c r="A1605" s="1">
        <v>381111</v>
      </c>
      <c r="B1605" s="1" t="s">
        <v>1636</v>
      </c>
      <c r="C1605" s="1" t="s">
        <v>11</v>
      </c>
      <c r="D1605" s="1" t="s">
        <v>11</v>
      </c>
      <c r="E1605" s="1" t="s">
        <v>11</v>
      </c>
    </row>
    <row r="1606" spans="1:5" ht="15.75" customHeight="1">
      <c r="A1606" s="1">
        <v>381119</v>
      </c>
      <c r="B1606" s="1" t="s">
        <v>1637</v>
      </c>
      <c r="C1606" s="1" t="s">
        <v>11</v>
      </c>
      <c r="D1606" s="1" t="s">
        <v>11</v>
      </c>
      <c r="E1606" s="1" t="s">
        <v>11</v>
      </c>
    </row>
    <row r="1607" spans="1:5" ht="15.75" customHeight="1">
      <c r="A1607" s="1">
        <v>381121</v>
      </c>
      <c r="B1607" s="1" t="s">
        <v>1638</v>
      </c>
      <c r="C1607" s="1" t="s">
        <v>11</v>
      </c>
      <c r="D1607" s="1" t="s">
        <v>11</v>
      </c>
      <c r="E1607" s="1" t="s">
        <v>11</v>
      </c>
    </row>
    <row r="1608" spans="1:5" ht="15.75" customHeight="1">
      <c r="A1608" s="1">
        <v>381129</v>
      </c>
      <c r="B1608" s="1" t="s">
        <v>1639</v>
      </c>
      <c r="C1608" s="1" t="s">
        <v>11</v>
      </c>
      <c r="D1608" s="1" t="s">
        <v>11</v>
      </c>
      <c r="E1608" s="1" t="s">
        <v>11</v>
      </c>
    </row>
    <row r="1609" spans="1:5" ht="15.75" customHeight="1">
      <c r="A1609" s="1">
        <v>381190</v>
      </c>
      <c r="B1609" s="1" t="s">
        <v>1640</v>
      </c>
      <c r="C1609" s="1" t="s">
        <v>11</v>
      </c>
      <c r="D1609" s="1" t="s">
        <v>11</v>
      </c>
      <c r="E1609" s="1" t="s">
        <v>11</v>
      </c>
    </row>
    <row r="1610" spans="1:5" ht="15.75" customHeight="1">
      <c r="A1610" s="1">
        <v>381210</v>
      </c>
      <c r="B1610" s="1" t="s">
        <v>1641</v>
      </c>
      <c r="C1610" s="1" t="s">
        <v>11</v>
      </c>
      <c r="D1610" s="1" t="s">
        <v>11</v>
      </c>
      <c r="E1610" s="1" t="s">
        <v>11</v>
      </c>
    </row>
    <row r="1611" spans="1:5" ht="15.75" customHeight="1">
      <c r="A1611" s="1">
        <v>381220</v>
      </c>
      <c r="B1611" s="1" t="s">
        <v>1642</v>
      </c>
      <c r="C1611" s="1" t="s">
        <v>11</v>
      </c>
      <c r="D1611" s="1" t="s">
        <v>11</v>
      </c>
      <c r="E1611" s="1" t="s">
        <v>11</v>
      </c>
    </row>
    <row r="1612" spans="1:5" ht="15.75" customHeight="1">
      <c r="A1612" s="1">
        <v>381230</v>
      </c>
      <c r="B1612" s="1" t="s">
        <v>1643</v>
      </c>
      <c r="C1612" s="1" t="s">
        <v>11</v>
      </c>
      <c r="D1612" s="1" t="s">
        <v>11</v>
      </c>
      <c r="E1612" s="1" t="s">
        <v>11</v>
      </c>
    </row>
    <row r="1613" spans="1:5" ht="15.75" customHeight="1">
      <c r="A1613" s="1">
        <v>381300</v>
      </c>
      <c r="B1613" s="1" t="s">
        <v>1644</v>
      </c>
      <c r="C1613" s="1" t="s">
        <v>11</v>
      </c>
      <c r="D1613" s="1" t="s">
        <v>11</v>
      </c>
      <c r="E1613" s="1" t="s">
        <v>11</v>
      </c>
    </row>
    <row r="1614" spans="1:5" ht="15.75" customHeight="1">
      <c r="A1614" s="1">
        <v>381400</v>
      </c>
      <c r="B1614" s="1" t="s">
        <v>1645</v>
      </c>
      <c r="C1614" s="1" t="s">
        <v>11</v>
      </c>
      <c r="D1614" s="1" t="s">
        <v>11</v>
      </c>
      <c r="E1614" s="1" t="s">
        <v>11</v>
      </c>
    </row>
    <row r="1615" spans="1:5" ht="15.75" customHeight="1">
      <c r="A1615" s="1">
        <v>381511</v>
      </c>
      <c r="B1615" s="1" t="s">
        <v>1646</v>
      </c>
      <c r="C1615" s="1" t="s">
        <v>11</v>
      </c>
      <c r="D1615" s="1" t="s">
        <v>11</v>
      </c>
      <c r="E1615" s="1" t="s">
        <v>11</v>
      </c>
    </row>
    <row r="1616" spans="1:5" ht="15.75" customHeight="1">
      <c r="A1616" s="1">
        <v>381512</v>
      </c>
      <c r="B1616" s="1" t="s">
        <v>1647</v>
      </c>
      <c r="C1616" s="1" t="s">
        <v>11</v>
      </c>
      <c r="D1616" s="1" t="s">
        <v>11</v>
      </c>
      <c r="E1616" s="1" t="s">
        <v>11</v>
      </c>
    </row>
    <row r="1617" spans="1:17" ht="15.75" customHeight="1">
      <c r="A1617" s="1">
        <v>381519</v>
      </c>
      <c r="B1617" s="1" t="s">
        <v>1648</v>
      </c>
      <c r="C1617" s="1" t="s">
        <v>11</v>
      </c>
      <c r="D1617" s="1" t="s">
        <v>11</v>
      </c>
      <c r="E1617" s="1" t="s">
        <v>11</v>
      </c>
    </row>
    <row r="1618" spans="1:17" ht="15.75" customHeight="1">
      <c r="A1618" s="1">
        <v>381590</v>
      </c>
      <c r="B1618" s="1" t="s">
        <v>1649</v>
      </c>
      <c r="C1618" s="1" t="s">
        <v>11</v>
      </c>
      <c r="D1618" s="1" t="s">
        <v>11</v>
      </c>
      <c r="E1618" s="1" t="s">
        <v>11</v>
      </c>
    </row>
    <row r="1619" spans="1:17" ht="15.75" customHeight="1">
      <c r="A1619" s="1">
        <v>381600</v>
      </c>
      <c r="B1619" s="1" t="s">
        <v>1650</v>
      </c>
      <c r="C1619" s="1" t="s">
        <v>11</v>
      </c>
      <c r="D1619" s="1" t="s">
        <v>11</v>
      </c>
      <c r="E1619" s="1" t="s">
        <v>11</v>
      </c>
    </row>
    <row r="1620" spans="1:17" ht="15.75" customHeight="1">
      <c r="A1620" s="1">
        <v>381700</v>
      </c>
      <c r="B1620" s="1" t="s">
        <v>1651</v>
      </c>
      <c r="C1620" s="1" t="s">
        <v>11</v>
      </c>
      <c r="D1620" s="1" t="s">
        <v>11</v>
      </c>
      <c r="E1620" s="1" t="s">
        <v>11</v>
      </c>
    </row>
    <row r="1621" spans="1:17" ht="15.75" customHeight="1">
      <c r="A1621" s="1">
        <v>381800</v>
      </c>
      <c r="B1621" s="1" t="s">
        <v>1652</v>
      </c>
      <c r="C1621" s="1" t="s">
        <v>11</v>
      </c>
      <c r="D1621" s="1" t="s">
        <v>11</v>
      </c>
      <c r="E1621" s="1" t="s">
        <v>11</v>
      </c>
    </row>
    <row r="1622" spans="1:17" ht="15.75" customHeight="1">
      <c r="A1622" s="1">
        <v>381900</v>
      </c>
      <c r="B1622" s="1" t="s">
        <v>1653</v>
      </c>
      <c r="C1622" s="1" t="s">
        <v>11</v>
      </c>
      <c r="D1622" s="1" t="s">
        <v>11</v>
      </c>
      <c r="E1622" s="1" t="s">
        <v>11</v>
      </c>
    </row>
    <row r="1623" spans="1:17" ht="15.75" customHeight="1">
      <c r="A1623" s="1">
        <v>382000</v>
      </c>
      <c r="B1623" s="1" t="s">
        <v>1654</v>
      </c>
      <c r="C1623" s="1" t="s">
        <v>11</v>
      </c>
      <c r="D1623" s="1" t="s">
        <v>11</v>
      </c>
      <c r="E1623" s="1" t="s">
        <v>11</v>
      </c>
    </row>
    <row r="1624" spans="1:17" ht="15.75" customHeight="1">
      <c r="A1624" s="8">
        <v>382100</v>
      </c>
      <c r="B1624" s="8" t="s">
        <v>1655</v>
      </c>
      <c r="C1624" s="8">
        <v>1</v>
      </c>
      <c r="D1624" s="8" t="s">
        <v>1418</v>
      </c>
      <c r="E1624" s="8" t="s">
        <v>1418</v>
      </c>
      <c r="F1624" s="8"/>
      <c r="G1624" s="9" t="s">
        <v>1378</v>
      </c>
      <c r="H1624" s="8" t="s">
        <v>1656</v>
      </c>
      <c r="I1624" s="8"/>
      <c r="J1624" s="10"/>
      <c r="K1624" s="10"/>
      <c r="L1624" s="10"/>
      <c r="M1624" s="10"/>
      <c r="N1624" s="10"/>
      <c r="O1624" s="10"/>
      <c r="P1624" s="10"/>
      <c r="Q1624" s="10"/>
    </row>
    <row r="1625" spans="1:17" ht="15.75" customHeight="1">
      <c r="A1625" s="6">
        <v>382200</v>
      </c>
      <c r="B1625" s="6" t="s">
        <v>1657</v>
      </c>
      <c r="C1625" s="6">
        <v>1</v>
      </c>
      <c r="D1625" s="6" t="s">
        <v>1418</v>
      </c>
      <c r="E1625" s="6" t="s">
        <v>1418</v>
      </c>
      <c r="F1625" s="11" t="s">
        <v>1423</v>
      </c>
      <c r="G1625" s="11" t="s">
        <v>1394</v>
      </c>
      <c r="H1625" s="6" t="s">
        <v>1424</v>
      </c>
    </row>
    <row r="1626" spans="1:17" ht="15.75" customHeight="1">
      <c r="A1626" s="1">
        <v>382311</v>
      </c>
      <c r="B1626" s="1" t="s">
        <v>1658</v>
      </c>
      <c r="C1626" s="1" t="s">
        <v>11</v>
      </c>
      <c r="D1626" s="1" t="s">
        <v>11</v>
      </c>
      <c r="E1626" s="1" t="s">
        <v>11</v>
      </c>
    </row>
    <row r="1627" spans="1:17" ht="15.75" customHeight="1">
      <c r="A1627" s="1">
        <v>382312</v>
      </c>
      <c r="B1627" s="1" t="s">
        <v>1659</v>
      </c>
      <c r="C1627" s="1" t="s">
        <v>11</v>
      </c>
      <c r="D1627" s="1" t="s">
        <v>11</v>
      </c>
      <c r="E1627" s="1" t="s">
        <v>11</v>
      </c>
    </row>
    <row r="1628" spans="1:17" ht="15.75" customHeight="1">
      <c r="A1628" s="1">
        <v>382313</v>
      </c>
      <c r="B1628" s="1" t="s">
        <v>1660</v>
      </c>
      <c r="C1628" s="1" t="s">
        <v>11</v>
      </c>
      <c r="D1628" s="1" t="s">
        <v>11</v>
      </c>
      <c r="E1628" s="1" t="s">
        <v>11</v>
      </c>
    </row>
    <row r="1629" spans="1:17" ht="15.75" customHeight="1">
      <c r="A1629" s="1">
        <v>382319</v>
      </c>
      <c r="B1629" s="1" t="s">
        <v>1661</v>
      </c>
      <c r="C1629" s="1" t="s">
        <v>11</v>
      </c>
      <c r="D1629" s="1" t="s">
        <v>11</v>
      </c>
      <c r="E1629" s="1" t="s">
        <v>11</v>
      </c>
    </row>
    <row r="1630" spans="1:17" ht="15.75" customHeight="1">
      <c r="A1630" s="1">
        <v>382370</v>
      </c>
      <c r="B1630" s="1" t="s">
        <v>1662</v>
      </c>
      <c r="C1630" s="1" t="s">
        <v>11</v>
      </c>
      <c r="D1630" s="1" t="s">
        <v>11</v>
      </c>
      <c r="E1630" s="1" t="s">
        <v>11</v>
      </c>
    </row>
    <row r="1631" spans="1:17" ht="15.75" customHeight="1">
      <c r="A1631" s="1">
        <v>382410</v>
      </c>
      <c r="B1631" s="1" t="s">
        <v>1663</v>
      </c>
      <c r="C1631" s="1" t="s">
        <v>11</v>
      </c>
      <c r="D1631" s="1" t="s">
        <v>11</v>
      </c>
      <c r="E1631" s="1" t="s">
        <v>11</v>
      </c>
    </row>
    <row r="1632" spans="1:17" ht="15.75" customHeight="1">
      <c r="A1632" s="1">
        <v>382430</v>
      </c>
      <c r="B1632" s="1" t="s">
        <v>1664</v>
      </c>
      <c r="C1632" s="1" t="s">
        <v>11</v>
      </c>
      <c r="D1632" s="1" t="s">
        <v>11</v>
      </c>
      <c r="E1632" s="1" t="s">
        <v>11</v>
      </c>
    </row>
    <row r="1633" spans="1:5" ht="15.75" customHeight="1">
      <c r="A1633" s="1">
        <v>382440</v>
      </c>
      <c r="B1633" s="1" t="s">
        <v>1665</v>
      </c>
      <c r="C1633" s="1" t="s">
        <v>11</v>
      </c>
      <c r="D1633" s="1" t="s">
        <v>11</v>
      </c>
      <c r="E1633" s="1" t="s">
        <v>11</v>
      </c>
    </row>
    <row r="1634" spans="1:5" ht="15.75" customHeight="1">
      <c r="A1634" s="1">
        <v>382450</v>
      </c>
      <c r="B1634" s="1" t="s">
        <v>1666</v>
      </c>
      <c r="C1634" s="1" t="s">
        <v>11</v>
      </c>
      <c r="D1634" s="1" t="s">
        <v>11</v>
      </c>
      <c r="E1634" s="1" t="s">
        <v>11</v>
      </c>
    </row>
    <row r="1635" spans="1:5" ht="15.75" customHeight="1">
      <c r="A1635" s="1">
        <v>382460</v>
      </c>
      <c r="B1635" s="1" t="s">
        <v>1667</v>
      </c>
      <c r="C1635" s="1" t="s">
        <v>11</v>
      </c>
      <c r="D1635" s="1" t="s">
        <v>11</v>
      </c>
      <c r="E1635" s="1" t="s">
        <v>11</v>
      </c>
    </row>
    <row r="1636" spans="1:5" ht="15.75" customHeight="1">
      <c r="A1636" s="1">
        <v>382471</v>
      </c>
      <c r="B1636" s="1" t="s">
        <v>1668</v>
      </c>
      <c r="C1636" s="1" t="s">
        <v>11</v>
      </c>
      <c r="D1636" s="1" t="s">
        <v>11</v>
      </c>
      <c r="E1636" s="1" t="s">
        <v>11</v>
      </c>
    </row>
    <row r="1637" spans="1:5" ht="15.75" customHeight="1">
      <c r="A1637" s="1">
        <v>382472</v>
      </c>
      <c r="B1637" s="1" t="s">
        <v>1669</v>
      </c>
      <c r="C1637" s="1" t="s">
        <v>11</v>
      </c>
      <c r="D1637" s="1" t="s">
        <v>11</v>
      </c>
      <c r="E1637" s="1" t="s">
        <v>11</v>
      </c>
    </row>
    <row r="1638" spans="1:5" ht="15.75" customHeight="1">
      <c r="A1638" s="1">
        <v>382473</v>
      </c>
      <c r="B1638" s="1" t="s">
        <v>1670</v>
      </c>
      <c r="C1638" s="1" t="s">
        <v>11</v>
      </c>
      <c r="D1638" s="1" t="s">
        <v>11</v>
      </c>
      <c r="E1638" s="1" t="s">
        <v>11</v>
      </c>
    </row>
    <row r="1639" spans="1:5" ht="15.75" customHeight="1">
      <c r="A1639" s="1">
        <v>382474</v>
      </c>
      <c r="B1639" s="1" t="s">
        <v>1671</v>
      </c>
      <c r="C1639" s="1" t="s">
        <v>11</v>
      </c>
      <c r="D1639" s="1" t="s">
        <v>11</v>
      </c>
      <c r="E1639" s="1" t="s">
        <v>11</v>
      </c>
    </row>
    <row r="1640" spans="1:5" ht="15.75" customHeight="1">
      <c r="A1640" s="1">
        <v>382475</v>
      </c>
      <c r="B1640" s="1" t="s">
        <v>1672</v>
      </c>
      <c r="C1640" s="1" t="s">
        <v>11</v>
      </c>
      <c r="D1640" s="1" t="s">
        <v>11</v>
      </c>
      <c r="E1640" s="1" t="s">
        <v>11</v>
      </c>
    </row>
    <row r="1641" spans="1:5" ht="15.75" customHeight="1">
      <c r="A1641" s="1">
        <v>382476</v>
      </c>
      <c r="B1641" s="1" t="s">
        <v>1673</v>
      </c>
      <c r="C1641" s="1" t="s">
        <v>11</v>
      </c>
      <c r="D1641" s="1" t="s">
        <v>11</v>
      </c>
      <c r="E1641" s="1" t="s">
        <v>11</v>
      </c>
    </row>
    <row r="1642" spans="1:5" ht="15.75" customHeight="1">
      <c r="A1642" s="1">
        <v>382477</v>
      </c>
      <c r="B1642" s="1" t="s">
        <v>1674</v>
      </c>
      <c r="C1642" s="1" t="s">
        <v>11</v>
      </c>
      <c r="D1642" s="1" t="s">
        <v>11</v>
      </c>
      <c r="E1642" s="1" t="s">
        <v>11</v>
      </c>
    </row>
    <row r="1643" spans="1:5" ht="15.75" customHeight="1">
      <c r="A1643" s="1">
        <v>382478</v>
      </c>
      <c r="B1643" s="1" t="s">
        <v>1675</v>
      </c>
      <c r="C1643" s="1" t="s">
        <v>11</v>
      </c>
      <c r="D1643" s="1" t="s">
        <v>11</v>
      </c>
      <c r="E1643" s="1" t="s">
        <v>11</v>
      </c>
    </row>
    <row r="1644" spans="1:5" ht="15.75" customHeight="1">
      <c r="A1644" s="1">
        <v>382479</v>
      </c>
      <c r="B1644" s="1" t="s">
        <v>1676</v>
      </c>
      <c r="C1644" s="1" t="s">
        <v>11</v>
      </c>
      <c r="D1644" s="1" t="s">
        <v>11</v>
      </c>
      <c r="E1644" s="1" t="s">
        <v>11</v>
      </c>
    </row>
    <row r="1645" spans="1:5" ht="15.75" customHeight="1">
      <c r="A1645" s="1">
        <v>382481</v>
      </c>
      <c r="B1645" s="1" t="s">
        <v>1677</v>
      </c>
      <c r="C1645" s="1" t="s">
        <v>11</v>
      </c>
      <c r="D1645" s="1" t="s">
        <v>11</v>
      </c>
      <c r="E1645" s="1" t="s">
        <v>11</v>
      </c>
    </row>
    <row r="1646" spans="1:5" ht="15.75" customHeight="1">
      <c r="A1646" s="1">
        <v>382482</v>
      </c>
      <c r="B1646" s="1" t="s">
        <v>1678</v>
      </c>
      <c r="C1646" s="1" t="s">
        <v>11</v>
      </c>
      <c r="D1646" s="1" t="s">
        <v>11</v>
      </c>
      <c r="E1646" s="1" t="s">
        <v>11</v>
      </c>
    </row>
    <row r="1647" spans="1:5" ht="15.75" customHeight="1">
      <c r="A1647" s="1">
        <v>382483</v>
      </c>
      <c r="B1647" s="1" t="s">
        <v>1679</v>
      </c>
      <c r="C1647" s="1" t="s">
        <v>11</v>
      </c>
      <c r="D1647" s="1" t="s">
        <v>11</v>
      </c>
      <c r="E1647" s="1" t="s">
        <v>11</v>
      </c>
    </row>
    <row r="1648" spans="1:5" ht="15.75" customHeight="1">
      <c r="A1648" s="1">
        <v>382490</v>
      </c>
      <c r="B1648" s="1" t="s">
        <v>1680</v>
      </c>
      <c r="C1648" s="1" t="s">
        <v>11</v>
      </c>
      <c r="D1648" s="1" t="s">
        <v>11</v>
      </c>
      <c r="E1648" s="1" t="s">
        <v>11</v>
      </c>
    </row>
    <row r="1649" spans="1:5" ht="15.75" customHeight="1">
      <c r="A1649" s="1">
        <v>382510</v>
      </c>
      <c r="B1649" s="1" t="s">
        <v>1681</v>
      </c>
      <c r="C1649" s="1" t="s">
        <v>11</v>
      </c>
      <c r="D1649" s="1" t="s">
        <v>11</v>
      </c>
      <c r="E1649" s="1" t="s">
        <v>11</v>
      </c>
    </row>
    <row r="1650" spans="1:5" ht="15.75" customHeight="1">
      <c r="A1650" s="1">
        <v>382520</v>
      </c>
      <c r="B1650" s="1" t="s">
        <v>1682</v>
      </c>
      <c r="C1650" s="1" t="s">
        <v>11</v>
      </c>
      <c r="D1650" s="1" t="s">
        <v>11</v>
      </c>
      <c r="E1650" s="1" t="s">
        <v>11</v>
      </c>
    </row>
    <row r="1651" spans="1:5" ht="15.75" customHeight="1">
      <c r="A1651" s="1">
        <v>382530</v>
      </c>
      <c r="B1651" s="1" t="s">
        <v>1683</v>
      </c>
      <c r="C1651" s="1" t="s">
        <v>11</v>
      </c>
      <c r="D1651" s="1" t="s">
        <v>11</v>
      </c>
      <c r="E1651" s="1" t="s">
        <v>11</v>
      </c>
    </row>
    <row r="1652" spans="1:5" ht="15.75" customHeight="1">
      <c r="A1652" s="1">
        <v>382541</v>
      </c>
      <c r="B1652" s="1" t="s">
        <v>1684</v>
      </c>
      <c r="C1652" s="1" t="s">
        <v>11</v>
      </c>
      <c r="D1652" s="1" t="s">
        <v>11</v>
      </c>
      <c r="E1652" s="1" t="s">
        <v>11</v>
      </c>
    </row>
    <row r="1653" spans="1:5" ht="15.75" customHeight="1">
      <c r="A1653" s="1">
        <v>382549</v>
      </c>
      <c r="B1653" s="1" t="s">
        <v>1685</v>
      </c>
      <c r="C1653" s="1" t="s">
        <v>11</v>
      </c>
      <c r="D1653" s="1" t="s">
        <v>11</v>
      </c>
      <c r="E1653" s="1" t="s">
        <v>11</v>
      </c>
    </row>
    <row r="1654" spans="1:5" ht="15.75" customHeight="1">
      <c r="A1654" s="1">
        <v>382550</v>
      </c>
      <c r="B1654" s="1" t="s">
        <v>1686</v>
      </c>
      <c r="C1654" s="1" t="s">
        <v>11</v>
      </c>
      <c r="D1654" s="1" t="s">
        <v>11</v>
      </c>
      <c r="E1654" s="1" t="s">
        <v>11</v>
      </c>
    </row>
    <row r="1655" spans="1:5" ht="15.75" customHeight="1">
      <c r="A1655" s="1">
        <v>382561</v>
      </c>
      <c r="B1655" s="1" t="s">
        <v>1687</v>
      </c>
      <c r="C1655" s="1" t="s">
        <v>11</v>
      </c>
      <c r="D1655" s="1" t="s">
        <v>11</v>
      </c>
      <c r="E1655" s="1" t="s">
        <v>11</v>
      </c>
    </row>
    <row r="1656" spans="1:5" ht="15.75" customHeight="1">
      <c r="A1656" s="1">
        <v>382569</v>
      </c>
      <c r="B1656" s="1" t="s">
        <v>1688</v>
      </c>
      <c r="C1656" s="1" t="s">
        <v>11</v>
      </c>
      <c r="D1656" s="1" t="s">
        <v>11</v>
      </c>
      <c r="E1656" s="1" t="s">
        <v>11</v>
      </c>
    </row>
    <row r="1657" spans="1:5" ht="15.75" customHeight="1">
      <c r="A1657" s="1">
        <v>382590</v>
      </c>
      <c r="B1657" s="1" t="s">
        <v>1689</v>
      </c>
      <c r="C1657" s="1" t="s">
        <v>11</v>
      </c>
      <c r="D1657" s="1" t="s">
        <v>11</v>
      </c>
      <c r="E1657" s="1" t="s">
        <v>11</v>
      </c>
    </row>
    <row r="1658" spans="1:5" ht="15.75" customHeight="1">
      <c r="A1658" s="1">
        <v>390110</v>
      </c>
      <c r="B1658" s="1" t="s">
        <v>1690</v>
      </c>
      <c r="C1658" s="1" t="s">
        <v>11</v>
      </c>
      <c r="D1658" s="1" t="s">
        <v>11</v>
      </c>
      <c r="E1658" s="1" t="s">
        <v>11</v>
      </c>
    </row>
    <row r="1659" spans="1:5" ht="15.75" customHeight="1">
      <c r="A1659" s="1">
        <v>390120</v>
      </c>
      <c r="B1659" s="1" t="s">
        <v>1691</v>
      </c>
      <c r="C1659" s="1" t="s">
        <v>11</v>
      </c>
      <c r="D1659" s="1" t="s">
        <v>11</v>
      </c>
      <c r="E1659" s="1" t="s">
        <v>11</v>
      </c>
    </row>
    <row r="1660" spans="1:5" ht="15.75" customHeight="1">
      <c r="A1660" s="1">
        <v>390130</v>
      </c>
      <c r="B1660" s="1" t="s">
        <v>1692</v>
      </c>
      <c r="C1660" s="1" t="s">
        <v>11</v>
      </c>
      <c r="D1660" s="1" t="s">
        <v>11</v>
      </c>
      <c r="E1660" s="1" t="s">
        <v>11</v>
      </c>
    </row>
    <row r="1661" spans="1:5" ht="15.75" customHeight="1">
      <c r="A1661" s="1">
        <v>390190</v>
      </c>
      <c r="B1661" s="1" t="s">
        <v>1693</v>
      </c>
      <c r="C1661" s="1" t="s">
        <v>11</v>
      </c>
      <c r="D1661" s="1" t="s">
        <v>11</v>
      </c>
      <c r="E1661" s="1" t="s">
        <v>11</v>
      </c>
    </row>
    <row r="1662" spans="1:5" ht="15.75" customHeight="1">
      <c r="A1662" s="1">
        <v>390210</v>
      </c>
      <c r="B1662" s="1" t="s">
        <v>1694</v>
      </c>
      <c r="C1662" s="1" t="s">
        <v>11</v>
      </c>
      <c r="D1662" s="1" t="s">
        <v>11</v>
      </c>
      <c r="E1662" s="1" t="s">
        <v>11</v>
      </c>
    </row>
    <row r="1663" spans="1:5" ht="15.75" customHeight="1">
      <c r="A1663" s="1">
        <v>390220</v>
      </c>
      <c r="B1663" s="1" t="s">
        <v>1695</v>
      </c>
      <c r="C1663" s="1" t="s">
        <v>11</v>
      </c>
      <c r="D1663" s="1" t="s">
        <v>11</v>
      </c>
      <c r="E1663" s="1" t="s">
        <v>11</v>
      </c>
    </row>
    <row r="1664" spans="1:5" ht="15.75" customHeight="1">
      <c r="A1664" s="1">
        <v>390230</v>
      </c>
      <c r="B1664" s="1" t="s">
        <v>1696</v>
      </c>
      <c r="C1664" s="1" t="s">
        <v>11</v>
      </c>
      <c r="D1664" s="1" t="s">
        <v>11</v>
      </c>
      <c r="E1664" s="1" t="s">
        <v>11</v>
      </c>
    </row>
    <row r="1665" spans="1:5" ht="15.75" customHeight="1">
      <c r="A1665" s="1">
        <v>390290</v>
      </c>
      <c r="B1665" s="1" t="s">
        <v>1697</v>
      </c>
      <c r="C1665" s="1" t="s">
        <v>11</v>
      </c>
      <c r="D1665" s="1" t="s">
        <v>11</v>
      </c>
      <c r="E1665" s="1" t="s">
        <v>11</v>
      </c>
    </row>
    <row r="1666" spans="1:5" ht="15.75" customHeight="1">
      <c r="A1666" s="1">
        <v>390311</v>
      </c>
      <c r="B1666" s="1" t="s">
        <v>1698</v>
      </c>
      <c r="C1666" s="1" t="s">
        <v>11</v>
      </c>
      <c r="D1666" s="1" t="s">
        <v>11</v>
      </c>
      <c r="E1666" s="1" t="s">
        <v>11</v>
      </c>
    </row>
    <row r="1667" spans="1:5" ht="15.75" customHeight="1">
      <c r="A1667" s="1">
        <v>390319</v>
      </c>
      <c r="B1667" s="1" t="s">
        <v>1699</v>
      </c>
      <c r="C1667" s="1" t="s">
        <v>11</v>
      </c>
      <c r="D1667" s="1" t="s">
        <v>11</v>
      </c>
      <c r="E1667" s="1" t="s">
        <v>11</v>
      </c>
    </row>
    <row r="1668" spans="1:5" ht="15.75" customHeight="1">
      <c r="A1668" s="1">
        <v>390320</v>
      </c>
      <c r="B1668" s="1" t="s">
        <v>1700</v>
      </c>
      <c r="C1668" s="1" t="s">
        <v>11</v>
      </c>
      <c r="D1668" s="1" t="s">
        <v>11</v>
      </c>
      <c r="E1668" s="1" t="s">
        <v>11</v>
      </c>
    </row>
    <row r="1669" spans="1:5" ht="15.75" customHeight="1">
      <c r="A1669" s="1">
        <v>390330</v>
      </c>
      <c r="B1669" s="1" t="s">
        <v>1701</v>
      </c>
      <c r="C1669" s="1" t="s">
        <v>11</v>
      </c>
      <c r="D1669" s="1" t="s">
        <v>11</v>
      </c>
      <c r="E1669" s="1" t="s">
        <v>11</v>
      </c>
    </row>
    <row r="1670" spans="1:5" ht="15.75" customHeight="1">
      <c r="A1670" s="1">
        <v>390390</v>
      </c>
      <c r="B1670" s="1" t="s">
        <v>1702</v>
      </c>
      <c r="C1670" s="1" t="s">
        <v>11</v>
      </c>
      <c r="D1670" s="1" t="s">
        <v>11</v>
      </c>
      <c r="E1670" s="1" t="s">
        <v>11</v>
      </c>
    </row>
    <row r="1671" spans="1:5" ht="15.75" customHeight="1">
      <c r="A1671" s="1">
        <v>390410</v>
      </c>
      <c r="B1671" s="1" t="s">
        <v>1703</v>
      </c>
      <c r="C1671" s="1" t="s">
        <v>11</v>
      </c>
      <c r="D1671" s="1" t="s">
        <v>11</v>
      </c>
      <c r="E1671" s="1" t="s">
        <v>11</v>
      </c>
    </row>
    <row r="1672" spans="1:5" ht="15.75" customHeight="1">
      <c r="A1672" s="1">
        <v>390421</v>
      </c>
      <c r="B1672" s="1" t="s">
        <v>1704</v>
      </c>
      <c r="C1672" s="1" t="s">
        <v>11</v>
      </c>
      <c r="D1672" s="1" t="s">
        <v>11</v>
      </c>
      <c r="E1672" s="1" t="s">
        <v>11</v>
      </c>
    </row>
    <row r="1673" spans="1:5" ht="15.75" customHeight="1">
      <c r="A1673" s="1">
        <v>390422</v>
      </c>
      <c r="B1673" s="1" t="s">
        <v>1705</v>
      </c>
      <c r="C1673" s="1" t="s">
        <v>11</v>
      </c>
      <c r="D1673" s="1" t="s">
        <v>11</v>
      </c>
      <c r="E1673" s="1" t="s">
        <v>11</v>
      </c>
    </row>
    <row r="1674" spans="1:5" ht="15.75" customHeight="1">
      <c r="A1674" s="1">
        <v>390430</v>
      </c>
      <c r="B1674" s="1" t="s">
        <v>1706</v>
      </c>
      <c r="C1674" s="1" t="s">
        <v>11</v>
      </c>
      <c r="D1674" s="1" t="s">
        <v>11</v>
      </c>
      <c r="E1674" s="1" t="s">
        <v>11</v>
      </c>
    </row>
    <row r="1675" spans="1:5" ht="15.75" customHeight="1">
      <c r="A1675" s="1">
        <v>390440</v>
      </c>
      <c r="B1675" s="1" t="s">
        <v>1707</v>
      </c>
      <c r="C1675" s="1" t="s">
        <v>11</v>
      </c>
      <c r="D1675" s="1" t="s">
        <v>11</v>
      </c>
      <c r="E1675" s="1" t="s">
        <v>11</v>
      </c>
    </row>
    <row r="1676" spans="1:5" ht="15.75" customHeight="1">
      <c r="A1676" s="1">
        <v>390450</v>
      </c>
      <c r="B1676" s="1" t="s">
        <v>1708</v>
      </c>
      <c r="C1676" s="1" t="s">
        <v>11</v>
      </c>
      <c r="D1676" s="1" t="s">
        <v>11</v>
      </c>
      <c r="E1676" s="1" t="s">
        <v>11</v>
      </c>
    </row>
    <row r="1677" spans="1:5" ht="15.75" customHeight="1">
      <c r="A1677" s="1">
        <v>390461</v>
      </c>
      <c r="B1677" s="1" t="s">
        <v>1709</v>
      </c>
      <c r="C1677" s="1" t="s">
        <v>11</v>
      </c>
      <c r="D1677" s="1" t="s">
        <v>11</v>
      </c>
      <c r="E1677" s="1" t="s">
        <v>11</v>
      </c>
    </row>
    <row r="1678" spans="1:5" ht="15.75" customHeight="1">
      <c r="A1678" s="1">
        <v>390469</v>
      </c>
      <c r="B1678" s="1" t="s">
        <v>1710</v>
      </c>
      <c r="C1678" s="1" t="s">
        <v>11</v>
      </c>
      <c r="D1678" s="1" t="s">
        <v>11</v>
      </c>
      <c r="E1678" s="1" t="s">
        <v>11</v>
      </c>
    </row>
    <row r="1679" spans="1:5" ht="15.75" customHeight="1">
      <c r="A1679" s="1">
        <v>390490</v>
      </c>
      <c r="B1679" s="1" t="s">
        <v>1711</v>
      </c>
      <c r="C1679" s="1" t="s">
        <v>11</v>
      </c>
      <c r="D1679" s="1" t="s">
        <v>11</v>
      </c>
      <c r="E1679" s="1" t="s">
        <v>11</v>
      </c>
    </row>
    <row r="1680" spans="1:5" ht="15.75" customHeight="1">
      <c r="A1680" s="1">
        <v>390512</v>
      </c>
      <c r="B1680" s="1" t="s">
        <v>1712</v>
      </c>
      <c r="C1680" s="1" t="s">
        <v>11</v>
      </c>
      <c r="D1680" s="1" t="s">
        <v>11</v>
      </c>
      <c r="E1680" s="1" t="s">
        <v>11</v>
      </c>
    </row>
    <row r="1681" spans="1:5" ht="15.75" customHeight="1">
      <c r="A1681" s="1">
        <v>390519</v>
      </c>
      <c r="B1681" s="1" t="s">
        <v>1713</v>
      </c>
      <c r="C1681" s="1" t="s">
        <v>11</v>
      </c>
      <c r="D1681" s="1" t="s">
        <v>11</v>
      </c>
      <c r="E1681" s="1" t="s">
        <v>11</v>
      </c>
    </row>
    <row r="1682" spans="1:5" ht="15.75" customHeight="1">
      <c r="A1682" s="1">
        <v>390521</v>
      </c>
      <c r="B1682" s="1" t="s">
        <v>1714</v>
      </c>
      <c r="C1682" s="1" t="s">
        <v>11</v>
      </c>
      <c r="D1682" s="1" t="s">
        <v>11</v>
      </c>
      <c r="E1682" s="1" t="s">
        <v>11</v>
      </c>
    </row>
    <row r="1683" spans="1:5" ht="15.75" customHeight="1">
      <c r="A1683" s="1">
        <v>390529</v>
      </c>
      <c r="B1683" s="1" t="s">
        <v>1715</v>
      </c>
      <c r="C1683" s="1" t="s">
        <v>11</v>
      </c>
      <c r="D1683" s="1" t="s">
        <v>11</v>
      </c>
      <c r="E1683" s="1" t="s">
        <v>11</v>
      </c>
    </row>
    <row r="1684" spans="1:5" ht="15.75" customHeight="1">
      <c r="A1684" s="1">
        <v>390530</v>
      </c>
      <c r="B1684" s="1" t="s">
        <v>1716</v>
      </c>
      <c r="C1684" s="1" t="s">
        <v>11</v>
      </c>
      <c r="D1684" s="1" t="s">
        <v>11</v>
      </c>
      <c r="E1684" s="1" t="s">
        <v>11</v>
      </c>
    </row>
    <row r="1685" spans="1:5" ht="15.75" customHeight="1">
      <c r="A1685" s="1">
        <v>390591</v>
      </c>
      <c r="B1685" s="1" t="s">
        <v>1717</v>
      </c>
      <c r="C1685" s="1" t="s">
        <v>11</v>
      </c>
      <c r="D1685" s="1" t="s">
        <v>11</v>
      </c>
      <c r="E1685" s="1" t="s">
        <v>11</v>
      </c>
    </row>
    <row r="1686" spans="1:5" ht="15.75" customHeight="1">
      <c r="A1686" s="1">
        <v>390599</v>
      </c>
      <c r="B1686" s="1" t="s">
        <v>1718</v>
      </c>
      <c r="C1686" s="1" t="s">
        <v>11</v>
      </c>
      <c r="D1686" s="1" t="s">
        <v>11</v>
      </c>
      <c r="E1686" s="1" t="s">
        <v>11</v>
      </c>
    </row>
    <row r="1687" spans="1:5" ht="15.75" customHeight="1">
      <c r="A1687" s="1">
        <v>390610</v>
      </c>
      <c r="B1687" s="1" t="s">
        <v>1719</v>
      </c>
      <c r="C1687" s="1" t="s">
        <v>11</v>
      </c>
      <c r="D1687" s="1" t="s">
        <v>11</v>
      </c>
      <c r="E1687" s="1" t="s">
        <v>11</v>
      </c>
    </row>
    <row r="1688" spans="1:5" ht="15.75" customHeight="1">
      <c r="A1688" s="1">
        <v>390690</v>
      </c>
      <c r="B1688" s="1" t="s">
        <v>1720</v>
      </c>
      <c r="C1688" s="1" t="s">
        <v>11</v>
      </c>
      <c r="D1688" s="1" t="s">
        <v>11</v>
      </c>
      <c r="E1688" s="1" t="s">
        <v>11</v>
      </c>
    </row>
    <row r="1689" spans="1:5" ht="15.75" customHeight="1">
      <c r="A1689" s="1">
        <v>390710</v>
      </c>
      <c r="B1689" s="1" t="s">
        <v>1721</v>
      </c>
      <c r="C1689" s="1" t="s">
        <v>11</v>
      </c>
      <c r="D1689" s="1" t="s">
        <v>11</v>
      </c>
      <c r="E1689" s="1" t="s">
        <v>11</v>
      </c>
    </row>
    <row r="1690" spans="1:5" ht="15.75" customHeight="1">
      <c r="A1690" s="1">
        <v>390720</v>
      </c>
      <c r="B1690" s="1" t="s">
        <v>1722</v>
      </c>
      <c r="C1690" s="1" t="s">
        <v>11</v>
      </c>
      <c r="D1690" s="1" t="s">
        <v>11</v>
      </c>
      <c r="E1690" s="1" t="s">
        <v>11</v>
      </c>
    </row>
    <row r="1691" spans="1:5" ht="15.75" customHeight="1">
      <c r="A1691" s="1">
        <v>390730</v>
      </c>
      <c r="B1691" s="1" t="s">
        <v>1723</v>
      </c>
      <c r="C1691" s="1" t="s">
        <v>11</v>
      </c>
      <c r="D1691" s="1" t="s">
        <v>11</v>
      </c>
      <c r="E1691" s="1" t="s">
        <v>11</v>
      </c>
    </row>
    <row r="1692" spans="1:5" ht="15.75" customHeight="1">
      <c r="A1692" s="1">
        <v>390740</v>
      </c>
      <c r="B1692" s="1" t="s">
        <v>1724</v>
      </c>
      <c r="C1692" s="1" t="s">
        <v>11</v>
      </c>
      <c r="D1692" s="1" t="s">
        <v>11</v>
      </c>
      <c r="E1692" s="1" t="s">
        <v>11</v>
      </c>
    </row>
    <row r="1693" spans="1:5" ht="15.75" customHeight="1">
      <c r="A1693" s="1">
        <v>390750</v>
      </c>
      <c r="B1693" s="1" t="s">
        <v>1725</v>
      </c>
      <c r="C1693" s="1" t="s">
        <v>11</v>
      </c>
      <c r="D1693" s="1" t="s">
        <v>11</v>
      </c>
      <c r="E1693" s="1" t="s">
        <v>11</v>
      </c>
    </row>
    <row r="1694" spans="1:5" ht="15.75" customHeight="1">
      <c r="A1694" s="1">
        <v>390760</v>
      </c>
      <c r="B1694" s="1" t="s">
        <v>1726</v>
      </c>
      <c r="C1694" s="1" t="s">
        <v>11</v>
      </c>
      <c r="D1694" s="1" t="s">
        <v>11</v>
      </c>
      <c r="E1694" s="1" t="s">
        <v>11</v>
      </c>
    </row>
    <row r="1695" spans="1:5" ht="15.75" customHeight="1">
      <c r="A1695" s="1">
        <v>390770</v>
      </c>
      <c r="B1695" s="1" t="s">
        <v>1727</v>
      </c>
      <c r="C1695" s="1" t="s">
        <v>11</v>
      </c>
      <c r="D1695" s="1" t="s">
        <v>11</v>
      </c>
      <c r="E1695" s="1" t="s">
        <v>11</v>
      </c>
    </row>
    <row r="1696" spans="1:5" ht="15.75" customHeight="1">
      <c r="A1696" s="1">
        <v>390791</v>
      </c>
      <c r="B1696" s="1" t="s">
        <v>1728</v>
      </c>
      <c r="C1696" s="1" t="s">
        <v>11</v>
      </c>
      <c r="D1696" s="1" t="s">
        <v>11</v>
      </c>
      <c r="E1696" s="1" t="s">
        <v>11</v>
      </c>
    </row>
    <row r="1697" spans="1:5" ht="15.75" customHeight="1">
      <c r="A1697" s="1">
        <v>390799</v>
      </c>
      <c r="B1697" s="1" t="s">
        <v>1729</v>
      </c>
      <c r="C1697" s="1" t="s">
        <v>11</v>
      </c>
      <c r="D1697" s="1" t="s">
        <v>11</v>
      </c>
      <c r="E1697" s="1" t="s">
        <v>11</v>
      </c>
    </row>
    <row r="1698" spans="1:5" ht="15.75" customHeight="1">
      <c r="A1698" s="1">
        <v>390810</v>
      </c>
      <c r="B1698" s="1" t="s">
        <v>1730</v>
      </c>
      <c r="C1698" s="1" t="s">
        <v>11</v>
      </c>
      <c r="D1698" s="1" t="s">
        <v>11</v>
      </c>
      <c r="E1698" s="1" t="s">
        <v>11</v>
      </c>
    </row>
    <row r="1699" spans="1:5" ht="15.75" customHeight="1">
      <c r="A1699" s="1">
        <v>390890</v>
      </c>
      <c r="B1699" s="1" t="s">
        <v>1731</v>
      </c>
      <c r="C1699" s="1" t="s">
        <v>11</v>
      </c>
      <c r="D1699" s="1" t="s">
        <v>11</v>
      </c>
      <c r="E1699" s="1" t="s">
        <v>11</v>
      </c>
    </row>
    <row r="1700" spans="1:5" ht="15.75" customHeight="1">
      <c r="A1700" s="1">
        <v>390910</v>
      </c>
      <c r="B1700" s="1" t="s">
        <v>1732</v>
      </c>
      <c r="C1700" s="1" t="s">
        <v>11</v>
      </c>
      <c r="D1700" s="1" t="s">
        <v>11</v>
      </c>
      <c r="E1700" s="1" t="s">
        <v>11</v>
      </c>
    </row>
    <row r="1701" spans="1:5" ht="15.75" customHeight="1">
      <c r="A1701" s="1">
        <v>390920</v>
      </c>
      <c r="B1701" s="1" t="s">
        <v>1733</v>
      </c>
      <c r="C1701" s="1" t="s">
        <v>11</v>
      </c>
      <c r="D1701" s="1" t="s">
        <v>11</v>
      </c>
      <c r="E1701" s="1" t="s">
        <v>11</v>
      </c>
    </row>
    <row r="1702" spans="1:5" ht="15.75" customHeight="1">
      <c r="A1702" s="1">
        <v>390930</v>
      </c>
      <c r="B1702" s="1" t="s">
        <v>1734</v>
      </c>
      <c r="C1702" s="1" t="s">
        <v>11</v>
      </c>
      <c r="D1702" s="1" t="s">
        <v>11</v>
      </c>
      <c r="E1702" s="1" t="s">
        <v>11</v>
      </c>
    </row>
    <row r="1703" spans="1:5" ht="15.75" customHeight="1">
      <c r="A1703" s="1">
        <v>390940</v>
      </c>
      <c r="B1703" s="1" t="s">
        <v>1735</v>
      </c>
      <c r="C1703" s="1" t="s">
        <v>11</v>
      </c>
      <c r="D1703" s="1" t="s">
        <v>11</v>
      </c>
      <c r="E1703" s="1" t="s">
        <v>11</v>
      </c>
    </row>
    <row r="1704" spans="1:5" ht="15.75" customHeight="1">
      <c r="A1704" s="1">
        <v>390950</v>
      </c>
      <c r="B1704" s="1" t="s">
        <v>1736</v>
      </c>
      <c r="C1704" s="1" t="s">
        <v>11</v>
      </c>
      <c r="D1704" s="1" t="s">
        <v>11</v>
      </c>
      <c r="E1704" s="1" t="s">
        <v>11</v>
      </c>
    </row>
    <row r="1705" spans="1:5" ht="15.75" customHeight="1">
      <c r="A1705" s="1">
        <v>391000</v>
      </c>
      <c r="B1705" s="1" t="s">
        <v>1737</v>
      </c>
      <c r="C1705" s="1" t="s">
        <v>11</v>
      </c>
      <c r="D1705" s="1" t="s">
        <v>11</v>
      </c>
      <c r="E1705" s="1" t="s">
        <v>11</v>
      </c>
    </row>
    <row r="1706" spans="1:5" ht="15.75" customHeight="1">
      <c r="A1706" s="1">
        <v>391110</v>
      </c>
      <c r="B1706" s="1" t="s">
        <v>1738</v>
      </c>
      <c r="C1706" s="1" t="s">
        <v>11</v>
      </c>
      <c r="D1706" s="1" t="s">
        <v>11</v>
      </c>
      <c r="E1706" s="1" t="s">
        <v>11</v>
      </c>
    </row>
    <row r="1707" spans="1:5" ht="15.75" customHeight="1">
      <c r="A1707" s="1">
        <v>391190</v>
      </c>
      <c r="B1707" s="1" t="s">
        <v>1739</v>
      </c>
      <c r="C1707" s="1" t="s">
        <v>11</v>
      </c>
      <c r="D1707" s="1" t="s">
        <v>11</v>
      </c>
      <c r="E1707" s="1" t="s">
        <v>11</v>
      </c>
    </row>
    <row r="1708" spans="1:5" ht="15.75" customHeight="1">
      <c r="A1708" s="1">
        <v>391211</v>
      </c>
      <c r="B1708" s="1" t="s">
        <v>1740</v>
      </c>
      <c r="C1708" s="1" t="s">
        <v>11</v>
      </c>
      <c r="D1708" s="1" t="s">
        <v>11</v>
      </c>
      <c r="E1708" s="1" t="s">
        <v>11</v>
      </c>
    </row>
    <row r="1709" spans="1:5" ht="15.75" customHeight="1">
      <c r="A1709" s="1">
        <v>391212</v>
      </c>
      <c r="B1709" s="1" t="s">
        <v>1741</v>
      </c>
      <c r="C1709" s="1" t="s">
        <v>11</v>
      </c>
      <c r="D1709" s="1" t="s">
        <v>11</v>
      </c>
      <c r="E1709" s="1" t="s">
        <v>11</v>
      </c>
    </row>
    <row r="1710" spans="1:5" ht="15.75" customHeight="1">
      <c r="A1710" s="1">
        <v>391220</v>
      </c>
      <c r="B1710" s="1" t="s">
        <v>1742</v>
      </c>
      <c r="C1710" s="1" t="s">
        <v>11</v>
      </c>
      <c r="D1710" s="1" t="s">
        <v>11</v>
      </c>
      <c r="E1710" s="1" t="s">
        <v>11</v>
      </c>
    </row>
    <row r="1711" spans="1:5" ht="15.75" customHeight="1">
      <c r="A1711" s="1">
        <v>391231</v>
      </c>
      <c r="B1711" s="1" t="s">
        <v>1743</v>
      </c>
      <c r="C1711" s="1" t="s">
        <v>11</v>
      </c>
      <c r="D1711" s="1" t="s">
        <v>11</v>
      </c>
      <c r="E1711" s="1" t="s">
        <v>11</v>
      </c>
    </row>
    <row r="1712" spans="1:5" ht="15.75" customHeight="1">
      <c r="A1712" s="1">
        <v>391239</v>
      </c>
      <c r="B1712" s="1" t="s">
        <v>1744</v>
      </c>
      <c r="C1712" s="1" t="s">
        <v>11</v>
      </c>
      <c r="D1712" s="1" t="s">
        <v>11</v>
      </c>
      <c r="E1712" s="1" t="s">
        <v>11</v>
      </c>
    </row>
    <row r="1713" spans="1:5" ht="15.75" customHeight="1">
      <c r="A1713" s="1">
        <v>391290</v>
      </c>
      <c r="B1713" s="1" t="s">
        <v>1745</v>
      </c>
      <c r="C1713" s="1" t="s">
        <v>11</v>
      </c>
      <c r="D1713" s="1" t="s">
        <v>11</v>
      </c>
      <c r="E1713" s="1" t="s">
        <v>11</v>
      </c>
    </row>
    <row r="1714" spans="1:5" ht="15.75" customHeight="1">
      <c r="A1714" s="1">
        <v>391310</v>
      </c>
      <c r="B1714" s="1" t="s">
        <v>1746</v>
      </c>
      <c r="C1714" s="1" t="s">
        <v>11</v>
      </c>
      <c r="D1714" s="1" t="s">
        <v>11</v>
      </c>
      <c r="E1714" s="1" t="s">
        <v>11</v>
      </c>
    </row>
    <row r="1715" spans="1:5" ht="15.75" customHeight="1">
      <c r="A1715" s="1">
        <v>391390</v>
      </c>
      <c r="B1715" s="1" t="s">
        <v>1747</v>
      </c>
      <c r="C1715" s="1" t="s">
        <v>11</v>
      </c>
      <c r="D1715" s="1" t="s">
        <v>11</v>
      </c>
      <c r="E1715" s="1" t="s">
        <v>11</v>
      </c>
    </row>
    <row r="1716" spans="1:5" ht="15.75" customHeight="1">
      <c r="A1716" s="1">
        <v>391400</v>
      </c>
      <c r="B1716" s="1" t="s">
        <v>1748</v>
      </c>
      <c r="C1716" s="1" t="s">
        <v>11</v>
      </c>
      <c r="D1716" s="1" t="s">
        <v>11</v>
      </c>
      <c r="E1716" s="1" t="s">
        <v>11</v>
      </c>
    </row>
    <row r="1717" spans="1:5" ht="15.75" customHeight="1">
      <c r="A1717" s="1">
        <v>391510</v>
      </c>
      <c r="B1717" s="1" t="s">
        <v>1749</v>
      </c>
      <c r="C1717" s="1" t="s">
        <v>11</v>
      </c>
      <c r="D1717" s="1" t="s">
        <v>11</v>
      </c>
      <c r="E1717" s="1" t="s">
        <v>11</v>
      </c>
    </row>
    <row r="1718" spans="1:5" ht="15.75" customHeight="1">
      <c r="A1718" s="1">
        <v>391520</v>
      </c>
      <c r="B1718" s="1" t="s">
        <v>1750</v>
      </c>
      <c r="C1718" s="1" t="s">
        <v>11</v>
      </c>
      <c r="D1718" s="1" t="s">
        <v>11</v>
      </c>
      <c r="E1718" s="1" t="s">
        <v>11</v>
      </c>
    </row>
    <row r="1719" spans="1:5" ht="15.75" customHeight="1">
      <c r="A1719" s="1">
        <v>391530</v>
      </c>
      <c r="B1719" s="1" t="s">
        <v>1751</v>
      </c>
      <c r="C1719" s="1" t="s">
        <v>11</v>
      </c>
      <c r="D1719" s="1" t="s">
        <v>11</v>
      </c>
      <c r="E1719" s="1" t="s">
        <v>11</v>
      </c>
    </row>
    <row r="1720" spans="1:5" ht="15.75" customHeight="1">
      <c r="A1720" s="1">
        <v>391590</v>
      </c>
      <c r="B1720" s="1" t="s">
        <v>1752</v>
      </c>
      <c r="C1720" s="1" t="s">
        <v>11</v>
      </c>
      <c r="D1720" s="1" t="s">
        <v>11</v>
      </c>
      <c r="E1720" s="1" t="s">
        <v>11</v>
      </c>
    </row>
    <row r="1721" spans="1:5" ht="15.75" customHeight="1">
      <c r="A1721" s="1">
        <v>391610</v>
      </c>
      <c r="B1721" s="1" t="s">
        <v>1753</v>
      </c>
      <c r="C1721" s="1" t="s">
        <v>11</v>
      </c>
      <c r="D1721" s="1" t="s">
        <v>11</v>
      </c>
      <c r="E1721" s="1" t="s">
        <v>11</v>
      </c>
    </row>
    <row r="1722" spans="1:5" ht="15.75" customHeight="1">
      <c r="A1722" s="1">
        <v>391620</v>
      </c>
      <c r="B1722" s="1" t="s">
        <v>1754</v>
      </c>
      <c r="C1722" s="1" t="s">
        <v>11</v>
      </c>
      <c r="D1722" s="1" t="s">
        <v>11</v>
      </c>
      <c r="E1722" s="1" t="s">
        <v>11</v>
      </c>
    </row>
    <row r="1723" spans="1:5" ht="15.75" customHeight="1">
      <c r="A1723" s="1">
        <v>391690</v>
      </c>
      <c r="B1723" s="1" t="s">
        <v>1755</v>
      </c>
      <c r="C1723" s="1" t="s">
        <v>11</v>
      </c>
      <c r="D1723" s="1" t="s">
        <v>11</v>
      </c>
      <c r="E1723" s="1" t="s">
        <v>11</v>
      </c>
    </row>
    <row r="1724" spans="1:5" ht="15.75" customHeight="1">
      <c r="A1724" s="1">
        <v>391710</v>
      </c>
      <c r="B1724" s="1" t="s">
        <v>1756</v>
      </c>
      <c r="C1724" s="1" t="s">
        <v>11</v>
      </c>
      <c r="D1724" s="1" t="s">
        <v>11</v>
      </c>
      <c r="E1724" s="1" t="s">
        <v>11</v>
      </c>
    </row>
    <row r="1725" spans="1:5" ht="15.75" customHeight="1">
      <c r="A1725" s="1">
        <v>391721</v>
      </c>
      <c r="B1725" s="1" t="s">
        <v>1757</v>
      </c>
      <c r="C1725" s="1" t="s">
        <v>11</v>
      </c>
      <c r="D1725" s="1" t="s">
        <v>11</v>
      </c>
      <c r="E1725" s="1" t="s">
        <v>11</v>
      </c>
    </row>
    <row r="1726" spans="1:5" ht="15.75" customHeight="1">
      <c r="A1726" s="1">
        <v>391722</v>
      </c>
      <c r="B1726" s="1" t="s">
        <v>1758</v>
      </c>
      <c r="C1726" s="1" t="s">
        <v>11</v>
      </c>
      <c r="D1726" s="1" t="s">
        <v>11</v>
      </c>
      <c r="E1726" s="1" t="s">
        <v>11</v>
      </c>
    </row>
    <row r="1727" spans="1:5" ht="15.75" customHeight="1">
      <c r="A1727" s="1">
        <v>391723</v>
      </c>
      <c r="B1727" s="1" t="s">
        <v>1759</v>
      </c>
      <c r="C1727" s="1" t="s">
        <v>11</v>
      </c>
      <c r="D1727" s="1" t="s">
        <v>11</v>
      </c>
      <c r="E1727" s="1" t="s">
        <v>11</v>
      </c>
    </row>
    <row r="1728" spans="1:5" ht="15.75" customHeight="1">
      <c r="A1728" s="1">
        <v>391729</v>
      </c>
      <c r="B1728" s="1" t="s">
        <v>1760</v>
      </c>
      <c r="C1728" s="1" t="s">
        <v>11</v>
      </c>
      <c r="D1728" s="1" t="s">
        <v>11</v>
      </c>
      <c r="E1728" s="1" t="s">
        <v>11</v>
      </c>
    </row>
    <row r="1729" spans="1:17" ht="15.75" customHeight="1">
      <c r="A1729" s="1">
        <v>391731</v>
      </c>
      <c r="B1729" s="1" t="s">
        <v>1761</v>
      </c>
      <c r="C1729" s="1" t="s">
        <v>11</v>
      </c>
      <c r="D1729" s="1" t="s">
        <v>11</v>
      </c>
      <c r="E1729" s="1" t="s">
        <v>11</v>
      </c>
    </row>
    <row r="1730" spans="1:17" ht="15.75" customHeight="1">
      <c r="A1730" s="1">
        <v>391732</v>
      </c>
      <c r="B1730" s="1" t="s">
        <v>1762</v>
      </c>
      <c r="C1730" s="1" t="s">
        <v>11</v>
      </c>
      <c r="D1730" s="1" t="s">
        <v>11</v>
      </c>
      <c r="E1730" s="1" t="s">
        <v>11</v>
      </c>
    </row>
    <row r="1731" spans="1:17" ht="15.75" customHeight="1">
      <c r="A1731" s="1">
        <v>391733</v>
      </c>
      <c r="B1731" s="1" t="s">
        <v>1763</v>
      </c>
      <c r="C1731" s="1" t="s">
        <v>11</v>
      </c>
      <c r="D1731" s="1" t="s">
        <v>11</v>
      </c>
      <c r="E1731" s="1" t="s">
        <v>11</v>
      </c>
    </row>
    <row r="1732" spans="1:17" ht="15.75" customHeight="1">
      <c r="A1732" s="1">
        <v>391739</v>
      </c>
      <c r="B1732" s="1" t="s">
        <v>1764</v>
      </c>
      <c r="C1732" s="1" t="s">
        <v>11</v>
      </c>
      <c r="D1732" s="1" t="s">
        <v>11</v>
      </c>
      <c r="E1732" s="1" t="s">
        <v>1228</v>
      </c>
    </row>
    <row r="1733" spans="1:17" ht="15.75" customHeight="1">
      <c r="A1733" s="8">
        <v>391740</v>
      </c>
      <c r="B1733" s="8" t="s">
        <v>1765</v>
      </c>
      <c r="C1733" s="8">
        <v>1</v>
      </c>
      <c r="D1733" s="8" t="s">
        <v>1418</v>
      </c>
      <c r="E1733" s="8" t="s">
        <v>1418</v>
      </c>
      <c r="F1733" s="8"/>
      <c r="G1733" s="9" t="s">
        <v>1378</v>
      </c>
      <c r="H1733" s="8" t="s">
        <v>1398</v>
      </c>
      <c r="I1733" s="8"/>
      <c r="J1733" s="10"/>
      <c r="K1733" s="10"/>
      <c r="L1733" s="10"/>
      <c r="M1733" s="10"/>
      <c r="N1733" s="10"/>
      <c r="O1733" s="10"/>
      <c r="P1733" s="10"/>
      <c r="Q1733" s="10"/>
    </row>
    <row r="1734" spans="1:17" ht="15.75" customHeight="1">
      <c r="A1734" s="1">
        <v>391810</v>
      </c>
      <c r="B1734" s="1" t="s">
        <v>1766</v>
      </c>
      <c r="C1734" s="1" t="s">
        <v>11</v>
      </c>
      <c r="D1734" s="1" t="s">
        <v>11</v>
      </c>
      <c r="E1734" s="1" t="s">
        <v>11</v>
      </c>
    </row>
    <row r="1735" spans="1:17" ht="15.75" customHeight="1">
      <c r="A1735" s="1">
        <v>391890</v>
      </c>
      <c r="B1735" s="1" t="s">
        <v>1767</v>
      </c>
      <c r="C1735" s="1" t="s">
        <v>11</v>
      </c>
      <c r="D1735" s="1" t="s">
        <v>11</v>
      </c>
      <c r="E1735" s="1" t="s">
        <v>11</v>
      </c>
    </row>
    <row r="1736" spans="1:17" ht="15.75" customHeight="1">
      <c r="A1736" s="1">
        <v>391910</v>
      </c>
      <c r="B1736" s="1" t="s">
        <v>1768</v>
      </c>
      <c r="C1736" s="1" t="s">
        <v>11</v>
      </c>
      <c r="D1736" s="1" t="s">
        <v>11</v>
      </c>
      <c r="E1736" s="1" t="s">
        <v>11</v>
      </c>
    </row>
    <row r="1737" spans="1:17" ht="15.75" customHeight="1">
      <c r="A1737" s="1">
        <v>391990</v>
      </c>
      <c r="B1737" s="1" t="s">
        <v>1769</v>
      </c>
      <c r="C1737" s="1" t="s">
        <v>11</v>
      </c>
      <c r="D1737" s="1" t="s">
        <v>11</v>
      </c>
      <c r="E1737" s="1" t="s">
        <v>11</v>
      </c>
    </row>
    <row r="1738" spans="1:17" ht="15.75" customHeight="1">
      <c r="A1738" s="1">
        <v>392010</v>
      </c>
      <c r="B1738" s="1" t="s">
        <v>1770</v>
      </c>
      <c r="C1738" s="1" t="s">
        <v>11</v>
      </c>
      <c r="D1738" s="1" t="s">
        <v>11</v>
      </c>
      <c r="E1738" s="1" t="s">
        <v>11</v>
      </c>
    </row>
    <row r="1739" spans="1:17" ht="15.75" customHeight="1">
      <c r="A1739" s="1">
        <v>392020</v>
      </c>
      <c r="B1739" s="1" t="s">
        <v>1771</v>
      </c>
      <c r="C1739" s="1" t="s">
        <v>11</v>
      </c>
      <c r="D1739" s="1" t="s">
        <v>11</v>
      </c>
      <c r="E1739" s="1" t="s">
        <v>11</v>
      </c>
    </row>
    <row r="1740" spans="1:17" ht="15.75" customHeight="1">
      <c r="A1740" s="1">
        <v>392030</v>
      </c>
      <c r="B1740" s="1" t="s">
        <v>1772</v>
      </c>
      <c r="C1740" s="1" t="s">
        <v>11</v>
      </c>
      <c r="D1740" s="1" t="s">
        <v>11</v>
      </c>
      <c r="E1740" s="1" t="s">
        <v>11</v>
      </c>
    </row>
    <row r="1741" spans="1:17" ht="15.75" customHeight="1">
      <c r="A1741" s="1">
        <v>392043</v>
      </c>
      <c r="B1741" s="1" t="s">
        <v>1773</v>
      </c>
      <c r="C1741" s="1" t="s">
        <v>11</v>
      </c>
      <c r="D1741" s="1" t="s">
        <v>11</v>
      </c>
      <c r="E1741" s="1" t="s">
        <v>11</v>
      </c>
    </row>
    <row r="1742" spans="1:17" ht="15.75" customHeight="1">
      <c r="A1742" s="1">
        <v>392049</v>
      </c>
      <c r="B1742" s="1" t="s">
        <v>1774</v>
      </c>
      <c r="C1742" s="1" t="s">
        <v>11</v>
      </c>
      <c r="D1742" s="1" t="s">
        <v>11</v>
      </c>
      <c r="E1742" s="1" t="s">
        <v>11</v>
      </c>
    </row>
    <row r="1743" spans="1:17" ht="15.75" customHeight="1">
      <c r="A1743" s="1">
        <v>392051</v>
      </c>
      <c r="B1743" s="1" t="s">
        <v>1775</v>
      </c>
      <c r="C1743" s="1" t="s">
        <v>11</v>
      </c>
      <c r="D1743" s="1" t="s">
        <v>11</v>
      </c>
      <c r="E1743" s="1" t="s">
        <v>11</v>
      </c>
    </row>
    <row r="1744" spans="1:17" ht="15.75" customHeight="1">
      <c r="A1744" s="1">
        <v>392059</v>
      </c>
      <c r="B1744" s="1" t="s">
        <v>1776</v>
      </c>
      <c r="C1744" s="1" t="s">
        <v>11</v>
      </c>
      <c r="D1744" s="1" t="s">
        <v>11</v>
      </c>
      <c r="E1744" s="1" t="s">
        <v>11</v>
      </c>
    </row>
    <row r="1745" spans="1:5" ht="15.75" customHeight="1">
      <c r="A1745" s="1">
        <v>392061</v>
      </c>
      <c r="B1745" s="1" t="s">
        <v>1777</v>
      </c>
      <c r="C1745" s="1" t="s">
        <v>11</v>
      </c>
      <c r="D1745" s="1" t="s">
        <v>11</v>
      </c>
      <c r="E1745" s="1" t="s">
        <v>11</v>
      </c>
    </row>
    <row r="1746" spans="1:5" ht="15.75" customHeight="1">
      <c r="A1746" s="1">
        <v>392062</v>
      </c>
      <c r="B1746" s="1" t="s">
        <v>1778</v>
      </c>
      <c r="C1746" s="1" t="s">
        <v>11</v>
      </c>
      <c r="D1746" s="1" t="s">
        <v>11</v>
      </c>
      <c r="E1746" s="1" t="s">
        <v>11</v>
      </c>
    </row>
    <row r="1747" spans="1:5" ht="15.75" customHeight="1">
      <c r="A1747" s="1">
        <v>392063</v>
      </c>
      <c r="B1747" s="1" t="s">
        <v>1779</v>
      </c>
      <c r="C1747" s="1" t="s">
        <v>11</v>
      </c>
      <c r="D1747" s="1" t="s">
        <v>11</v>
      </c>
      <c r="E1747" s="1" t="s">
        <v>11</v>
      </c>
    </row>
    <row r="1748" spans="1:5" ht="15.75" customHeight="1">
      <c r="A1748" s="1">
        <v>392069</v>
      </c>
      <c r="B1748" s="1" t="s">
        <v>1780</v>
      </c>
      <c r="C1748" s="1" t="s">
        <v>11</v>
      </c>
      <c r="D1748" s="1" t="s">
        <v>11</v>
      </c>
      <c r="E1748" s="1" t="s">
        <v>11</v>
      </c>
    </row>
    <row r="1749" spans="1:5" ht="15.75" customHeight="1">
      <c r="A1749" s="1">
        <v>392071</v>
      </c>
      <c r="B1749" s="1" t="s">
        <v>1781</v>
      </c>
      <c r="C1749" s="1" t="s">
        <v>11</v>
      </c>
      <c r="D1749" s="1" t="s">
        <v>11</v>
      </c>
      <c r="E1749" s="1" t="s">
        <v>11</v>
      </c>
    </row>
    <row r="1750" spans="1:5" ht="15.75" customHeight="1">
      <c r="A1750" s="1">
        <v>392073</v>
      </c>
      <c r="B1750" s="1" t="s">
        <v>1782</v>
      </c>
      <c r="C1750" s="1" t="s">
        <v>11</v>
      </c>
      <c r="D1750" s="1" t="s">
        <v>11</v>
      </c>
      <c r="E1750" s="1" t="s">
        <v>11</v>
      </c>
    </row>
    <row r="1751" spans="1:5" ht="15.75" customHeight="1">
      <c r="A1751" s="1">
        <v>392079</v>
      </c>
      <c r="B1751" s="1" t="s">
        <v>1783</v>
      </c>
      <c r="C1751" s="1" t="s">
        <v>11</v>
      </c>
      <c r="D1751" s="1" t="s">
        <v>11</v>
      </c>
      <c r="E1751" s="1" t="s">
        <v>11</v>
      </c>
    </row>
    <row r="1752" spans="1:5" ht="15.75" customHeight="1">
      <c r="A1752" s="1">
        <v>392091</v>
      </c>
      <c r="B1752" s="1" t="s">
        <v>1784</v>
      </c>
      <c r="C1752" s="1" t="s">
        <v>11</v>
      </c>
      <c r="D1752" s="1" t="s">
        <v>11</v>
      </c>
      <c r="E1752" s="1" t="s">
        <v>11</v>
      </c>
    </row>
    <row r="1753" spans="1:5" ht="15.75" customHeight="1">
      <c r="A1753" s="1">
        <v>392092</v>
      </c>
      <c r="B1753" s="1" t="s">
        <v>1785</v>
      </c>
      <c r="C1753" s="1" t="s">
        <v>11</v>
      </c>
      <c r="D1753" s="1" t="s">
        <v>11</v>
      </c>
      <c r="E1753" s="1" t="s">
        <v>11</v>
      </c>
    </row>
    <row r="1754" spans="1:5" ht="15.75" customHeight="1">
      <c r="A1754" s="1">
        <v>392093</v>
      </c>
      <c r="B1754" s="1" t="s">
        <v>1786</v>
      </c>
      <c r="C1754" s="1" t="s">
        <v>11</v>
      </c>
      <c r="D1754" s="1" t="s">
        <v>11</v>
      </c>
      <c r="E1754" s="1" t="s">
        <v>11</v>
      </c>
    </row>
    <row r="1755" spans="1:5" ht="15.75" customHeight="1">
      <c r="A1755" s="1">
        <v>392094</v>
      </c>
      <c r="B1755" s="1" t="s">
        <v>1787</v>
      </c>
      <c r="C1755" s="1" t="s">
        <v>11</v>
      </c>
      <c r="D1755" s="1" t="s">
        <v>11</v>
      </c>
      <c r="E1755" s="1" t="s">
        <v>11</v>
      </c>
    </row>
    <row r="1756" spans="1:5" ht="15.75" customHeight="1">
      <c r="A1756" s="1">
        <v>392099</v>
      </c>
      <c r="B1756" s="1" t="s">
        <v>1788</v>
      </c>
      <c r="C1756" s="1" t="s">
        <v>11</v>
      </c>
      <c r="D1756" s="1" t="s">
        <v>11</v>
      </c>
      <c r="E1756" s="1" t="s">
        <v>11</v>
      </c>
    </row>
    <row r="1757" spans="1:5" ht="15.75" customHeight="1">
      <c r="A1757" s="1">
        <v>392111</v>
      </c>
      <c r="B1757" s="1" t="s">
        <v>1789</v>
      </c>
      <c r="C1757" s="1" t="s">
        <v>11</v>
      </c>
      <c r="D1757" s="1" t="s">
        <v>11</v>
      </c>
      <c r="E1757" s="1" t="s">
        <v>11</v>
      </c>
    </row>
    <row r="1758" spans="1:5" ht="15.75" customHeight="1">
      <c r="A1758" s="1">
        <v>392112</v>
      </c>
      <c r="B1758" s="1" t="s">
        <v>1790</v>
      </c>
      <c r="C1758" s="1" t="s">
        <v>11</v>
      </c>
      <c r="D1758" s="1" t="s">
        <v>11</v>
      </c>
      <c r="E1758" s="1" t="s">
        <v>11</v>
      </c>
    </row>
    <row r="1759" spans="1:5" ht="15.75" customHeight="1">
      <c r="A1759" s="1">
        <v>392113</v>
      </c>
      <c r="B1759" s="1" t="s">
        <v>1791</v>
      </c>
      <c r="C1759" s="1" t="s">
        <v>11</v>
      </c>
      <c r="D1759" s="1" t="s">
        <v>11</v>
      </c>
      <c r="E1759" s="1" t="s">
        <v>11</v>
      </c>
    </row>
    <row r="1760" spans="1:5" ht="15.75" customHeight="1">
      <c r="A1760" s="1">
        <v>392114</v>
      </c>
      <c r="B1760" s="1" t="s">
        <v>1792</v>
      </c>
      <c r="C1760" s="1" t="s">
        <v>11</v>
      </c>
      <c r="D1760" s="1" t="s">
        <v>11</v>
      </c>
      <c r="E1760" s="1" t="s">
        <v>11</v>
      </c>
    </row>
    <row r="1761" spans="1:5" ht="15.75" customHeight="1">
      <c r="A1761" s="1">
        <v>392119</v>
      </c>
      <c r="B1761" s="1" t="s">
        <v>1793</v>
      </c>
      <c r="C1761" s="1" t="s">
        <v>11</v>
      </c>
      <c r="D1761" s="1" t="s">
        <v>11</v>
      </c>
      <c r="E1761" s="1" t="s">
        <v>11</v>
      </c>
    </row>
    <row r="1762" spans="1:5" ht="15.75" customHeight="1">
      <c r="A1762" s="1">
        <v>392190</v>
      </c>
      <c r="B1762" s="1" t="s">
        <v>1794</v>
      </c>
      <c r="C1762" s="1" t="s">
        <v>11</v>
      </c>
      <c r="D1762" s="1" t="s">
        <v>11</v>
      </c>
      <c r="E1762" s="1" t="s">
        <v>11</v>
      </c>
    </row>
    <row r="1763" spans="1:5" ht="15.75" customHeight="1">
      <c r="A1763" s="1">
        <v>392210</v>
      </c>
      <c r="B1763" s="1" t="s">
        <v>1795</v>
      </c>
      <c r="C1763" s="1" t="s">
        <v>11</v>
      </c>
      <c r="D1763" s="1" t="s">
        <v>11</v>
      </c>
      <c r="E1763" s="1" t="s">
        <v>11</v>
      </c>
    </row>
    <row r="1764" spans="1:5" ht="15.75" customHeight="1">
      <c r="A1764" s="1">
        <v>392220</v>
      </c>
      <c r="B1764" s="1" t="s">
        <v>1796</v>
      </c>
      <c r="C1764" s="1" t="s">
        <v>11</v>
      </c>
      <c r="D1764" s="1" t="s">
        <v>11</v>
      </c>
      <c r="E1764" s="1" t="s">
        <v>11</v>
      </c>
    </row>
    <row r="1765" spans="1:5" ht="15.75" customHeight="1">
      <c r="A1765" s="1">
        <v>392290</v>
      </c>
      <c r="B1765" s="1" t="s">
        <v>1797</v>
      </c>
      <c r="C1765" s="1" t="s">
        <v>11</v>
      </c>
      <c r="D1765" s="1" t="s">
        <v>11</v>
      </c>
      <c r="E1765" s="1" t="s">
        <v>11</v>
      </c>
    </row>
    <row r="1766" spans="1:5" ht="15.75" customHeight="1">
      <c r="A1766" s="1">
        <v>392310</v>
      </c>
      <c r="B1766" s="1" t="s">
        <v>1798</v>
      </c>
      <c r="C1766" s="1" t="s">
        <v>11</v>
      </c>
      <c r="D1766" s="1" t="s">
        <v>11</v>
      </c>
      <c r="E1766" s="1" t="s">
        <v>11</v>
      </c>
    </row>
    <row r="1767" spans="1:5" ht="15.75" customHeight="1">
      <c r="A1767" s="1">
        <v>392321</v>
      </c>
      <c r="B1767" s="1" t="s">
        <v>1799</v>
      </c>
      <c r="C1767" s="1" t="s">
        <v>11</v>
      </c>
      <c r="D1767" s="1" t="s">
        <v>11</v>
      </c>
      <c r="E1767" s="1" t="s">
        <v>11</v>
      </c>
    </row>
    <row r="1768" spans="1:5" ht="15.75" customHeight="1">
      <c r="A1768" s="1">
        <v>392329</v>
      </c>
      <c r="B1768" s="1" t="s">
        <v>1800</v>
      </c>
      <c r="C1768" s="1" t="s">
        <v>11</v>
      </c>
      <c r="D1768" s="1" t="s">
        <v>11</v>
      </c>
      <c r="E1768" s="1" t="s">
        <v>11</v>
      </c>
    </row>
    <row r="1769" spans="1:5" ht="15.75" customHeight="1">
      <c r="A1769" s="1">
        <v>392330</v>
      </c>
      <c r="B1769" s="1" t="s">
        <v>1801</v>
      </c>
      <c r="C1769" s="1" t="s">
        <v>11</v>
      </c>
      <c r="D1769" s="1" t="s">
        <v>11</v>
      </c>
      <c r="E1769" s="1" t="s">
        <v>11</v>
      </c>
    </row>
    <row r="1770" spans="1:5" ht="15.75" customHeight="1">
      <c r="A1770" s="1">
        <v>392340</v>
      </c>
      <c r="B1770" s="1" t="s">
        <v>1802</v>
      </c>
      <c r="C1770" s="1" t="s">
        <v>11</v>
      </c>
      <c r="D1770" s="1" t="s">
        <v>11</v>
      </c>
      <c r="E1770" s="1" t="s">
        <v>11</v>
      </c>
    </row>
    <row r="1771" spans="1:5" ht="15.75" customHeight="1">
      <c r="A1771" s="1">
        <v>392350</v>
      </c>
      <c r="B1771" s="1" t="s">
        <v>1803</v>
      </c>
      <c r="C1771" s="1" t="s">
        <v>11</v>
      </c>
      <c r="D1771" s="1" t="s">
        <v>11</v>
      </c>
      <c r="E1771" s="1" t="s">
        <v>11</v>
      </c>
    </row>
    <row r="1772" spans="1:5" ht="15.75" customHeight="1">
      <c r="A1772" s="1">
        <v>392390</v>
      </c>
      <c r="B1772" s="1" t="s">
        <v>1804</v>
      </c>
      <c r="C1772" s="1" t="s">
        <v>11</v>
      </c>
      <c r="D1772" s="1" t="s">
        <v>11</v>
      </c>
      <c r="E1772" s="1" t="s">
        <v>11</v>
      </c>
    </row>
    <row r="1773" spans="1:5" ht="15.75" customHeight="1">
      <c r="A1773" s="1">
        <v>392410</v>
      </c>
      <c r="B1773" s="1" t="s">
        <v>1805</v>
      </c>
      <c r="C1773" s="1" t="s">
        <v>11</v>
      </c>
      <c r="D1773" s="1" t="s">
        <v>11</v>
      </c>
      <c r="E1773" s="1" t="s">
        <v>11</v>
      </c>
    </row>
    <row r="1774" spans="1:5" ht="15.75" customHeight="1">
      <c r="A1774" s="1">
        <v>392490</v>
      </c>
      <c r="B1774" s="1" t="s">
        <v>1806</v>
      </c>
      <c r="C1774" s="1" t="s">
        <v>11</v>
      </c>
      <c r="D1774" s="1" t="s">
        <v>11</v>
      </c>
      <c r="E1774" s="1" t="s">
        <v>11</v>
      </c>
    </row>
    <row r="1775" spans="1:5" ht="15.75" customHeight="1">
      <c r="A1775" s="1">
        <v>392510</v>
      </c>
      <c r="B1775" s="1" t="s">
        <v>1807</v>
      </c>
      <c r="C1775" s="1" t="s">
        <v>11</v>
      </c>
      <c r="D1775" s="1" t="s">
        <v>11</v>
      </c>
      <c r="E1775" s="1" t="s">
        <v>11</v>
      </c>
    </row>
    <row r="1776" spans="1:5" ht="15.75" customHeight="1">
      <c r="A1776" s="1">
        <v>392520</v>
      </c>
      <c r="B1776" s="1" t="s">
        <v>1808</v>
      </c>
      <c r="C1776" s="1" t="s">
        <v>11</v>
      </c>
      <c r="D1776" s="1" t="s">
        <v>11</v>
      </c>
      <c r="E1776" s="1" t="s">
        <v>11</v>
      </c>
    </row>
    <row r="1777" spans="1:5" ht="15.75" customHeight="1">
      <c r="A1777" s="1">
        <v>392530</v>
      </c>
      <c r="B1777" s="1" t="s">
        <v>1809</v>
      </c>
      <c r="C1777" s="1" t="s">
        <v>11</v>
      </c>
      <c r="D1777" s="1" t="s">
        <v>11</v>
      </c>
      <c r="E1777" s="1" t="s">
        <v>11</v>
      </c>
    </row>
    <row r="1778" spans="1:5" ht="15.75" customHeight="1">
      <c r="A1778" s="1">
        <v>392590</v>
      </c>
      <c r="B1778" s="1" t="s">
        <v>1810</v>
      </c>
      <c r="C1778" s="1" t="s">
        <v>11</v>
      </c>
      <c r="D1778" s="1" t="s">
        <v>11</v>
      </c>
      <c r="E1778" s="1" t="s">
        <v>11</v>
      </c>
    </row>
    <row r="1779" spans="1:5" ht="15.75" customHeight="1">
      <c r="A1779" s="1">
        <v>392610</v>
      </c>
      <c r="B1779" s="1" t="s">
        <v>1811</v>
      </c>
      <c r="C1779" s="1" t="s">
        <v>11</v>
      </c>
      <c r="D1779" s="1" t="s">
        <v>11</v>
      </c>
      <c r="E1779" s="1" t="s">
        <v>11</v>
      </c>
    </row>
    <row r="1780" spans="1:5" ht="15.75" customHeight="1">
      <c r="A1780" s="1">
        <v>392620</v>
      </c>
      <c r="B1780" s="1" t="s">
        <v>1812</v>
      </c>
      <c r="C1780" s="1" t="s">
        <v>11</v>
      </c>
      <c r="D1780" s="1" t="s">
        <v>11</v>
      </c>
      <c r="E1780" s="1" t="s">
        <v>11</v>
      </c>
    </row>
    <row r="1781" spans="1:5" ht="15.75" customHeight="1">
      <c r="A1781" s="1">
        <v>392630</v>
      </c>
      <c r="B1781" s="1" t="s">
        <v>1813</v>
      </c>
      <c r="C1781" s="1" t="s">
        <v>11</v>
      </c>
      <c r="D1781" s="1" t="s">
        <v>11</v>
      </c>
      <c r="E1781" s="1" t="s">
        <v>11</v>
      </c>
    </row>
    <row r="1782" spans="1:5" ht="15.75" customHeight="1">
      <c r="A1782" s="1">
        <v>392640</v>
      </c>
      <c r="B1782" s="1" t="s">
        <v>1814</v>
      </c>
      <c r="C1782" s="1" t="s">
        <v>11</v>
      </c>
      <c r="D1782" s="1" t="s">
        <v>11</v>
      </c>
      <c r="E1782" s="1" t="s">
        <v>11</v>
      </c>
    </row>
    <row r="1783" spans="1:5" ht="15.75" customHeight="1">
      <c r="A1783" s="1">
        <v>392690</v>
      </c>
      <c r="B1783" s="1" t="s">
        <v>1815</v>
      </c>
      <c r="C1783" s="1" t="s">
        <v>11</v>
      </c>
      <c r="D1783" s="1" t="s">
        <v>11</v>
      </c>
      <c r="E1783" s="1" t="s">
        <v>11</v>
      </c>
    </row>
    <row r="1784" spans="1:5" ht="15.75" customHeight="1">
      <c r="A1784" s="1">
        <v>400110</v>
      </c>
      <c r="B1784" s="1" t="s">
        <v>1816</v>
      </c>
      <c r="C1784" s="1" t="s">
        <v>11</v>
      </c>
      <c r="D1784" s="1" t="s">
        <v>11</v>
      </c>
      <c r="E1784" s="1" t="s">
        <v>11</v>
      </c>
    </row>
    <row r="1785" spans="1:5" ht="15.75" customHeight="1">
      <c r="A1785" s="1">
        <v>400121</v>
      </c>
      <c r="B1785" s="1" t="s">
        <v>1817</v>
      </c>
      <c r="C1785" s="1" t="s">
        <v>11</v>
      </c>
      <c r="D1785" s="1" t="s">
        <v>11</v>
      </c>
      <c r="E1785" s="1" t="s">
        <v>11</v>
      </c>
    </row>
    <row r="1786" spans="1:5" ht="15.75" customHeight="1">
      <c r="A1786" s="1">
        <v>400122</v>
      </c>
      <c r="B1786" s="1" t="s">
        <v>1818</v>
      </c>
      <c r="C1786" s="1" t="s">
        <v>11</v>
      </c>
      <c r="D1786" s="1" t="s">
        <v>11</v>
      </c>
      <c r="E1786" s="1" t="s">
        <v>11</v>
      </c>
    </row>
    <row r="1787" spans="1:5" ht="15.75" customHeight="1">
      <c r="A1787" s="1">
        <v>400129</v>
      </c>
      <c r="B1787" s="1" t="s">
        <v>1819</v>
      </c>
      <c r="C1787" s="1" t="s">
        <v>11</v>
      </c>
      <c r="D1787" s="1" t="s">
        <v>11</v>
      </c>
      <c r="E1787" s="1" t="s">
        <v>11</v>
      </c>
    </row>
    <row r="1788" spans="1:5" ht="15.75" customHeight="1">
      <c r="A1788" s="1">
        <v>400130</v>
      </c>
      <c r="B1788" s="1" t="s">
        <v>1820</v>
      </c>
      <c r="C1788" s="1" t="s">
        <v>11</v>
      </c>
      <c r="D1788" s="1" t="s">
        <v>11</v>
      </c>
      <c r="E1788" s="1" t="s">
        <v>11</v>
      </c>
    </row>
    <row r="1789" spans="1:5" ht="15.75" customHeight="1">
      <c r="A1789" s="1">
        <v>400211</v>
      </c>
      <c r="B1789" s="1" t="s">
        <v>1821</v>
      </c>
      <c r="C1789" s="1" t="s">
        <v>11</v>
      </c>
      <c r="D1789" s="1" t="s">
        <v>11</v>
      </c>
      <c r="E1789" s="1" t="s">
        <v>11</v>
      </c>
    </row>
    <row r="1790" spans="1:5" ht="15.75" customHeight="1">
      <c r="A1790" s="1">
        <v>400219</v>
      </c>
      <c r="B1790" s="1" t="s">
        <v>1822</v>
      </c>
      <c r="C1790" s="1" t="s">
        <v>11</v>
      </c>
      <c r="D1790" s="1" t="s">
        <v>11</v>
      </c>
      <c r="E1790" s="1" t="s">
        <v>11</v>
      </c>
    </row>
    <row r="1791" spans="1:5" ht="15.75" customHeight="1">
      <c r="A1791" s="1">
        <v>400220</v>
      </c>
      <c r="B1791" s="1" t="s">
        <v>1823</v>
      </c>
      <c r="C1791" s="1" t="s">
        <v>11</v>
      </c>
      <c r="D1791" s="1" t="s">
        <v>11</v>
      </c>
      <c r="E1791" s="1" t="s">
        <v>11</v>
      </c>
    </row>
    <row r="1792" spans="1:5" ht="15.75" customHeight="1">
      <c r="A1792" s="1">
        <v>400231</v>
      </c>
      <c r="B1792" s="1" t="s">
        <v>1824</v>
      </c>
      <c r="C1792" s="1" t="s">
        <v>11</v>
      </c>
      <c r="D1792" s="1" t="s">
        <v>11</v>
      </c>
      <c r="E1792" s="1" t="s">
        <v>11</v>
      </c>
    </row>
    <row r="1793" spans="1:5" ht="15.75" customHeight="1">
      <c r="A1793" s="1">
        <v>400239</v>
      </c>
      <c r="B1793" s="1" t="s">
        <v>1825</v>
      </c>
      <c r="C1793" s="1" t="s">
        <v>11</v>
      </c>
      <c r="D1793" s="1" t="s">
        <v>11</v>
      </c>
      <c r="E1793" s="1" t="s">
        <v>11</v>
      </c>
    </row>
    <row r="1794" spans="1:5" ht="15.75" customHeight="1">
      <c r="A1794" s="1">
        <v>400241</v>
      </c>
      <c r="B1794" s="1" t="s">
        <v>1826</v>
      </c>
      <c r="C1794" s="1" t="s">
        <v>11</v>
      </c>
      <c r="D1794" s="1" t="s">
        <v>11</v>
      </c>
      <c r="E1794" s="1" t="s">
        <v>11</v>
      </c>
    </row>
    <row r="1795" spans="1:5" ht="15.75" customHeight="1">
      <c r="A1795" s="1">
        <v>400249</v>
      </c>
      <c r="B1795" s="1" t="s">
        <v>1827</v>
      </c>
      <c r="C1795" s="1" t="s">
        <v>11</v>
      </c>
      <c r="D1795" s="1" t="s">
        <v>11</v>
      </c>
      <c r="E1795" s="1" t="s">
        <v>11</v>
      </c>
    </row>
    <row r="1796" spans="1:5" ht="15.75" customHeight="1">
      <c r="A1796" s="1">
        <v>400251</v>
      </c>
      <c r="B1796" s="1" t="s">
        <v>1828</v>
      </c>
      <c r="C1796" s="1" t="s">
        <v>11</v>
      </c>
      <c r="D1796" s="1" t="s">
        <v>11</v>
      </c>
      <c r="E1796" s="1" t="s">
        <v>11</v>
      </c>
    </row>
    <row r="1797" spans="1:5" ht="15.75" customHeight="1">
      <c r="A1797" s="1">
        <v>400259</v>
      </c>
      <c r="B1797" s="1" t="s">
        <v>1829</v>
      </c>
      <c r="C1797" s="1" t="s">
        <v>11</v>
      </c>
      <c r="D1797" s="1" t="s">
        <v>11</v>
      </c>
      <c r="E1797" s="1" t="s">
        <v>11</v>
      </c>
    </row>
    <row r="1798" spans="1:5" ht="15.75" customHeight="1">
      <c r="A1798" s="1">
        <v>400260</v>
      </c>
      <c r="B1798" s="1" t="s">
        <v>1830</v>
      </c>
      <c r="C1798" s="1" t="s">
        <v>11</v>
      </c>
      <c r="D1798" s="1" t="s">
        <v>11</v>
      </c>
      <c r="E1798" s="1" t="s">
        <v>11</v>
      </c>
    </row>
    <row r="1799" spans="1:5" ht="15.75" customHeight="1">
      <c r="A1799" s="1">
        <v>400270</v>
      </c>
      <c r="B1799" s="1" t="s">
        <v>1831</v>
      </c>
      <c r="C1799" s="1" t="s">
        <v>11</v>
      </c>
      <c r="D1799" s="1" t="s">
        <v>11</v>
      </c>
      <c r="E1799" s="1" t="s">
        <v>11</v>
      </c>
    </row>
    <row r="1800" spans="1:5" ht="15.75" customHeight="1">
      <c r="A1800" s="1">
        <v>400280</v>
      </c>
      <c r="B1800" s="1" t="s">
        <v>1832</v>
      </c>
      <c r="C1800" s="1" t="s">
        <v>11</v>
      </c>
      <c r="D1800" s="1" t="s">
        <v>11</v>
      </c>
      <c r="E1800" s="1" t="s">
        <v>11</v>
      </c>
    </row>
    <row r="1801" spans="1:5" ht="15.75" customHeight="1">
      <c r="A1801" s="1">
        <v>400291</v>
      </c>
      <c r="B1801" s="1" t="s">
        <v>1833</v>
      </c>
      <c r="C1801" s="1" t="s">
        <v>11</v>
      </c>
      <c r="D1801" s="1" t="s">
        <v>11</v>
      </c>
      <c r="E1801" s="1" t="s">
        <v>11</v>
      </c>
    </row>
    <row r="1802" spans="1:5" ht="15.75" customHeight="1">
      <c r="A1802" s="1">
        <v>400299</v>
      </c>
      <c r="B1802" s="1" t="s">
        <v>1834</v>
      </c>
      <c r="C1802" s="1" t="s">
        <v>11</v>
      </c>
      <c r="D1802" s="1" t="s">
        <v>11</v>
      </c>
      <c r="E1802" s="1" t="s">
        <v>11</v>
      </c>
    </row>
    <row r="1803" spans="1:5" ht="15.75" customHeight="1">
      <c r="A1803" s="1">
        <v>400300</v>
      </c>
      <c r="B1803" s="1" t="s">
        <v>1835</v>
      </c>
      <c r="C1803" s="1" t="s">
        <v>11</v>
      </c>
      <c r="D1803" s="1" t="s">
        <v>11</v>
      </c>
      <c r="E1803" s="1" t="s">
        <v>11</v>
      </c>
    </row>
    <row r="1804" spans="1:5" ht="15.75" customHeight="1">
      <c r="A1804" s="1">
        <v>400400</v>
      </c>
      <c r="B1804" s="1" t="s">
        <v>1836</v>
      </c>
      <c r="C1804" s="1" t="s">
        <v>11</v>
      </c>
      <c r="D1804" s="1" t="s">
        <v>11</v>
      </c>
      <c r="E1804" s="1" t="s">
        <v>11</v>
      </c>
    </row>
    <row r="1805" spans="1:5" ht="15.75" customHeight="1">
      <c r="A1805" s="1">
        <v>400510</v>
      </c>
      <c r="B1805" s="1" t="s">
        <v>1837</v>
      </c>
      <c r="C1805" s="1" t="s">
        <v>11</v>
      </c>
      <c r="D1805" s="1" t="s">
        <v>11</v>
      </c>
      <c r="E1805" s="1" t="s">
        <v>11</v>
      </c>
    </row>
    <row r="1806" spans="1:5" ht="15.75" customHeight="1">
      <c r="A1806" s="1">
        <v>400520</v>
      </c>
      <c r="B1806" s="1" t="s">
        <v>1838</v>
      </c>
      <c r="C1806" s="1" t="s">
        <v>11</v>
      </c>
      <c r="D1806" s="1" t="s">
        <v>11</v>
      </c>
      <c r="E1806" s="1" t="s">
        <v>11</v>
      </c>
    </row>
    <row r="1807" spans="1:5" ht="15.75" customHeight="1">
      <c r="A1807" s="1">
        <v>400591</v>
      </c>
      <c r="B1807" s="1" t="s">
        <v>1839</v>
      </c>
      <c r="C1807" s="1" t="s">
        <v>11</v>
      </c>
      <c r="D1807" s="1" t="s">
        <v>11</v>
      </c>
      <c r="E1807" s="1" t="s">
        <v>11</v>
      </c>
    </row>
    <row r="1808" spans="1:5" ht="15.75" customHeight="1">
      <c r="A1808" s="1">
        <v>400599</v>
      </c>
      <c r="B1808" s="1" t="s">
        <v>1840</v>
      </c>
      <c r="C1808" s="1" t="s">
        <v>11</v>
      </c>
      <c r="D1808" s="1" t="s">
        <v>11</v>
      </c>
      <c r="E1808" s="1" t="s">
        <v>11</v>
      </c>
    </row>
    <row r="1809" spans="1:5" ht="15.75" customHeight="1">
      <c r="A1809" s="1">
        <v>400610</v>
      </c>
      <c r="B1809" s="1" t="s">
        <v>1841</v>
      </c>
      <c r="C1809" s="1" t="s">
        <v>11</v>
      </c>
      <c r="D1809" s="1" t="s">
        <v>11</v>
      </c>
      <c r="E1809" s="1" t="s">
        <v>11</v>
      </c>
    </row>
    <row r="1810" spans="1:5" ht="15.75" customHeight="1">
      <c r="A1810" s="1">
        <v>400690</v>
      </c>
      <c r="B1810" s="1" t="s">
        <v>1842</v>
      </c>
      <c r="C1810" s="1" t="s">
        <v>11</v>
      </c>
      <c r="D1810" s="1" t="s">
        <v>11</v>
      </c>
      <c r="E1810" s="1" t="s">
        <v>11</v>
      </c>
    </row>
    <row r="1811" spans="1:5" ht="15.75" customHeight="1">
      <c r="A1811" s="1">
        <v>400700</v>
      </c>
      <c r="B1811" s="1" t="s">
        <v>1843</v>
      </c>
      <c r="C1811" s="1" t="s">
        <v>11</v>
      </c>
      <c r="D1811" s="1" t="s">
        <v>11</v>
      </c>
      <c r="E1811" s="1" t="s">
        <v>11</v>
      </c>
    </row>
    <row r="1812" spans="1:5" ht="15.75" customHeight="1">
      <c r="A1812" s="1">
        <v>400811</v>
      </c>
      <c r="B1812" s="1" t="s">
        <v>1844</v>
      </c>
      <c r="C1812" s="1" t="s">
        <v>11</v>
      </c>
      <c r="D1812" s="1" t="s">
        <v>11</v>
      </c>
      <c r="E1812" s="1" t="s">
        <v>11</v>
      </c>
    </row>
    <row r="1813" spans="1:5" ht="15.75" customHeight="1">
      <c r="A1813" s="1">
        <v>400819</v>
      </c>
      <c r="B1813" s="1" t="s">
        <v>1845</v>
      </c>
      <c r="C1813" s="1" t="s">
        <v>11</v>
      </c>
      <c r="D1813" s="1" t="s">
        <v>11</v>
      </c>
      <c r="E1813" s="1" t="s">
        <v>11</v>
      </c>
    </row>
    <row r="1814" spans="1:5" ht="15.75" customHeight="1">
      <c r="A1814" s="1">
        <v>400821</v>
      </c>
      <c r="B1814" s="1" t="s">
        <v>1846</v>
      </c>
      <c r="C1814" s="1" t="s">
        <v>11</v>
      </c>
      <c r="D1814" s="1" t="s">
        <v>11</v>
      </c>
      <c r="E1814" s="1" t="s">
        <v>11</v>
      </c>
    </row>
    <row r="1815" spans="1:5" ht="15.75" customHeight="1">
      <c r="A1815" s="1">
        <v>400829</v>
      </c>
      <c r="B1815" s="1" t="s">
        <v>1847</v>
      </c>
      <c r="C1815" s="1" t="s">
        <v>11</v>
      </c>
      <c r="D1815" s="1" t="s">
        <v>11</v>
      </c>
      <c r="E1815" s="1" t="s">
        <v>11</v>
      </c>
    </row>
    <row r="1816" spans="1:5" ht="15.75" customHeight="1">
      <c r="A1816" s="1">
        <v>400911</v>
      </c>
      <c r="B1816" s="1" t="s">
        <v>1848</v>
      </c>
      <c r="C1816" s="1" t="s">
        <v>11</v>
      </c>
      <c r="D1816" s="1" t="s">
        <v>11</v>
      </c>
      <c r="E1816" s="1" t="s">
        <v>11</v>
      </c>
    </row>
    <row r="1817" spans="1:5" ht="15.75" customHeight="1">
      <c r="A1817" s="1">
        <v>400912</v>
      </c>
      <c r="B1817" s="1" t="s">
        <v>1849</v>
      </c>
      <c r="C1817" s="1" t="s">
        <v>11</v>
      </c>
      <c r="D1817" s="1" t="s">
        <v>11</v>
      </c>
      <c r="E1817" s="1" t="s">
        <v>11</v>
      </c>
    </row>
    <row r="1818" spans="1:5" ht="15.75" customHeight="1">
      <c r="A1818" s="1">
        <v>400921</v>
      </c>
      <c r="B1818" s="1" t="s">
        <v>1850</v>
      </c>
      <c r="C1818" s="1" t="s">
        <v>11</v>
      </c>
      <c r="D1818" s="1" t="s">
        <v>11</v>
      </c>
      <c r="E1818" s="1" t="s">
        <v>11</v>
      </c>
    </row>
    <row r="1819" spans="1:5" ht="15.75" customHeight="1">
      <c r="A1819" s="1">
        <v>400922</v>
      </c>
      <c r="B1819" s="1" t="s">
        <v>1851</v>
      </c>
      <c r="C1819" s="1" t="s">
        <v>11</v>
      </c>
      <c r="D1819" s="1" t="s">
        <v>11</v>
      </c>
      <c r="E1819" s="1" t="s">
        <v>11</v>
      </c>
    </row>
    <row r="1820" spans="1:5" ht="15.75" customHeight="1">
      <c r="A1820" s="1">
        <v>400931</v>
      </c>
      <c r="B1820" s="1" t="s">
        <v>1852</v>
      </c>
      <c r="C1820" s="1" t="s">
        <v>11</v>
      </c>
      <c r="D1820" s="1" t="s">
        <v>11</v>
      </c>
      <c r="E1820" s="1" t="s">
        <v>11</v>
      </c>
    </row>
    <row r="1821" spans="1:5" ht="15.75" customHeight="1">
      <c r="A1821" s="1">
        <v>400932</v>
      </c>
      <c r="B1821" s="1" t="s">
        <v>1853</v>
      </c>
      <c r="C1821" s="1" t="s">
        <v>11</v>
      </c>
      <c r="D1821" s="1" t="s">
        <v>11</v>
      </c>
      <c r="E1821" s="1" t="s">
        <v>11</v>
      </c>
    </row>
    <row r="1822" spans="1:5" ht="15.75" customHeight="1">
      <c r="A1822" s="1">
        <v>400941</v>
      </c>
      <c r="B1822" s="1" t="s">
        <v>1854</v>
      </c>
      <c r="C1822" s="1" t="s">
        <v>11</v>
      </c>
      <c r="D1822" s="1" t="s">
        <v>11</v>
      </c>
      <c r="E1822" s="1" t="s">
        <v>11</v>
      </c>
    </row>
    <row r="1823" spans="1:5" ht="15.75" customHeight="1">
      <c r="A1823" s="1">
        <v>400942</v>
      </c>
      <c r="B1823" s="1" t="s">
        <v>1855</v>
      </c>
      <c r="C1823" s="1" t="s">
        <v>11</v>
      </c>
      <c r="D1823" s="1" t="s">
        <v>11</v>
      </c>
      <c r="E1823" s="1" t="s">
        <v>11</v>
      </c>
    </row>
    <row r="1824" spans="1:5" ht="15.75" customHeight="1">
      <c r="A1824" s="1">
        <v>401011</v>
      </c>
      <c r="B1824" s="1" t="s">
        <v>1856</v>
      </c>
      <c r="C1824" s="1" t="s">
        <v>11</v>
      </c>
      <c r="D1824" s="1" t="s">
        <v>11</v>
      </c>
      <c r="E1824" s="1" t="s">
        <v>11</v>
      </c>
    </row>
    <row r="1825" spans="1:5" ht="15.75" customHeight="1">
      <c r="A1825" s="1">
        <v>401012</v>
      </c>
      <c r="B1825" s="1" t="s">
        <v>1857</v>
      </c>
      <c r="C1825" s="1" t="s">
        <v>11</v>
      </c>
      <c r="D1825" s="1" t="s">
        <v>11</v>
      </c>
      <c r="E1825" s="1" t="s">
        <v>11</v>
      </c>
    </row>
    <row r="1826" spans="1:5" ht="15.75" customHeight="1">
      <c r="A1826" s="1">
        <v>401019</v>
      </c>
      <c r="B1826" s="1" t="s">
        <v>1858</v>
      </c>
      <c r="C1826" s="1" t="s">
        <v>11</v>
      </c>
      <c r="D1826" s="1" t="s">
        <v>11</v>
      </c>
      <c r="E1826" s="1" t="s">
        <v>11</v>
      </c>
    </row>
    <row r="1827" spans="1:5" ht="15.75" customHeight="1">
      <c r="A1827" s="1">
        <v>401031</v>
      </c>
      <c r="B1827" s="1" t="s">
        <v>1859</v>
      </c>
      <c r="C1827" s="1" t="s">
        <v>11</v>
      </c>
      <c r="D1827" s="1" t="s">
        <v>11</v>
      </c>
      <c r="E1827" s="1" t="s">
        <v>11</v>
      </c>
    </row>
    <row r="1828" spans="1:5" ht="15.75" customHeight="1">
      <c r="A1828" s="1">
        <v>401032</v>
      </c>
      <c r="B1828" s="1" t="s">
        <v>1860</v>
      </c>
      <c r="C1828" s="1" t="s">
        <v>11</v>
      </c>
      <c r="D1828" s="1" t="s">
        <v>11</v>
      </c>
      <c r="E1828" s="1" t="s">
        <v>11</v>
      </c>
    </row>
    <row r="1829" spans="1:5" ht="15.75" customHeight="1">
      <c r="A1829" s="1">
        <v>401033</v>
      </c>
      <c r="B1829" s="1" t="s">
        <v>1861</v>
      </c>
      <c r="C1829" s="1" t="s">
        <v>11</v>
      </c>
      <c r="D1829" s="1" t="s">
        <v>11</v>
      </c>
      <c r="E1829" s="1" t="s">
        <v>11</v>
      </c>
    </row>
    <row r="1830" spans="1:5" ht="15.75" customHeight="1">
      <c r="A1830" s="1">
        <v>401034</v>
      </c>
      <c r="B1830" s="1" t="s">
        <v>1862</v>
      </c>
      <c r="C1830" s="1" t="s">
        <v>11</v>
      </c>
      <c r="D1830" s="1" t="s">
        <v>11</v>
      </c>
      <c r="E1830" s="1" t="s">
        <v>11</v>
      </c>
    </row>
    <row r="1831" spans="1:5" ht="15.75" customHeight="1">
      <c r="A1831" s="1">
        <v>401035</v>
      </c>
      <c r="B1831" s="1" t="s">
        <v>1863</v>
      </c>
      <c r="C1831" s="1" t="s">
        <v>11</v>
      </c>
      <c r="D1831" s="1" t="s">
        <v>11</v>
      </c>
      <c r="E1831" s="1" t="s">
        <v>11</v>
      </c>
    </row>
    <row r="1832" spans="1:5" ht="15.75" customHeight="1">
      <c r="A1832" s="1">
        <v>401036</v>
      </c>
      <c r="B1832" s="1" t="s">
        <v>1864</v>
      </c>
      <c r="C1832" s="1" t="s">
        <v>11</v>
      </c>
      <c r="D1832" s="1" t="s">
        <v>11</v>
      </c>
      <c r="E1832" s="1" t="s">
        <v>11</v>
      </c>
    </row>
    <row r="1833" spans="1:5" ht="15.75" customHeight="1">
      <c r="A1833" s="1">
        <v>401039</v>
      </c>
      <c r="B1833" s="1" t="s">
        <v>1865</v>
      </c>
      <c r="C1833" s="1" t="s">
        <v>11</v>
      </c>
      <c r="D1833" s="1" t="s">
        <v>11</v>
      </c>
      <c r="E1833" s="1" t="s">
        <v>11</v>
      </c>
    </row>
    <row r="1834" spans="1:5" ht="15.75" customHeight="1">
      <c r="A1834" s="1">
        <v>401110</v>
      </c>
      <c r="B1834" s="1" t="s">
        <v>1866</v>
      </c>
      <c r="C1834" s="1" t="s">
        <v>11</v>
      </c>
      <c r="D1834" s="1" t="s">
        <v>11</v>
      </c>
      <c r="E1834" s="1" t="s">
        <v>11</v>
      </c>
    </row>
    <row r="1835" spans="1:5" ht="15.75" customHeight="1">
      <c r="A1835" s="1">
        <v>401120</v>
      </c>
      <c r="B1835" s="1" t="s">
        <v>1867</v>
      </c>
      <c r="C1835" s="1" t="s">
        <v>11</v>
      </c>
      <c r="D1835" s="1" t="s">
        <v>11</v>
      </c>
      <c r="E1835" s="1" t="s">
        <v>11</v>
      </c>
    </row>
    <row r="1836" spans="1:5" ht="15.75" customHeight="1">
      <c r="A1836" s="1">
        <v>401130</v>
      </c>
      <c r="B1836" s="1" t="s">
        <v>1868</v>
      </c>
      <c r="C1836" s="1" t="s">
        <v>11</v>
      </c>
      <c r="D1836" s="1" t="s">
        <v>11</v>
      </c>
      <c r="E1836" s="1" t="s">
        <v>11</v>
      </c>
    </row>
    <row r="1837" spans="1:5" ht="15.75" customHeight="1">
      <c r="A1837" s="1">
        <v>401140</v>
      </c>
      <c r="B1837" s="1" t="s">
        <v>1869</v>
      </c>
      <c r="C1837" s="1" t="s">
        <v>11</v>
      </c>
      <c r="D1837" s="1" t="s">
        <v>11</v>
      </c>
      <c r="E1837" s="1" t="s">
        <v>11</v>
      </c>
    </row>
    <row r="1838" spans="1:5" ht="15.75" customHeight="1">
      <c r="A1838" s="1">
        <v>401150</v>
      </c>
      <c r="B1838" s="1" t="s">
        <v>1870</v>
      </c>
      <c r="C1838" s="1" t="s">
        <v>11</v>
      </c>
      <c r="D1838" s="1" t="s">
        <v>11</v>
      </c>
      <c r="E1838" s="1" t="s">
        <v>11</v>
      </c>
    </row>
    <row r="1839" spans="1:5" ht="15.75" customHeight="1">
      <c r="A1839" s="1">
        <v>401161</v>
      </c>
      <c r="B1839" s="1" t="s">
        <v>1871</v>
      </c>
      <c r="C1839" s="1" t="s">
        <v>11</v>
      </c>
      <c r="D1839" s="1" t="s">
        <v>11</v>
      </c>
      <c r="E1839" s="1" t="s">
        <v>11</v>
      </c>
    </row>
    <row r="1840" spans="1:5" ht="15.75" customHeight="1">
      <c r="A1840" s="1">
        <v>401162</v>
      </c>
      <c r="B1840" s="1" t="s">
        <v>1872</v>
      </c>
      <c r="C1840" s="1" t="s">
        <v>11</v>
      </c>
      <c r="D1840" s="1" t="s">
        <v>11</v>
      </c>
      <c r="E1840" s="1" t="s">
        <v>11</v>
      </c>
    </row>
    <row r="1841" spans="1:5" ht="15.75" customHeight="1">
      <c r="A1841" s="1">
        <v>401163</v>
      </c>
      <c r="B1841" s="1" t="s">
        <v>1873</v>
      </c>
      <c r="C1841" s="1" t="s">
        <v>11</v>
      </c>
      <c r="D1841" s="1" t="s">
        <v>11</v>
      </c>
      <c r="E1841" s="1" t="s">
        <v>11</v>
      </c>
    </row>
    <row r="1842" spans="1:5" ht="15.75" customHeight="1">
      <c r="A1842" s="1">
        <v>401169</v>
      </c>
      <c r="B1842" s="1" t="s">
        <v>1874</v>
      </c>
      <c r="C1842" s="1" t="s">
        <v>11</v>
      </c>
      <c r="D1842" s="1" t="s">
        <v>11</v>
      </c>
      <c r="E1842" s="1" t="s">
        <v>11</v>
      </c>
    </row>
    <row r="1843" spans="1:5" ht="15.75" customHeight="1">
      <c r="A1843" s="1">
        <v>401192</v>
      </c>
      <c r="B1843" s="1" t="s">
        <v>1875</v>
      </c>
      <c r="C1843" s="1" t="s">
        <v>11</v>
      </c>
      <c r="D1843" s="1" t="s">
        <v>11</v>
      </c>
      <c r="E1843" s="1" t="s">
        <v>11</v>
      </c>
    </row>
    <row r="1844" spans="1:5" ht="15.75" customHeight="1">
      <c r="A1844" s="1">
        <v>401193</v>
      </c>
      <c r="B1844" s="1" t="s">
        <v>1876</v>
      </c>
      <c r="C1844" s="1" t="s">
        <v>11</v>
      </c>
      <c r="D1844" s="1" t="s">
        <v>11</v>
      </c>
      <c r="E1844" s="1" t="s">
        <v>11</v>
      </c>
    </row>
    <row r="1845" spans="1:5" ht="15.75" customHeight="1">
      <c r="A1845" s="1">
        <v>401194</v>
      </c>
      <c r="B1845" s="1" t="s">
        <v>1877</v>
      </c>
      <c r="C1845" s="1" t="s">
        <v>11</v>
      </c>
      <c r="D1845" s="1" t="s">
        <v>11</v>
      </c>
      <c r="E1845" s="1" t="s">
        <v>11</v>
      </c>
    </row>
    <row r="1846" spans="1:5" ht="15.75" customHeight="1">
      <c r="A1846" s="1">
        <v>401199</v>
      </c>
      <c r="B1846" s="1" t="s">
        <v>1878</v>
      </c>
      <c r="C1846" s="1" t="s">
        <v>11</v>
      </c>
      <c r="D1846" s="1" t="s">
        <v>11</v>
      </c>
      <c r="E1846" s="1" t="s">
        <v>11</v>
      </c>
    </row>
    <row r="1847" spans="1:5" ht="15.75" customHeight="1">
      <c r="A1847" s="1">
        <v>401211</v>
      </c>
      <c r="B1847" s="1" t="s">
        <v>1879</v>
      </c>
      <c r="C1847" s="1" t="s">
        <v>11</v>
      </c>
      <c r="D1847" s="1" t="s">
        <v>11</v>
      </c>
      <c r="E1847" s="1" t="s">
        <v>11</v>
      </c>
    </row>
    <row r="1848" spans="1:5" ht="15.75" customHeight="1">
      <c r="A1848" s="1">
        <v>401212</v>
      </c>
      <c r="B1848" s="1" t="s">
        <v>1880</v>
      </c>
      <c r="C1848" s="1" t="s">
        <v>11</v>
      </c>
      <c r="D1848" s="1" t="s">
        <v>11</v>
      </c>
      <c r="E1848" s="1" t="s">
        <v>11</v>
      </c>
    </row>
    <row r="1849" spans="1:5" ht="15.75" customHeight="1">
      <c r="A1849" s="1">
        <v>401213</v>
      </c>
      <c r="B1849" s="1" t="s">
        <v>1881</v>
      </c>
      <c r="C1849" s="1" t="s">
        <v>11</v>
      </c>
      <c r="D1849" s="1" t="s">
        <v>11</v>
      </c>
      <c r="E1849" s="1" t="s">
        <v>11</v>
      </c>
    </row>
    <row r="1850" spans="1:5" ht="15.75" customHeight="1">
      <c r="A1850" s="1">
        <v>401219</v>
      </c>
      <c r="B1850" s="1" t="s">
        <v>1882</v>
      </c>
      <c r="C1850" s="1" t="s">
        <v>11</v>
      </c>
      <c r="D1850" s="1" t="s">
        <v>11</v>
      </c>
      <c r="E1850" s="1" t="s">
        <v>11</v>
      </c>
    </row>
    <row r="1851" spans="1:5" ht="15.75" customHeight="1">
      <c r="A1851" s="1">
        <v>401220</v>
      </c>
      <c r="B1851" s="1" t="s">
        <v>1883</v>
      </c>
      <c r="C1851" s="1" t="s">
        <v>11</v>
      </c>
      <c r="D1851" s="1" t="s">
        <v>11</v>
      </c>
      <c r="E1851" s="1" t="s">
        <v>11</v>
      </c>
    </row>
    <row r="1852" spans="1:5" ht="15.75" customHeight="1">
      <c r="A1852" s="1">
        <v>401290</v>
      </c>
      <c r="B1852" s="1" t="s">
        <v>1884</v>
      </c>
      <c r="C1852" s="1" t="s">
        <v>11</v>
      </c>
      <c r="D1852" s="1" t="s">
        <v>11</v>
      </c>
      <c r="E1852" s="1" t="s">
        <v>11</v>
      </c>
    </row>
    <row r="1853" spans="1:5" ht="15.75" customHeight="1">
      <c r="A1853" s="1">
        <v>401310</v>
      </c>
      <c r="B1853" s="1" t="s">
        <v>1885</v>
      </c>
      <c r="C1853" s="1" t="s">
        <v>11</v>
      </c>
      <c r="D1853" s="1" t="s">
        <v>11</v>
      </c>
      <c r="E1853" s="1" t="s">
        <v>11</v>
      </c>
    </row>
    <row r="1854" spans="1:5" ht="15.75" customHeight="1">
      <c r="A1854" s="1">
        <v>401320</v>
      </c>
      <c r="B1854" s="1" t="s">
        <v>1886</v>
      </c>
      <c r="C1854" s="1" t="s">
        <v>11</v>
      </c>
      <c r="D1854" s="1" t="s">
        <v>11</v>
      </c>
      <c r="E1854" s="1" t="s">
        <v>11</v>
      </c>
    </row>
    <row r="1855" spans="1:5" ht="15.75" customHeight="1">
      <c r="A1855" s="1">
        <v>401390</v>
      </c>
      <c r="B1855" s="1" t="s">
        <v>1887</v>
      </c>
      <c r="C1855" s="1" t="s">
        <v>11</v>
      </c>
      <c r="D1855" s="1" t="s">
        <v>11</v>
      </c>
      <c r="E1855" s="1" t="s">
        <v>11</v>
      </c>
    </row>
    <row r="1856" spans="1:5" ht="15.75" customHeight="1">
      <c r="A1856" s="1">
        <v>401410</v>
      </c>
      <c r="B1856" s="1" t="s">
        <v>1888</v>
      </c>
      <c r="C1856" s="1" t="s">
        <v>11</v>
      </c>
      <c r="D1856" s="1" t="s">
        <v>11</v>
      </c>
      <c r="E1856" s="1" t="s">
        <v>11</v>
      </c>
    </row>
    <row r="1857" spans="1:6" ht="15.75" customHeight="1">
      <c r="A1857" s="1">
        <v>401490</v>
      </c>
      <c r="B1857" s="2" t="s">
        <v>1889</v>
      </c>
      <c r="C1857" s="1">
        <v>1</v>
      </c>
      <c r="D1857" s="1" t="s">
        <v>1418</v>
      </c>
      <c r="E1857" s="1" t="s">
        <v>1418</v>
      </c>
      <c r="F1857" s="2" t="s">
        <v>1419</v>
      </c>
    </row>
    <row r="1858" spans="1:6" ht="15.75" customHeight="1">
      <c r="A1858" s="1">
        <v>401511</v>
      </c>
      <c r="B1858" s="1" t="s">
        <v>1890</v>
      </c>
      <c r="C1858" s="1">
        <v>1</v>
      </c>
      <c r="D1858" s="1" t="s">
        <v>1418</v>
      </c>
      <c r="E1858" s="1" t="s">
        <v>1418</v>
      </c>
      <c r="F1858" s="2" t="s">
        <v>1419</v>
      </c>
    </row>
    <row r="1859" spans="1:6" ht="15.75" customHeight="1">
      <c r="A1859" s="1">
        <v>401519</v>
      </c>
      <c r="B1859" s="1" t="s">
        <v>1891</v>
      </c>
      <c r="C1859" s="1" t="s">
        <v>11</v>
      </c>
      <c r="D1859" s="1" t="s">
        <v>11</v>
      </c>
      <c r="E1859" s="1" t="s">
        <v>11</v>
      </c>
    </row>
    <row r="1860" spans="1:6" ht="15.75" customHeight="1">
      <c r="A1860" s="1">
        <v>401590</v>
      </c>
      <c r="B1860" s="1" t="s">
        <v>1892</v>
      </c>
      <c r="C1860" s="1" t="s">
        <v>11</v>
      </c>
      <c r="D1860" s="1" t="s">
        <v>11</v>
      </c>
      <c r="E1860" s="1" t="s">
        <v>11</v>
      </c>
    </row>
    <row r="1861" spans="1:6" ht="15.75" customHeight="1">
      <c r="A1861" s="1">
        <v>401610</v>
      </c>
      <c r="B1861" s="1" t="s">
        <v>1893</v>
      </c>
      <c r="C1861" s="1" t="s">
        <v>11</v>
      </c>
      <c r="D1861" s="1" t="s">
        <v>11</v>
      </c>
      <c r="E1861" s="1" t="s">
        <v>11</v>
      </c>
    </row>
    <row r="1862" spans="1:6" ht="15.75" customHeight="1">
      <c r="A1862" s="1">
        <v>401691</v>
      </c>
      <c r="B1862" s="1" t="s">
        <v>1894</v>
      </c>
      <c r="C1862" s="1" t="s">
        <v>11</v>
      </c>
      <c r="D1862" s="1" t="s">
        <v>11</v>
      </c>
      <c r="E1862" s="1" t="s">
        <v>11</v>
      </c>
    </row>
    <row r="1863" spans="1:6" ht="15.75" customHeight="1">
      <c r="A1863" s="1">
        <v>401692</v>
      </c>
      <c r="B1863" s="1" t="s">
        <v>1895</v>
      </c>
      <c r="C1863" s="1" t="s">
        <v>11</v>
      </c>
      <c r="D1863" s="1" t="s">
        <v>11</v>
      </c>
      <c r="E1863" s="1" t="s">
        <v>11</v>
      </c>
    </row>
    <row r="1864" spans="1:6" ht="15.75" customHeight="1">
      <c r="A1864" s="1">
        <v>401693</v>
      </c>
      <c r="B1864" s="1" t="s">
        <v>1896</v>
      </c>
      <c r="C1864" s="1" t="s">
        <v>11</v>
      </c>
      <c r="D1864" s="1" t="s">
        <v>11</v>
      </c>
      <c r="E1864" s="1" t="s">
        <v>11</v>
      </c>
    </row>
    <row r="1865" spans="1:6" ht="15.75" customHeight="1">
      <c r="A1865" s="1">
        <v>401694</v>
      </c>
      <c r="B1865" s="1" t="s">
        <v>1897</v>
      </c>
      <c r="C1865" s="1" t="s">
        <v>11</v>
      </c>
      <c r="D1865" s="1" t="s">
        <v>11</v>
      </c>
      <c r="E1865" s="1" t="s">
        <v>11</v>
      </c>
    </row>
    <row r="1866" spans="1:6" ht="15.75" customHeight="1">
      <c r="A1866" s="1">
        <v>401695</v>
      </c>
      <c r="B1866" s="1" t="s">
        <v>1898</v>
      </c>
      <c r="C1866" s="1" t="s">
        <v>11</v>
      </c>
      <c r="D1866" s="1" t="s">
        <v>11</v>
      </c>
      <c r="E1866" s="1" t="s">
        <v>11</v>
      </c>
    </row>
    <row r="1867" spans="1:6" ht="15.75" customHeight="1">
      <c r="A1867" s="1">
        <v>401699</v>
      </c>
      <c r="B1867" s="1" t="s">
        <v>1899</v>
      </c>
      <c r="C1867" s="1" t="s">
        <v>11</v>
      </c>
      <c r="D1867" s="1" t="s">
        <v>11</v>
      </c>
      <c r="E1867" s="1" t="s">
        <v>11</v>
      </c>
    </row>
    <row r="1868" spans="1:6" ht="15.75" customHeight="1">
      <c r="A1868" s="1">
        <v>401700</v>
      </c>
      <c r="B1868" s="1" t="s">
        <v>1900</v>
      </c>
      <c r="C1868" s="1" t="s">
        <v>11</v>
      </c>
      <c r="D1868" s="1" t="s">
        <v>11</v>
      </c>
      <c r="E1868" s="1" t="s">
        <v>11</v>
      </c>
    </row>
    <row r="1869" spans="1:6" ht="15.75" customHeight="1">
      <c r="A1869" s="1">
        <v>410120</v>
      </c>
      <c r="B1869" s="1" t="s">
        <v>1901</v>
      </c>
      <c r="C1869" s="1" t="s">
        <v>11</v>
      </c>
      <c r="D1869" s="1" t="s">
        <v>11</v>
      </c>
      <c r="E1869" s="1" t="s">
        <v>11</v>
      </c>
    </row>
    <row r="1870" spans="1:6" ht="15.75" customHeight="1">
      <c r="A1870" s="1">
        <v>410150</v>
      </c>
      <c r="B1870" s="1" t="s">
        <v>1902</v>
      </c>
      <c r="C1870" s="1" t="s">
        <v>11</v>
      </c>
      <c r="D1870" s="1" t="s">
        <v>11</v>
      </c>
      <c r="E1870" s="1" t="s">
        <v>11</v>
      </c>
    </row>
    <row r="1871" spans="1:6" ht="15.75" customHeight="1">
      <c r="A1871" s="1">
        <v>410190</v>
      </c>
      <c r="B1871" s="1" t="s">
        <v>1903</v>
      </c>
      <c r="C1871" s="1" t="s">
        <v>11</v>
      </c>
      <c r="D1871" s="1" t="s">
        <v>11</v>
      </c>
      <c r="E1871" s="1" t="s">
        <v>11</v>
      </c>
    </row>
    <row r="1872" spans="1:6" ht="15.75" customHeight="1">
      <c r="A1872" s="1">
        <v>410210</v>
      </c>
      <c r="B1872" s="1" t="s">
        <v>1904</v>
      </c>
      <c r="C1872" s="1" t="s">
        <v>11</v>
      </c>
      <c r="D1872" s="1" t="s">
        <v>11</v>
      </c>
      <c r="E1872" s="1" t="s">
        <v>11</v>
      </c>
    </row>
    <row r="1873" spans="1:5" ht="15.75" customHeight="1">
      <c r="A1873" s="1">
        <v>410221</v>
      </c>
      <c r="B1873" s="1" t="s">
        <v>1905</v>
      </c>
      <c r="C1873" s="1" t="s">
        <v>11</v>
      </c>
      <c r="D1873" s="1" t="s">
        <v>11</v>
      </c>
      <c r="E1873" s="1" t="s">
        <v>11</v>
      </c>
    </row>
    <row r="1874" spans="1:5" ht="15.75" customHeight="1">
      <c r="A1874" s="1">
        <v>410229</v>
      </c>
      <c r="B1874" s="1" t="s">
        <v>1906</v>
      </c>
      <c r="C1874" s="1" t="s">
        <v>11</v>
      </c>
      <c r="D1874" s="1" t="s">
        <v>11</v>
      </c>
      <c r="E1874" s="1" t="s">
        <v>11</v>
      </c>
    </row>
    <row r="1875" spans="1:5" ht="15.75" customHeight="1">
      <c r="A1875" s="1">
        <v>410320</v>
      </c>
      <c r="B1875" s="1" t="s">
        <v>1907</v>
      </c>
      <c r="C1875" s="1" t="s">
        <v>11</v>
      </c>
      <c r="D1875" s="1" t="s">
        <v>11</v>
      </c>
      <c r="E1875" s="1" t="s">
        <v>11</v>
      </c>
    </row>
    <row r="1876" spans="1:5" ht="15.75" customHeight="1">
      <c r="A1876" s="1">
        <v>410330</v>
      </c>
      <c r="B1876" s="1" t="s">
        <v>1908</v>
      </c>
      <c r="C1876" s="1" t="s">
        <v>11</v>
      </c>
      <c r="D1876" s="1" t="s">
        <v>11</v>
      </c>
      <c r="E1876" s="1" t="s">
        <v>11</v>
      </c>
    </row>
    <row r="1877" spans="1:5" ht="15.75" customHeight="1">
      <c r="A1877" s="1">
        <v>410390</v>
      </c>
      <c r="B1877" s="1" t="s">
        <v>1906</v>
      </c>
      <c r="C1877" s="1" t="s">
        <v>11</v>
      </c>
      <c r="D1877" s="1" t="s">
        <v>11</v>
      </c>
      <c r="E1877" s="1" t="s">
        <v>11</v>
      </c>
    </row>
    <row r="1878" spans="1:5" ht="15.75" customHeight="1">
      <c r="A1878" s="1">
        <v>410411</v>
      </c>
      <c r="B1878" s="1" t="s">
        <v>1909</v>
      </c>
      <c r="C1878" s="1" t="s">
        <v>11</v>
      </c>
      <c r="D1878" s="1" t="s">
        <v>11</v>
      </c>
      <c r="E1878" s="1" t="s">
        <v>11</v>
      </c>
    </row>
    <row r="1879" spans="1:5" ht="15.75" customHeight="1">
      <c r="A1879" s="1">
        <v>410419</v>
      </c>
      <c r="B1879" s="1" t="s">
        <v>1910</v>
      </c>
      <c r="C1879" s="1" t="s">
        <v>11</v>
      </c>
      <c r="D1879" s="1" t="s">
        <v>11</v>
      </c>
      <c r="E1879" s="1" t="s">
        <v>11</v>
      </c>
    </row>
    <row r="1880" spans="1:5" ht="15.75" customHeight="1">
      <c r="A1880" s="1">
        <v>410441</v>
      </c>
      <c r="B1880" s="1" t="s">
        <v>1911</v>
      </c>
      <c r="C1880" s="1" t="s">
        <v>11</v>
      </c>
      <c r="D1880" s="1" t="s">
        <v>11</v>
      </c>
      <c r="E1880" s="1" t="s">
        <v>11</v>
      </c>
    </row>
    <row r="1881" spans="1:5" ht="15.75" customHeight="1">
      <c r="A1881" s="1">
        <v>410449</v>
      </c>
      <c r="B1881" s="1" t="s">
        <v>1912</v>
      </c>
      <c r="C1881" s="1" t="s">
        <v>11</v>
      </c>
      <c r="D1881" s="1" t="s">
        <v>11</v>
      </c>
      <c r="E1881" s="1" t="s">
        <v>11</v>
      </c>
    </row>
    <row r="1882" spans="1:5" ht="15.75" customHeight="1">
      <c r="A1882" s="1">
        <v>410510</v>
      </c>
      <c r="B1882" s="1" t="s">
        <v>1913</v>
      </c>
      <c r="C1882" s="1" t="s">
        <v>11</v>
      </c>
      <c r="D1882" s="1" t="s">
        <v>11</v>
      </c>
      <c r="E1882" s="1" t="s">
        <v>11</v>
      </c>
    </row>
    <row r="1883" spans="1:5" ht="15.75" customHeight="1">
      <c r="A1883" s="1">
        <v>410530</v>
      </c>
      <c r="B1883" s="1" t="s">
        <v>1914</v>
      </c>
      <c r="C1883" s="1" t="s">
        <v>11</v>
      </c>
      <c r="D1883" s="1" t="s">
        <v>11</v>
      </c>
      <c r="E1883" s="1" t="s">
        <v>11</v>
      </c>
    </row>
    <row r="1884" spans="1:5" ht="15.75" customHeight="1">
      <c r="A1884" s="1">
        <v>410621</v>
      </c>
      <c r="B1884" s="1" t="s">
        <v>1915</v>
      </c>
      <c r="C1884" s="1" t="s">
        <v>11</v>
      </c>
      <c r="D1884" s="1" t="s">
        <v>11</v>
      </c>
      <c r="E1884" s="1" t="s">
        <v>11</v>
      </c>
    </row>
    <row r="1885" spans="1:5" ht="15.75" customHeight="1">
      <c r="A1885" s="1">
        <v>410622</v>
      </c>
      <c r="B1885" s="1" t="s">
        <v>1916</v>
      </c>
      <c r="C1885" s="1" t="s">
        <v>11</v>
      </c>
      <c r="D1885" s="1" t="s">
        <v>11</v>
      </c>
      <c r="E1885" s="1" t="s">
        <v>11</v>
      </c>
    </row>
    <row r="1886" spans="1:5" ht="15.75" customHeight="1">
      <c r="A1886" s="1">
        <v>410631</v>
      </c>
      <c r="B1886" s="1" t="s">
        <v>1917</v>
      </c>
      <c r="C1886" s="1" t="s">
        <v>11</v>
      </c>
      <c r="D1886" s="1" t="s">
        <v>11</v>
      </c>
      <c r="E1886" s="1" t="s">
        <v>11</v>
      </c>
    </row>
    <row r="1887" spans="1:5" ht="15.75" customHeight="1">
      <c r="A1887" s="1">
        <v>410632</v>
      </c>
      <c r="B1887" s="1" t="s">
        <v>1918</v>
      </c>
      <c r="C1887" s="1" t="s">
        <v>11</v>
      </c>
      <c r="D1887" s="1" t="s">
        <v>11</v>
      </c>
      <c r="E1887" s="1" t="s">
        <v>11</v>
      </c>
    </row>
    <row r="1888" spans="1:5" ht="15.75" customHeight="1">
      <c r="A1888" s="1">
        <v>410640</v>
      </c>
      <c r="B1888" s="1" t="s">
        <v>1919</v>
      </c>
      <c r="C1888" s="1" t="s">
        <v>11</v>
      </c>
      <c r="D1888" s="1" t="s">
        <v>11</v>
      </c>
      <c r="E1888" s="1" t="s">
        <v>11</v>
      </c>
    </row>
    <row r="1889" spans="1:5" ht="15.75" customHeight="1">
      <c r="A1889" s="1">
        <v>410691</v>
      </c>
      <c r="B1889" s="1" t="s">
        <v>1920</v>
      </c>
      <c r="C1889" s="1" t="s">
        <v>11</v>
      </c>
      <c r="D1889" s="1" t="s">
        <v>11</v>
      </c>
      <c r="E1889" s="1" t="s">
        <v>11</v>
      </c>
    </row>
    <row r="1890" spans="1:5" ht="15.75" customHeight="1">
      <c r="A1890" s="1">
        <v>410692</v>
      </c>
      <c r="B1890" s="1" t="s">
        <v>1921</v>
      </c>
      <c r="C1890" s="1" t="s">
        <v>11</v>
      </c>
      <c r="D1890" s="1" t="s">
        <v>11</v>
      </c>
      <c r="E1890" s="1" t="s">
        <v>11</v>
      </c>
    </row>
    <row r="1891" spans="1:5" ht="15.75" customHeight="1">
      <c r="A1891" s="1">
        <v>410711</v>
      </c>
      <c r="B1891" s="1" t="s">
        <v>1922</v>
      </c>
      <c r="C1891" s="1" t="s">
        <v>11</v>
      </c>
      <c r="D1891" s="1" t="s">
        <v>11</v>
      </c>
      <c r="E1891" s="1" t="s">
        <v>11</v>
      </c>
    </row>
    <row r="1892" spans="1:5" ht="15.75" customHeight="1">
      <c r="A1892" s="1">
        <v>410712</v>
      </c>
      <c r="B1892" s="1" t="s">
        <v>1923</v>
      </c>
      <c r="C1892" s="1" t="s">
        <v>11</v>
      </c>
      <c r="D1892" s="1" t="s">
        <v>11</v>
      </c>
      <c r="E1892" s="1" t="s">
        <v>11</v>
      </c>
    </row>
    <row r="1893" spans="1:5" ht="15.75" customHeight="1">
      <c r="A1893" s="1">
        <v>410719</v>
      </c>
      <c r="B1893" s="1" t="s">
        <v>1924</v>
      </c>
      <c r="C1893" s="1" t="s">
        <v>11</v>
      </c>
      <c r="D1893" s="1" t="s">
        <v>11</v>
      </c>
      <c r="E1893" s="1" t="s">
        <v>11</v>
      </c>
    </row>
    <row r="1894" spans="1:5" ht="15.75" customHeight="1">
      <c r="A1894" s="1">
        <v>410791</v>
      </c>
      <c r="B1894" s="1" t="s">
        <v>1925</v>
      </c>
      <c r="C1894" s="1" t="s">
        <v>11</v>
      </c>
      <c r="D1894" s="1" t="s">
        <v>11</v>
      </c>
      <c r="E1894" s="1" t="s">
        <v>11</v>
      </c>
    </row>
    <row r="1895" spans="1:5" ht="15.75" customHeight="1">
      <c r="A1895" s="1">
        <v>410792</v>
      </c>
      <c r="B1895" s="1" t="s">
        <v>1926</v>
      </c>
      <c r="C1895" s="1" t="s">
        <v>11</v>
      </c>
      <c r="D1895" s="1" t="s">
        <v>11</v>
      </c>
      <c r="E1895" s="1" t="s">
        <v>11</v>
      </c>
    </row>
    <row r="1896" spans="1:5" ht="15.75" customHeight="1">
      <c r="A1896" s="1">
        <v>410799</v>
      </c>
      <c r="B1896" s="1" t="s">
        <v>1927</v>
      </c>
      <c r="C1896" s="1" t="s">
        <v>11</v>
      </c>
      <c r="D1896" s="1" t="s">
        <v>11</v>
      </c>
      <c r="E1896" s="1" t="s">
        <v>11</v>
      </c>
    </row>
    <row r="1897" spans="1:5" ht="15.75" customHeight="1">
      <c r="A1897" s="1">
        <v>411200</v>
      </c>
      <c r="B1897" s="1" t="s">
        <v>1928</v>
      </c>
      <c r="C1897" s="1" t="s">
        <v>11</v>
      </c>
      <c r="D1897" s="1" t="s">
        <v>11</v>
      </c>
      <c r="E1897" s="1" t="s">
        <v>11</v>
      </c>
    </row>
    <row r="1898" spans="1:5" ht="15.75" customHeight="1">
      <c r="A1898" s="1">
        <v>411310</v>
      </c>
      <c r="B1898" s="1" t="s">
        <v>1929</v>
      </c>
      <c r="C1898" s="1" t="s">
        <v>11</v>
      </c>
      <c r="D1898" s="1" t="s">
        <v>11</v>
      </c>
      <c r="E1898" s="1" t="s">
        <v>11</v>
      </c>
    </row>
    <row r="1899" spans="1:5" ht="15.75" customHeight="1">
      <c r="A1899" s="1">
        <v>411320</v>
      </c>
      <c r="B1899" s="1" t="s">
        <v>1930</v>
      </c>
      <c r="C1899" s="1" t="s">
        <v>11</v>
      </c>
      <c r="D1899" s="1" t="s">
        <v>11</v>
      </c>
      <c r="E1899" s="1" t="s">
        <v>11</v>
      </c>
    </row>
    <row r="1900" spans="1:5" ht="15.75" customHeight="1">
      <c r="A1900" s="1">
        <v>411330</v>
      </c>
      <c r="B1900" s="1" t="s">
        <v>1931</v>
      </c>
      <c r="C1900" s="1" t="s">
        <v>11</v>
      </c>
      <c r="D1900" s="1" t="s">
        <v>11</v>
      </c>
      <c r="E1900" s="1" t="s">
        <v>11</v>
      </c>
    </row>
    <row r="1901" spans="1:5" ht="15.75" customHeight="1">
      <c r="A1901" s="1">
        <v>411390</v>
      </c>
      <c r="B1901" s="1" t="s">
        <v>1932</v>
      </c>
      <c r="C1901" s="1" t="s">
        <v>11</v>
      </c>
      <c r="D1901" s="1" t="s">
        <v>11</v>
      </c>
      <c r="E1901" s="1" t="s">
        <v>11</v>
      </c>
    </row>
    <row r="1902" spans="1:5" ht="15.75" customHeight="1">
      <c r="A1902" s="1">
        <v>411410</v>
      </c>
      <c r="B1902" s="1" t="s">
        <v>1933</v>
      </c>
      <c r="C1902" s="1" t="s">
        <v>11</v>
      </c>
      <c r="D1902" s="1" t="s">
        <v>11</v>
      </c>
      <c r="E1902" s="1" t="s">
        <v>11</v>
      </c>
    </row>
    <row r="1903" spans="1:5" ht="15.75" customHeight="1">
      <c r="A1903" s="1">
        <v>411420</v>
      </c>
      <c r="B1903" s="1" t="s">
        <v>1934</v>
      </c>
      <c r="C1903" s="1" t="s">
        <v>11</v>
      </c>
      <c r="D1903" s="1" t="s">
        <v>11</v>
      </c>
      <c r="E1903" s="1" t="s">
        <v>11</v>
      </c>
    </row>
    <row r="1904" spans="1:5" ht="15.75" customHeight="1">
      <c r="A1904" s="1">
        <v>411510</v>
      </c>
      <c r="B1904" s="1" t="s">
        <v>1935</v>
      </c>
      <c r="C1904" s="1" t="s">
        <v>11</v>
      </c>
      <c r="D1904" s="1" t="s">
        <v>11</v>
      </c>
      <c r="E1904" s="1" t="s">
        <v>11</v>
      </c>
    </row>
    <row r="1905" spans="1:5" ht="15.75" customHeight="1">
      <c r="A1905" s="1">
        <v>411520</v>
      </c>
      <c r="B1905" s="1" t="s">
        <v>1936</v>
      </c>
      <c r="C1905" s="1" t="s">
        <v>11</v>
      </c>
      <c r="D1905" s="1" t="s">
        <v>11</v>
      </c>
      <c r="E1905" s="1" t="s">
        <v>11</v>
      </c>
    </row>
    <row r="1906" spans="1:5" ht="15.75" customHeight="1">
      <c r="A1906" s="1">
        <v>420100</v>
      </c>
      <c r="B1906" s="1" t="s">
        <v>1937</v>
      </c>
      <c r="C1906" s="1" t="s">
        <v>11</v>
      </c>
      <c r="D1906" s="1" t="s">
        <v>11</v>
      </c>
      <c r="E1906" s="1" t="s">
        <v>11</v>
      </c>
    </row>
    <row r="1907" spans="1:5" ht="15.75" customHeight="1">
      <c r="A1907" s="1">
        <v>420211</v>
      </c>
      <c r="B1907" s="1" t="s">
        <v>1938</v>
      </c>
      <c r="C1907" s="1" t="s">
        <v>11</v>
      </c>
      <c r="D1907" s="1" t="s">
        <v>11</v>
      </c>
      <c r="E1907" s="1" t="s">
        <v>11</v>
      </c>
    </row>
    <row r="1908" spans="1:5" ht="15.75" customHeight="1">
      <c r="A1908" s="1">
        <v>420212</v>
      </c>
      <c r="B1908" s="1" t="s">
        <v>1939</v>
      </c>
      <c r="C1908" s="1" t="s">
        <v>11</v>
      </c>
      <c r="D1908" s="1" t="s">
        <v>11</v>
      </c>
      <c r="E1908" s="1" t="s">
        <v>11</v>
      </c>
    </row>
    <row r="1909" spans="1:5" ht="15.75" customHeight="1">
      <c r="A1909" s="1">
        <v>420219</v>
      </c>
      <c r="B1909" s="1" t="s">
        <v>1940</v>
      </c>
      <c r="C1909" s="1" t="s">
        <v>11</v>
      </c>
      <c r="D1909" s="1" t="s">
        <v>11</v>
      </c>
      <c r="E1909" s="1" t="s">
        <v>11</v>
      </c>
    </row>
    <row r="1910" spans="1:5" ht="15.75" customHeight="1">
      <c r="A1910" s="1">
        <v>420221</v>
      </c>
      <c r="B1910" s="1" t="s">
        <v>1941</v>
      </c>
      <c r="C1910" s="1" t="s">
        <v>11</v>
      </c>
      <c r="D1910" s="1" t="s">
        <v>11</v>
      </c>
      <c r="E1910" s="1" t="s">
        <v>11</v>
      </c>
    </row>
    <row r="1911" spans="1:5" ht="15.75" customHeight="1">
      <c r="A1911" s="1">
        <v>420222</v>
      </c>
      <c r="B1911" s="1" t="s">
        <v>1942</v>
      </c>
      <c r="C1911" s="1" t="s">
        <v>11</v>
      </c>
      <c r="D1911" s="1" t="s">
        <v>11</v>
      </c>
      <c r="E1911" s="1" t="s">
        <v>11</v>
      </c>
    </row>
    <row r="1912" spans="1:5" ht="15.75" customHeight="1">
      <c r="A1912" s="1">
        <v>420229</v>
      </c>
      <c r="B1912" s="1" t="s">
        <v>1943</v>
      </c>
      <c r="C1912" s="1" t="s">
        <v>11</v>
      </c>
      <c r="D1912" s="1" t="s">
        <v>11</v>
      </c>
      <c r="E1912" s="1" t="s">
        <v>11</v>
      </c>
    </row>
    <row r="1913" spans="1:5" ht="15.75" customHeight="1">
      <c r="A1913" s="1">
        <v>420231</v>
      </c>
      <c r="B1913" s="1" t="s">
        <v>1944</v>
      </c>
      <c r="C1913" s="1" t="s">
        <v>11</v>
      </c>
      <c r="D1913" s="1" t="s">
        <v>11</v>
      </c>
      <c r="E1913" s="1" t="s">
        <v>11</v>
      </c>
    </row>
    <row r="1914" spans="1:5" ht="15.75" customHeight="1">
      <c r="A1914" s="1">
        <v>420232</v>
      </c>
      <c r="B1914" s="1" t="s">
        <v>1945</v>
      </c>
      <c r="C1914" s="1" t="s">
        <v>11</v>
      </c>
      <c r="D1914" s="1" t="s">
        <v>11</v>
      </c>
      <c r="E1914" s="1" t="s">
        <v>11</v>
      </c>
    </row>
    <row r="1915" spans="1:5" ht="15.75" customHeight="1">
      <c r="A1915" s="1">
        <v>420239</v>
      </c>
      <c r="B1915" s="1" t="s">
        <v>1946</v>
      </c>
      <c r="C1915" s="1" t="s">
        <v>11</v>
      </c>
      <c r="D1915" s="1" t="s">
        <v>11</v>
      </c>
      <c r="E1915" s="1" t="s">
        <v>11</v>
      </c>
    </row>
    <row r="1916" spans="1:5" ht="15.75" customHeight="1">
      <c r="A1916" s="1">
        <v>420291</v>
      </c>
      <c r="B1916" s="1" t="s">
        <v>1947</v>
      </c>
      <c r="C1916" s="1" t="s">
        <v>11</v>
      </c>
      <c r="D1916" s="1" t="s">
        <v>11</v>
      </c>
      <c r="E1916" s="1" t="s">
        <v>11</v>
      </c>
    </row>
    <row r="1917" spans="1:5" ht="15.75" customHeight="1">
      <c r="A1917" s="1">
        <v>420292</v>
      </c>
      <c r="B1917" s="1" t="s">
        <v>1948</v>
      </c>
      <c r="C1917" s="1" t="s">
        <v>11</v>
      </c>
      <c r="D1917" s="1" t="s">
        <v>11</v>
      </c>
      <c r="E1917" s="1" t="s">
        <v>11</v>
      </c>
    </row>
    <row r="1918" spans="1:5" ht="15.75" customHeight="1">
      <c r="A1918" s="1">
        <v>420299</v>
      </c>
      <c r="B1918" s="1" t="s">
        <v>1949</v>
      </c>
      <c r="C1918" s="1" t="s">
        <v>11</v>
      </c>
      <c r="D1918" s="1" t="s">
        <v>11</v>
      </c>
      <c r="E1918" s="1" t="s">
        <v>11</v>
      </c>
    </row>
    <row r="1919" spans="1:5" ht="15.75" customHeight="1">
      <c r="A1919" s="1">
        <v>420310</v>
      </c>
      <c r="B1919" s="1" t="s">
        <v>1950</v>
      </c>
      <c r="C1919" s="1" t="s">
        <v>11</v>
      </c>
      <c r="D1919" s="1" t="s">
        <v>11</v>
      </c>
      <c r="E1919" s="1" t="s">
        <v>11</v>
      </c>
    </row>
    <row r="1920" spans="1:5" ht="15.75" customHeight="1">
      <c r="A1920" s="1">
        <v>420321</v>
      </c>
      <c r="B1920" s="1" t="s">
        <v>1951</v>
      </c>
      <c r="C1920" s="1" t="s">
        <v>11</v>
      </c>
      <c r="D1920" s="1" t="s">
        <v>11</v>
      </c>
      <c r="E1920" s="1" t="s">
        <v>11</v>
      </c>
    </row>
    <row r="1921" spans="1:5" ht="15.75" customHeight="1">
      <c r="A1921" s="1">
        <v>420329</v>
      </c>
      <c r="B1921" s="1" t="s">
        <v>1952</v>
      </c>
      <c r="C1921" s="1" t="s">
        <v>11</v>
      </c>
      <c r="D1921" s="1" t="s">
        <v>11</v>
      </c>
      <c r="E1921" s="1" t="s">
        <v>11</v>
      </c>
    </row>
    <row r="1922" spans="1:5" ht="15.75" customHeight="1">
      <c r="A1922" s="1">
        <v>420330</v>
      </c>
      <c r="B1922" s="1" t="s">
        <v>1953</v>
      </c>
      <c r="C1922" s="1" t="s">
        <v>11</v>
      </c>
      <c r="D1922" s="1" t="s">
        <v>11</v>
      </c>
      <c r="E1922" s="1" t="s">
        <v>11</v>
      </c>
    </row>
    <row r="1923" spans="1:5" ht="15.75" customHeight="1">
      <c r="A1923" s="1">
        <v>420340</v>
      </c>
      <c r="B1923" s="1" t="s">
        <v>1954</v>
      </c>
      <c r="C1923" s="1" t="s">
        <v>11</v>
      </c>
      <c r="D1923" s="1" t="s">
        <v>11</v>
      </c>
      <c r="E1923" s="1" t="s">
        <v>11</v>
      </c>
    </row>
    <row r="1924" spans="1:5" ht="15.75" customHeight="1">
      <c r="A1924" s="1">
        <v>420500</v>
      </c>
      <c r="B1924" s="1" t="s">
        <v>1955</v>
      </c>
      <c r="C1924" s="1" t="s">
        <v>11</v>
      </c>
      <c r="D1924" s="1" t="s">
        <v>11</v>
      </c>
      <c r="E1924" s="1" t="s">
        <v>11</v>
      </c>
    </row>
    <row r="1925" spans="1:5" ht="15.75" customHeight="1">
      <c r="A1925" s="1">
        <v>420600</v>
      </c>
      <c r="B1925" s="1" t="s">
        <v>1956</v>
      </c>
      <c r="C1925" s="1" t="s">
        <v>11</v>
      </c>
      <c r="D1925" s="1" t="s">
        <v>11</v>
      </c>
      <c r="E1925" s="1" t="s">
        <v>11</v>
      </c>
    </row>
    <row r="1926" spans="1:5" ht="15.75" customHeight="1">
      <c r="A1926" s="1">
        <v>430110</v>
      </c>
      <c r="B1926" s="1" t="s">
        <v>1957</v>
      </c>
      <c r="C1926" s="1" t="s">
        <v>11</v>
      </c>
      <c r="D1926" s="1" t="s">
        <v>11</v>
      </c>
      <c r="E1926" s="1" t="s">
        <v>11</v>
      </c>
    </row>
    <row r="1927" spans="1:5" ht="15.75" customHeight="1">
      <c r="A1927" s="1">
        <v>430130</v>
      </c>
      <c r="B1927" s="1" t="s">
        <v>1958</v>
      </c>
      <c r="C1927" s="1" t="s">
        <v>11</v>
      </c>
      <c r="D1927" s="1" t="s">
        <v>11</v>
      </c>
      <c r="E1927" s="1" t="s">
        <v>11</v>
      </c>
    </row>
    <row r="1928" spans="1:5" ht="15.75" customHeight="1">
      <c r="A1928" s="1">
        <v>430160</v>
      </c>
      <c r="B1928" s="1" t="s">
        <v>1959</v>
      </c>
      <c r="C1928" s="1" t="s">
        <v>11</v>
      </c>
      <c r="D1928" s="1" t="s">
        <v>11</v>
      </c>
      <c r="E1928" s="1" t="s">
        <v>11</v>
      </c>
    </row>
    <row r="1929" spans="1:5" ht="15.75" customHeight="1">
      <c r="A1929" s="1">
        <v>430180</v>
      </c>
      <c r="B1929" s="1" t="s">
        <v>1960</v>
      </c>
      <c r="C1929" s="1" t="s">
        <v>11</v>
      </c>
      <c r="D1929" s="1" t="s">
        <v>11</v>
      </c>
      <c r="E1929" s="1" t="s">
        <v>11</v>
      </c>
    </row>
    <row r="1930" spans="1:5" ht="15.75" customHeight="1">
      <c r="A1930" s="1">
        <v>430190</v>
      </c>
      <c r="B1930" s="1" t="s">
        <v>1961</v>
      </c>
      <c r="C1930" s="1" t="s">
        <v>11</v>
      </c>
      <c r="D1930" s="1" t="s">
        <v>11</v>
      </c>
      <c r="E1930" s="1" t="s">
        <v>11</v>
      </c>
    </row>
    <row r="1931" spans="1:5" ht="15.75" customHeight="1">
      <c r="A1931" s="1">
        <v>430211</v>
      </c>
      <c r="B1931" s="1" t="s">
        <v>1962</v>
      </c>
      <c r="C1931" s="1" t="s">
        <v>11</v>
      </c>
      <c r="D1931" s="1" t="s">
        <v>11</v>
      </c>
      <c r="E1931" s="1" t="s">
        <v>11</v>
      </c>
    </row>
    <row r="1932" spans="1:5" ht="15.75" customHeight="1">
      <c r="A1932" s="1">
        <v>430219</v>
      </c>
      <c r="B1932" s="1" t="s">
        <v>1963</v>
      </c>
      <c r="C1932" s="1" t="s">
        <v>11</v>
      </c>
      <c r="D1932" s="1" t="s">
        <v>11</v>
      </c>
      <c r="E1932" s="1" t="s">
        <v>11</v>
      </c>
    </row>
    <row r="1933" spans="1:5" ht="15.75" customHeight="1">
      <c r="A1933" s="1">
        <v>430220</v>
      </c>
      <c r="B1933" s="1" t="s">
        <v>1964</v>
      </c>
      <c r="C1933" s="1" t="s">
        <v>11</v>
      </c>
      <c r="D1933" s="1" t="s">
        <v>11</v>
      </c>
      <c r="E1933" s="1" t="s">
        <v>11</v>
      </c>
    </row>
    <row r="1934" spans="1:5" ht="15.75" customHeight="1">
      <c r="A1934" s="1">
        <v>430230</v>
      </c>
      <c r="B1934" s="1" t="s">
        <v>1965</v>
      </c>
      <c r="C1934" s="1" t="s">
        <v>11</v>
      </c>
      <c r="D1934" s="1" t="s">
        <v>11</v>
      </c>
      <c r="E1934" s="1" t="s">
        <v>11</v>
      </c>
    </row>
    <row r="1935" spans="1:5" ht="15.75" customHeight="1">
      <c r="A1935" s="1">
        <v>430310</v>
      </c>
      <c r="B1935" s="1" t="s">
        <v>1966</v>
      </c>
      <c r="C1935" s="1" t="s">
        <v>11</v>
      </c>
      <c r="D1935" s="1" t="s">
        <v>11</v>
      </c>
      <c r="E1935" s="1" t="s">
        <v>11</v>
      </c>
    </row>
    <row r="1936" spans="1:5" ht="15.75" customHeight="1">
      <c r="A1936" s="1">
        <v>430390</v>
      </c>
      <c r="B1936" s="1" t="s">
        <v>1967</v>
      </c>
      <c r="C1936" s="1" t="s">
        <v>11</v>
      </c>
      <c r="D1936" s="1" t="s">
        <v>11</v>
      </c>
      <c r="E1936" s="1" t="s">
        <v>11</v>
      </c>
    </row>
    <row r="1937" spans="1:5" ht="15.75" customHeight="1">
      <c r="A1937" s="1">
        <v>430400</v>
      </c>
      <c r="B1937" s="1" t="s">
        <v>1968</v>
      </c>
      <c r="C1937" s="1" t="s">
        <v>11</v>
      </c>
      <c r="D1937" s="1" t="s">
        <v>11</v>
      </c>
      <c r="E1937" s="1" t="s">
        <v>11</v>
      </c>
    </row>
    <row r="1938" spans="1:5" ht="15.75" customHeight="1">
      <c r="A1938" s="1">
        <v>440110</v>
      </c>
      <c r="B1938" s="1" t="s">
        <v>1969</v>
      </c>
      <c r="C1938" s="1" t="s">
        <v>11</v>
      </c>
      <c r="D1938" s="1" t="s">
        <v>11</v>
      </c>
      <c r="E1938" s="1" t="s">
        <v>11</v>
      </c>
    </row>
    <row r="1939" spans="1:5" ht="15.75" customHeight="1">
      <c r="A1939" s="1">
        <v>440121</v>
      </c>
      <c r="B1939" s="1" t="s">
        <v>1970</v>
      </c>
      <c r="C1939" s="1" t="s">
        <v>11</v>
      </c>
      <c r="D1939" s="1" t="s">
        <v>11</v>
      </c>
      <c r="E1939" s="1" t="s">
        <v>11</v>
      </c>
    </row>
    <row r="1940" spans="1:5" ht="15.75" customHeight="1">
      <c r="A1940" s="1">
        <v>440122</v>
      </c>
      <c r="B1940" s="1" t="s">
        <v>1971</v>
      </c>
      <c r="C1940" s="1" t="s">
        <v>11</v>
      </c>
      <c r="D1940" s="1" t="s">
        <v>11</v>
      </c>
      <c r="E1940" s="1" t="s">
        <v>11</v>
      </c>
    </row>
    <row r="1941" spans="1:5" ht="15.75" customHeight="1">
      <c r="A1941" s="1">
        <v>440130</v>
      </c>
      <c r="B1941" s="1" t="s">
        <v>1972</v>
      </c>
      <c r="C1941" s="1" t="s">
        <v>11</v>
      </c>
      <c r="D1941" s="1" t="s">
        <v>11</v>
      </c>
      <c r="E1941" s="1" t="s">
        <v>11</v>
      </c>
    </row>
    <row r="1942" spans="1:5" ht="15.75" customHeight="1">
      <c r="A1942" s="1">
        <v>440210</v>
      </c>
      <c r="B1942" s="1" t="s">
        <v>1973</v>
      </c>
      <c r="C1942" s="1" t="s">
        <v>11</v>
      </c>
      <c r="D1942" s="1" t="s">
        <v>11</v>
      </c>
      <c r="E1942" s="1" t="s">
        <v>11</v>
      </c>
    </row>
    <row r="1943" spans="1:5" ht="15.75" customHeight="1">
      <c r="A1943" s="1">
        <v>440290</v>
      </c>
      <c r="B1943" s="1" t="s">
        <v>1974</v>
      </c>
      <c r="C1943" s="1" t="s">
        <v>11</v>
      </c>
      <c r="D1943" s="1" t="s">
        <v>11</v>
      </c>
      <c r="E1943" s="1" t="s">
        <v>11</v>
      </c>
    </row>
    <row r="1944" spans="1:5" ht="15.75" customHeight="1">
      <c r="A1944" s="1">
        <v>440310</v>
      </c>
      <c r="B1944" s="1" t="s">
        <v>1975</v>
      </c>
      <c r="C1944" s="1" t="s">
        <v>11</v>
      </c>
      <c r="D1944" s="1" t="s">
        <v>11</v>
      </c>
      <c r="E1944" s="1" t="s">
        <v>11</v>
      </c>
    </row>
    <row r="1945" spans="1:5" ht="15.75" customHeight="1">
      <c r="A1945" s="1">
        <v>440320</v>
      </c>
      <c r="B1945" s="1" t="s">
        <v>1976</v>
      </c>
      <c r="C1945" s="1" t="s">
        <v>11</v>
      </c>
      <c r="D1945" s="1" t="s">
        <v>11</v>
      </c>
      <c r="E1945" s="1" t="s">
        <v>11</v>
      </c>
    </row>
    <row r="1946" spans="1:5" ht="15.75" customHeight="1">
      <c r="A1946" s="1">
        <v>440341</v>
      </c>
      <c r="B1946" s="1" t="s">
        <v>1977</v>
      </c>
      <c r="C1946" s="1" t="s">
        <v>11</v>
      </c>
      <c r="D1946" s="1" t="s">
        <v>11</v>
      </c>
      <c r="E1946" s="1" t="s">
        <v>11</v>
      </c>
    </row>
    <row r="1947" spans="1:5" ht="15.75" customHeight="1">
      <c r="A1947" s="1">
        <v>440349</v>
      </c>
      <c r="B1947" s="1" t="s">
        <v>1978</v>
      </c>
      <c r="C1947" s="1" t="s">
        <v>11</v>
      </c>
      <c r="D1947" s="1" t="s">
        <v>11</v>
      </c>
      <c r="E1947" s="1" t="s">
        <v>11</v>
      </c>
    </row>
    <row r="1948" spans="1:5" ht="15.75" customHeight="1">
      <c r="A1948" s="1">
        <v>440391</v>
      </c>
      <c r="B1948" s="1" t="s">
        <v>1979</v>
      </c>
      <c r="C1948" s="1" t="s">
        <v>11</v>
      </c>
      <c r="D1948" s="1" t="s">
        <v>11</v>
      </c>
      <c r="E1948" s="1" t="s">
        <v>11</v>
      </c>
    </row>
    <row r="1949" spans="1:5" ht="15.75" customHeight="1">
      <c r="A1949" s="1">
        <v>440392</v>
      </c>
      <c r="B1949" s="1" t="s">
        <v>1980</v>
      </c>
      <c r="C1949" s="1" t="s">
        <v>11</v>
      </c>
      <c r="D1949" s="1" t="s">
        <v>11</v>
      </c>
      <c r="E1949" s="1" t="s">
        <v>11</v>
      </c>
    </row>
    <row r="1950" spans="1:5" ht="15.75" customHeight="1">
      <c r="A1950" s="1">
        <v>440399</v>
      </c>
      <c r="B1950" s="1" t="s">
        <v>1981</v>
      </c>
      <c r="C1950" s="1" t="s">
        <v>11</v>
      </c>
      <c r="D1950" s="1" t="s">
        <v>11</v>
      </c>
      <c r="E1950" s="1" t="s">
        <v>11</v>
      </c>
    </row>
    <row r="1951" spans="1:5" ht="15.75" customHeight="1">
      <c r="A1951" s="1">
        <v>440410</v>
      </c>
      <c r="B1951" s="1" t="s">
        <v>1982</v>
      </c>
      <c r="C1951" s="1" t="s">
        <v>11</v>
      </c>
      <c r="D1951" s="1" t="s">
        <v>11</v>
      </c>
      <c r="E1951" s="1" t="s">
        <v>11</v>
      </c>
    </row>
    <row r="1952" spans="1:5" ht="15.75" customHeight="1">
      <c r="A1952" s="1">
        <v>440420</v>
      </c>
      <c r="B1952" s="1" t="s">
        <v>1983</v>
      </c>
      <c r="C1952" s="1" t="s">
        <v>11</v>
      </c>
      <c r="D1952" s="1" t="s">
        <v>11</v>
      </c>
      <c r="E1952" s="1" t="s">
        <v>11</v>
      </c>
    </row>
    <row r="1953" spans="1:5" ht="15.75" customHeight="1">
      <c r="A1953" s="1">
        <v>440500</v>
      </c>
      <c r="B1953" s="1" t="s">
        <v>1984</v>
      </c>
      <c r="C1953" s="1" t="s">
        <v>11</v>
      </c>
      <c r="D1953" s="1" t="s">
        <v>11</v>
      </c>
      <c r="E1953" s="1" t="s">
        <v>11</v>
      </c>
    </row>
    <row r="1954" spans="1:5" ht="15.75" customHeight="1">
      <c r="A1954" s="1">
        <v>440610</v>
      </c>
      <c r="B1954" s="1" t="s">
        <v>1985</v>
      </c>
      <c r="C1954" s="1" t="s">
        <v>11</v>
      </c>
      <c r="D1954" s="1" t="s">
        <v>11</v>
      </c>
      <c r="E1954" s="1" t="s">
        <v>11</v>
      </c>
    </row>
    <row r="1955" spans="1:5" ht="15.75" customHeight="1">
      <c r="A1955" s="1">
        <v>440690</v>
      </c>
      <c r="B1955" s="1" t="s">
        <v>1986</v>
      </c>
      <c r="C1955" s="1" t="s">
        <v>11</v>
      </c>
      <c r="D1955" s="1" t="s">
        <v>11</v>
      </c>
      <c r="E1955" s="1" t="s">
        <v>11</v>
      </c>
    </row>
    <row r="1956" spans="1:5" ht="15.75" customHeight="1">
      <c r="A1956" s="1">
        <v>440710</v>
      </c>
      <c r="B1956" s="1" t="s">
        <v>1987</v>
      </c>
      <c r="C1956" s="1" t="s">
        <v>11</v>
      </c>
      <c r="D1956" s="1" t="s">
        <v>11</v>
      </c>
      <c r="E1956" s="1" t="s">
        <v>11</v>
      </c>
    </row>
    <row r="1957" spans="1:5" ht="15.75" customHeight="1">
      <c r="A1957" s="1">
        <v>440721</v>
      </c>
      <c r="B1957" s="1" t="s">
        <v>1988</v>
      </c>
      <c r="C1957" s="1" t="s">
        <v>11</v>
      </c>
      <c r="D1957" s="1" t="s">
        <v>11</v>
      </c>
      <c r="E1957" s="1" t="s">
        <v>11</v>
      </c>
    </row>
    <row r="1958" spans="1:5" ht="15.75" customHeight="1">
      <c r="A1958" s="1">
        <v>440722</v>
      </c>
      <c r="B1958" s="1" t="s">
        <v>1989</v>
      </c>
      <c r="C1958" s="1" t="s">
        <v>11</v>
      </c>
      <c r="D1958" s="1" t="s">
        <v>11</v>
      </c>
      <c r="E1958" s="1" t="s">
        <v>11</v>
      </c>
    </row>
    <row r="1959" spans="1:5" ht="15.75" customHeight="1">
      <c r="A1959" s="1">
        <v>440725</v>
      </c>
      <c r="B1959" s="1" t="s">
        <v>1990</v>
      </c>
      <c r="C1959" s="1" t="s">
        <v>11</v>
      </c>
      <c r="D1959" s="1" t="s">
        <v>11</v>
      </c>
      <c r="E1959" s="1" t="s">
        <v>11</v>
      </c>
    </row>
    <row r="1960" spans="1:5" ht="15.75" customHeight="1">
      <c r="A1960" s="1">
        <v>440726</v>
      </c>
      <c r="B1960" s="1" t="s">
        <v>1991</v>
      </c>
      <c r="C1960" s="1" t="s">
        <v>11</v>
      </c>
      <c r="D1960" s="1" t="s">
        <v>11</v>
      </c>
      <c r="E1960" s="1" t="s">
        <v>11</v>
      </c>
    </row>
    <row r="1961" spans="1:5" ht="15.75" customHeight="1">
      <c r="A1961" s="1">
        <v>440727</v>
      </c>
      <c r="B1961" s="1" t="s">
        <v>1992</v>
      </c>
      <c r="C1961" s="1" t="s">
        <v>11</v>
      </c>
      <c r="D1961" s="1" t="s">
        <v>11</v>
      </c>
      <c r="E1961" s="1" t="s">
        <v>11</v>
      </c>
    </row>
    <row r="1962" spans="1:5" ht="15.75" customHeight="1">
      <c r="A1962" s="1">
        <v>440728</v>
      </c>
      <c r="B1962" s="1" t="s">
        <v>1993</v>
      </c>
      <c r="C1962" s="1" t="s">
        <v>11</v>
      </c>
      <c r="D1962" s="1" t="s">
        <v>11</v>
      </c>
      <c r="E1962" s="1" t="s">
        <v>11</v>
      </c>
    </row>
    <row r="1963" spans="1:5" ht="15.75" customHeight="1">
      <c r="A1963" s="1">
        <v>440729</v>
      </c>
      <c r="B1963" s="1" t="s">
        <v>1994</v>
      </c>
      <c r="C1963" s="1" t="s">
        <v>11</v>
      </c>
      <c r="D1963" s="1" t="s">
        <v>11</v>
      </c>
      <c r="E1963" s="1" t="s">
        <v>11</v>
      </c>
    </row>
    <row r="1964" spans="1:5" ht="15.75" customHeight="1">
      <c r="A1964" s="1">
        <v>440791</v>
      </c>
      <c r="B1964" s="1" t="s">
        <v>1995</v>
      </c>
      <c r="C1964" s="1" t="s">
        <v>11</v>
      </c>
      <c r="D1964" s="1" t="s">
        <v>11</v>
      </c>
      <c r="E1964" s="1" t="s">
        <v>11</v>
      </c>
    </row>
    <row r="1965" spans="1:5" ht="15.75" customHeight="1">
      <c r="A1965" s="1">
        <v>440792</v>
      </c>
      <c r="B1965" s="1" t="s">
        <v>1996</v>
      </c>
      <c r="C1965" s="1" t="s">
        <v>11</v>
      </c>
      <c r="D1965" s="1" t="s">
        <v>11</v>
      </c>
      <c r="E1965" s="1" t="s">
        <v>11</v>
      </c>
    </row>
    <row r="1966" spans="1:5" ht="15.75" customHeight="1">
      <c r="A1966" s="1">
        <v>440793</v>
      </c>
      <c r="B1966" s="1" t="s">
        <v>1997</v>
      </c>
      <c r="C1966" s="1" t="s">
        <v>11</v>
      </c>
      <c r="D1966" s="1" t="s">
        <v>11</v>
      </c>
      <c r="E1966" s="1" t="s">
        <v>11</v>
      </c>
    </row>
    <row r="1967" spans="1:5" ht="15.75" customHeight="1">
      <c r="A1967" s="1">
        <v>440794</v>
      </c>
      <c r="B1967" s="1" t="s">
        <v>1998</v>
      </c>
      <c r="C1967" s="1" t="s">
        <v>11</v>
      </c>
      <c r="D1967" s="1" t="s">
        <v>11</v>
      </c>
      <c r="E1967" s="1" t="s">
        <v>11</v>
      </c>
    </row>
    <row r="1968" spans="1:5" ht="15.75" customHeight="1">
      <c r="A1968" s="1">
        <v>440795</v>
      </c>
      <c r="B1968" s="1" t="s">
        <v>1999</v>
      </c>
      <c r="C1968" s="1" t="s">
        <v>11</v>
      </c>
      <c r="D1968" s="1" t="s">
        <v>11</v>
      </c>
      <c r="E1968" s="1" t="s">
        <v>11</v>
      </c>
    </row>
    <row r="1969" spans="1:5" ht="15.75" customHeight="1">
      <c r="A1969" s="1">
        <v>440799</v>
      </c>
      <c r="B1969" s="1" t="s">
        <v>2000</v>
      </c>
      <c r="C1969" s="1" t="s">
        <v>11</v>
      </c>
      <c r="D1969" s="1" t="s">
        <v>11</v>
      </c>
      <c r="E1969" s="1" t="s">
        <v>11</v>
      </c>
    </row>
    <row r="1970" spans="1:5" ht="15.75" customHeight="1">
      <c r="A1970" s="1">
        <v>440810</v>
      </c>
      <c r="B1970" s="1" t="s">
        <v>2001</v>
      </c>
      <c r="C1970" s="1" t="s">
        <v>11</v>
      </c>
      <c r="D1970" s="1" t="s">
        <v>11</v>
      </c>
      <c r="E1970" s="1" t="s">
        <v>11</v>
      </c>
    </row>
    <row r="1971" spans="1:5" ht="15.75" customHeight="1">
      <c r="A1971" s="1">
        <v>440831</v>
      </c>
      <c r="B1971" s="1" t="s">
        <v>2002</v>
      </c>
      <c r="C1971" s="1" t="s">
        <v>11</v>
      </c>
      <c r="D1971" s="1" t="s">
        <v>11</v>
      </c>
      <c r="E1971" s="1" t="s">
        <v>11</v>
      </c>
    </row>
    <row r="1972" spans="1:5" ht="15.75" customHeight="1">
      <c r="A1972" s="1">
        <v>440839</v>
      </c>
      <c r="B1972" s="1" t="s">
        <v>2003</v>
      </c>
      <c r="C1972" s="1" t="s">
        <v>11</v>
      </c>
      <c r="D1972" s="1" t="s">
        <v>11</v>
      </c>
      <c r="E1972" s="1" t="s">
        <v>11</v>
      </c>
    </row>
    <row r="1973" spans="1:5" ht="15.75" customHeight="1">
      <c r="A1973" s="1">
        <v>440890</v>
      </c>
      <c r="B1973" s="1" t="s">
        <v>2004</v>
      </c>
      <c r="C1973" s="1" t="s">
        <v>11</v>
      </c>
      <c r="D1973" s="1" t="s">
        <v>11</v>
      </c>
      <c r="E1973" s="1" t="s">
        <v>11</v>
      </c>
    </row>
    <row r="1974" spans="1:5" ht="15.75" customHeight="1">
      <c r="A1974" s="1">
        <v>440910</v>
      </c>
      <c r="B1974" s="1" t="s">
        <v>2005</v>
      </c>
      <c r="C1974" s="1" t="s">
        <v>11</v>
      </c>
      <c r="D1974" s="1" t="s">
        <v>11</v>
      </c>
      <c r="E1974" s="1" t="s">
        <v>11</v>
      </c>
    </row>
    <row r="1975" spans="1:5" ht="15.75" customHeight="1">
      <c r="A1975" s="1">
        <v>440921</v>
      </c>
      <c r="B1975" s="1" t="s">
        <v>2006</v>
      </c>
      <c r="C1975" s="1" t="s">
        <v>11</v>
      </c>
      <c r="D1975" s="1" t="s">
        <v>11</v>
      </c>
      <c r="E1975" s="1" t="s">
        <v>11</v>
      </c>
    </row>
    <row r="1976" spans="1:5" ht="15.75" customHeight="1">
      <c r="A1976" s="1">
        <v>440929</v>
      </c>
      <c r="B1976" s="1" t="s">
        <v>2007</v>
      </c>
      <c r="C1976" s="1" t="s">
        <v>11</v>
      </c>
      <c r="D1976" s="1" t="s">
        <v>11</v>
      </c>
      <c r="E1976" s="1" t="s">
        <v>11</v>
      </c>
    </row>
    <row r="1977" spans="1:5" ht="15.75" customHeight="1">
      <c r="A1977" s="1">
        <v>441011</v>
      </c>
      <c r="B1977" s="1" t="s">
        <v>2008</v>
      </c>
      <c r="C1977" s="1" t="s">
        <v>11</v>
      </c>
      <c r="D1977" s="1" t="s">
        <v>11</v>
      </c>
      <c r="E1977" s="1" t="s">
        <v>11</v>
      </c>
    </row>
    <row r="1978" spans="1:5" ht="15.75" customHeight="1">
      <c r="A1978" s="1">
        <v>441012</v>
      </c>
      <c r="B1978" s="1" t="s">
        <v>2009</v>
      </c>
      <c r="C1978" s="1" t="s">
        <v>11</v>
      </c>
      <c r="D1978" s="1" t="s">
        <v>11</v>
      </c>
      <c r="E1978" s="1" t="s">
        <v>11</v>
      </c>
    </row>
    <row r="1979" spans="1:5" ht="15.75" customHeight="1">
      <c r="A1979" s="1">
        <v>441019</v>
      </c>
      <c r="B1979" s="1" t="s">
        <v>2010</v>
      </c>
      <c r="C1979" s="1" t="s">
        <v>11</v>
      </c>
      <c r="D1979" s="1" t="s">
        <v>11</v>
      </c>
      <c r="E1979" s="1" t="s">
        <v>11</v>
      </c>
    </row>
    <row r="1980" spans="1:5" ht="15.75" customHeight="1">
      <c r="A1980" s="1">
        <v>441090</v>
      </c>
      <c r="B1980" s="1" t="s">
        <v>2011</v>
      </c>
      <c r="C1980" s="1" t="s">
        <v>11</v>
      </c>
      <c r="D1980" s="1" t="s">
        <v>11</v>
      </c>
      <c r="E1980" s="1" t="s">
        <v>11</v>
      </c>
    </row>
    <row r="1981" spans="1:5" ht="15.75" customHeight="1">
      <c r="A1981" s="1">
        <v>441112</v>
      </c>
      <c r="B1981" s="1" t="s">
        <v>2012</v>
      </c>
      <c r="C1981" s="1" t="s">
        <v>11</v>
      </c>
      <c r="D1981" s="1" t="s">
        <v>11</v>
      </c>
      <c r="E1981" s="1" t="s">
        <v>11</v>
      </c>
    </row>
    <row r="1982" spans="1:5" ht="15.75" customHeight="1">
      <c r="A1982" s="1">
        <v>441113</v>
      </c>
      <c r="B1982" s="1" t="s">
        <v>2013</v>
      </c>
      <c r="C1982" s="1" t="s">
        <v>11</v>
      </c>
      <c r="D1982" s="1" t="s">
        <v>11</v>
      </c>
      <c r="E1982" s="1" t="s">
        <v>11</v>
      </c>
    </row>
    <row r="1983" spans="1:5" ht="15.75" customHeight="1">
      <c r="A1983" s="1">
        <v>441114</v>
      </c>
      <c r="B1983" s="1" t="s">
        <v>2014</v>
      </c>
      <c r="C1983" s="1" t="s">
        <v>11</v>
      </c>
      <c r="D1983" s="1" t="s">
        <v>11</v>
      </c>
      <c r="E1983" s="1" t="s">
        <v>11</v>
      </c>
    </row>
    <row r="1984" spans="1:5" ht="15.75" customHeight="1">
      <c r="A1984" s="1">
        <v>441192</v>
      </c>
      <c r="B1984" s="1" t="s">
        <v>2015</v>
      </c>
      <c r="C1984" s="1" t="s">
        <v>11</v>
      </c>
      <c r="D1984" s="1" t="s">
        <v>11</v>
      </c>
      <c r="E1984" s="1" t="s">
        <v>11</v>
      </c>
    </row>
    <row r="1985" spans="1:5" ht="15.75" customHeight="1">
      <c r="A1985" s="1">
        <v>441193</v>
      </c>
      <c r="B1985" s="1" t="s">
        <v>2016</v>
      </c>
      <c r="C1985" s="1" t="s">
        <v>11</v>
      </c>
      <c r="D1985" s="1" t="s">
        <v>11</v>
      </c>
      <c r="E1985" s="1" t="s">
        <v>11</v>
      </c>
    </row>
    <row r="1986" spans="1:5" ht="15.75" customHeight="1">
      <c r="A1986" s="1">
        <v>441194</v>
      </c>
      <c r="B1986" s="1" t="s">
        <v>2017</v>
      </c>
      <c r="C1986" s="1" t="s">
        <v>11</v>
      </c>
      <c r="D1986" s="1" t="s">
        <v>11</v>
      </c>
      <c r="E1986" s="1" t="s">
        <v>11</v>
      </c>
    </row>
    <row r="1987" spans="1:5" ht="15.75" customHeight="1">
      <c r="A1987" s="1">
        <v>441210</v>
      </c>
      <c r="B1987" s="1" t="s">
        <v>2018</v>
      </c>
      <c r="C1987" s="1" t="s">
        <v>11</v>
      </c>
      <c r="D1987" s="1" t="s">
        <v>11</v>
      </c>
      <c r="E1987" s="1" t="s">
        <v>11</v>
      </c>
    </row>
    <row r="1988" spans="1:5" ht="15.75" customHeight="1">
      <c r="A1988" s="1">
        <v>441231</v>
      </c>
      <c r="B1988" s="1" t="s">
        <v>2019</v>
      </c>
      <c r="C1988" s="1" t="s">
        <v>11</v>
      </c>
      <c r="D1988" s="1" t="s">
        <v>11</v>
      </c>
      <c r="E1988" s="1" t="s">
        <v>11</v>
      </c>
    </row>
    <row r="1989" spans="1:5" ht="15.75" customHeight="1">
      <c r="A1989" s="1">
        <v>441232</v>
      </c>
      <c r="B1989" s="1" t="s">
        <v>2020</v>
      </c>
      <c r="C1989" s="1" t="s">
        <v>11</v>
      </c>
      <c r="D1989" s="1" t="s">
        <v>11</v>
      </c>
      <c r="E1989" s="1" t="s">
        <v>11</v>
      </c>
    </row>
    <row r="1990" spans="1:5" ht="15.75" customHeight="1">
      <c r="A1990" s="1">
        <v>441239</v>
      </c>
      <c r="B1990" s="1" t="s">
        <v>2021</v>
      </c>
      <c r="C1990" s="1" t="s">
        <v>11</v>
      </c>
      <c r="D1990" s="1" t="s">
        <v>11</v>
      </c>
      <c r="E1990" s="1" t="s">
        <v>11</v>
      </c>
    </row>
    <row r="1991" spans="1:5" ht="15.75" customHeight="1">
      <c r="A1991" s="1">
        <v>441294</v>
      </c>
      <c r="B1991" s="1" t="s">
        <v>2022</v>
      </c>
      <c r="C1991" s="1" t="s">
        <v>11</v>
      </c>
      <c r="D1991" s="1" t="s">
        <v>11</v>
      </c>
      <c r="E1991" s="1" t="s">
        <v>11</v>
      </c>
    </row>
    <row r="1992" spans="1:5" ht="15.75" customHeight="1">
      <c r="A1992" s="1">
        <v>441299</v>
      </c>
      <c r="B1992" s="1" t="s">
        <v>2023</v>
      </c>
      <c r="C1992" s="1" t="s">
        <v>11</v>
      </c>
      <c r="D1992" s="1" t="s">
        <v>11</v>
      </c>
      <c r="E1992" s="1" t="s">
        <v>11</v>
      </c>
    </row>
    <row r="1993" spans="1:5" ht="15.75" customHeight="1">
      <c r="A1993" s="1">
        <v>441300</v>
      </c>
      <c r="B1993" s="1" t="s">
        <v>2024</v>
      </c>
      <c r="C1993" s="1" t="s">
        <v>11</v>
      </c>
      <c r="D1993" s="1" t="s">
        <v>11</v>
      </c>
      <c r="E1993" s="1" t="s">
        <v>11</v>
      </c>
    </row>
    <row r="1994" spans="1:5" ht="15.75" customHeight="1">
      <c r="A1994" s="1">
        <v>441400</v>
      </c>
      <c r="B1994" s="1" t="s">
        <v>2025</v>
      </c>
      <c r="C1994" s="1" t="s">
        <v>11</v>
      </c>
      <c r="D1994" s="1" t="s">
        <v>11</v>
      </c>
      <c r="E1994" s="1" t="s">
        <v>11</v>
      </c>
    </row>
    <row r="1995" spans="1:5" ht="15.75" customHeight="1">
      <c r="A1995" s="1">
        <v>441510</v>
      </c>
      <c r="B1995" s="1" t="s">
        <v>2026</v>
      </c>
      <c r="C1995" s="1" t="s">
        <v>11</v>
      </c>
      <c r="D1995" s="1" t="s">
        <v>11</v>
      </c>
      <c r="E1995" s="1" t="s">
        <v>11</v>
      </c>
    </row>
    <row r="1996" spans="1:5" ht="15.75" customHeight="1">
      <c r="A1996" s="1">
        <v>441520</v>
      </c>
      <c r="B1996" s="1" t="s">
        <v>2027</v>
      </c>
      <c r="C1996" s="1" t="s">
        <v>11</v>
      </c>
      <c r="D1996" s="1" t="s">
        <v>11</v>
      </c>
      <c r="E1996" s="1" t="s">
        <v>11</v>
      </c>
    </row>
    <row r="1997" spans="1:5" ht="15.75" customHeight="1">
      <c r="A1997" s="1">
        <v>441600</v>
      </c>
      <c r="B1997" s="1" t="s">
        <v>2028</v>
      </c>
      <c r="C1997" s="1" t="s">
        <v>11</v>
      </c>
      <c r="D1997" s="1" t="s">
        <v>11</v>
      </c>
      <c r="E1997" s="1" t="s">
        <v>11</v>
      </c>
    </row>
    <row r="1998" spans="1:5" ht="15.75" customHeight="1">
      <c r="A1998" s="1">
        <v>441700</v>
      </c>
      <c r="B1998" s="1" t="s">
        <v>2029</v>
      </c>
      <c r="C1998" s="1" t="s">
        <v>11</v>
      </c>
      <c r="D1998" s="1" t="s">
        <v>11</v>
      </c>
      <c r="E1998" s="1" t="s">
        <v>11</v>
      </c>
    </row>
    <row r="1999" spans="1:5" ht="15.75" customHeight="1">
      <c r="A1999" s="1">
        <v>441810</v>
      </c>
      <c r="B1999" s="1" t="s">
        <v>2030</v>
      </c>
      <c r="C1999" s="1" t="s">
        <v>11</v>
      </c>
      <c r="D1999" s="1" t="s">
        <v>11</v>
      </c>
      <c r="E1999" s="1" t="s">
        <v>11</v>
      </c>
    </row>
    <row r="2000" spans="1:5" ht="15.75" customHeight="1">
      <c r="A2000" s="1">
        <v>441820</v>
      </c>
      <c r="B2000" s="1" t="s">
        <v>2031</v>
      </c>
      <c r="C2000" s="1" t="s">
        <v>11</v>
      </c>
      <c r="D2000" s="1" t="s">
        <v>11</v>
      </c>
      <c r="E2000" s="1" t="s">
        <v>11</v>
      </c>
    </row>
    <row r="2001" spans="1:5" ht="15.75" customHeight="1">
      <c r="A2001" s="1">
        <v>441840</v>
      </c>
      <c r="B2001" s="1" t="s">
        <v>2032</v>
      </c>
      <c r="C2001" s="1" t="s">
        <v>11</v>
      </c>
      <c r="D2001" s="1" t="s">
        <v>11</v>
      </c>
      <c r="E2001" s="1" t="s">
        <v>11</v>
      </c>
    </row>
    <row r="2002" spans="1:5" ht="15.75" customHeight="1">
      <c r="A2002" s="1">
        <v>441850</v>
      </c>
      <c r="B2002" s="1" t="s">
        <v>2033</v>
      </c>
      <c r="C2002" s="1" t="s">
        <v>11</v>
      </c>
      <c r="D2002" s="1" t="s">
        <v>11</v>
      </c>
      <c r="E2002" s="1" t="s">
        <v>11</v>
      </c>
    </row>
    <row r="2003" spans="1:5" ht="15.75" customHeight="1">
      <c r="A2003" s="1">
        <v>441860</v>
      </c>
      <c r="B2003" s="1" t="s">
        <v>2034</v>
      </c>
      <c r="C2003" s="1" t="s">
        <v>11</v>
      </c>
      <c r="D2003" s="1" t="s">
        <v>11</v>
      </c>
      <c r="E2003" s="1" t="s">
        <v>11</v>
      </c>
    </row>
    <row r="2004" spans="1:5" ht="15.75" customHeight="1">
      <c r="A2004" s="1">
        <v>441871</v>
      </c>
      <c r="B2004" s="1" t="s">
        <v>2035</v>
      </c>
      <c r="C2004" s="1" t="s">
        <v>11</v>
      </c>
      <c r="D2004" s="1" t="s">
        <v>11</v>
      </c>
      <c r="E2004" s="1" t="s">
        <v>11</v>
      </c>
    </row>
    <row r="2005" spans="1:5" ht="15.75" customHeight="1">
      <c r="A2005" s="1">
        <v>441872</v>
      </c>
      <c r="B2005" s="1" t="s">
        <v>2036</v>
      </c>
      <c r="C2005" s="1" t="s">
        <v>11</v>
      </c>
      <c r="D2005" s="1" t="s">
        <v>11</v>
      </c>
      <c r="E2005" s="1" t="s">
        <v>11</v>
      </c>
    </row>
    <row r="2006" spans="1:5" ht="15.75" customHeight="1">
      <c r="A2006" s="1">
        <v>441879</v>
      </c>
      <c r="B2006" s="1" t="s">
        <v>2037</v>
      </c>
      <c r="C2006" s="1" t="s">
        <v>11</v>
      </c>
      <c r="D2006" s="1" t="s">
        <v>11</v>
      </c>
      <c r="E2006" s="1" t="s">
        <v>11</v>
      </c>
    </row>
    <row r="2007" spans="1:5" ht="15.75" customHeight="1">
      <c r="A2007" s="1">
        <v>441890</v>
      </c>
      <c r="B2007" s="1" t="s">
        <v>2038</v>
      </c>
      <c r="C2007" s="1" t="s">
        <v>11</v>
      </c>
      <c r="D2007" s="1" t="s">
        <v>11</v>
      </c>
      <c r="E2007" s="1" t="s">
        <v>11</v>
      </c>
    </row>
    <row r="2008" spans="1:5" ht="15.75" customHeight="1">
      <c r="A2008" s="1">
        <v>441900</v>
      </c>
      <c r="B2008" s="1" t="s">
        <v>2039</v>
      </c>
      <c r="C2008" s="1" t="s">
        <v>11</v>
      </c>
      <c r="D2008" s="1" t="s">
        <v>11</v>
      </c>
      <c r="E2008" s="1" t="s">
        <v>11</v>
      </c>
    </row>
    <row r="2009" spans="1:5" ht="15.75" customHeight="1">
      <c r="A2009" s="1">
        <v>442010</v>
      </c>
      <c r="B2009" s="1" t="s">
        <v>2040</v>
      </c>
      <c r="C2009" s="1" t="s">
        <v>11</v>
      </c>
      <c r="D2009" s="1" t="s">
        <v>11</v>
      </c>
      <c r="E2009" s="1" t="s">
        <v>11</v>
      </c>
    </row>
    <row r="2010" spans="1:5" ht="15.75" customHeight="1">
      <c r="A2010" s="1">
        <v>442090</v>
      </c>
      <c r="B2010" s="1" t="s">
        <v>2041</v>
      </c>
      <c r="C2010" s="1" t="s">
        <v>11</v>
      </c>
      <c r="D2010" s="1" t="s">
        <v>11</v>
      </c>
      <c r="E2010" s="1" t="s">
        <v>11</v>
      </c>
    </row>
    <row r="2011" spans="1:5" ht="15.75" customHeight="1">
      <c r="A2011" s="1">
        <v>442110</v>
      </c>
      <c r="B2011" s="1" t="s">
        <v>2042</v>
      </c>
      <c r="C2011" s="1" t="s">
        <v>11</v>
      </c>
      <c r="D2011" s="1" t="s">
        <v>11</v>
      </c>
      <c r="E2011" s="1" t="s">
        <v>11</v>
      </c>
    </row>
    <row r="2012" spans="1:5" ht="15.75" customHeight="1">
      <c r="A2012" s="1">
        <v>442190</v>
      </c>
      <c r="B2012" s="1" t="s">
        <v>2043</v>
      </c>
      <c r="C2012" s="1" t="s">
        <v>11</v>
      </c>
      <c r="D2012" s="1" t="s">
        <v>11</v>
      </c>
      <c r="E2012" s="1" t="s">
        <v>11</v>
      </c>
    </row>
    <row r="2013" spans="1:5" ht="15.75" customHeight="1">
      <c r="A2013" s="1">
        <v>450110</v>
      </c>
      <c r="B2013" s="1" t="s">
        <v>2044</v>
      </c>
      <c r="C2013" s="1" t="s">
        <v>11</v>
      </c>
      <c r="D2013" s="1" t="s">
        <v>11</v>
      </c>
      <c r="E2013" s="1" t="s">
        <v>11</v>
      </c>
    </row>
    <row r="2014" spans="1:5" ht="15.75" customHeight="1">
      <c r="A2014" s="1">
        <v>450190</v>
      </c>
      <c r="B2014" s="1" t="s">
        <v>2045</v>
      </c>
      <c r="C2014" s="1" t="s">
        <v>11</v>
      </c>
      <c r="D2014" s="1" t="s">
        <v>11</v>
      </c>
      <c r="E2014" s="1" t="s">
        <v>11</v>
      </c>
    </row>
    <row r="2015" spans="1:5" ht="15.75" customHeight="1">
      <c r="A2015" s="1">
        <v>450200</v>
      </c>
      <c r="B2015" s="1" t="s">
        <v>2046</v>
      </c>
      <c r="C2015" s="1" t="s">
        <v>11</v>
      </c>
      <c r="D2015" s="1" t="s">
        <v>11</v>
      </c>
      <c r="E2015" s="1" t="s">
        <v>11</v>
      </c>
    </row>
    <row r="2016" spans="1:5" ht="15.75" customHeight="1">
      <c r="A2016" s="1">
        <v>450310</v>
      </c>
      <c r="B2016" s="1" t="s">
        <v>2047</v>
      </c>
      <c r="C2016" s="1" t="s">
        <v>11</v>
      </c>
      <c r="D2016" s="1" t="s">
        <v>11</v>
      </c>
      <c r="E2016" s="1" t="s">
        <v>11</v>
      </c>
    </row>
    <row r="2017" spans="1:5" ht="15.75" customHeight="1">
      <c r="A2017" s="1">
        <v>450390</v>
      </c>
      <c r="B2017" s="1" t="s">
        <v>2048</v>
      </c>
      <c r="C2017" s="1" t="s">
        <v>11</v>
      </c>
      <c r="D2017" s="1" t="s">
        <v>11</v>
      </c>
      <c r="E2017" s="1" t="s">
        <v>11</v>
      </c>
    </row>
    <row r="2018" spans="1:5" ht="15.75" customHeight="1">
      <c r="A2018" s="1">
        <v>450410</v>
      </c>
      <c r="B2018" s="1" t="s">
        <v>2049</v>
      </c>
      <c r="C2018" s="1" t="s">
        <v>11</v>
      </c>
      <c r="D2018" s="1" t="s">
        <v>11</v>
      </c>
      <c r="E2018" s="1" t="s">
        <v>11</v>
      </c>
    </row>
    <row r="2019" spans="1:5" ht="15.75" customHeight="1">
      <c r="A2019" s="1">
        <v>450490</v>
      </c>
      <c r="B2019" s="1" t="s">
        <v>2050</v>
      </c>
      <c r="C2019" s="1" t="s">
        <v>11</v>
      </c>
      <c r="D2019" s="1" t="s">
        <v>11</v>
      </c>
      <c r="E2019" s="1" t="s">
        <v>11</v>
      </c>
    </row>
    <row r="2020" spans="1:5" ht="15.75" customHeight="1">
      <c r="A2020" s="1">
        <v>460121</v>
      </c>
      <c r="B2020" s="1" t="s">
        <v>2051</v>
      </c>
      <c r="C2020" s="1" t="s">
        <v>11</v>
      </c>
      <c r="D2020" s="1" t="s">
        <v>11</v>
      </c>
      <c r="E2020" s="1" t="s">
        <v>11</v>
      </c>
    </row>
    <row r="2021" spans="1:5" ht="15.75" customHeight="1">
      <c r="A2021" s="1">
        <v>460122</v>
      </c>
      <c r="B2021" s="1" t="s">
        <v>2052</v>
      </c>
      <c r="C2021" s="1" t="s">
        <v>11</v>
      </c>
      <c r="D2021" s="1" t="s">
        <v>11</v>
      </c>
      <c r="E2021" s="1" t="s">
        <v>11</v>
      </c>
    </row>
    <row r="2022" spans="1:5" ht="15.75" customHeight="1">
      <c r="A2022" s="1">
        <v>460129</v>
      </c>
      <c r="B2022" s="1" t="s">
        <v>2053</v>
      </c>
      <c r="C2022" s="1" t="s">
        <v>11</v>
      </c>
      <c r="D2022" s="1" t="s">
        <v>11</v>
      </c>
      <c r="E2022" s="1" t="s">
        <v>11</v>
      </c>
    </row>
    <row r="2023" spans="1:5" ht="15.75" customHeight="1">
      <c r="A2023" s="1">
        <v>460192</v>
      </c>
      <c r="B2023" s="1" t="s">
        <v>2054</v>
      </c>
      <c r="C2023" s="1" t="s">
        <v>11</v>
      </c>
      <c r="D2023" s="1" t="s">
        <v>11</v>
      </c>
      <c r="E2023" s="1" t="s">
        <v>11</v>
      </c>
    </row>
    <row r="2024" spans="1:5" ht="15.75" customHeight="1">
      <c r="A2024" s="1">
        <v>460193</v>
      </c>
      <c r="B2024" s="1" t="s">
        <v>2055</v>
      </c>
      <c r="C2024" s="1" t="s">
        <v>11</v>
      </c>
      <c r="D2024" s="1" t="s">
        <v>11</v>
      </c>
      <c r="E2024" s="1" t="s">
        <v>11</v>
      </c>
    </row>
    <row r="2025" spans="1:5" ht="15.75" customHeight="1">
      <c r="A2025" s="1">
        <v>460194</v>
      </c>
      <c r="B2025" s="1" t="s">
        <v>2056</v>
      </c>
      <c r="C2025" s="1" t="s">
        <v>11</v>
      </c>
      <c r="D2025" s="1" t="s">
        <v>11</v>
      </c>
      <c r="E2025" s="1" t="s">
        <v>11</v>
      </c>
    </row>
    <row r="2026" spans="1:5" ht="15.75" customHeight="1">
      <c r="A2026" s="1">
        <v>460199</v>
      </c>
      <c r="B2026" s="1" t="s">
        <v>2057</v>
      </c>
      <c r="C2026" s="1" t="s">
        <v>11</v>
      </c>
      <c r="D2026" s="1" t="s">
        <v>11</v>
      </c>
      <c r="E2026" s="1" t="s">
        <v>11</v>
      </c>
    </row>
    <row r="2027" spans="1:5" ht="15.75" customHeight="1">
      <c r="A2027" s="1">
        <v>460211</v>
      </c>
      <c r="B2027" s="1" t="s">
        <v>2058</v>
      </c>
      <c r="C2027" s="1" t="s">
        <v>11</v>
      </c>
      <c r="D2027" s="1" t="s">
        <v>11</v>
      </c>
      <c r="E2027" s="1" t="s">
        <v>11</v>
      </c>
    </row>
    <row r="2028" spans="1:5" ht="15.75" customHeight="1">
      <c r="A2028" s="1">
        <v>460212</v>
      </c>
      <c r="B2028" s="1" t="s">
        <v>2059</v>
      </c>
      <c r="C2028" s="1" t="s">
        <v>11</v>
      </c>
      <c r="D2028" s="1" t="s">
        <v>11</v>
      </c>
      <c r="E2028" s="1" t="s">
        <v>11</v>
      </c>
    </row>
    <row r="2029" spans="1:5" ht="15.75" customHeight="1">
      <c r="A2029" s="1">
        <v>460219</v>
      </c>
      <c r="B2029" s="1" t="s">
        <v>2060</v>
      </c>
      <c r="C2029" s="1" t="s">
        <v>11</v>
      </c>
      <c r="D2029" s="1" t="s">
        <v>11</v>
      </c>
      <c r="E2029" s="1" t="s">
        <v>11</v>
      </c>
    </row>
    <row r="2030" spans="1:5" ht="15.75" customHeight="1">
      <c r="A2030" s="1">
        <v>460290</v>
      </c>
      <c r="B2030" s="1" t="s">
        <v>2061</v>
      </c>
      <c r="C2030" s="1" t="s">
        <v>11</v>
      </c>
      <c r="D2030" s="1" t="s">
        <v>11</v>
      </c>
      <c r="E2030" s="1" t="s">
        <v>11</v>
      </c>
    </row>
    <row r="2031" spans="1:5" ht="15.75" customHeight="1">
      <c r="A2031" s="1">
        <v>470100</v>
      </c>
      <c r="B2031" s="1" t="s">
        <v>2062</v>
      </c>
      <c r="C2031" s="1" t="s">
        <v>11</v>
      </c>
      <c r="D2031" s="1" t="s">
        <v>11</v>
      </c>
      <c r="E2031" s="1" t="s">
        <v>11</v>
      </c>
    </row>
    <row r="2032" spans="1:5" ht="15.75" customHeight="1">
      <c r="A2032" s="1">
        <v>470200</v>
      </c>
      <c r="B2032" s="1" t="s">
        <v>2063</v>
      </c>
      <c r="C2032" s="1" t="s">
        <v>11</v>
      </c>
      <c r="D2032" s="1" t="s">
        <v>11</v>
      </c>
      <c r="E2032" s="1" t="s">
        <v>11</v>
      </c>
    </row>
    <row r="2033" spans="1:5" ht="15.75" customHeight="1">
      <c r="A2033" s="1">
        <v>470311</v>
      </c>
      <c r="B2033" s="1" t="s">
        <v>2064</v>
      </c>
      <c r="C2033" s="1" t="s">
        <v>11</v>
      </c>
      <c r="D2033" s="1" t="s">
        <v>11</v>
      </c>
      <c r="E2033" s="1" t="s">
        <v>11</v>
      </c>
    </row>
    <row r="2034" spans="1:5" ht="15.75" customHeight="1">
      <c r="A2034" s="1">
        <v>470319</v>
      </c>
      <c r="B2034" s="1" t="s">
        <v>2065</v>
      </c>
      <c r="C2034" s="1" t="s">
        <v>11</v>
      </c>
      <c r="D2034" s="1" t="s">
        <v>11</v>
      </c>
      <c r="E2034" s="1" t="s">
        <v>11</v>
      </c>
    </row>
    <row r="2035" spans="1:5" ht="15.75" customHeight="1">
      <c r="A2035" s="1">
        <v>470321</v>
      </c>
      <c r="B2035" s="1" t="s">
        <v>2066</v>
      </c>
      <c r="C2035" s="1" t="s">
        <v>11</v>
      </c>
      <c r="D2035" s="1" t="s">
        <v>11</v>
      </c>
      <c r="E2035" s="1" t="s">
        <v>11</v>
      </c>
    </row>
    <row r="2036" spans="1:5" ht="15.75" customHeight="1">
      <c r="A2036" s="1">
        <v>470329</v>
      </c>
      <c r="B2036" s="1" t="s">
        <v>2067</v>
      </c>
      <c r="C2036" s="1" t="s">
        <v>11</v>
      </c>
      <c r="D2036" s="1" t="s">
        <v>11</v>
      </c>
      <c r="E2036" s="1" t="s">
        <v>11</v>
      </c>
    </row>
    <row r="2037" spans="1:5" ht="15.75" customHeight="1">
      <c r="A2037" s="1">
        <v>470411</v>
      </c>
      <c r="B2037" s="1" t="s">
        <v>2068</v>
      </c>
      <c r="C2037" s="1" t="s">
        <v>11</v>
      </c>
      <c r="D2037" s="1" t="s">
        <v>11</v>
      </c>
      <c r="E2037" s="1" t="s">
        <v>11</v>
      </c>
    </row>
    <row r="2038" spans="1:5" ht="15.75" customHeight="1">
      <c r="A2038" s="1">
        <v>470419</v>
      </c>
      <c r="B2038" s="1" t="s">
        <v>2069</v>
      </c>
      <c r="C2038" s="1" t="s">
        <v>11</v>
      </c>
      <c r="D2038" s="1" t="s">
        <v>11</v>
      </c>
      <c r="E2038" s="1" t="s">
        <v>11</v>
      </c>
    </row>
    <row r="2039" spans="1:5" ht="15.75" customHeight="1">
      <c r="A2039" s="1">
        <v>470421</v>
      </c>
      <c r="B2039" s="1" t="s">
        <v>2070</v>
      </c>
      <c r="C2039" s="1" t="s">
        <v>11</v>
      </c>
      <c r="D2039" s="1" t="s">
        <v>11</v>
      </c>
      <c r="E2039" s="1" t="s">
        <v>11</v>
      </c>
    </row>
    <row r="2040" spans="1:5" ht="15.75" customHeight="1">
      <c r="A2040" s="1">
        <v>470429</v>
      </c>
      <c r="B2040" s="1" t="s">
        <v>2071</v>
      </c>
      <c r="C2040" s="1" t="s">
        <v>11</v>
      </c>
      <c r="D2040" s="1" t="s">
        <v>11</v>
      </c>
      <c r="E2040" s="1" t="s">
        <v>11</v>
      </c>
    </row>
    <row r="2041" spans="1:5" ht="15.75" customHeight="1">
      <c r="A2041" s="1">
        <v>470500</v>
      </c>
      <c r="B2041" s="1" t="s">
        <v>2072</v>
      </c>
      <c r="C2041" s="1" t="s">
        <v>11</v>
      </c>
      <c r="D2041" s="1" t="s">
        <v>11</v>
      </c>
      <c r="E2041" s="1" t="s">
        <v>11</v>
      </c>
    </row>
    <row r="2042" spans="1:5" ht="15.75" customHeight="1">
      <c r="A2042" s="1">
        <v>470610</v>
      </c>
      <c r="B2042" s="1" t="s">
        <v>2073</v>
      </c>
      <c r="C2042" s="1" t="s">
        <v>11</v>
      </c>
      <c r="D2042" s="1" t="s">
        <v>11</v>
      </c>
      <c r="E2042" s="1" t="s">
        <v>11</v>
      </c>
    </row>
    <row r="2043" spans="1:5" ht="15.75" customHeight="1">
      <c r="A2043" s="1">
        <v>470620</v>
      </c>
      <c r="B2043" s="1" t="s">
        <v>2074</v>
      </c>
      <c r="C2043" s="1" t="s">
        <v>11</v>
      </c>
      <c r="D2043" s="1" t="s">
        <v>11</v>
      </c>
      <c r="E2043" s="1" t="s">
        <v>11</v>
      </c>
    </row>
    <row r="2044" spans="1:5" ht="15.75" customHeight="1">
      <c r="A2044" s="1">
        <v>470630</v>
      </c>
      <c r="B2044" s="1" t="s">
        <v>2075</v>
      </c>
      <c r="C2044" s="1" t="s">
        <v>11</v>
      </c>
      <c r="D2044" s="1" t="s">
        <v>11</v>
      </c>
      <c r="E2044" s="1" t="s">
        <v>11</v>
      </c>
    </row>
    <row r="2045" spans="1:5" ht="15.75" customHeight="1">
      <c r="A2045" s="1">
        <v>470691</v>
      </c>
      <c r="B2045" s="1" t="s">
        <v>2076</v>
      </c>
      <c r="C2045" s="1" t="s">
        <v>11</v>
      </c>
      <c r="D2045" s="1" t="s">
        <v>11</v>
      </c>
      <c r="E2045" s="1" t="s">
        <v>11</v>
      </c>
    </row>
    <row r="2046" spans="1:5" ht="15.75" customHeight="1">
      <c r="A2046" s="1">
        <v>470692</v>
      </c>
      <c r="B2046" s="1" t="s">
        <v>2077</v>
      </c>
      <c r="C2046" s="1" t="s">
        <v>11</v>
      </c>
      <c r="D2046" s="1" t="s">
        <v>11</v>
      </c>
      <c r="E2046" s="1" t="s">
        <v>11</v>
      </c>
    </row>
    <row r="2047" spans="1:5" ht="15.75" customHeight="1">
      <c r="A2047" s="1">
        <v>470693</v>
      </c>
      <c r="B2047" s="1" t="s">
        <v>2078</v>
      </c>
      <c r="C2047" s="1" t="s">
        <v>11</v>
      </c>
      <c r="D2047" s="1" t="s">
        <v>11</v>
      </c>
      <c r="E2047" s="1" t="s">
        <v>11</v>
      </c>
    </row>
    <row r="2048" spans="1:5" ht="15.75" customHeight="1">
      <c r="A2048" s="1">
        <v>470710</v>
      </c>
      <c r="B2048" s="1" t="s">
        <v>2079</v>
      </c>
      <c r="C2048" s="1" t="s">
        <v>11</v>
      </c>
      <c r="D2048" s="1" t="s">
        <v>11</v>
      </c>
      <c r="E2048" s="1" t="s">
        <v>11</v>
      </c>
    </row>
    <row r="2049" spans="1:5" ht="15.75" customHeight="1">
      <c r="A2049" s="1">
        <v>470720</v>
      </c>
      <c r="B2049" s="1" t="s">
        <v>2080</v>
      </c>
      <c r="C2049" s="1" t="s">
        <v>11</v>
      </c>
      <c r="D2049" s="1" t="s">
        <v>11</v>
      </c>
      <c r="E2049" s="1" t="s">
        <v>11</v>
      </c>
    </row>
    <row r="2050" spans="1:5" ht="15.75" customHeight="1">
      <c r="A2050" s="1">
        <v>470730</v>
      </c>
      <c r="B2050" s="1" t="s">
        <v>2081</v>
      </c>
      <c r="C2050" s="1" t="s">
        <v>11</v>
      </c>
      <c r="D2050" s="1" t="s">
        <v>11</v>
      </c>
      <c r="E2050" s="1" t="s">
        <v>11</v>
      </c>
    </row>
    <row r="2051" spans="1:5" ht="15.75" customHeight="1">
      <c r="A2051" s="1">
        <v>470790</v>
      </c>
      <c r="B2051" s="1" t="s">
        <v>2082</v>
      </c>
      <c r="C2051" s="1" t="s">
        <v>11</v>
      </c>
      <c r="D2051" s="1" t="s">
        <v>11</v>
      </c>
      <c r="E2051" s="1" t="s">
        <v>11</v>
      </c>
    </row>
    <row r="2052" spans="1:5" ht="15.75" customHeight="1">
      <c r="A2052" s="1">
        <v>480100</v>
      </c>
      <c r="B2052" s="1" t="s">
        <v>2083</v>
      </c>
      <c r="C2052" s="1" t="s">
        <v>11</v>
      </c>
      <c r="D2052" s="1" t="s">
        <v>11</v>
      </c>
      <c r="E2052" s="1" t="s">
        <v>11</v>
      </c>
    </row>
    <row r="2053" spans="1:5" ht="15.75" customHeight="1">
      <c r="A2053" s="1">
        <v>480210</v>
      </c>
      <c r="B2053" s="1" t="s">
        <v>2084</v>
      </c>
      <c r="C2053" s="1" t="s">
        <v>11</v>
      </c>
      <c r="D2053" s="1" t="s">
        <v>11</v>
      </c>
      <c r="E2053" s="1" t="s">
        <v>11</v>
      </c>
    </row>
    <row r="2054" spans="1:5" ht="15.75" customHeight="1">
      <c r="A2054" s="1">
        <v>480220</v>
      </c>
      <c r="B2054" s="1" t="s">
        <v>2085</v>
      </c>
      <c r="C2054" s="1" t="s">
        <v>11</v>
      </c>
      <c r="D2054" s="1" t="s">
        <v>11</v>
      </c>
      <c r="E2054" s="1" t="s">
        <v>11</v>
      </c>
    </row>
    <row r="2055" spans="1:5" ht="15.75" customHeight="1">
      <c r="A2055" s="1">
        <v>480240</v>
      </c>
      <c r="B2055" s="1" t="s">
        <v>2086</v>
      </c>
      <c r="C2055" s="1" t="s">
        <v>11</v>
      </c>
      <c r="D2055" s="1" t="s">
        <v>11</v>
      </c>
      <c r="E2055" s="1" t="s">
        <v>11</v>
      </c>
    </row>
    <row r="2056" spans="1:5" ht="15.75" customHeight="1">
      <c r="A2056" s="1">
        <v>480254</v>
      </c>
      <c r="B2056" s="1" t="s">
        <v>2087</v>
      </c>
      <c r="C2056" s="1" t="s">
        <v>11</v>
      </c>
      <c r="D2056" s="1" t="s">
        <v>11</v>
      </c>
      <c r="E2056" s="1" t="s">
        <v>11</v>
      </c>
    </row>
    <row r="2057" spans="1:5" ht="15.75" customHeight="1">
      <c r="A2057" s="1">
        <v>480255</v>
      </c>
      <c r="B2057" s="1" t="s">
        <v>2088</v>
      </c>
      <c r="C2057" s="1" t="s">
        <v>11</v>
      </c>
      <c r="D2057" s="1" t="s">
        <v>11</v>
      </c>
      <c r="E2057" s="1" t="s">
        <v>11</v>
      </c>
    </row>
    <row r="2058" spans="1:5" ht="15.75" customHeight="1">
      <c r="A2058" s="1">
        <v>480256</v>
      </c>
      <c r="B2058" s="1" t="s">
        <v>2089</v>
      </c>
      <c r="C2058" s="1" t="s">
        <v>11</v>
      </c>
      <c r="D2058" s="1" t="s">
        <v>11</v>
      </c>
      <c r="E2058" s="1" t="s">
        <v>11</v>
      </c>
    </row>
    <row r="2059" spans="1:5" ht="15.75" customHeight="1">
      <c r="A2059" s="1">
        <v>480257</v>
      </c>
      <c r="B2059" s="1" t="s">
        <v>2090</v>
      </c>
      <c r="C2059" s="1" t="s">
        <v>11</v>
      </c>
      <c r="D2059" s="1" t="s">
        <v>11</v>
      </c>
      <c r="E2059" s="1" t="s">
        <v>11</v>
      </c>
    </row>
    <row r="2060" spans="1:5" ht="15.75" customHeight="1">
      <c r="A2060" s="1">
        <v>480258</v>
      </c>
      <c r="B2060" s="1" t="s">
        <v>2091</v>
      </c>
      <c r="C2060" s="1" t="s">
        <v>11</v>
      </c>
      <c r="D2060" s="1" t="s">
        <v>11</v>
      </c>
      <c r="E2060" s="1" t="s">
        <v>11</v>
      </c>
    </row>
    <row r="2061" spans="1:5" ht="15.75" customHeight="1">
      <c r="A2061" s="1">
        <v>480261</v>
      </c>
      <c r="B2061" s="1" t="s">
        <v>2092</v>
      </c>
      <c r="C2061" s="1" t="s">
        <v>11</v>
      </c>
      <c r="D2061" s="1" t="s">
        <v>11</v>
      </c>
      <c r="E2061" s="1" t="s">
        <v>11</v>
      </c>
    </row>
    <row r="2062" spans="1:5" ht="15.75" customHeight="1">
      <c r="A2062" s="1">
        <v>480262</v>
      </c>
      <c r="B2062" s="1" t="s">
        <v>2093</v>
      </c>
      <c r="C2062" s="1" t="s">
        <v>11</v>
      </c>
      <c r="D2062" s="1" t="s">
        <v>11</v>
      </c>
      <c r="E2062" s="1" t="s">
        <v>11</v>
      </c>
    </row>
    <row r="2063" spans="1:5" ht="15.75" customHeight="1">
      <c r="A2063" s="1">
        <v>480269</v>
      </c>
      <c r="B2063" s="1" t="s">
        <v>2094</v>
      </c>
      <c r="C2063" s="1" t="s">
        <v>11</v>
      </c>
      <c r="D2063" s="1" t="s">
        <v>11</v>
      </c>
      <c r="E2063" s="1" t="s">
        <v>11</v>
      </c>
    </row>
    <row r="2064" spans="1:5" ht="15.75" customHeight="1">
      <c r="A2064" s="1">
        <v>480300</v>
      </c>
      <c r="B2064" s="1" t="s">
        <v>2095</v>
      </c>
      <c r="C2064" s="1" t="s">
        <v>11</v>
      </c>
      <c r="D2064" s="1" t="s">
        <v>11</v>
      </c>
      <c r="E2064" s="1" t="s">
        <v>11</v>
      </c>
    </row>
    <row r="2065" spans="1:5" ht="15.75" customHeight="1">
      <c r="A2065" s="1">
        <v>480411</v>
      </c>
      <c r="B2065" s="1" t="s">
        <v>2096</v>
      </c>
      <c r="C2065" s="1" t="s">
        <v>11</v>
      </c>
      <c r="D2065" s="1" t="s">
        <v>11</v>
      </c>
      <c r="E2065" s="1" t="s">
        <v>11</v>
      </c>
    </row>
    <row r="2066" spans="1:5" ht="15.75" customHeight="1">
      <c r="A2066" s="1">
        <v>480419</v>
      </c>
      <c r="B2066" s="1" t="s">
        <v>2097</v>
      </c>
      <c r="C2066" s="1" t="s">
        <v>11</v>
      </c>
      <c r="D2066" s="1" t="s">
        <v>11</v>
      </c>
      <c r="E2066" s="1" t="s">
        <v>11</v>
      </c>
    </row>
    <row r="2067" spans="1:5" ht="15.75" customHeight="1">
      <c r="A2067" s="1">
        <v>480421</v>
      </c>
      <c r="B2067" s="1" t="s">
        <v>2098</v>
      </c>
      <c r="C2067" s="1" t="s">
        <v>11</v>
      </c>
      <c r="D2067" s="1" t="s">
        <v>11</v>
      </c>
      <c r="E2067" s="1" t="s">
        <v>11</v>
      </c>
    </row>
    <row r="2068" spans="1:5" ht="15.75" customHeight="1">
      <c r="A2068" s="1">
        <v>480429</v>
      </c>
      <c r="B2068" s="1" t="s">
        <v>2099</v>
      </c>
      <c r="C2068" s="1" t="s">
        <v>11</v>
      </c>
      <c r="D2068" s="1" t="s">
        <v>11</v>
      </c>
      <c r="E2068" s="1" t="s">
        <v>11</v>
      </c>
    </row>
    <row r="2069" spans="1:5" ht="15.75" customHeight="1">
      <c r="A2069" s="1">
        <v>480431</v>
      </c>
      <c r="B2069" s="1" t="s">
        <v>2100</v>
      </c>
      <c r="C2069" s="1" t="s">
        <v>11</v>
      </c>
      <c r="D2069" s="1" t="s">
        <v>11</v>
      </c>
      <c r="E2069" s="1" t="s">
        <v>11</v>
      </c>
    </row>
    <row r="2070" spans="1:5" ht="15.75" customHeight="1">
      <c r="A2070" s="1">
        <v>480439</v>
      </c>
      <c r="B2070" s="1" t="s">
        <v>2101</v>
      </c>
      <c r="C2070" s="1" t="s">
        <v>11</v>
      </c>
      <c r="D2070" s="1" t="s">
        <v>11</v>
      </c>
      <c r="E2070" s="1" t="s">
        <v>11</v>
      </c>
    </row>
    <row r="2071" spans="1:5" ht="15.75" customHeight="1">
      <c r="A2071" s="1">
        <v>480441</v>
      </c>
      <c r="B2071" s="1" t="s">
        <v>2102</v>
      </c>
      <c r="C2071" s="1" t="s">
        <v>11</v>
      </c>
      <c r="D2071" s="1" t="s">
        <v>11</v>
      </c>
      <c r="E2071" s="1" t="s">
        <v>11</v>
      </c>
    </row>
    <row r="2072" spans="1:5" ht="15.75" customHeight="1">
      <c r="A2072" s="1">
        <v>480442</v>
      </c>
      <c r="B2072" s="1" t="s">
        <v>2103</v>
      </c>
      <c r="C2072" s="1" t="s">
        <v>11</v>
      </c>
      <c r="D2072" s="1" t="s">
        <v>11</v>
      </c>
      <c r="E2072" s="1" t="s">
        <v>11</v>
      </c>
    </row>
    <row r="2073" spans="1:5" ht="15.75" customHeight="1">
      <c r="A2073" s="1">
        <v>480449</v>
      </c>
      <c r="B2073" s="1" t="s">
        <v>2104</v>
      </c>
      <c r="C2073" s="1" t="s">
        <v>11</v>
      </c>
      <c r="D2073" s="1" t="s">
        <v>11</v>
      </c>
      <c r="E2073" s="1" t="s">
        <v>11</v>
      </c>
    </row>
    <row r="2074" spans="1:5" ht="15.75" customHeight="1">
      <c r="A2074" s="1">
        <v>480451</v>
      </c>
      <c r="B2074" s="1" t="s">
        <v>2105</v>
      </c>
      <c r="C2074" s="1" t="s">
        <v>11</v>
      </c>
      <c r="D2074" s="1" t="s">
        <v>11</v>
      </c>
      <c r="E2074" s="1" t="s">
        <v>11</v>
      </c>
    </row>
    <row r="2075" spans="1:5" ht="15.75" customHeight="1">
      <c r="A2075" s="1">
        <v>480452</v>
      </c>
      <c r="B2075" s="1" t="s">
        <v>2106</v>
      </c>
      <c r="C2075" s="1" t="s">
        <v>11</v>
      </c>
      <c r="D2075" s="1" t="s">
        <v>11</v>
      </c>
      <c r="E2075" s="1" t="s">
        <v>11</v>
      </c>
    </row>
    <row r="2076" spans="1:5" ht="15.75" customHeight="1">
      <c r="A2076" s="1">
        <v>480459</v>
      </c>
      <c r="B2076" s="1" t="s">
        <v>2107</v>
      </c>
      <c r="C2076" s="1" t="s">
        <v>11</v>
      </c>
      <c r="D2076" s="1" t="s">
        <v>11</v>
      </c>
      <c r="E2076" s="1" t="s">
        <v>11</v>
      </c>
    </row>
    <row r="2077" spans="1:5" ht="15.75" customHeight="1">
      <c r="A2077" s="1">
        <v>480511</v>
      </c>
      <c r="B2077" s="1" t="s">
        <v>2108</v>
      </c>
      <c r="C2077" s="1" t="s">
        <v>11</v>
      </c>
      <c r="D2077" s="1" t="s">
        <v>11</v>
      </c>
      <c r="E2077" s="1" t="s">
        <v>11</v>
      </c>
    </row>
    <row r="2078" spans="1:5" ht="15.75" customHeight="1">
      <c r="A2078" s="1">
        <v>480512</v>
      </c>
      <c r="B2078" s="1" t="s">
        <v>2109</v>
      </c>
      <c r="C2078" s="1" t="s">
        <v>11</v>
      </c>
      <c r="D2078" s="1" t="s">
        <v>11</v>
      </c>
      <c r="E2078" s="1" t="s">
        <v>11</v>
      </c>
    </row>
    <row r="2079" spans="1:5" ht="15.75" customHeight="1">
      <c r="A2079" s="1">
        <v>480519</v>
      </c>
      <c r="B2079" s="1" t="s">
        <v>2110</v>
      </c>
      <c r="C2079" s="1" t="s">
        <v>11</v>
      </c>
      <c r="D2079" s="1" t="s">
        <v>11</v>
      </c>
      <c r="E2079" s="1" t="s">
        <v>11</v>
      </c>
    </row>
    <row r="2080" spans="1:5" ht="15.75" customHeight="1">
      <c r="A2080" s="1">
        <v>480524</v>
      </c>
      <c r="B2080" s="1" t="s">
        <v>2111</v>
      </c>
      <c r="C2080" s="1" t="s">
        <v>11</v>
      </c>
      <c r="D2080" s="1" t="s">
        <v>11</v>
      </c>
      <c r="E2080" s="1" t="s">
        <v>11</v>
      </c>
    </row>
    <row r="2081" spans="1:5" ht="15.75" customHeight="1">
      <c r="A2081" s="1">
        <v>480525</v>
      </c>
      <c r="B2081" s="1" t="s">
        <v>2112</v>
      </c>
      <c r="C2081" s="1" t="s">
        <v>11</v>
      </c>
      <c r="D2081" s="1" t="s">
        <v>11</v>
      </c>
      <c r="E2081" s="1" t="s">
        <v>11</v>
      </c>
    </row>
    <row r="2082" spans="1:5" ht="15.75" customHeight="1">
      <c r="A2082" s="1">
        <v>480530</v>
      </c>
      <c r="B2082" s="1" t="s">
        <v>2113</v>
      </c>
      <c r="C2082" s="1" t="s">
        <v>11</v>
      </c>
      <c r="D2082" s="1" t="s">
        <v>11</v>
      </c>
      <c r="E2082" s="1" t="s">
        <v>11</v>
      </c>
    </row>
    <row r="2083" spans="1:5" ht="15.75" customHeight="1">
      <c r="A2083" s="1">
        <v>480540</v>
      </c>
      <c r="B2083" s="1" t="s">
        <v>2114</v>
      </c>
      <c r="C2083" s="1" t="s">
        <v>11</v>
      </c>
      <c r="D2083" s="1" t="s">
        <v>11</v>
      </c>
      <c r="E2083" s="1" t="s">
        <v>11</v>
      </c>
    </row>
    <row r="2084" spans="1:5" ht="15.75" customHeight="1">
      <c r="A2084" s="1">
        <v>480550</v>
      </c>
      <c r="B2084" s="1" t="s">
        <v>2115</v>
      </c>
      <c r="C2084" s="1" t="s">
        <v>11</v>
      </c>
      <c r="D2084" s="1" t="s">
        <v>11</v>
      </c>
      <c r="E2084" s="1" t="s">
        <v>11</v>
      </c>
    </row>
    <row r="2085" spans="1:5" ht="15.75" customHeight="1">
      <c r="A2085" s="1">
        <v>480591</v>
      </c>
      <c r="B2085" s="1" t="s">
        <v>2116</v>
      </c>
      <c r="C2085" s="1" t="s">
        <v>11</v>
      </c>
      <c r="D2085" s="1" t="s">
        <v>11</v>
      </c>
      <c r="E2085" s="1" t="s">
        <v>11</v>
      </c>
    </row>
    <row r="2086" spans="1:5" ht="15.75" customHeight="1">
      <c r="A2086" s="1">
        <v>480592</v>
      </c>
      <c r="B2086" s="1" t="s">
        <v>2117</v>
      </c>
      <c r="C2086" s="1" t="s">
        <v>11</v>
      </c>
      <c r="D2086" s="1" t="s">
        <v>11</v>
      </c>
      <c r="E2086" s="1" t="s">
        <v>11</v>
      </c>
    </row>
    <row r="2087" spans="1:5" ht="15.75" customHeight="1">
      <c r="A2087" s="1">
        <v>480593</v>
      </c>
      <c r="B2087" s="1" t="s">
        <v>2118</v>
      </c>
      <c r="C2087" s="1" t="s">
        <v>11</v>
      </c>
      <c r="D2087" s="1" t="s">
        <v>11</v>
      </c>
      <c r="E2087" s="1" t="s">
        <v>11</v>
      </c>
    </row>
    <row r="2088" spans="1:5" ht="15.75" customHeight="1">
      <c r="A2088" s="1">
        <v>480610</v>
      </c>
      <c r="B2088" s="1" t="s">
        <v>2119</v>
      </c>
      <c r="C2088" s="1" t="s">
        <v>11</v>
      </c>
      <c r="D2088" s="1" t="s">
        <v>11</v>
      </c>
      <c r="E2088" s="1" t="s">
        <v>11</v>
      </c>
    </row>
    <row r="2089" spans="1:5" ht="15.75" customHeight="1">
      <c r="A2089" s="1">
        <v>480620</v>
      </c>
      <c r="B2089" s="1" t="s">
        <v>2120</v>
      </c>
      <c r="C2089" s="1" t="s">
        <v>11</v>
      </c>
      <c r="D2089" s="1" t="s">
        <v>11</v>
      </c>
      <c r="E2089" s="1" t="s">
        <v>11</v>
      </c>
    </row>
    <row r="2090" spans="1:5" ht="15.75" customHeight="1">
      <c r="A2090" s="1">
        <v>480630</v>
      </c>
      <c r="B2090" s="1" t="s">
        <v>2121</v>
      </c>
      <c r="C2090" s="1" t="s">
        <v>11</v>
      </c>
      <c r="D2090" s="1" t="s">
        <v>11</v>
      </c>
      <c r="E2090" s="1" t="s">
        <v>11</v>
      </c>
    </row>
    <row r="2091" spans="1:5" ht="15.75" customHeight="1">
      <c r="A2091" s="1">
        <v>480640</v>
      </c>
      <c r="B2091" s="1" t="s">
        <v>2122</v>
      </c>
      <c r="C2091" s="1" t="s">
        <v>11</v>
      </c>
      <c r="D2091" s="1" t="s">
        <v>11</v>
      </c>
      <c r="E2091" s="1" t="s">
        <v>11</v>
      </c>
    </row>
    <row r="2092" spans="1:5" ht="15.75" customHeight="1">
      <c r="A2092" s="1">
        <v>480700</v>
      </c>
      <c r="B2092" s="1" t="s">
        <v>2123</v>
      </c>
      <c r="C2092" s="1" t="s">
        <v>11</v>
      </c>
      <c r="D2092" s="1" t="s">
        <v>11</v>
      </c>
      <c r="E2092" s="1" t="s">
        <v>11</v>
      </c>
    </row>
    <row r="2093" spans="1:5" ht="15.75" customHeight="1">
      <c r="A2093" s="1">
        <v>480810</v>
      </c>
      <c r="B2093" s="1" t="s">
        <v>2124</v>
      </c>
      <c r="C2093" s="1" t="s">
        <v>11</v>
      </c>
      <c r="D2093" s="1" t="s">
        <v>11</v>
      </c>
      <c r="E2093" s="1" t="s">
        <v>11</v>
      </c>
    </row>
    <row r="2094" spans="1:5" ht="15.75" customHeight="1">
      <c r="A2094" s="1">
        <v>480820</v>
      </c>
      <c r="B2094" s="1" t="s">
        <v>2125</v>
      </c>
      <c r="C2094" s="1" t="s">
        <v>11</v>
      </c>
      <c r="D2094" s="1" t="s">
        <v>11</v>
      </c>
      <c r="E2094" s="1" t="s">
        <v>11</v>
      </c>
    </row>
    <row r="2095" spans="1:5" ht="15.75" customHeight="1">
      <c r="A2095" s="1">
        <v>480830</v>
      </c>
      <c r="B2095" s="1" t="s">
        <v>2126</v>
      </c>
      <c r="C2095" s="1" t="s">
        <v>11</v>
      </c>
      <c r="D2095" s="1" t="s">
        <v>11</v>
      </c>
      <c r="E2095" s="1" t="s">
        <v>11</v>
      </c>
    </row>
    <row r="2096" spans="1:5" ht="15.75" customHeight="1">
      <c r="A2096" s="1">
        <v>480890</v>
      </c>
      <c r="B2096" s="1" t="s">
        <v>2127</v>
      </c>
      <c r="C2096" s="1" t="s">
        <v>11</v>
      </c>
      <c r="D2096" s="1" t="s">
        <v>11</v>
      </c>
      <c r="E2096" s="1" t="s">
        <v>11</v>
      </c>
    </row>
    <row r="2097" spans="1:5" ht="15.75" customHeight="1">
      <c r="A2097" s="1">
        <v>480920</v>
      </c>
      <c r="B2097" s="1" t="s">
        <v>2128</v>
      </c>
      <c r="C2097" s="1" t="s">
        <v>11</v>
      </c>
      <c r="D2097" s="1" t="s">
        <v>11</v>
      </c>
      <c r="E2097" s="1" t="s">
        <v>11</v>
      </c>
    </row>
    <row r="2098" spans="1:5" ht="15.75" customHeight="1">
      <c r="A2098" s="1">
        <v>480990</v>
      </c>
      <c r="B2098" s="1" t="s">
        <v>2129</v>
      </c>
      <c r="C2098" s="1" t="s">
        <v>11</v>
      </c>
      <c r="D2098" s="1" t="s">
        <v>11</v>
      </c>
      <c r="E2098" s="1" t="s">
        <v>11</v>
      </c>
    </row>
    <row r="2099" spans="1:5" ht="15.75" customHeight="1">
      <c r="A2099" s="1">
        <v>481013</v>
      </c>
      <c r="B2099" s="1" t="s">
        <v>2130</v>
      </c>
      <c r="C2099" s="1" t="s">
        <v>11</v>
      </c>
      <c r="D2099" s="1" t="s">
        <v>11</v>
      </c>
      <c r="E2099" s="1" t="s">
        <v>11</v>
      </c>
    </row>
    <row r="2100" spans="1:5" ht="15.75" customHeight="1">
      <c r="A2100" s="1">
        <v>481014</v>
      </c>
      <c r="B2100" s="1" t="s">
        <v>2131</v>
      </c>
      <c r="C2100" s="1" t="s">
        <v>11</v>
      </c>
      <c r="D2100" s="1" t="s">
        <v>11</v>
      </c>
      <c r="E2100" s="1" t="s">
        <v>11</v>
      </c>
    </row>
    <row r="2101" spans="1:5" ht="15.75" customHeight="1">
      <c r="A2101" s="1">
        <v>481019</v>
      </c>
      <c r="B2101" s="1" t="s">
        <v>2132</v>
      </c>
      <c r="C2101" s="1" t="s">
        <v>11</v>
      </c>
      <c r="D2101" s="1" t="s">
        <v>11</v>
      </c>
      <c r="E2101" s="1" t="s">
        <v>11</v>
      </c>
    </row>
    <row r="2102" spans="1:5" ht="15.75" customHeight="1">
      <c r="A2102" s="1">
        <v>481022</v>
      </c>
      <c r="B2102" s="1" t="s">
        <v>2133</v>
      </c>
      <c r="C2102" s="1" t="s">
        <v>11</v>
      </c>
      <c r="D2102" s="1" t="s">
        <v>11</v>
      </c>
      <c r="E2102" s="1" t="s">
        <v>11</v>
      </c>
    </row>
    <row r="2103" spans="1:5" ht="15.75" customHeight="1">
      <c r="A2103" s="1">
        <v>481029</v>
      </c>
      <c r="B2103" s="1" t="s">
        <v>2134</v>
      </c>
      <c r="C2103" s="1" t="s">
        <v>11</v>
      </c>
      <c r="D2103" s="1" t="s">
        <v>11</v>
      </c>
      <c r="E2103" s="1" t="s">
        <v>11</v>
      </c>
    </row>
    <row r="2104" spans="1:5" ht="15.75" customHeight="1">
      <c r="A2104" s="1">
        <v>481031</v>
      </c>
      <c r="B2104" s="1" t="s">
        <v>2135</v>
      </c>
      <c r="C2104" s="1" t="s">
        <v>11</v>
      </c>
      <c r="D2104" s="1" t="s">
        <v>11</v>
      </c>
      <c r="E2104" s="1" t="s">
        <v>11</v>
      </c>
    </row>
    <row r="2105" spans="1:5" ht="15.75" customHeight="1">
      <c r="A2105" s="1">
        <v>481032</v>
      </c>
      <c r="B2105" s="1" t="s">
        <v>2136</v>
      </c>
      <c r="C2105" s="1" t="s">
        <v>11</v>
      </c>
      <c r="D2105" s="1" t="s">
        <v>11</v>
      </c>
      <c r="E2105" s="1" t="s">
        <v>11</v>
      </c>
    </row>
    <row r="2106" spans="1:5" ht="15.75" customHeight="1">
      <c r="A2106" s="1">
        <v>481039</v>
      </c>
      <c r="B2106" s="1" t="s">
        <v>2137</v>
      </c>
      <c r="C2106" s="1" t="s">
        <v>11</v>
      </c>
      <c r="D2106" s="1" t="s">
        <v>11</v>
      </c>
      <c r="E2106" s="1" t="s">
        <v>11</v>
      </c>
    </row>
    <row r="2107" spans="1:5" ht="15.75" customHeight="1">
      <c r="A2107" s="1">
        <v>481092</v>
      </c>
      <c r="B2107" s="1" t="s">
        <v>2138</v>
      </c>
      <c r="C2107" s="1" t="s">
        <v>11</v>
      </c>
      <c r="D2107" s="1" t="s">
        <v>11</v>
      </c>
      <c r="E2107" s="1" t="s">
        <v>11</v>
      </c>
    </row>
    <row r="2108" spans="1:5" ht="15.75" customHeight="1">
      <c r="A2108" s="1">
        <v>481099</v>
      </c>
      <c r="B2108" s="1" t="s">
        <v>2139</v>
      </c>
      <c r="C2108" s="1" t="s">
        <v>11</v>
      </c>
      <c r="D2108" s="1" t="s">
        <v>11</v>
      </c>
      <c r="E2108" s="1" t="s">
        <v>11</v>
      </c>
    </row>
    <row r="2109" spans="1:5" ht="15.75" customHeight="1">
      <c r="A2109" s="1">
        <v>481110</v>
      </c>
      <c r="B2109" s="1" t="s">
        <v>2140</v>
      </c>
      <c r="C2109" s="1" t="s">
        <v>11</v>
      </c>
      <c r="D2109" s="1" t="s">
        <v>11</v>
      </c>
      <c r="E2109" s="1" t="s">
        <v>11</v>
      </c>
    </row>
    <row r="2110" spans="1:5" ht="15.75" customHeight="1">
      <c r="A2110" s="1">
        <v>481141</v>
      </c>
      <c r="B2110" s="1" t="s">
        <v>2141</v>
      </c>
      <c r="C2110" s="1" t="s">
        <v>11</v>
      </c>
      <c r="D2110" s="1" t="s">
        <v>11</v>
      </c>
      <c r="E2110" s="1" t="s">
        <v>11</v>
      </c>
    </row>
    <row r="2111" spans="1:5" ht="15.75" customHeight="1">
      <c r="A2111" s="1">
        <v>481149</v>
      </c>
      <c r="B2111" s="1" t="s">
        <v>2142</v>
      </c>
      <c r="C2111" s="1" t="s">
        <v>11</v>
      </c>
      <c r="D2111" s="1" t="s">
        <v>11</v>
      </c>
      <c r="E2111" s="1" t="s">
        <v>11</v>
      </c>
    </row>
    <row r="2112" spans="1:5" ht="15.75" customHeight="1">
      <c r="A2112" s="1">
        <v>481151</v>
      </c>
      <c r="B2112" s="1" t="s">
        <v>2143</v>
      </c>
      <c r="C2112" s="1" t="s">
        <v>11</v>
      </c>
      <c r="D2112" s="1" t="s">
        <v>11</v>
      </c>
      <c r="E2112" s="1" t="s">
        <v>11</v>
      </c>
    </row>
    <row r="2113" spans="1:5" ht="15.75" customHeight="1">
      <c r="A2113" s="1">
        <v>481159</v>
      </c>
      <c r="B2113" s="1" t="s">
        <v>2144</v>
      </c>
      <c r="C2113" s="1" t="s">
        <v>11</v>
      </c>
      <c r="D2113" s="1" t="s">
        <v>11</v>
      </c>
      <c r="E2113" s="1" t="s">
        <v>11</v>
      </c>
    </row>
    <row r="2114" spans="1:5" ht="15.75" customHeight="1">
      <c r="A2114" s="1">
        <v>481160</v>
      </c>
      <c r="B2114" s="1" t="s">
        <v>2145</v>
      </c>
      <c r="C2114" s="1" t="s">
        <v>11</v>
      </c>
      <c r="D2114" s="1" t="s">
        <v>11</v>
      </c>
      <c r="E2114" s="1" t="s">
        <v>11</v>
      </c>
    </row>
    <row r="2115" spans="1:5" ht="15.75" customHeight="1">
      <c r="A2115" s="1">
        <v>481190</v>
      </c>
      <c r="B2115" s="1" t="s">
        <v>2146</v>
      </c>
      <c r="C2115" s="1" t="s">
        <v>11</v>
      </c>
      <c r="D2115" s="1" t="s">
        <v>11</v>
      </c>
      <c r="E2115" s="1" t="s">
        <v>11</v>
      </c>
    </row>
    <row r="2116" spans="1:5" ht="15.75" customHeight="1">
      <c r="A2116" s="1">
        <v>481200</v>
      </c>
      <c r="B2116" s="1" t="s">
        <v>2147</v>
      </c>
      <c r="C2116" s="1" t="s">
        <v>11</v>
      </c>
      <c r="D2116" s="1" t="s">
        <v>11</v>
      </c>
      <c r="E2116" s="1" t="s">
        <v>11</v>
      </c>
    </row>
    <row r="2117" spans="1:5" ht="15.75" customHeight="1">
      <c r="A2117" s="1">
        <v>481310</v>
      </c>
      <c r="B2117" s="1" t="s">
        <v>2148</v>
      </c>
      <c r="C2117" s="1" t="s">
        <v>11</v>
      </c>
      <c r="D2117" s="1" t="s">
        <v>11</v>
      </c>
      <c r="E2117" s="1" t="s">
        <v>11</v>
      </c>
    </row>
    <row r="2118" spans="1:5" ht="15.75" customHeight="1">
      <c r="A2118" s="1">
        <v>481320</v>
      </c>
      <c r="B2118" s="1" t="s">
        <v>2149</v>
      </c>
      <c r="C2118" s="1" t="s">
        <v>11</v>
      </c>
      <c r="D2118" s="1" t="s">
        <v>11</v>
      </c>
      <c r="E2118" s="1" t="s">
        <v>11</v>
      </c>
    </row>
    <row r="2119" spans="1:5" ht="15.75" customHeight="1">
      <c r="A2119" s="1">
        <v>481390</v>
      </c>
      <c r="B2119" s="1" t="s">
        <v>2150</v>
      </c>
      <c r="C2119" s="1" t="s">
        <v>11</v>
      </c>
      <c r="D2119" s="1" t="s">
        <v>11</v>
      </c>
      <c r="E2119" s="1" t="s">
        <v>11</v>
      </c>
    </row>
    <row r="2120" spans="1:5" ht="15.75" customHeight="1">
      <c r="A2120" s="1">
        <v>481410</v>
      </c>
      <c r="B2120" s="1" t="s">
        <v>2151</v>
      </c>
      <c r="C2120" s="1" t="s">
        <v>11</v>
      </c>
      <c r="D2120" s="1" t="s">
        <v>11</v>
      </c>
      <c r="E2120" s="1" t="s">
        <v>11</v>
      </c>
    </row>
    <row r="2121" spans="1:5" ht="15.75" customHeight="1">
      <c r="A2121" s="1">
        <v>481420</v>
      </c>
      <c r="B2121" s="1" t="s">
        <v>2152</v>
      </c>
      <c r="C2121" s="1" t="s">
        <v>11</v>
      </c>
      <c r="D2121" s="1" t="s">
        <v>11</v>
      </c>
      <c r="E2121" s="1" t="s">
        <v>11</v>
      </c>
    </row>
    <row r="2122" spans="1:5" ht="15.75" customHeight="1">
      <c r="A2122" s="1">
        <v>481490</v>
      </c>
      <c r="B2122" s="1" t="s">
        <v>2153</v>
      </c>
      <c r="C2122" s="1" t="s">
        <v>11</v>
      </c>
      <c r="D2122" s="1" t="s">
        <v>11</v>
      </c>
      <c r="E2122" s="1" t="s">
        <v>11</v>
      </c>
    </row>
    <row r="2123" spans="1:5" ht="15.75" customHeight="1">
      <c r="A2123" s="1">
        <v>481620</v>
      </c>
      <c r="B2123" s="1" t="s">
        <v>2154</v>
      </c>
      <c r="C2123" s="1" t="s">
        <v>11</v>
      </c>
      <c r="D2123" s="1" t="s">
        <v>11</v>
      </c>
      <c r="E2123" s="1" t="s">
        <v>11</v>
      </c>
    </row>
    <row r="2124" spans="1:5" ht="15.75" customHeight="1">
      <c r="A2124" s="1">
        <v>481690</v>
      </c>
      <c r="B2124" s="1" t="s">
        <v>2155</v>
      </c>
      <c r="C2124" s="1" t="s">
        <v>11</v>
      </c>
      <c r="D2124" s="1" t="s">
        <v>11</v>
      </c>
      <c r="E2124" s="1" t="s">
        <v>11</v>
      </c>
    </row>
    <row r="2125" spans="1:5" ht="15.75" customHeight="1">
      <c r="A2125" s="1">
        <v>481710</v>
      </c>
      <c r="B2125" s="1" t="s">
        <v>2156</v>
      </c>
      <c r="C2125" s="1" t="s">
        <v>11</v>
      </c>
      <c r="D2125" s="1" t="s">
        <v>11</v>
      </c>
      <c r="E2125" s="1" t="s">
        <v>11</v>
      </c>
    </row>
    <row r="2126" spans="1:5" ht="15.75" customHeight="1">
      <c r="A2126" s="1">
        <v>481720</v>
      </c>
      <c r="B2126" s="1" t="s">
        <v>2157</v>
      </c>
      <c r="C2126" s="1" t="s">
        <v>11</v>
      </c>
      <c r="D2126" s="1" t="s">
        <v>11</v>
      </c>
      <c r="E2126" s="1" t="s">
        <v>11</v>
      </c>
    </row>
    <row r="2127" spans="1:5" ht="15.75" customHeight="1">
      <c r="A2127" s="1">
        <v>481730</v>
      </c>
      <c r="B2127" s="1" t="s">
        <v>2158</v>
      </c>
      <c r="C2127" s="1" t="s">
        <v>11</v>
      </c>
      <c r="D2127" s="1" t="s">
        <v>11</v>
      </c>
      <c r="E2127" s="1" t="s">
        <v>11</v>
      </c>
    </row>
    <row r="2128" spans="1:5" ht="15.75" customHeight="1">
      <c r="A2128" s="1">
        <v>481810</v>
      </c>
      <c r="B2128" s="1" t="s">
        <v>2159</v>
      </c>
      <c r="C2128" s="1" t="s">
        <v>11</v>
      </c>
      <c r="D2128" s="1" t="s">
        <v>11</v>
      </c>
      <c r="E2128" s="1" t="s">
        <v>11</v>
      </c>
    </row>
    <row r="2129" spans="1:5" ht="15.75" customHeight="1">
      <c r="A2129" s="1">
        <v>481820</v>
      </c>
      <c r="B2129" s="1" t="s">
        <v>2160</v>
      </c>
      <c r="C2129" s="1" t="s">
        <v>11</v>
      </c>
      <c r="D2129" s="1" t="s">
        <v>11</v>
      </c>
      <c r="E2129" s="1" t="s">
        <v>11</v>
      </c>
    </row>
    <row r="2130" spans="1:5" ht="15.75" customHeight="1">
      <c r="A2130" s="1">
        <v>481830</v>
      </c>
      <c r="B2130" s="1" t="s">
        <v>2161</v>
      </c>
      <c r="C2130" s="1" t="s">
        <v>11</v>
      </c>
      <c r="D2130" s="1" t="s">
        <v>11</v>
      </c>
      <c r="E2130" s="1" t="s">
        <v>11</v>
      </c>
    </row>
    <row r="2131" spans="1:5" ht="15.75" customHeight="1">
      <c r="A2131" s="1">
        <v>481840</v>
      </c>
      <c r="B2131" s="1" t="s">
        <v>2162</v>
      </c>
      <c r="C2131" s="1" t="s">
        <v>11</v>
      </c>
      <c r="D2131" s="1" t="s">
        <v>11</v>
      </c>
      <c r="E2131" s="1" t="s">
        <v>11</v>
      </c>
    </row>
    <row r="2132" spans="1:5" ht="15.75" customHeight="1">
      <c r="A2132" s="1">
        <v>481850</v>
      </c>
      <c r="B2132" s="1" t="s">
        <v>2163</v>
      </c>
      <c r="C2132" s="1" t="s">
        <v>11</v>
      </c>
      <c r="D2132" s="1" t="s">
        <v>11</v>
      </c>
      <c r="E2132" s="1" t="s">
        <v>11</v>
      </c>
    </row>
    <row r="2133" spans="1:5" ht="15.75" customHeight="1">
      <c r="A2133" s="1">
        <v>481890</v>
      </c>
      <c r="B2133" s="1" t="s">
        <v>2164</v>
      </c>
      <c r="C2133" s="1" t="s">
        <v>11</v>
      </c>
      <c r="D2133" s="1" t="s">
        <v>11</v>
      </c>
      <c r="E2133" s="1" t="s">
        <v>11</v>
      </c>
    </row>
    <row r="2134" spans="1:5" ht="15.75" customHeight="1">
      <c r="A2134" s="1">
        <v>481910</v>
      </c>
      <c r="B2134" s="1" t="s">
        <v>2165</v>
      </c>
      <c r="C2134" s="1" t="s">
        <v>11</v>
      </c>
      <c r="D2134" s="1" t="s">
        <v>11</v>
      </c>
      <c r="E2134" s="1" t="s">
        <v>11</v>
      </c>
    </row>
    <row r="2135" spans="1:5" ht="15.75" customHeight="1">
      <c r="A2135" s="1">
        <v>481920</v>
      </c>
      <c r="B2135" s="1" t="s">
        <v>2166</v>
      </c>
      <c r="C2135" s="1" t="s">
        <v>11</v>
      </c>
      <c r="D2135" s="1" t="s">
        <v>11</v>
      </c>
      <c r="E2135" s="1" t="s">
        <v>11</v>
      </c>
    </row>
    <row r="2136" spans="1:5" ht="15.75" customHeight="1">
      <c r="A2136" s="1">
        <v>481930</v>
      </c>
      <c r="B2136" s="1" t="s">
        <v>2167</v>
      </c>
      <c r="C2136" s="1" t="s">
        <v>11</v>
      </c>
      <c r="D2136" s="1" t="s">
        <v>11</v>
      </c>
      <c r="E2136" s="1" t="s">
        <v>11</v>
      </c>
    </row>
    <row r="2137" spans="1:5" ht="15.75" customHeight="1">
      <c r="A2137" s="1">
        <v>481940</v>
      </c>
      <c r="B2137" s="1" t="s">
        <v>2168</v>
      </c>
      <c r="C2137" s="1" t="s">
        <v>11</v>
      </c>
      <c r="D2137" s="1" t="s">
        <v>11</v>
      </c>
      <c r="E2137" s="1" t="s">
        <v>11</v>
      </c>
    </row>
    <row r="2138" spans="1:5" ht="15.75" customHeight="1">
      <c r="A2138" s="1">
        <v>481950</v>
      </c>
      <c r="B2138" s="1" t="s">
        <v>2169</v>
      </c>
      <c r="C2138" s="1" t="s">
        <v>11</v>
      </c>
      <c r="D2138" s="1" t="s">
        <v>11</v>
      </c>
      <c r="E2138" s="1" t="s">
        <v>11</v>
      </c>
    </row>
    <row r="2139" spans="1:5" ht="15.75" customHeight="1">
      <c r="A2139" s="1">
        <v>481960</v>
      </c>
      <c r="B2139" s="1" t="s">
        <v>2170</v>
      </c>
      <c r="C2139" s="1" t="s">
        <v>11</v>
      </c>
      <c r="D2139" s="1" t="s">
        <v>11</v>
      </c>
      <c r="E2139" s="1" t="s">
        <v>11</v>
      </c>
    </row>
    <row r="2140" spans="1:5" ht="15.75" customHeight="1">
      <c r="A2140" s="1">
        <v>482010</v>
      </c>
      <c r="B2140" s="1" t="s">
        <v>2171</v>
      </c>
      <c r="C2140" s="1" t="s">
        <v>11</v>
      </c>
      <c r="D2140" s="1" t="s">
        <v>11</v>
      </c>
      <c r="E2140" s="1" t="s">
        <v>11</v>
      </c>
    </row>
    <row r="2141" spans="1:5" ht="15.75" customHeight="1">
      <c r="A2141" s="1">
        <v>482020</v>
      </c>
      <c r="B2141" s="1" t="s">
        <v>2172</v>
      </c>
      <c r="C2141" s="1" t="s">
        <v>11</v>
      </c>
      <c r="D2141" s="1" t="s">
        <v>11</v>
      </c>
      <c r="E2141" s="1" t="s">
        <v>11</v>
      </c>
    </row>
    <row r="2142" spans="1:5" ht="15.75" customHeight="1">
      <c r="A2142" s="1">
        <v>482030</v>
      </c>
      <c r="B2142" s="1" t="s">
        <v>2173</v>
      </c>
      <c r="C2142" s="1" t="s">
        <v>11</v>
      </c>
      <c r="D2142" s="1" t="s">
        <v>11</v>
      </c>
      <c r="E2142" s="1" t="s">
        <v>11</v>
      </c>
    </row>
    <row r="2143" spans="1:5" ht="15.75" customHeight="1">
      <c r="A2143" s="1">
        <v>482040</v>
      </c>
      <c r="B2143" s="1" t="s">
        <v>2174</v>
      </c>
      <c r="C2143" s="1" t="s">
        <v>11</v>
      </c>
      <c r="D2143" s="1" t="s">
        <v>11</v>
      </c>
      <c r="E2143" s="1" t="s">
        <v>11</v>
      </c>
    </row>
    <row r="2144" spans="1:5" ht="15.75" customHeight="1">
      <c r="A2144" s="1">
        <v>482050</v>
      </c>
      <c r="B2144" s="1" t="s">
        <v>2175</v>
      </c>
      <c r="C2144" s="1" t="s">
        <v>11</v>
      </c>
      <c r="D2144" s="1" t="s">
        <v>11</v>
      </c>
      <c r="E2144" s="1" t="s">
        <v>11</v>
      </c>
    </row>
    <row r="2145" spans="1:5" ht="15.75" customHeight="1">
      <c r="A2145" s="1">
        <v>482090</v>
      </c>
      <c r="B2145" s="1" t="s">
        <v>2176</v>
      </c>
      <c r="C2145" s="1" t="s">
        <v>11</v>
      </c>
      <c r="D2145" s="1" t="s">
        <v>11</v>
      </c>
      <c r="E2145" s="1" t="s">
        <v>11</v>
      </c>
    </row>
    <row r="2146" spans="1:5" ht="15.75" customHeight="1">
      <c r="A2146" s="1">
        <v>482110</v>
      </c>
      <c r="B2146" s="1" t="s">
        <v>2177</v>
      </c>
      <c r="C2146" s="1" t="s">
        <v>11</v>
      </c>
      <c r="D2146" s="1" t="s">
        <v>11</v>
      </c>
      <c r="E2146" s="1" t="s">
        <v>11</v>
      </c>
    </row>
    <row r="2147" spans="1:5" ht="15.75" customHeight="1">
      <c r="A2147" s="1">
        <v>482190</v>
      </c>
      <c r="B2147" s="1" t="s">
        <v>2178</v>
      </c>
      <c r="C2147" s="1" t="s">
        <v>11</v>
      </c>
      <c r="D2147" s="1" t="s">
        <v>11</v>
      </c>
      <c r="E2147" s="1" t="s">
        <v>11</v>
      </c>
    </row>
    <row r="2148" spans="1:5" ht="15.75" customHeight="1">
      <c r="A2148" s="1">
        <v>482210</v>
      </c>
      <c r="B2148" s="1" t="s">
        <v>2179</v>
      </c>
      <c r="C2148" s="1" t="s">
        <v>11</v>
      </c>
      <c r="D2148" s="1" t="s">
        <v>11</v>
      </c>
      <c r="E2148" s="1" t="s">
        <v>11</v>
      </c>
    </row>
    <row r="2149" spans="1:5" ht="15.75" customHeight="1">
      <c r="A2149" s="1">
        <v>482290</v>
      </c>
      <c r="B2149" s="1" t="s">
        <v>2180</v>
      </c>
      <c r="C2149" s="1" t="s">
        <v>11</v>
      </c>
      <c r="D2149" s="1" t="s">
        <v>11</v>
      </c>
      <c r="E2149" s="1" t="s">
        <v>11</v>
      </c>
    </row>
    <row r="2150" spans="1:5" ht="15.75" customHeight="1">
      <c r="A2150" s="1">
        <v>482320</v>
      </c>
      <c r="B2150" s="1" t="s">
        <v>2181</v>
      </c>
      <c r="C2150" s="1" t="s">
        <v>11</v>
      </c>
      <c r="D2150" s="1" t="s">
        <v>11</v>
      </c>
      <c r="E2150" s="1" t="s">
        <v>11</v>
      </c>
    </row>
    <row r="2151" spans="1:5" ht="15.75" customHeight="1">
      <c r="A2151" s="1">
        <v>482340</v>
      </c>
      <c r="B2151" s="1" t="s">
        <v>2182</v>
      </c>
      <c r="C2151" s="1" t="s">
        <v>11</v>
      </c>
      <c r="D2151" s="1" t="s">
        <v>11</v>
      </c>
      <c r="E2151" s="1" t="s">
        <v>11</v>
      </c>
    </row>
    <row r="2152" spans="1:5" ht="15.75" customHeight="1">
      <c r="A2152" s="1">
        <v>482361</v>
      </c>
      <c r="B2152" s="1" t="s">
        <v>2183</v>
      </c>
      <c r="C2152" s="1" t="s">
        <v>11</v>
      </c>
      <c r="D2152" s="1" t="s">
        <v>11</v>
      </c>
      <c r="E2152" s="1" t="s">
        <v>11</v>
      </c>
    </row>
    <row r="2153" spans="1:5" ht="15.75" customHeight="1">
      <c r="A2153" s="1">
        <v>482369</v>
      </c>
      <c r="B2153" s="1" t="s">
        <v>2184</v>
      </c>
      <c r="C2153" s="1" t="s">
        <v>11</v>
      </c>
      <c r="D2153" s="1" t="s">
        <v>11</v>
      </c>
      <c r="E2153" s="1" t="s">
        <v>11</v>
      </c>
    </row>
    <row r="2154" spans="1:5" ht="15.75" customHeight="1">
      <c r="A2154" s="1">
        <v>482370</v>
      </c>
      <c r="B2154" s="1" t="s">
        <v>2185</v>
      </c>
      <c r="C2154" s="1" t="s">
        <v>11</v>
      </c>
      <c r="D2154" s="1" t="s">
        <v>11</v>
      </c>
      <c r="E2154" s="1" t="s">
        <v>11</v>
      </c>
    </row>
    <row r="2155" spans="1:5" ht="15.75" customHeight="1">
      <c r="A2155" s="1">
        <v>482390</v>
      </c>
      <c r="B2155" s="1" t="s">
        <v>2186</v>
      </c>
      <c r="C2155" s="1" t="s">
        <v>11</v>
      </c>
      <c r="D2155" s="1" t="s">
        <v>11</v>
      </c>
      <c r="E2155" s="1" t="s">
        <v>11</v>
      </c>
    </row>
    <row r="2156" spans="1:5" ht="15.75" customHeight="1">
      <c r="A2156" s="1">
        <v>490110</v>
      </c>
      <c r="B2156" s="1" t="s">
        <v>2187</v>
      </c>
      <c r="C2156" s="1" t="s">
        <v>11</v>
      </c>
      <c r="D2156" s="1" t="s">
        <v>11</v>
      </c>
      <c r="E2156" s="1" t="s">
        <v>11</v>
      </c>
    </row>
    <row r="2157" spans="1:5" ht="15.75" customHeight="1">
      <c r="A2157" s="1">
        <v>490191</v>
      </c>
      <c r="B2157" s="1" t="s">
        <v>2188</v>
      </c>
      <c r="C2157" s="1" t="s">
        <v>11</v>
      </c>
      <c r="D2157" s="1" t="s">
        <v>11</v>
      </c>
      <c r="E2157" s="1" t="s">
        <v>11</v>
      </c>
    </row>
    <row r="2158" spans="1:5" ht="15.75" customHeight="1">
      <c r="A2158" s="1">
        <v>490199</v>
      </c>
      <c r="B2158" s="1" t="s">
        <v>2189</v>
      </c>
      <c r="C2158" s="1" t="s">
        <v>11</v>
      </c>
      <c r="D2158" s="1" t="s">
        <v>11</v>
      </c>
      <c r="E2158" s="1" t="s">
        <v>11</v>
      </c>
    </row>
    <row r="2159" spans="1:5" ht="15.75" customHeight="1">
      <c r="A2159" s="1">
        <v>490210</v>
      </c>
      <c r="B2159" s="1" t="s">
        <v>2190</v>
      </c>
      <c r="C2159" s="1" t="s">
        <v>11</v>
      </c>
      <c r="D2159" s="1" t="s">
        <v>11</v>
      </c>
      <c r="E2159" s="1" t="s">
        <v>11</v>
      </c>
    </row>
    <row r="2160" spans="1:5" ht="15.75" customHeight="1">
      <c r="A2160" s="1">
        <v>490290</v>
      </c>
      <c r="B2160" s="1" t="s">
        <v>2191</v>
      </c>
      <c r="C2160" s="1" t="s">
        <v>11</v>
      </c>
      <c r="D2160" s="1" t="s">
        <v>11</v>
      </c>
      <c r="E2160" s="1" t="s">
        <v>11</v>
      </c>
    </row>
    <row r="2161" spans="1:5" ht="15.75" customHeight="1">
      <c r="A2161" s="1">
        <v>490300</v>
      </c>
      <c r="B2161" s="1" t="s">
        <v>2192</v>
      </c>
      <c r="C2161" s="1" t="s">
        <v>11</v>
      </c>
      <c r="D2161" s="1" t="s">
        <v>11</v>
      </c>
      <c r="E2161" s="1" t="s">
        <v>11</v>
      </c>
    </row>
    <row r="2162" spans="1:5" ht="15.75" customHeight="1">
      <c r="A2162" s="1">
        <v>490400</v>
      </c>
      <c r="B2162" s="1" t="s">
        <v>2193</v>
      </c>
      <c r="C2162" s="1" t="s">
        <v>11</v>
      </c>
      <c r="D2162" s="1" t="s">
        <v>11</v>
      </c>
      <c r="E2162" s="1" t="s">
        <v>11</v>
      </c>
    </row>
    <row r="2163" spans="1:5" ht="15.75" customHeight="1">
      <c r="A2163" s="1">
        <v>490510</v>
      </c>
      <c r="B2163" s="1" t="s">
        <v>2194</v>
      </c>
      <c r="C2163" s="1" t="s">
        <v>11</v>
      </c>
      <c r="D2163" s="1" t="s">
        <v>11</v>
      </c>
      <c r="E2163" s="1" t="s">
        <v>11</v>
      </c>
    </row>
    <row r="2164" spans="1:5" ht="15.75" customHeight="1">
      <c r="A2164" s="1">
        <v>490591</v>
      </c>
      <c r="B2164" s="1" t="s">
        <v>2195</v>
      </c>
      <c r="C2164" s="1" t="s">
        <v>11</v>
      </c>
      <c r="D2164" s="1" t="s">
        <v>11</v>
      </c>
      <c r="E2164" s="1" t="s">
        <v>11</v>
      </c>
    </row>
    <row r="2165" spans="1:5" ht="15.75" customHeight="1">
      <c r="A2165" s="1">
        <v>490599</v>
      </c>
      <c r="B2165" s="1" t="s">
        <v>2196</v>
      </c>
      <c r="C2165" s="1" t="s">
        <v>11</v>
      </c>
      <c r="D2165" s="1" t="s">
        <v>11</v>
      </c>
      <c r="E2165" s="1" t="s">
        <v>11</v>
      </c>
    </row>
    <row r="2166" spans="1:5" ht="15.75" customHeight="1">
      <c r="A2166" s="1">
        <v>490600</v>
      </c>
      <c r="B2166" s="1" t="s">
        <v>2197</v>
      </c>
      <c r="C2166" s="1" t="s">
        <v>11</v>
      </c>
      <c r="D2166" s="1" t="s">
        <v>11</v>
      </c>
      <c r="E2166" s="1" t="s">
        <v>11</v>
      </c>
    </row>
    <row r="2167" spans="1:5" ht="15.75" customHeight="1">
      <c r="A2167" s="1">
        <v>490700</v>
      </c>
      <c r="B2167" s="1" t="s">
        <v>2198</v>
      </c>
      <c r="C2167" s="1" t="s">
        <v>11</v>
      </c>
      <c r="D2167" s="1" t="s">
        <v>11</v>
      </c>
      <c r="E2167" s="1" t="s">
        <v>11</v>
      </c>
    </row>
    <row r="2168" spans="1:5" ht="15.75" customHeight="1">
      <c r="A2168" s="1">
        <v>490810</v>
      </c>
      <c r="B2168" s="1" t="s">
        <v>2199</v>
      </c>
      <c r="C2168" s="1" t="s">
        <v>11</v>
      </c>
      <c r="D2168" s="1" t="s">
        <v>11</v>
      </c>
      <c r="E2168" s="1" t="s">
        <v>11</v>
      </c>
    </row>
    <row r="2169" spans="1:5" ht="15.75" customHeight="1">
      <c r="A2169" s="1">
        <v>490890</v>
      </c>
      <c r="B2169" s="1" t="s">
        <v>2200</v>
      </c>
      <c r="C2169" s="1" t="s">
        <v>11</v>
      </c>
      <c r="D2169" s="1" t="s">
        <v>11</v>
      </c>
      <c r="E2169" s="1" t="s">
        <v>11</v>
      </c>
    </row>
    <row r="2170" spans="1:5" ht="15.75" customHeight="1">
      <c r="A2170" s="1">
        <v>490900</v>
      </c>
      <c r="B2170" s="1" t="s">
        <v>2201</v>
      </c>
      <c r="C2170" s="1" t="s">
        <v>11</v>
      </c>
      <c r="D2170" s="1" t="s">
        <v>11</v>
      </c>
      <c r="E2170" s="1" t="s">
        <v>11</v>
      </c>
    </row>
    <row r="2171" spans="1:5" ht="15.75" customHeight="1">
      <c r="A2171" s="1">
        <v>491000</v>
      </c>
      <c r="B2171" s="1" t="s">
        <v>2202</v>
      </c>
      <c r="C2171" s="1" t="s">
        <v>11</v>
      </c>
      <c r="D2171" s="1" t="s">
        <v>11</v>
      </c>
      <c r="E2171" s="1" t="s">
        <v>11</v>
      </c>
    </row>
    <row r="2172" spans="1:5" ht="15.75" customHeight="1">
      <c r="A2172" s="1">
        <v>491110</v>
      </c>
      <c r="B2172" s="1" t="s">
        <v>2203</v>
      </c>
      <c r="C2172" s="1" t="s">
        <v>11</v>
      </c>
      <c r="D2172" s="1" t="s">
        <v>11</v>
      </c>
      <c r="E2172" s="1" t="s">
        <v>11</v>
      </c>
    </row>
    <row r="2173" spans="1:5" ht="15.75" customHeight="1">
      <c r="A2173" s="1">
        <v>491191</v>
      </c>
      <c r="B2173" s="1" t="s">
        <v>2204</v>
      </c>
      <c r="C2173" s="1" t="s">
        <v>11</v>
      </c>
      <c r="D2173" s="1" t="s">
        <v>11</v>
      </c>
      <c r="E2173" s="1" t="s">
        <v>11</v>
      </c>
    </row>
    <row r="2174" spans="1:5" ht="15.75" customHeight="1">
      <c r="A2174" s="1">
        <v>491199</v>
      </c>
      <c r="B2174" s="1" t="s">
        <v>2205</v>
      </c>
      <c r="C2174" s="1" t="s">
        <v>11</v>
      </c>
      <c r="D2174" s="1" t="s">
        <v>11</v>
      </c>
      <c r="E2174" s="1" t="s">
        <v>11</v>
      </c>
    </row>
    <row r="2175" spans="1:5" ht="15.75" customHeight="1">
      <c r="A2175" s="1">
        <v>500100</v>
      </c>
      <c r="B2175" s="1" t="s">
        <v>2206</v>
      </c>
      <c r="C2175" s="1" t="s">
        <v>11</v>
      </c>
      <c r="D2175" s="1" t="s">
        <v>11</v>
      </c>
      <c r="E2175" s="1" t="s">
        <v>11</v>
      </c>
    </row>
    <row r="2176" spans="1:5" ht="15.75" customHeight="1">
      <c r="A2176" s="1">
        <v>500200</v>
      </c>
      <c r="B2176" s="1" t="s">
        <v>2207</v>
      </c>
      <c r="C2176" s="1" t="s">
        <v>11</v>
      </c>
      <c r="D2176" s="1" t="s">
        <v>11</v>
      </c>
      <c r="E2176" s="1" t="s">
        <v>11</v>
      </c>
    </row>
    <row r="2177" spans="1:5" ht="15.75" customHeight="1">
      <c r="A2177" s="1">
        <v>500300</v>
      </c>
      <c r="B2177" s="1" t="s">
        <v>2208</v>
      </c>
      <c r="C2177" s="1" t="s">
        <v>11</v>
      </c>
      <c r="D2177" s="1" t="s">
        <v>11</v>
      </c>
      <c r="E2177" s="1" t="s">
        <v>11</v>
      </c>
    </row>
    <row r="2178" spans="1:5" ht="15.75" customHeight="1">
      <c r="A2178" s="1">
        <v>500400</v>
      </c>
      <c r="B2178" s="1" t="s">
        <v>2209</v>
      </c>
      <c r="C2178" s="1" t="s">
        <v>11</v>
      </c>
      <c r="D2178" s="1" t="s">
        <v>11</v>
      </c>
      <c r="E2178" s="1" t="s">
        <v>11</v>
      </c>
    </row>
    <row r="2179" spans="1:5" ht="15.75" customHeight="1">
      <c r="A2179" s="1">
        <v>500500</v>
      </c>
      <c r="B2179" s="1" t="s">
        <v>2210</v>
      </c>
      <c r="C2179" s="1" t="s">
        <v>11</v>
      </c>
      <c r="D2179" s="1" t="s">
        <v>11</v>
      </c>
      <c r="E2179" s="1" t="s">
        <v>11</v>
      </c>
    </row>
    <row r="2180" spans="1:5" ht="15.75" customHeight="1">
      <c r="A2180" s="1">
        <v>500600</v>
      </c>
      <c r="B2180" s="1" t="s">
        <v>2211</v>
      </c>
      <c r="C2180" s="1" t="s">
        <v>11</v>
      </c>
      <c r="D2180" s="1" t="s">
        <v>11</v>
      </c>
      <c r="E2180" s="1" t="s">
        <v>11</v>
      </c>
    </row>
    <row r="2181" spans="1:5" ht="15.75" customHeight="1">
      <c r="A2181" s="1">
        <v>500710</v>
      </c>
      <c r="B2181" s="1" t="s">
        <v>2212</v>
      </c>
      <c r="C2181" s="1" t="s">
        <v>11</v>
      </c>
      <c r="D2181" s="1" t="s">
        <v>11</v>
      </c>
      <c r="E2181" s="1" t="s">
        <v>11</v>
      </c>
    </row>
    <row r="2182" spans="1:5" ht="15.75" customHeight="1">
      <c r="A2182" s="1">
        <v>500720</v>
      </c>
      <c r="B2182" s="1" t="s">
        <v>2213</v>
      </c>
      <c r="C2182" s="1" t="s">
        <v>11</v>
      </c>
      <c r="D2182" s="1" t="s">
        <v>11</v>
      </c>
      <c r="E2182" s="1" t="s">
        <v>11</v>
      </c>
    </row>
    <row r="2183" spans="1:5" ht="15.75" customHeight="1">
      <c r="A2183" s="1">
        <v>500790</v>
      </c>
      <c r="B2183" s="1" t="s">
        <v>2214</v>
      </c>
      <c r="C2183" s="1" t="s">
        <v>11</v>
      </c>
      <c r="D2183" s="1" t="s">
        <v>11</v>
      </c>
      <c r="E2183" s="1" t="s">
        <v>11</v>
      </c>
    </row>
    <row r="2184" spans="1:5" ht="15.75" customHeight="1">
      <c r="A2184" s="1">
        <v>510111</v>
      </c>
      <c r="B2184" s="1" t="s">
        <v>2215</v>
      </c>
      <c r="C2184" s="1" t="s">
        <v>11</v>
      </c>
      <c r="D2184" s="1" t="s">
        <v>11</v>
      </c>
      <c r="E2184" s="1" t="s">
        <v>11</v>
      </c>
    </row>
    <row r="2185" spans="1:5" ht="15.75" customHeight="1">
      <c r="A2185" s="1">
        <v>510119</v>
      </c>
      <c r="B2185" s="1" t="s">
        <v>2216</v>
      </c>
      <c r="C2185" s="1" t="s">
        <v>11</v>
      </c>
      <c r="D2185" s="1" t="s">
        <v>11</v>
      </c>
      <c r="E2185" s="1" t="s">
        <v>11</v>
      </c>
    </row>
    <row r="2186" spans="1:5" ht="15.75" customHeight="1">
      <c r="A2186" s="1">
        <v>510121</v>
      </c>
      <c r="B2186" s="1" t="s">
        <v>2217</v>
      </c>
      <c r="C2186" s="1" t="s">
        <v>11</v>
      </c>
      <c r="D2186" s="1" t="s">
        <v>11</v>
      </c>
      <c r="E2186" s="1" t="s">
        <v>11</v>
      </c>
    </row>
    <row r="2187" spans="1:5" ht="15.75" customHeight="1">
      <c r="A2187" s="1">
        <v>510129</v>
      </c>
      <c r="B2187" s="1" t="s">
        <v>2218</v>
      </c>
      <c r="C2187" s="1" t="s">
        <v>11</v>
      </c>
      <c r="D2187" s="1" t="s">
        <v>11</v>
      </c>
      <c r="E2187" s="1" t="s">
        <v>11</v>
      </c>
    </row>
    <row r="2188" spans="1:5" ht="15.75" customHeight="1">
      <c r="A2188" s="1">
        <v>510130</v>
      </c>
      <c r="B2188" s="1" t="s">
        <v>2219</v>
      </c>
      <c r="C2188" s="1" t="s">
        <v>11</v>
      </c>
      <c r="D2188" s="1" t="s">
        <v>11</v>
      </c>
      <c r="E2188" s="1" t="s">
        <v>11</v>
      </c>
    </row>
    <row r="2189" spans="1:5" ht="15.75" customHeight="1">
      <c r="A2189" s="1">
        <v>510211</v>
      </c>
      <c r="B2189" s="1" t="s">
        <v>2220</v>
      </c>
      <c r="C2189" s="1" t="s">
        <v>11</v>
      </c>
      <c r="D2189" s="1" t="s">
        <v>11</v>
      </c>
      <c r="E2189" s="1" t="s">
        <v>11</v>
      </c>
    </row>
    <row r="2190" spans="1:5" ht="15.75" customHeight="1">
      <c r="A2190" s="1">
        <v>510219</v>
      </c>
      <c r="B2190" s="1" t="s">
        <v>2221</v>
      </c>
      <c r="C2190" s="1" t="s">
        <v>11</v>
      </c>
      <c r="D2190" s="1" t="s">
        <v>11</v>
      </c>
      <c r="E2190" s="1" t="s">
        <v>11</v>
      </c>
    </row>
    <row r="2191" spans="1:5" ht="15.75" customHeight="1">
      <c r="A2191" s="1">
        <v>510220</v>
      </c>
      <c r="B2191" s="1" t="s">
        <v>2222</v>
      </c>
      <c r="C2191" s="1" t="s">
        <v>11</v>
      </c>
      <c r="D2191" s="1" t="s">
        <v>11</v>
      </c>
      <c r="E2191" s="1" t="s">
        <v>11</v>
      </c>
    </row>
    <row r="2192" spans="1:5" ht="15.75" customHeight="1">
      <c r="A2192" s="1">
        <v>510310</v>
      </c>
      <c r="B2192" s="1" t="s">
        <v>2223</v>
      </c>
      <c r="C2192" s="1" t="s">
        <v>11</v>
      </c>
      <c r="D2192" s="1" t="s">
        <v>11</v>
      </c>
      <c r="E2192" s="1" t="s">
        <v>11</v>
      </c>
    </row>
    <row r="2193" spans="1:5" ht="15.75" customHeight="1">
      <c r="A2193" s="1">
        <v>510320</v>
      </c>
      <c r="B2193" s="1" t="s">
        <v>2224</v>
      </c>
      <c r="C2193" s="1" t="s">
        <v>11</v>
      </c>
      <c r="D2193" s="1" t="s">
        <v>11</v>
      </c>
      <c r="E2193" s="1" t="s">
        <v>11</v>
      </c>
    </row>
    <row r="2194" spans="1:5" ht="15.75" customHeight="1">
      <c r="A2194" s="1">
        <v>510330</v>
      </c>
      <c r="B2194" s="1" t="s">
        <v>2225</v>
      </c>
      <c r="C2194" s="1" t="s">
        <v>11</v>
      </c>
      <c r="D2194" s="1" t="s">
        <v>11</v>
      </c>
      <c r="E2194" s="1" t="s">
        <v>11</v>
      </c>
    </row>
    <row r="2195" spans="1:5" ht="15.75" customHeight="1">
      <c r="A2195" s="1">
        <v>510400</v>
      </c>
      <c r="B2195" s="1" t="s">
        <v>2226</v>
      </c>
      <c r="C2195" s="1" t="s">
        <v>11</v>
      </c>
      <c r="D2195" s="1" t="s">
        <v>11</v>
      </c>
      <c r="E2195" s="1" t="s">
        <v>11</v>
      </c>
    </row>
    <row r="2196" spans="1:5" ht="15.75" customHeight="1">
      <c r="A2196" s="1">
        <v>510510</v>
      </c>
      <c r="B2196" s="1" t="s">
        <v>2227</v>
      </c>
      <c r="C2196" s="1" t="s">
        <v>11</v>
      </c>
      <c r="D2196" s="1" t="s">
        <v>11</v>
      </c>
      <c r="E2196" s="1" t="s">
        <v>11</v>
      </c>
    </row>
    <row r="2197" spans="1:5" ht="15.75" customHeight="1">
      <c r="A2197" s="1">
        <v>510521</v>
      </c>
      <c r="B2197" s="1" t="s">
        <v>2228</v>
      </c>
      <c r="C2197" s="1" t="s">
        <v>11</v>
      </c>
      <c r="D2197" s="1" t="s">
        <v>11</v>
      </c>
      <c r="E2197" s="1" t="s">
        <v>11</v>
      </c>
    </row>
    <row r="2198" spans="1:5" ht="15.75" customHeight="1">
      <c r="A2198" s="1">
        <v>510529</v>
      </c>
      <c r="B2198" s="1" t="s">
        <v>2229</v>
      </c>
      <c r="C2198" s="1" t="s">
        <v>11</v>
      </c>
      <c r="D2198" s="1" t="s">
        <v>11</v>
      </c>
      <c r="E2198" s="1" t="s">
        <v>11</v>
      </c>
    </row>
    <row r="2199" spans="1:5" ht="15.75" customHeight="1">
      <c r="A2199" s="1">
        <v>510531</v>
      </c>
      <c r="B2199" s="1" t="s">
        <v>2230</v>
      </c>
      <c r="C2199" s="1" t="s">
        <v>11</v>
      </c>
      <c r="D2199" s="1" t="s">
        <v>11</v>
      </c>
      <c r="E2199" s="1" t="s">
        <v>11</v>
      </c>
    </row>
    <row r="2200" spans="1:5" ht="15.75" customHeight="1">
      <c r="A2200" s="1">
        <v>510539</v>
      </c>
      <c r="B2200" s="1" t="s">
        <v>2231</v>
      </c>
      <c r="C2200" s="1" t="s">
        <v>11</v>
      </c>
      <c r="D2200" s="1" t="s">
        <v>11</v>
      </c>
      <c r="E2200" s="1" t="s">
        <v>11</v>
      </c>
    </row>
    <row r="2201" spans="1:5" ht="15.75" customHeight="1">
      <c r="A2201" s="1">
        <v>510540</v>
      </c>
      <c r="B2201" s="1" t="s">
        <v>2232</v>
      </c>
      <c r="C2201" s="1" t="s">
        <v>11</v>
      </c>
      <c r="D2201" s="1" t="s">
        <v>11</v>
      </c>
      <c r="E2201" s="1" t="s">
        <v>11</v>
      </c>
    </row>
    <row r="2202" spans="1:5" ht="15.75" customHeight="1">
      <c r="A2202" s="1">
        <v>510610</v>
      </c>
      <c r="B2202" s="1" t="s">
        <v>2233</v>
      </c>
      <c r="C2202" s="1" t="s">
        <v>11</v>
      </c>
      <c r="D2202" s="1" t="s">
        <v>11</v>
      </c>
      <c r="E2202" s="1" t="s">
        <v>11</v>
      </c>
    </row>
    <row r="2203" spans="1:5" ht="15.75" customHeight="1">
      <c r="A2203" s="1">
        <v>510620</v>
      </c>
      <c r="B2203" s="1" t="s">
        <v>2234</v>
      </c>
      <c r="C2203" s="1" t="s">
        <v>11</v>
      </c>
      <c r="D2203" s="1" t="s">
        <v>11</v>
      </c>
      <c r="E2203" s="1" t="s">
        <v>11</v>
      </c>
    </row>
    <row r="2204" spans="1:5" ht="15.75" customHeight="1">
      <c r="A2204" s="1">
        <v>510710</v>
      </c>
      <c r="B2204" s="1" t="s">
        <v>2235</v>
      </c>
      <c r="C2204" s="1" t="s">
        <v>11</v>
      </c>
      <c r="D2204" s="1" t="s">
        <v>11</v>
      </c>
      <c r="E2204" s="1" t="s">
        <v>11</v>
      </c>
    </row>
    <row r="2205" spans="1:5" ht="15.75" customHeight="1">
      <c r="A2205" s="1">
        <v>510720</v>
      </c>
      <c r="B2205" s="1" t="s">
        <v>2236</v>
      </c>
      <c r="C2205" s="1" t="s">
        <v>11</v>
      </c>
      <c r="D2205" s="1" t="s">
        <v>11</v>
      </c>
      <c r="E2205" s="1" t="s">
        <v>11</v>
      </c>
    </row>
    <row r="2206" spans="1:5" ht="15.75" customHeight="1">
      <c r="A2206" s="1">
        <v>510810</v>
      </c>
      <c r="B2206" s="1" t="s">
        <v>2237</v>
      </c>
      <c r="C2206" s="1" t="s">
        <v>11</v>
      </c>
      <c r="D2206" s="1" t="s">
        <v>11</v>
      </c>
      <c r="E2206" s="1" t="s">
        <v>11</v>
      </c>
    </row>
    <row r="2207" spans="1:5" ht="15.75" customHeight="1">
      <c r="A2207" s="1">
        <v>510820</v>
      </c>
      <c r="B2207" s="1" t="s">
        <v>2238</v>
      </c>
      <c r="C2207" s="1" t="s">
        <v>11</v>
      </c>
      <c r="D2207" s="1" t="s">
        <v>11</v>
      </c>
      <c r="E2207" s="1" t="s">
        <v>11</v>
      </c>
    </row>
    <row r="2208" spans="1:5" ht="15.75" customHeight="1">
      <c r="A2208" s="1">
        <v>510910</v>
      </c>
      <c r="B2208" s="1" t="s">
        <v>2239</v>
      </c>
      <c r="C2208" s="1" t="s">
        <v>11</v>
      </c>
      <c r="D2208" s="1" t="s">
        <v>11</v>
      </c>
      <c r="E2208" s="1" t="s">
        <v>11</v>
      </c>
    </row>
    <row r="2209" spans="1:5" ht="15.75" customHeight="1">
      <c r="A2209" s="1">
        <v>510990</v>
      </c>
      <c r="B2209" s="1" t="s">
        <v>2240</v>
      </c>
      <c r="C2209" s="1" t="s">
        <v>11</v>
      </c>
      <c r="D2209" s="1" t="s">
        <v>11</v>
      </c>
      <c r="E2209" s="1" t="s">
        <v>11</v>
      </c>
    </row>
    <row r="2210" spans="1:5" ht="15.75" customHeight="1">
      <c r="A2210" s="1">
        <v>511000</v>
      </c>
      <c r="B2210" s="1" t="s">
        <v>2241</v>
      </c>
      <c r="C2210" s="1" t="s">
        <v>11</v>
      </c>
      <c r="D2210" s="1" t="s">
        <v>11</v>
      </c>
      <c r="E2210" s="1" t="s">
        <v>11</v>
      </c>
    </row>
    <row r="2211" spans="1:5" ht="15.75" customHeight="1">
      <c r="A2211" s="1">
        <v>511111</v>
      </c>
      <c r="B2211" s="1" t="s">
        <v>2242</v>
      </c>
      <c r="C2211" s="1" t="s">
        <v>11</v>
      </c>
      <c r="D2211" s="1" t="s">
        <v>11</v>
      </c>
      <c r="E2211" s="1" t="s">
        <v>11</v>
      </c>
    </row>
    <row r="2212" spans="1:5" ht="15.75" customHeight="1">
      <c r="A2212" s="1">
        <v>511119</v>
      </c>
      <c r="B2212" s="1" t="s">
        <v>2243</v>
      </c>
      <c r="C2212" s="1" t="s">
        <v>11</v>
      </c>
      <c r="D2212" s="1" t="s">
        <v>11</v>
      </c>
      <c r="E2212" s="1" t="s">
        <v>11</v>
      </c>
    </row>
    <row r="2213" spans="1:5" ht="15.75" customHeight="1">
      <c r="A2213" s="1">
        <v>511120</v>
      </c>
      <c r="B2213" s="1" t="s">
        <v>2244</v>
      </c>
      <c r="C2213" s="1" t="s">
        <v>11</v>
      </c>
      <c r="D2213" s="1" t="s">
        <v>11</v>
      </c>
      <c r="E2213" s="1" t="s">
        <v>11</v>
      </c>
    </row>
    <row r="2214" spans="1:5" ht="15.75" customHeight="1">
      <c r="A2214" s="1">
        <v>511130</v>
      </c>
      <c r="B2214" s="1" t="s">
        <v>2245</v>
      </c>
      <c r="C2214" s="1" t="s">
        <v>11</v>
      </c>
      <c r="D2214" s="1" t="s">
        <v>11</v>
      </c>
      <c r="E2214" s="1" t="s">
        <v>11</v>
      </c>
    </row>
    <row r="2215" spans="1:5" ht="15.75" customHeight="1">
      <c r="A2215" s="1">
        <v>511190</v>
      </c>
      <c r="B2215" s="1" t="s">
        <v>2246</v>
      </c>
      <c r="C2215" s="1" t="s">
        <v>11</v>
      </c>
      <c r="D2215" s="1" t="s">
        <v>11</v>
      </c>
      <c r="E2215" s="1" t="s">
        <v>11</v>
      </c>
    </row>
    <row r="2216" spans="1:5" ht="15.75" customHeight="1">
      <c r="A2216" s="1">
        <v>511211</v>
      </c>
      <c r="B2216" s="1" t="s">
        <v>2247</v>
      </c>
      <c r="C2216" s="1" t="s">
        <v>11</v>
      </c>
      <c r="D2216" s="1" t="s">
        <v>11</v>
      </c>
      <c r="E2216" s="1" t="s">
        <v>11</v>
      </c>
    </row>
    <row r="2217" spans="1:5" ht="15.75" customHeight="1">
      <c r="A2217" s="1">
        <v>511219</v>
      </c>
      <c r="B2217" s="1" t="s">
        <v>2248</v>
      </c>
      <c r="C2217" s="1" t="s">
        <v>11</v>
      </c>
      <c r="D2217" s="1" t="s">
        <v>11</v>
      </c>
      <c r="E2217" s="1" t="s">
        <v>11</v>
      </c>
    </row>
    <row r="2218" spans="1:5" ht="15.75" customHeight="1">
      <c r="A2218" s="1">
        <v>511220</v>
      </c>
      <c r="B2218" s="1" t="s">
        <v>2249</v>
      </c>
      <c r="C2218" s="1" t="s">
        <v>11</v>
      </c>
      <c r="D2218" s="1" t="s">
        <v>11</v>
      </c>
      <c r="E2218" s="1" t="s">
        <v>11</v>
      </c>
    </row>
    <row r="2219" spans="1:5" ht="15.75" customHeight="1">
      <c r="A2219" s="1">
        <v>511230</v>
      </c>
      <c r="B2219" s="1" t="s">
        <v>2250</v>
      </c>
      <c r="C2219" s="1" t="s">
        <v>11</v>
      </c>
      <c r="D2219" s="1" t="s">
        <v>11</v>
      </c>
      <c r="E2219" s="1" t="s">
        <v>11</v>
      </c>
    </row>
    <row r="2220" spans="1:5" ht="15.75" customHeight="1">
      <c r="A2220" s="1">
        <v>511290</v>
      </c>
      <c r="B2220" s="1" t="s">
        <v>2251</v>
      </c>
      <c r="C2220" s="1" t="s">
        <v>11</v>
      </c>
      <c r="D2220" s="1" t="s">
        <v>11</v>
      </c>
      <c r="E2220" s="1" t="s">
        <v>11</v>
      </c>
    </row>
    <row r="2221" spans="1:5" ht="15.75" customHeight="1">
      <c r="A2221" s="1">
        <v>511300</v>
      </c>
      <c r="B2221" s="1" t="s">
        <v>2252</v>
      </c>
      <c r="C2221" s="1" t="s">
        <v>11</v>
      </c>
      <c r="D2221" s="1" t="s">
        <v>11</v>
      </c>
      <c r="E2221" s="1" t="s">
        <v>11</v>
      </c>
    </row>
    <row r="2222" spans="1:5" ht="15.75" customHeight="1">
      <c r="A2222" s="1">
        <v>520100</v>
      </c>
      <c r="B2222" s="1" t="s">
        <v>2253</v>
      </c>
      <c r="C2222" s="1" t="s">
        <v>11</v>
      </c>
      <c r="D2222" s="1" t="s">
        <v>11</v>
      </c>
      <c r="E2222" s="1" t="s">
        <v>11</v>
      </c>
    </row>
    <row r="2223" spans="1:5" ht="15.75" customHeight="1">
      <c r="A2223" s="1">
        <v>520210</v>
      </c>
      <c r="B2223" s="1" t="s">
        <v>2254</v>
      </c>
      <c r="C2223" s="1" t="s">
        <v>11</v>
      </c>
      <c r="D2223" s="1" t="s">
        <v>11</v>
      </c>
      <c r="E2223" s="1" t="s">
        <v>11</v>
      </c>
    </row>
    <row r="2224" spans="1:5" ht="15.75" customHeight="1">
      <c r="A2224" s="1">
        <v>520291</v>
      </c>
      <c r="B2224" s="1" t="s">
        <v>2255</v>
      </c>
      <c r="C2224" s="1" t="s">
        <v>11</v>
      </c>
      <c r="D2224" s="1" t="s">
        <v>11</v>
      </c>
      <c r="E2224" s="1" t="s">
        <v>11</v>
      </c>
    </row>
    <row r="2225" spans="1:5" ht="15.75" customHeight="1">
      <c r="A2225" s="1">
        <v>520299</v>
      </c>
      <c r="B2225" s="1" t="s">
        <v>2256</v>
      </c>
      <c r="C2225" s="1" t="s">
        <v>11</v>
      </c>
      <c r="D2225" s="1" t="s">
        <v>11</v>
      </c>
      <c r="E2225" s="1" t="s">
        <v>11</v>
      </c>
    </row>
    <row r="2226" spans="1:5" ht="15.75" customHeight="1">
      <c r="A2226" s="1">
        <v>520300</v>
      </c>
      <c r="B2226" s="1" t="s">
        <v>2257</v>
      </c>
      <c r="C2226" s="1" t="s">
        <v>11</v>
      </c>
      <c r="D2226" s="1" t="s">
        <v>11</v>
      </c>
      <c r="E2226" s="1" t="s">
        <v>11</v>
      </c>
    </row>
    <row r="2227" spans="1:5" ht="15.75" customHeight="1">
      <c r="A2227" s="1">
        <v>520411</v>
      </c>
      <c r="B2227" s="1" t="s">
        <v>2258</v>
      </c>
      <c r="C2227" s="1" t="s">
        <v>11</v>
      </c>
      <c r="D2227" s="1" t="s">
        <v>11</v>
      </c>
      <c r="E2227" s="1" t="s">
        <v>11</v>
      </c>
    </row>
    <row r="2228" spans="1:5" ht="15.75" customHeight="1">
      <c r="A2228" s="1">
        <v>520419</v>
      </c>
      <c r="B2228" s="1" t="s">
        <v>2259</v>
      </c>
      <c r="C2228" s="1" t="s">
        <v>11</v>
      </c>
      <c r="D2228" s="1" t="s">
        <v>11</v>
      </c>
      <c r="E2228" s="1" t="s">
        <v>11</v>
      </c>
    </row>
    <row r="2229" spans="1:5" ht="15.75" customHeight="1">
      <c r="A2229" s="1">
        <v>520420</v>
      </c>
      <c r="B2229" s="1" t="s">
        <v>2260</v>
      </c>
      <c r="C2229" s="1" t="s">
        <v>11</v>
      </c>
      <c r="D2229" s="1" t="s">
        <v>11</v>
      </c>
      <c r="E2229" s="1" t="s">
        <v>11</v>
      </c>
    </row>
    <row r="2230" spans="1:5" ht="15.75" customHeight="1">
      <c r="A2230" s="1">
        <v>520511</v>
      </c>
      <c r="B2230" s="1" t="s">
        <v>2261</v>
      </c>
      <c r="C2230" s="1" t="s">
        <v>11</v>
      </c>
      <c r="D2230" s="1" t="s">
        <v>11</v>
      </c>
      <c r="E2230" s="1" t="s">
        <v>11</v>
      </c>
    </row>
    <row r="2231" spans="1:5" ht="15.75" customHeight="1">
      <c r="A2231" s="1">
        <v>520512</v>
      </c>
      <c r="B2231" s="1" t="s">
        <v>2262</v>
      </c>
      <c r="C2231" s="1" t="s">
        <v>11</v>
      </c>
      <c r="D2231" s="1" t="s">
        <v>11</v>
      </c>
      <c r="E2231" s="1" t="s">
        <v>11</v>
      </c>
    </row>
    <row r="2232" spans="1:5" ht="15.75" customHeight="1">
      <c r="A2232" s="1">
        <v>520513</v>
      </c>
      <c r="B2232" s="1" t="s">
        <v>2263</v>
      </c>
      <c r="C2232" s="1" t="s">
        <v>11</v>
      </c>
      <c r="D2232" s="1" t="s">
        <v>11</v>
      </c>
      <c r="E2232" s="1" t="s">
        <v>11</v>
      </c>
    </row>
    <row r="2233" spans="1:5" ht="15.75" customHeight="1">
      <c r="A2233" s="1">
        <v>520514</v>
      </c>
      <c r="B2233" s="1" t="s">
        <v>2264</v>
      </c>
      <c r="C2233" s="1" t="s">
        <v>11</v>
      </c>
      <c r="D2233" s="1" t="s">
        <v>11</v>
      </c>
      <c r="E2233" s="1" t="s">
        <v>11</v>
      </c>
    </row>
    <row r="2234" spans="1:5" ht="15.75" customHeight="1">
      <c r="A2234" s="1">
        <v>520515</v>
      </c>
      <c r="B2234" s="1" t="s">
        <v>2265</v>
      </c>
      <c r="C2234" s="1" t="s">
        <v>11</v>
      </c>
      <c r="D2234" s="1" t="s">
        <v>11</v>
      </c>
      <c r="E2234" s="1" t="s">
        <v>11</v>
      </c>
    </row>
    <row r="2235" spans="1:5" ht="15.75" customHeight="1">
      <c r="A2235" s="1">
        <v>520521</v>
      </c>
      <c r="B2235" s="1" t="s">
        <v>2266</v>
      </c>
      <c r="C2235" s="1" t="s">
        <v>11</v>
      </c>
      <c r="D2235" s="1" t="s">
        <v>11</v>
      </c>
      <c r="E2235" s="1" t="s">
        <v>11</v>
      </c>
    </row>
    <row r="2236" spans="1:5" ht="15.75" customHeight="1">
      <c r="A2236" s="1">
        <v>520522</v>
      </c>
      <c r="B2236" s="1" t="s">
        <v>2267</v>
      </c>
      <c r="C2236" s="1" t="s">
        <v>11</v>
      </c>
      <c r="D2236" s="1" t="s">
        <v>11</v>
      </c>
      <c r="E2236" s="1" t="s">
        <v>11</v>
      </c>
    </row>
    <row r="2237" spans="1:5" ht="15.75" customHeight="1">
      <c r="A2237" s="1">
        <v>520523</v>
      </c>
      <c r="B2237" s="1" t="s">
        <v>2268</v>
      </c>
      <c r="C2237" s="1" t="s">
        <v>11</v>
      </c>
      <c r="D2237" s="1" t="s">
        <v>11</v>
      </c>
      <c r="E2237" s="1" t="s">
        <v>11</v>
      </c>
    </row>
    <row r="2238" spans="1:5" ht="15.75" customHeight="1">
      <c r="A2238" s="1">
        <v>520524</v>
      </c>
      <c r="B2238" s="1" t="s">
        <v>2269</v>
      </c>
      <c r="C2238" s="1" t="s">
        <v>11</v>
      </c>
      <c r="D2238" s="1" t="s">
        <v>11</v>
      </c>
      <c r="E2238" s="1" t="s">
        <v>11</v>
      </c>
    </row>
    <row r="2239" spans="1:5" ht="15.75" customHeight="1">
      <c r="A2239" s="1">
        <v>520526</v>
      </c>
      <c r="B2239" s="1" t="s">
        <v>2270</v>
      </c>
      <c r="C2239" s="1" t="s">
        <v>11</v>
      </c>
      <c r="D2239" s="1" t="s">
        <v>11</v>
      </c>
      <c r="E2239" s="1" t="s">
        <v>11</v>
      </c>
    </row>
    <row r="2240" spans="1:5" ht="15.75" customHeight="1">
      <c r="A2240" s="1">
        <v>520527</v>
      </c>
      <c r="B2240" s="1" t="s">
        <v>2271</v>
      </c>
      <c r="C2240" s="1" t="s">
        <v>11</v>
      </c>
      <c r="D2240" s="1" t="s">
        <v>11</v>
      </c>
      <c r="E2240" s="1" t="s">
        <v>11</v>
      </c>
    </row>
    <row r="2241" spans="1:5" ht="15.75" customHeight="1">
      <c r="A2241" s="1">
        <v>520528</v>
      </c>
      <c r="B2241" s="1" t="s">
        <v>2272</v>
      </c>
      <c r="C2241" s="1" t="s">
        <v>11</v>
      </c>
      <c r="D2241" s="1" t="s">
        <v>11</v>
      </c>
      <c r="E2241" s="1" t="s">
        <v>11</v>
      </c>
    </row>
    <row r="2242" spans="1:5" ht="15.75" customHeight="1">
      <c r="A2242" s="1">
        <v>520531</v>
      </c>
      <c r="B2242" s="1" t="s">
        <v>2273</v>
      </c>
      <c r="C2242" s="1" t="s">
        <v>11</v>
      </c>
      <c r="D2242" s="1" t="s">
        <v>11</v>
      </c>
      <c r="E2242" s="1" t="s">
        <v>11</v>
      </c>
    </row>
    <row r="2243" spans="1:5" ht="15.75" customHeight="1">
      <c r="A2243" s="1">
        <v>520532</v>
      </c>
      <c r="B2243" s="1" t="s">
        <v>2274</v>
      </c>
      <c r="C2243" s="1" t="s">
        <v>11</v>
      </c>
      <c r="D2243" s="1" t="s">
        <v>11</v>
      </c>
      <c r="E2243" s="1" t="s">
        <v>11</v>
      </c>
    </row>
    <row r="2244" spans="1:5" ht="15.75" customHeight="1">
      <c r="A2244" s="1">
        <v>520533</v>
      </c>
      <c r="B2244" s="1" t="s">
        <v>2275</v>
      </c>
      <c r="C2244" s="1" t="s">
        <v>11</v>
      </c>
      <c r="D2244" s="1" t="s">
        <v>11</v>
      </c>
      <c r="E2244" s="1" t="s">
        <v>11</v>
      </c>
    </row>
    <row r="2245" spans="1:5" ht="15.75" customHeight="1">
      <c r="A2245" s="1">
        <v>520534</v>
      </c>
      <c r="B2245" s="1" t="s">
        <v>2276</v>
      </c>
      <c r="C2245" s="1" t="s">
        <v>11</v>
      </c>
      <c r="D2245" s="1" t="s">
        <v>11</v>
      </c>
      <c r="E2245" s="1" t="s">
        <v>11</v>
      </c>
    </row>
    <row r="2246" spans="1:5" ht="15.75" customHeight="1">
      <c r="A2246" s="1">
        <v>520535</v>
      </c>
      <c r="B2246" s="1" t="s">
        <v>2277</v>
      </c>
      <c r="C2246" s="1" t="s">
        <v>11</v>
      </c>
      <c r="D2246" s="1" t="s">
        <v>11</v>
      </c>
      <c r="E2246" s="1" t="s">
        <v>11</v>
      </c>
    </row>
    <row r="2247" spans="1:5" ht="15.75" customHeight="1">
      <c r="A2247" s="1">
        <v>520541</v>
      </c>
      <c r="B2247" s="1" t="s">
        <v>2278</v>
      </c>
      <c r="C2247" s="1" t="s">
        <v>11</v>
      </c>
      <c r="D2247" s="1" t="s">
        <v>11</v>
      </c>
      <c r="E2247" s="1" t="s">
        <v>11</v>
      </c>
    </row>
    <row r="2248" spans="1:5" ht="15.75" customHeight="1">
      <c r="A2248" s="1">
        <v>520542</v>
      </c>
      <c r="B2248" s="1" t="s">
        <v>2279</v>
      </c>
      <c r="C2248" s="1" t="s">
        <v>11</v>
      </c>
      <c r="D2248" s="1" t="s">
        <v>11</v>
      </c>
      <c r="E2248" s="1" t="s">
        <v>11</v>
      </c>
    </row>
    <row r="2249" spans="1:5" ht="15.75" customHeight="1">
      <c r="A2249" s="1">
        <v>520543</v>
      </c>
      <c r="B2249" s="1" t="s">
        <v>2280</v>
      </c>
      <c r="C2249" s="1" t="s">
        <v>11</v>
      </c>
      <c r="D2249" s="1" t="s">
        <v>11</v>
      </c>
      <c r="E2249" s="1" t="s">
        <v>11</v>
      </c>
    </row>
    <row r="2250" spans="1:5" ht="15.75" customHeight="1">
      <c r="A2250" s="1">
        <v>520544</v>
      </c>
      <c r="B2250" s="1" t="s">
        <v>2281</v>
      </c>
      <c r="C2250" s="1" t="s">
        <v>11</v>
      </c>
      <c r="D2250" s="1" t="s">
        <v>11</v>
      </c>
      <c r="E2250" s="1" t="s">
        <v>11</v>
      </c>
    </row>
    <row r="2251" spans="1:5" ht="15.75" customHeight="1">
      <c r="A2251" s="1">
        <v>520546</v>
      </c>
      <c r="B2251" s="1" t="s">
        <v>2282</v>
      </c>
      <c r="C2251" s="1" t="s">
        <v>11</v>
      </c>
      <c r="D2251" s="1" t="s">
        <v>11</v>
      </c>
      <c r="E2251" s="1" t="s">
        <v>11</v>
      </c>
    </row>
    <row r="2252" spans="1:5" ht="15.75" customHeight="1">
      <c r="A2252" s="1">
        <v>520547</v>
      </c>
      <c r="B2252" s="1" t="s">
        <v>2283</v>
      </c>
      <c r="C2252" s="1" t="s">
        <v>11</v>
      </c>
      <c r="D2252" s="1" t="s">
        <v>11</v>
      </c>
      <c r="E2252" s="1" t="s">
        <v>11</v>
      </c>
    </row>
    <row r="2253" spans="1:5" ht="15.75" customHeight="1">
      <c r="A2253" s="1">
        <v>520548</v>
      </c>
      <c r="B2253" s="1" t="s">
        <v>2284</v>
      </c>
      <c r="C2253" s="1" t="s">
        <v>11</v>
      </c>
      <c r="D2253" s="1" t="s">
        <v>11</v>
      </c>
      <c r="E2253" s="1" t="s">
        <v>11</v>
      </c>
    </row>
    <row r="2254" spans="1:5" ht="15.75" customHeight="1">
      <c r="A2254" s="1">
        <v>520611</v>
      </c>
      <c r="B2254" s="1" t="s">
        <v>2285</v>
      </c>
      <c r="C2254" s="1" t="s">
        <v>11</v>
      </c>
      <c r="D2254" s="1" t="s">
        <v>11</v>
      </c>
      <c r="E2254" s="1" t="s">
        <v>11</v>
      </c>
    </row>
    <row r="2255" spans="1:5" ht="15.75" customHeight="1">
      <c r="A2255" s="1">
        <v>520612</v>
      </c>
      <c r="B2255" s="1" t="s">
        <v>2286</v>
      </c>
      <c r="C2255" s="1" t="s">
        <v>11</v>
      </c>
      <c r="D2255" s="1" t="s">
        <v>11</v>
      </c>
      <c r="E2255" s="1" t="s">
        <v>11</v>
      </c>
    </row>
    <row r="2256" spans="1:5" ht="15.75" customHeight="1">
      <c r="A2256" s="1">
        <v>520613</v>
      </c>
      <c r="B2256" s="1" t="s">
        <v>2287</v>
      </c>
      <c r="C2256" s="1" t="s">
        <v>11</v>
      </c>
      <c r="D2256" s="1" t="s">
        <v>11</v>
      </c>
      <c r="E2256" s="1" t="s">
        <v>11</v>
      </c>
    </row>
    <row r="2257" spans="1:5" ht="15.75" customHeight="1">
      <c r="A2257" s="1">
        <v>520614</v>
      </c>
      <c r="B2257" s="1" t="s">
        <v>2288</v>
      </c>
      <c r="C2257" s="1" t="s">
        <v>11</v>
      </c>
      <c r="D2257" s="1" t="s">
        <v>11</v>
      </c>
      <c r="E2257" s="1" t="s">
        <v>11</v>
      </c>
    </row>
    <row r="2258" spans="1:5" ht="15.75" customHeight="1">
      <c r="A2258" s="1">
        <v>520615</v>
      </c>
      <c r="B2258" s="1" t="s">
        <v>2289</v>
      </c>
      <c r="C2258" s="1" t="s">
        <v>11</v>
      </c>
      <c r="D2258" s="1" t="s">
        <v>11</v>
      </c>
      <c r="E2258" s="1" t="s">
        <v>11</v>
      </c>
    </row>
    <row r="2259" spans="1:5" ht="15.75" customHeight="1">
      <c r="A2259" s="1">
        <v>520621</v>
      </c>
      <c r="B2259" s="1" t="s">
        <v>2290</v>
      </c>
      <c r="C2259" s="1" t="s">
        <v>11</v>
      </c>
      <c r="D2259" s="1" t="s">
        <v>11</v>
      </c>
      <c r="E2259" s="1" t="s">
        <v>11</v>
      </c>
    </row>
    <row r="2260" spans="1:5" ht="15.75" customHeight="1">
      <c r="A2260" s="1">
        <v>520622</v>
      </c>
      <c r="B2260" s="1" t="s">
        <v>2291</v>
      </c>
      <c r="C2260" s="1" t="s">
        <v>11</v>
      </c>
      <c r="D2260" s="1" t="s">
        <v>11</v>
      </c>
      <c r="E2260" s="1" t="s">
        <v>11</v>
      </c>
    </row>
    <row r="2261" spans="1:5" ht="15.75" customHeight="1">
      <c r="A2261" s="1">
        <v>520623</v>
      </c>
      <c r="B2261" s="1" t="s">
        <v>2292</v>
      </c>
      <c r="C2261" s="1" t="s">
        <v>11</v>
      </c>
      <c r="D2261" s="1" t="s">
        <v>11</v>
      </c>
      <c r="E2261" s="1" t="s">
        <v>11</v>
      </c>
    </row>
    <row r="2262" spans="1:5" ht="15.75" customHeight="1">
      <c r="A2262" s="1">
        <v>520624</v>
      </c>
      <c r="B2262" s="1" t="s">
        <v>2293</v>
      </c>
      <c r="C2262" s="1" t="s">
        <v>11</v>
      </c>
      <c r="D2262" s="1" t="s">
        <v>11</v>
      </c>
      <c r="E2262" s="1" t="s">
        <v>11</v>
      </c>
    </row>
    <row r="2263" spans="1:5" ht="15.75" customHeight="1">
      <c r="A2263" s="1">
        <v>520625</v>
      </c>
      <c r="B2263" s="1" t="s">
        <v>2294</v>
      </c>
      <c r="C2263" s="1" t="s">
        <v>11</v>
      </c>
      <c r="D2263" s="1" t="s">
        <v>11</v>
      </c>
      <c r="E2263" s="1" t="s">
        <v>11</v>
      </c>
    </row>
    <row r="2264" spans="1:5" ht="15.75" customHeight="1">
      <c r="A2264" s="1">
        <v>520631</v>
      </c>
      <c r="B2264" s="1" t="s">
        <v>2295</v>
      </c>
      <c r="C2264" s="1" t="s">
        <v>11</v>
      </c>
      <c r="D2264" s="1" t="s">
        <v>11</v>
      </c>
      <c r="E2264" s="1" t="s">
        <v>11</v>
      </c>
    </row>
    <row r="2265" spans="1:5" ht="15.75" customHeight="1">
      <c r="A2265" s="1">
        <v>520632</v>
      </c>
      <c r="B2265" s="1" t="s">
        <v>2296</v>
      </c>
      <c r="C2265" s="1" t="s">
        <v>11</v>
      </c>
      <c r="D2265" s="1" t="s">
        <v>11</v>
      </c>
      <c r="E2265" s="1" t="s">
        <v>11</v>
      </c>
    </row>
    <row r="2266" spans="1:5" ht="15.75" customHeight="1">
      <c r="A2266" s="1">
        <v>520633</v>
      </c>
      <c r="B2266" s="1" t="s">
        <v>2297</v>
      </c>
      <c r="C2266" s="1" t="s">
        <v>11</v>
      </c>
      <c r="D2266" s="1" t="s">
        <v>11</v>
      </c>
      <c r="E2266" s="1" t="s">
        <v>11</v>
      </c>
    </row>
    <row r="2267" spans="1:5" ht="15.75" customHeight="1">
      <c r="A2267" s="1">
        <v>520634</v>
      </c>
      <c r="B2267" s="1" t="s">
        <v>2298</v>
      </c>
      <c r="C2267" s="1" t="s">
        <v>11</v>
      </c>
      <c r="D2267" s="1" t="s">
        <v>11</v>
      </c>
      <c r="E2267" s="1" t="s">
        <v>11</v>
      </c>
    </row>
    <row r="2268" spans="1:5" ht="15.75" customHeight="1">
      <c r="A2268" s="1">
        <v>520635</v>
      </c>
      <c r="B2268" s="1" t="s">
        <v>2299</v>
      </c>
      <c r="C2268" s="1" t="s">
        <v>11</v>
      </c>
      <c r="D2268" s="1" t="s">
        <v>11</v>
      </c>
      <c r="E2268" s="1" t="s">
        <v>11</v>
      </c>
    </row>
    <row r="2269" spans="1:5" ht="15.75" customHeight="1">
      <c r="A2269" s="1">
        <v>520641</v>
      </c>
      <c r="B2269" s="1" t="s">
        <v>2300</v>
      </c>
      <c r="C2269" s="1" t="s">
        <v>11</v>
      </c>
      <c r="D2269" s="1" t="s">
        <v>11</v>
      </c>
      <c r="E2269" s="1" t="s">
        <v>11</v>
      </c>
    </row>
    <row r="2270" spans="1:5" ht="15.75" customHeight="1">
      <c r="A2270" s="1">
        <v>520642</v>
      </c>
      <c r="B2270" s="1" t="s">
        <v>2301</v>
      </c>
      <c r="C2270" s="1" t="s">
        <v>11</v>
      </c>
      <c r="D2270" s="1" t="s">
        <v>11</v>
      </c>
      <c r="E2270" s="1" t="s">
        <v>11</v>
      </c>
    </row>
    <row r="2271" spans="1:5" ht="15.75" customHeight="1">
      <c r="A2271" s="1">
        <v>520643</v>
      </c>
      <c r="B2271" s="1" t="s">
        <v>2302</v>
      </c>
      <c r="C2271" s="1" t="s">
        <v>11</v>
      </c>
      <c r="D2271" s="1" t="s">
        <v>11</v>
      </c>
      <c r="E2271" s="1" t="s">
        <v>11</v>
      </c>
    </row>
    <row r="2272" spans="1:5" ht="15.75" customHeight="1">
      <c r="A2272" s="1">
        <v>520644</v>
      </c>
      <c r="B2272" s="1" t="s">
        <v>2303</v>
      </c>
      <c r="C2272" s="1" t="s">
        <v>11</v>
      </c>
      <c r="D2272" s="1" t="s">
        <v>11</v>
      </c>
      <c r="E2272" s="1" t="s">
        <v>11</v>
      </c>
    </row>
    <row r="2273" spans="1:5" ht="15.75" customHeight="1">
      <c r="A2273" s="1">
        <v>520645</v>
      </c>
      <c r="B2273" s="1" t="s">
        <v>2304</v>
      </c>
      <c r="C2273" s="1" t="s">
        <v>11</v>
      </c>
      <c r="D2273" s="1" t="s">
        <v>11</v>
      </c>
      <c r="E2273" s="1" t="s">
        <v>11</v>
      </c>
    </row>
    <row r="2274" spans="1:5" ht="15.75" customHeight="1">
      <c r="A2274" s="1">
        <v>520710</v>
      </c>
      <c r="B2274" s="1" t="s">
        <v>2305</v>
      </c>
      <c r="C2274" s="1" t="s">
        <v>11</v>
      </c>
      <c r="D2274" s="1" t="s">
        <v>11</v>
      </c>
      <c r="E2274" s="1" t="s">
        <v>11</v>
      </c>
    </row>
    <row r="2275" spans="1:5" ht="15.75" customHeight="1">
      <c r="A2275" s="1">
        <v>520790</v>
      </c>
      <c r="B2275" s="1" t="s">
        <v>2306</v>
      </c>
      <c r="C2275" s="1" t="s">
        <v>11</v>
      </c>
      <c r="D2275" s="1" t="s">
        <v>11</v>
      </c>
      <c r="E2275" s="1" t="s">
        <v>11</v>
      </c>
    </row>
    <row r="2276" spans="1:5" ht="15.75" customHeight="1">
      <c r="A2276" s="1">
        <v>520811</v>
      </c>
      <c r="B2276" s="1" t="s">
        <v>2307</v>
      </c>
      <c r="C2276" s="1" t="s">
        <v>11</v>
      </c>
      <c r="D2276" s="1" t="s">
        <v>11</v>
      </c>
      <c r="E2276" s="1" t="s">
        <v>11</v>
      </c>
    </row>
    <row r="2277" spans="1:5" ht="15.75" customHeight="1">
      <c r="A2277" s="1">
        <v>520812</v>
      </c>
      <c r="B2277" s="1" t="s">
        <v>2308</v>
      </c>
      <c r="C2277" s="1" t="s">
        <v>11</v>
      </c>
      <c r="D2277" s="1" t="s">
        <v>11</v>
      </c>
      <c r="E2277" s="1" t="s">
        <v>11</v>
      </c>
    </row>
    <row r="2278" spans="1:5" ht="15.75" customHeight="1">
      <c r="A2278" s="1">
        <v>520813</v>
      </c>
      <c r="B2278" s="1" t="s">
        <v>2309</v>
      </c>
      <c r="C2278" s="1" t="s">
        <v>11</v>
      </c>
      <c r="D2278" s="1" t="s">
        <v>11</v>
      </c>
      <c r="E2278" s="1" t="s">
        <v>11</v>
      </c>
    </row>
    <row r="2279" spans="1:5" ht="15.75" customHeight="1">
      <c r="A2279" s="1">
        <v>520819</v>
      </c>
      <c r="B2279" s="1" t="s">
        <v>2310</v>
      </c>
      <c r="C2279" s="1" t="s">
        <v>11</v>
      </c>
      <c r="D2279" s="1" t="s">
        <v>11</v>
      </c>
      <c r="E2279" s="1" t="s">
        <v>11</v>
      </c>
    </row>
    <row r="2280" spans="1:5" ht="15.75" customHeight="1">
      <c r="A2280" s="1">
        <v>520821</v>
      </c>
      <c r="B2280" s="1" t="s">
        <v>2311</v>
      </c>
      <c r="C2280" s="1" t="s">
        <v>11</v>
      </c>
      <c r="D2280" s="1" t="s">
        <v>11</v>
      </c>
      <c r="E2280" s="1" t="s">
        <v>11</v>
      </c>
    </row>
    <row r="2281" spans="1:5" ht="15.75" customHeight="1">
      <c r="A2281" s="1">
        <v>520822</v>
      </c>
      <c r="B2281" s="1" t="s">
        <v>2312</v>
      </c>
      <c r="C2281" s="1" t="s">
        <v>11</v>
      </c>
      <c r="D2281" s="1" t="s">
        <v>11</v>
      </c>
      <c r="E2281" s="1" t="s">
        <v>11</v>
      </c>
    </row>
    <row r="2282" spans="1:5" ht="15.75" customHeight="1">
      <c r="A2282" s="1">
        <v>520823</v>
      </c>
      <c r="B2282" s="1" t="s">
        <v>2313</v>
      </c>
      <c r="C2282" s="1" t="s">
        <v>11</v>
      </c>
      <c r="D2282" s="1" t="s">
        <v>11</v>
      </c>
      <c r="E2282" s="1" t="s">
        <v>11</v>
      </c>
    </row>
    <row r="2283" spans="1:5" ht="15.75" customHeight="1">
      <c r="A2283" s="1">
        <v>520829</v>
      </c>
      <c r="B2283" s="1" t="s">
        <v>2314</v>
      </c>
      <c r="C2283" s="1" t="s">
        <v>11</v>
      </c>
      <c r="D2283" s="1" t="s">
        <v>11</v>
      </c>
      <c r="E2283" s="1" t="s">
        <v>11</v>
      </c>
    </row>
    <row r="2284" spans="1:5" ht="15.75" customHeight="1">
      <c r="A2284" s="1">
        <v>520831</v>
      </c>
      <c r="B2284" s="1" t="s">
        <v>2315</v>
      </c>
      <c r="C2284" s="1" t="s">
        <v>11</v>
      </c>
      <c r="D2284" s="1" t="s">
        <v>11</v>
      </c>
      <c r="E2284" s="1" t="s">
        <v>11</v>
      </c>
    </row>
    <row r="2285" spans="1:5" ht="15.75" customHeight="1">
      <c r="A2285" s="1">
        <v>520832</v>
      </c>
      <c r="B2285" s="1" t="s">
        <v>2316</v>
      </c>
      <c r="C2285" s="1" t="s">
        <v>11</v>
      </c>
      <c r="D2285" s="1" t="s">
        <v>11</v>
      </c>
      <c r="E2285" s="1" t="s">
        <v>11</v>
      </c>
    </row>
    <row r="2286" spans="1:5" ht="15.75" customHeight="1">
      <c r="A2286" s="1">
        <v>520833</v>
      </c>
      <c r="B2286" s="1" t="s">
        <v>2317</v>
      </c>
      <c r="C2286" s="1" t="s">
        <v>11</v>
      </c>
      <c r="D2286" s="1" t="s">
        <v>11</v>
      </c>
      <c r="E2286" s="1" t="s">
        <v>11</v>
      </c>
    </row>
    <row r="2287" spans="1:5" ht="15.75" customHeight="1">
      <c r="A2287" s="1">
        <v>520839</v>
      </c>
      <c r="B2287" s="1" t="s">
        <v>2318</v>
      </c>
      <c r="C2287" s="1" t="s">
        <v>11</v>
      </c>
      <c r="D2287" s="1" t="s">
        <v>11</v>
      </c>
      <c r="E2287" s="1" t="s">
        <v>11</v>
      </c>
    </row>
    <row r="2288" spans="1:5" ht="15.75" customHeight="1">
      <c r="A2288" s="1">
        <v>520841</v>
      </c>
      <c r="B2288" s="1" t="s">
        <v>2319</v>
      </c>
      <c r="C2288" s="1" t="s">
        <v>11</v>
      </c>
      <c r="D2288" s="1" t="s">
        <v>11</v>
      </c>
      <c r="E2288" s="1" t="s">
        <v>11</v>
      </c>
    </row>
    <row r="2289" spans="1:5" ht="15.75" customHeight="1">
      <c r="A2289" s="1">
        <v>520842</v>
      </c>
      <c r="B2289" s="1" t="s">
        <v>2320</v>
      </c>
      <c r="C2289" s="1" t="s">
        <v>11</v>
      </c>
      <c r="D2289" s="1" t="s">
        <v>11</v>
      </c>
      <c r="E2289" s="1" t="s">
        <v>11</v>
      </c>
    </row>
    <row r="2290" spans="1:5" ht="15.75" customHeight="1">
      <c r="A2290" s="1">
        <v>520843</v>
      </c>
      <c r="B2290" s="1" t="s">
        <v>2321</v>
      </c>
      <c r="C2290" s="1" t="s">
        <v>11</v>
      </c>
      <c r="D2290" s="1" t="s">
        <v>11</v>
      </c>
      <c r="E2290" s="1" t="s">
        <v>11</v>
      </c>
    </row>
    <row r="2291" spans="1:5" ht="15.75" customHeight="1">
      <c r="A2291" s="1">
        <v>520849</v>
      </c>
      <c r="B2291" s="1" t="s">
        <v>2322</v>
      </c>
      <c r="C2291" s="1" t="s">
        <v>11</v>
      </c>
      <c r="D2291" s="1" t="s">
        <v>11</v>
      </c>
      <c r="E2291" s="1" t="s">
        <v>11</v>
      </c>
    </row>
    <row r="2292" spans="1:5" ht="15.75" customHeight="1">
      <c r="A2292" s="1">
        <v>520851</v>
      </c>
      <c r="B2292" s="1" t="s">
        <v>2323</v>
      </c>
      <c r="C2292" s="1" t="s">
        <v>11</v>
      </c>
      <c r="D2292" s="1" t="s">
        <v>11</v>
      </c>
      <c r="E2292" s="1" t="s">
        <v>11</v>
      </c>
    </row>
    <row r="2293" spans="1:5" ht="15.75" customHeight="1">
      <c r="A2293" s="1">
        <v>520852</v>
      </c>
      <c r="B2293" s="1" t="s">
        <v>2324</v>
      </c>
      <c r="C2293" s="1" t="s">
        <v>11</v>
      </c>
      <c r="D2293" s="1" t="s">
        <v>11</v>
      </c>
      <c r="E2293" s="1" t="s">
        <v>11</v>
      </c>
    </row>
    <row r="2294" spans="1:5" ht="15.75" customHeight="1">
      <c r="A2294" s="1">
        <v>520859</v>
      </c>
      <c r="B2294" s="1" t="s">
        <v>2325</v>
      </c>
      <c r="C2294" s="1" t="s">
        <v>11</v>
      </c>
      <c r="D2294" s="1" t="s">
        <v>11</v>
      </c>
      <c r="E2294" s="1" t="s">
        <v>11</v>
      </c>
    </row>
    <row r="2295" spans="1:5" ht="15.75" customHeight="1">
      <c r="A2295" s="1">
        <v>520911</v>
      </c>
      <c r="B2295" s="1" t="s">
        <v>2326</v>
      </c>
      <c r="C2295" s="1" t="s">
        <v>11</v>
      </c>
      <c r="D2295" s="1" t="s">
        <v>11</v>
      </c>
      <c r="E2295" s="1" t="s">
        <v>11</v>
      </c>
    </row>
    <row r="2296" spans="1:5" ht="15.75" customHeight="1">
      <c r="A2296" s="1">
        <v>520912</v>
      </c>
      <c r="B2296" s="1" t="s">
        <v>2327</v>
      </c>
      <c r="C2296" s="1" t="s">
        <v>11</v>
      </c>
      <c r="D2296" s="1" t="s">
        <v>11</v>
      </c>
      <c r="E2296" s="1" t="s">
        <v>11</v>
      </c>
    </row>
    <row r="2297" spans="1:5" ht="15.75" customHeight="1">
      <c r="A2297" s="1">
        <v>520919</v>
      </c>
      <c r="B2297" s="1" t="s">
        <v>2328</v>
      </c>
      <c r="C2297" s="1" t="s">
        <v>11</v>
      </c>
      <c r="D2297" s="1" t="s">
        <v>11</v>
      </c>
      <c r="E2297" s="1" t="s">
        <v>11</v>
      </c>
    </row>
    <row r="2298" spans="1:5" ht="15.75" customHeight="1">
      <c r="A2298" s="1">
        <v>520921</v>
      </c>
      <c r="B2298" s="1" t="s">
        <v>2329</v>
      </c>
      <c r="C2298" s="1" t="s">
        <v>11</v>
      </c>
      <c r="D2298" s="1" t="s">
        <v>11</v>
      </c>
      <c r="E2298" s="1" t="s">
        <v>11</v>
      </c>
    </row>
    <row r="2299" spans="1:5" ht="15.75" customHeight="1">
      <c r="A2299" s="1">
        <v>520922</v>
      </c>
      <c r="B2299" s="1" t="s">
        <v>2330</v>
      </c>
      <c r="C2299" s="1" t="s">
        <v>11</v>
      </c>
      <c r="D2299" s="1" t="s">
        <v>11</v>
      </c>
      <c r="E2299" s="1" t="s">
        <v>11</v>
      </c>
    </row>
    <row r="2300" spans="1:5" ht="15.75" customHeight="1">
      <c r="A2300" s="1">
        <v>520929</v>
      </c>
      <c r="B2300" s="1" t="s">
        <v>2331</v>
      </c>
      <c r="C2300" s="1" t="s">
        <v>11</v>
      </c>
      <c r="D2300" s="1" t="s">
        <v>11</v>
      </c>
      <c r="E2300" s="1" t="s">
        <v>11</v>
      </c>
    </row>
    <row r="2301" spans="1:5" ht="15.75" customHeight="1">
      <c r="A2301" s="1">
        <v>520931</v>
      </c>
      <c r="B2301" s="1" t="s">
        <v>2332</v>
      </c>
      <c r="C2301" s="1" t="s">
        <v>11</v>
      </c>
      <c r="D2301" s="1" t="s">
        <v>11</v>
      </c>
      <c r="E2301" s="1" t="s">
        <v>11</v>
      </c>
    </row>
    <row r="2302" spans="1:5" ht="15.75" customHeight="1">
      <c r="A2302" s="1">
        <v>520932</v>
      </c>
      <c r="B2302" s="1" t="s">
        <v>2333</v>
      </c>
      <c r="C2302" s="1" t="s">
        <v>11</v>
      </c>
      <c r="D2302" s="1" t="s">
        <v>11</v>
      </c>
      <c r="E2302" s="1" t="s">
        <v>11</v>
      </c>
    </row>
    <row r="2303" spans="1:5" ht="15.75" customHeight="1">
      <c r="A2303" s="1">
        <v>520939</v>
      </c>
      <c r="B2303" s="1" t="s">
        <v>2334</v>
      </c>
      <c r="C2303" s="1" t="s">
        <v>11</v>
      </c>
      <c r="D2303" s="1" t="s">
        <v>11</v>
      </c>
      <c r="E2303" s="1" t="s">
        <v>11</v>
      </c>
    </row>
    <row r="2304" spans="1:5" ht="15.75" customHeight="1">
      <c r="A2304" s="1">
        <v>520941</v>
      </c>
      <c r="B2304" s="1" t="s">
        <v>2335</v>
      </c>
      <c r="C2304" s="1" t="s">
        <v>11</v>
      </c>
      <c r="D2304" s="1" t="s">
        <v>11</v>
      </c>
      <c r="E2304" s="1" t="s">
        <v>11</v>
      </c>
    </row>
    <row r="2305" spans="1:5" ht="15.75" customHeight="1">
      <c r="A2305" s="1">
        <v>520942</v>
      </c>
      <c r="B2305" s="1" t="s">
        <v>2336</v>
      </c>
      <c r="C2305" s="1" t="s">
        <v>11</v>
      </c>
      <c r="D2305" s="1" t="s">
        <v>11</v>
      </c>
      <c r="E2305" s="1" t="s">
        <v>11</v>
      </c>
    </row>
    <row r="2306" spans="1:5" ht="15.75" customHeight="1">
      <c r="A2306" s="1">
        <v>520943</v>
      </c>
      <c r="B2306" s="1" t="s">
        <v>2337</v>
      </c>
      <c r="C2306" s="1" t="s">
        <v>11</v>
      </c>
      <c r="D2306" s="1" t="s">
        <v>11</v>
      </c>
      <c r="E2306" s="1" t="s">
        <v>11</v>
      </c>
    </row>
    <row r="2307" spans="1:5" ht="15.75" customHeight="1">
      <c r="A2307" s="1">
        <v>520949</v>
      </c>
      <c r="B2307" s="1" t="s">
        <v>2338</v>
      </c>
      <c r="C2307" s="1" t="s">
        <v>11</v>
      </c>
      <c r="D2307" s="1" t="s">
        <v>11</v>
      </c>
      <c r="E2307" s="1" t="s">
        <v>11</v>
      </c>
    </row>
    <row r="2308" spans="1:5" ht="15.75" customHeight="1">
      <c r="A2308" s="1">
        <v>520951</v>
      </c>
      <c r="B2308" s="1" t="s">
        <v>2339</v>
      </c>
      <c r="C2308" s="1" t="s">
        <v>11</v>
      </c>
      <c r="D2308" s="1" t="s">
        <v>11</v>
      </c>
      <c r="E2308" s="1" t="s">
        <v>11</v>
      </c>
    </row>
    <row r="2309" spans="1:5" ht="15.75" customHeight="1">
      <c r="A2309" s="1">
        <v>520952</v>
      </c>
      <c r="B2309" s="1" t="s">
        <v>2340</v>
      </c>
      <c r="C2309" s="1" t="s">
        <v>11</v>
      </c>
      <c r="D2309" s="1" t="s">
        <v>11</v>
      </c>
      <c r="E2309" s="1" t="s">
        <v>11</v>
      </c>
    </row>
    <row r="2310" spans="1:5" ht="15.75" customHeight="1">
      <c r="A2310" s="1">
        <v>520959</v>
      </c>
      <c r="B2310" s="1" t="s">
        <v>2341</v>
      </c>
      <c r="C2310" s="1" t="s">
        <v>11</v>
      </c>
      <c r="D2310" s="1" t="s">
        <v>11</v>
      </c>
      <c r="E2310" s="1" t="s">
        <v>11</v>
      </c>
    </row>
    <row r="2311" spans="1:5" ht="15.75" customHeight="1">
      <c r="A2311" s="1">
        <v>521011</v>
      </c>
      <c r="B2311" s="1" t="s">
        <v>2342</v>
      </c>
      <c r="C2311" s="1" t="s">
        <v>11</v>
      </c>
      <c r="D2311" s="1" t="s">
        <v>11</v>
      </c>
      <c r="E2311" s="1" t="s">
        <v>11</v>
      </c>
    </row>
    <row r="2312" spans="1:5" ht="15.75" customHeight="1">
      <c r="A2312" s="1">
        <v>521019</v>
      </c>
      <c r="B2312" s="1" t="s">
        <v>2343</v>
      </c>
      <c r="C2312" s="1" t="s">
        <v>11</v>
      </c>
      <c r="D2312" s="1" t="s">
        <v>11</v>
      </c>
      <c r="E2312" s="1" t="s">
        <v>11</v>
      </c>
    </row>
    <row r="2313" spans="1:5" ht="15.75" customHeight="1">
      <c r="A2313" s="1">
        <v>521021</v>
      </c>
      <c r="B2313" s="1" t="s">
        <v>2344</v>
      </c>
      <c r="C2313" s="1" t="s">
        <v>11</v>
      </c>
      <c r="D2313" s="1" t="s">
        <v>11</v>
      </c>
      <c r="E2313" s="1" t="s">
        <v>11</v>
      </c>
    </row>
    <row r="2314" spans="1:5" ht="15.75" customHeight="1">
      <c r="A2314" s="1">
        <v>521029</v>
      </c>
      <c r="B2314" s="1" t="s">
        <v>2345</v>
      </c>
      <c r="C2314" s="1" t="s">
        <v>11</v>
      </c>
      <c r="D2314" s="1" t="s">
        <v>11</v>
      </c>
      <c r="E2314" s="1" t="s">
        <v>11</v>
      </c>
    </row>
    <row r="2315" spans="1:5" ht="15.75" customHeight="1">
      <c r="A2315" s="1">
        <v>521031</v>
      </c>
      <c r="B2315" s="1" t="s">
        <v>2346</v>
      </c>
      <c r="C2315" s="1" t="s">
        <v>11</v>
      </c>
      <c r="D2315" s="1" t="s">
        <v>11</v>
      </c>
      <c r="E2315" s="1" t="s">
        <v>11</v>
      </c>
    </row>
    <row r="2316" spans="1:5" ht="15.75" customHeight="1">
      <c r="A2316" s="1">
        <v>521032</v>
      </c>
      <c r="B2316" s="1" t="s">
        <v>2347</v>
      </c>
      <c r="C2316" s="1" t="s">
        <v>11</v>
      </c>
      <c r="D2316" s="1" t="s">
        <v>11</v>
      </c>
      <c r="E2316" s="1" t="s">
        <v>11</v>
      </c>
    </row>
    <row r="2317" spans="1:5" ht="15.75" customHeight="1">
      <c r="A2317" s="1">
        <v>521039</v>
      </c>
      <c r="B2317" s="1" t="s">
        <v>2348</v>
      </c>
      <c r="C2317" s="1" t="s">
        <v>11</v>
      </c>
      <c r="D2317" s="1" t="s">
        <v>11</v>
      </c>
      <c r="E2317" s="1" t="s">
        <v>11</v>
      </c>
    </row>
    <row r="2318" spans="1:5" ht="15.75" customHeight="1">
      <c r="A2318" s="1">
        <v>521041</v>
      </c>
      <c r="B2318" s="1" t="s">
        <v>2349</v>
      </c>
      <c r="C2318" s="1" t="s">
        <v>11</v>
      </c>
      <c r="D2318" s="1" t="s">
        <v>11</v>
      </c>
      <c r="E2318" s="1" t="s">
        <v>11</v>
      </c>
    </row>
    <row r="2319" spans="1:5" ht="15.75" customHeight="1">
      <c r="A2319" s="1">
        <v>521049</v>
      </c>
      <c r="B2319" s="1" t="s">
        <v>2350</v>
      </c>
      <c r="C2319" s="1" t="s">
        <v>11</v>
      </c>
      <c r="D2319" s="1" t="s">
        <v>11</v>
      </c>
      <c r="E2319" s="1" t="s">
        <v>11</v>
      </c>
    </row>
    <row r="2320" spans="1:5" ht="15.75" customHeight="1">
      <c r="A2320" s="1">
        <v>521051</v>
      </c>
      <c r="B2320" s="1" t="s">
        <v>2351</v>
      </c>
      <c r="C2320" s="1" t="s">
        <v>11</v>
      </c>
      <c r="D2320" s="1" t="s">
        <v>11</v>
      </c>
      <c r="E2320" s="1" t="s">
        <v>11</v>
      </c>
    </row>
    <row r="2321" spans="1:5" ht="15.75" customHeight="1">
      <c r="A2321" s="1">
        <v>521059</v>
      </c>
      <c r="B2321" s="1" t="s">
        <v>2352</v>
      </c>
      <c r="C2321" s="1" t="s">
        <v>11</v>
      </c>
      <c r="D2321" s="1" t="s">
        <v>11</v>
      </c>
      <c r="E2321" s="1" t="s">
        <v>11</v>
      </c>
    </row>
    <row r="2322" spans="1:5" ht="15.75" customHeight="1">
      <c r="A2322" s="1">
        <v>521111</v>
      </c>
      <c r="B2322" s="1" t="s">
        <v>2353</v>
      </c>
      <c r="C2322" s="1" t="s">
        <v>11</v>
      </c>
      <c r="D2322" s="1" t="s">
        <v>11</v>
      </c>
      <c r="E2322" s="1" t="s">
        <v>11</v>
      </c>
    </row>
    <row r="2323" spans="1:5" ht="15.75" customHeight="1">
      <c r="A2323" s="1">
        <v>521112</v>
      </c>
      <c r="B2323" s="1" t="s">
        <v>2354</v>
      </c>
      <c r="C2323" s="1" t="s">
        <v>11</v>
      </c>
      <c r="D2323" s="1" t="s">
        <v>11</v>
      </c>
      <c r="E2323" s="1" t="s">
        <v>11</v>
      </c>
    </row>
    <row r="2324" spans="1:5" ht="15.75" customHeight="1">
      <c r="A2324" s="1">
        <v>521119</v>
      </c>
      <c r="B2324" s="1" t="s">
        <v>2355</v>
      </c>
      <c r="C2324" s="1" t="s">
        <v>11</v>
      </c>
      <c r="D2324" s="1" t="s">
        <v>11</v>
      </c>
      <c r="E2324" s="1" t="s">
        <v>11</v>
      </c>
    </row>
    <row r="2325" spans="1:5" ht="15.75" customHeight="1">
      <c r="A2325" s="1">
        <v>521120</v>
      </c>
      <c r="B2325" s="1" t="s">
        <v>2356</v>
      </c>
      <c r="C2325" s="1" t="s">
        <v>11</v>
      </c>
      <c r="D2325" s="1" t="s">
        <v>11</v>
      </c>
      <c r="E2325" s="1" t="s">
        <v>11</v>
      </c>
    </row>
    <row r="2326" spans="1:5" ht="15.75" customHeight="1">
      <c r="A2326" s="1">
        <v>521131</v>
      </c>
      <c r="B2326" s="1" t="s">
        <v>2357</v>
      </c>
      <c r="C2326" s="1" t="s">
        <v>11</v>
      </c>
      <c r="D2326" s="1" t="s">
        <v>11</v>
      </c>
      <c r="E2326" s="1" t="s">
        <v>11</v>
      </c>
    </row>
    <row r="2327" spans="1:5" ht="15.75" customHeight="1">
      <c r="A2327" s="1">
        <v>521132</v>
      </c>
      <c r="B2327" s="1" t="s">
        <v>2358</v>
      </c>
      <c r="C2327" s="1" t="s">
        <v>11</v>
      </c>
      <c r="D2327" s="1" t="s">
        <v>11</v>
      </c>
      <c r="E2327" s="1" t="s">
        <v>11</v>
      </c>
    </row>
    <row r="2328" spans="1:5" ht="15.75" customHeight="1">
      <c r="A2328" s="1">
        <v>521139</v>
      </c>
      <c r="B2328" s="1" t="s">
        <v>2359</v>
      </c>
      <c r="C2328" s="1" t="s">
        <v>11</v>
      </c>
      <c r="D2328" s="1" t="s">
        <v>11</v>
      </c>
      <c r="E2328" s="1" t="s">
        <v>11</v>
      </c>
    </row>
    <row r="2329" spans="1:5" ht="15.75" customHeight="1">
      <c r="A2329" s="1">
        <v>521141</v>
      </c>
      <c r="B2329" s="1" t="s">
        <v>2360</v>
      </c>
      <c r="C2329" s="1" t="s">
        <v>11</v>
      </c>
      <c r="D2329" s="1" t="s">
        <v>11</v>
      </c>
      <c r="E2329" s="1" t="s">
        <v>11</v>
      </c>
    </row>
    <row r="2330" spans="1:5" ht="15.75" customHeight="1">
      <c r="A2330" s="1">
        <v>521142</v>
      </c>
      <c r="B2330" s="1" t="s">
        <v>2361</v>
      </c>
      <c r="C2330" s="1" t="s">
        <v>11</v>
      </c>
      <c r="D2330" s="1" t="s">
        <v>11</v>
      </c>
      <c r="E2330" s="1" t="s">
        <v>11</v>
      </c>
    </row>
    <row r="2331" spans="1:5" ht="15.75" customHeight="1">
      <c r="A2331" s="1">
        <v>521143</v>
      </c>
      <c r="B2331" s="1" t="s">
        <v>2362</v>
      </c>
      <c r="C2331" s="1" t="s">
        <v>11</v>
      </c>
      <c r="D2331" s="1" t="s">
        <v>11</v>
      </c>
      <c r="E2331" s="1" t="s">
        <v>11</v>
      </c>
    </row>
    <row r="2332" spans="1:5" ht="15.75" customHeight="1">
      <c r="A2332" s="1">
        <v>521149</v>
      </c>
      <c r="B2332" s="1" t="s">
        <v>2363</v>
      </c>
      <c r="C2332" s="1" t="s">
        <v>11</v>
      </c>
      <c r="D2332" s="1" t="s">
        <v>11</v>
      </c>
      <c r="E2332" s="1" t="s">
        <v>11</v>
      </c>
    </row>
    <row r="2333" spans="1:5" ht="15.75" customHeight="1">
      <c r="A2333" s="1">
        <v>521151</v>
      </c>
      <c r="B2333" s="1" t="s">
        <v>2364</v>
      </c>
      <c r="C2333" s="1" t="s">
        <v>11</v>
      </c>
      <c r="D2333" s="1" t="s">
        <v>11</v>
      </c>
      <c r="E2333" s="1" t="s">
        <v>11</v>
      </c>
    </row>
    <row r="2334" spans="1:5" ht="15.75" customHeight="1">
      <c r="A2334" s="1">
        <v>521152</v>
      </c>
      <c r="B2334" s="1" t="s">
        <v>2365</v>
      </c>
      <c r="C2334" s="1" t="s">
        <v>11</v>
      </c>
      <c r="D2334" s="1" t="s">
        <v>11</v>
      </c>
      <c r="E2334" s="1" t="s">
        <v>11</v>
      </c>
    </row>
    <row r="2335" spans="1:5" ht="15.75" customHeight="1">
      <c r="A2335" s="1">
        <v>521159</v>
      </c>
      <c r="B2335" s="1" t="s">
        <v>2366</v>
      </c>
      <c r="C2335" s="1" t="s">
        <v>11</v>
      </c>
      <c r="D2335" s="1" t="s">
        <v>11</v>
      </c>
      <c r="E2335" s="1" t="s">
        <v>11</v>
      </c>
    </row>
    <row r="2336" spans="1:5" ht="15.75" customHeight="1">
      <c r="A2336" s="1">
        <v>521211</v>
      </c>
      <c r="B2336" s="1" t="s">
        <v>2367</v>
      </c>
      <c r="C2336" s="1" t="s">
        <v>11</v>
      </c>
      <c r="D2336" s="1" t="s">
        <v>11</v>
      </c>
      <c r="E2336" s="1" t="s">
        <v>11</v>
      </c>
    </row>
    <row r="2337" spans="1:5" ht="15.75" customHeight="1">
      <c r="A2337" s="1">
        <v>521212</v>
      </c>
      <c r="B2337" s="1" t="s">
        <v>2368</v>
      </c>
      <c r="C2337" s="1" t="s">
        <v>11</v>
      </c>
      <c r="D2337" s="1" t="s">
        <v>11</v>
      </c>
      <c r="E2337" s="1" t="s">
        <v>11</v>
      </c>
    </row>
    <row r="2338" spans="1:5" ht="15.75" customHeight="1">
      <c r="A2338" s="1">
        <v>521213</v>
      </c>
      <c r="B2338" s="1" t="s">
        <v>2369</v>
      </c>
      <c r="C2338" s="1" t="s">
        <v>11</v>
      </c>
      <c r="D2338" s="1" t="s">
        <v>11</v>
      </c>
      <c r="E2338" s="1" t="s">
        <v>11</v>
      </c>
    </row>
    <row r="2339" spans="1:5" ht="15.75" customHeight="1">
      <c r="A2339" s="1">
        <v>521214</v>
      </c>
      <c r="B2339" s="1" t="s">
        <v>2370</v>
      </c>
      <c r="C2339" s="1" t="s">
        <v>11</v>
      </c>
      <c r="D2339" s="1" t="s">
        <v>11</v>
      </c>
      <c r="E2339" s="1" t="s">
        <v>11</v>
      </c>
    </row>
    <row r="2340" spans="1:5" ht="15.75" customHeight="1">
      <c r="A2340" s="1">
        <v>521215</v>
      </c>
      <c r="B2340" s="1" t="s">
        <v>2371</v>
      </c>
      <c r="C2340" s="1" t="s">
        <v>11</v>
      </c>
      <c r="D2340" s="1" t="s">
        <v>11</v>
      </c>
      <c r="E2340" s="1" t="s">
        <v>11</v>
      </c>
    </row>
    <row r="2341" spans="1:5" ht="15.75" customHeight="1">
      <c r="A2341" s="1">
        <v>521221</v>
      </c>
      <c r="B2341" s="1" t="s">
        <v>2372</v>
      </c>
      <c r="C2341" s="1" t="s">
        <v>11</v>
      </c>
      <c r="D2341" s="1" t="s">
        <v>11</v>
      </c>
      <c r="E2341" s="1" t="s">
        <v>11</v>
      </c>
    </row>
    <row r="2342" spans="1:5" ht="15.75" customHeight="1">
      <c r="A2342" s="1">
        <v>521222</v>
      </c>
      <c r="B2342" s="1" t="s">
        <v>2373</v>
      </c>
      <c r="C2342" s="1" t="s">
        <v>11</v>
      </c>
      <c r="D2342" s="1" t="s">
        <v>11</v>
      </c>
      <c r="E2342" s="1" t="s">
        <v>11</v>
      </c>
    </row>
    <row r="2343" spans="1:5" ht="15.75" customHeight="1">
      <c r="A2343" s="1">
        <v>521223</v>
      </c>
      <c r="B2343" s="1" t="s">
        <v>2374</v>
      </c>
      <c r="C2343" s="1" t="s">
        <v>11</v>
      </c>
      <c r="D2343" s="1" t="s">
        <v>11</v>
      </c>
      <c r="E2343" s="1" t="s">
        <v>11</v>
      </c>
    </row>
    <row r="2344" spans="1:5" ht="15.75" customHeight="1">
      <c r="A2344" s="1">
        <v>521224</v>
      </c>
      <c r="B2344" s="1" t="s">
        <v>2375</v>
      </c>
      <c r="C2344" s="1" t="s">
        <v>11</v>
      </c>
      <c r="D2344" s="1" t="s">
        <v>11</v>
      </c>
      <c r="E2344" s="1" t="s">
        <v>11</v>
      </c>
    </row>
    <row r="2345" spans="1:5" ht="15.75" customHeight="1">
      <c r="A2345" s="1">
        <v>521225</v>
      </c>
      <c r="B2345" s="1" t="s">
        <v>2376</v>
      </c>
      <c r="C2345" s="1" t="s">
        <v>11</v>
      </c>
      <c r="D2345" s="1" t="s">
        <v>11</v>
      </c>
      <c r="E2345" s="1" t="s">
        <v>11</v>
      </c>
    </row>
    <row r="2346" spans="1:5" ht="15.75" customHeight="1">
      <c r="A2346" s="1">
        <v>530110</v>
      </c>
      <c r="B2346" s="1" t="s">
        <v>2377</v>
      </c>
      <c r="C2346" s="1" t="s">
        <v>11</v>
      </c>
      <c r="D2346" s="1" t="s">
        <v>11</v>
      </c>
      <c r="E2346" s="1" t="s">
        <v>11</v>
      </c>
    </row>
    <row r="2347" spans="1:5" ht="15.75" customHeight="1">
      <c r="A2347" s="1">
        <v>530121</v>
      </c>
      <c r="B2347" s="1" t="s">
        <v>2378</v>
      </c>
      <c r="C2347" s="1" t="s">
        <v>11</v>
      </c>
      <c r="D2347" s="1" t="s">
        <v>11</v>
      </c>
      <c r="E2347" s="1" t="s">
        <v>11</v>
      </c>
    </row>
    <row r="2348" spans="1:5" ht="15.75" customHeight="1">
      <c r="A2348" s="1">
        <v>530129</v>
      </c>
      <c r="B2348" s="1" t="s">
        <v>2379</v>
      </c>
      <c r="C2348" s="1" t="s">
        <v>11</v>
      </c>
      <c r="D2348" s="1" t="s">
        <v>11</v>
      </c>
      <c r="E2348" s="1" t="s">
        <v>11</v>
      </c>
    </row>
    <row r="2349" spans="1:5" ht="15.75" customHeight="1">
      <c r="A2349" s="1">
        <v>530130</v>
      </c>
      <c r="B2349" s="1" t="s">
        <v>2380</v>
      </c>
      <c r="C2349" s="1" t="s">
        <v>11</v>
      </c>
      <c r="D2349" s="1" t="s">
        <v>11</v>
      </c>
      <c r="E2349" s="1" t="s">
        <v>11</v>
      </c>
    </row>
    <row r="2350" spans="1:5" ht="15.75" customHeight="1">
      <c r="A2350" s="1">
        <v>530210</v>
      </c>
      <c r="B2350" s="1" t="s">
        <v>2381</v>
      </c>
      <c r="C2350" s="1" t="s">
        <v>11</v>
      </c>
      <c r="D2350" s="1" t="s">
        <v>11</v>
      </c>
      <c r="E2350" s="1" t="s">
        <v>11</v>
      </c>
    </row>
    <row r="2351" spans="1:5" ht="15.75" customHeight="1">
      <c r="A2351" s="1">
        <v>530290</v>
      </c>
      <c r="B2351" s="1" t="s">
        <v>2382</v>
      </c>
      <c r="C2351" s="1" t="s">
        <v>11</v>
      </c>
      <c r="D2351" s="1" t="s">
        <v>11</v>
      </c>
      <c r="E2351" s="1" t="s">
        <v>11</v>
      </c>
    </row>
    <row r="2352" spans="1:5" ht="15.75" customHeight="1">
      <c r="A2352" s="1">
        <v>530310</v>
      </c>
      <c r="B2352" s="1" t="s">
        <v>2383</v>
      </c>
      <c r="C2352" s="1" t="s">
        <v>11</v>
      </c>
      <c r="D2352" s="1" t="s">
        <v>11</v>
      </c>
      <c r="E2352" s="1" t="s">
        <v>11</v>
      </c>
    </row>
    <row r="2353" spans="1:5" ht="15.75" customHeight="1">
      <c r="A2353" s="1">
        <v>530390</v>
      </c>
      <c r="B2353" s="1" t="s">
        <v>2384</v>
      </c>
      <c r="C2353" s="1" t="s">
        <v>11</v>
      </c>
      <c r="D2353" s="1" t="s">
        <v>11</v>
      </c>
      <c r="E2353" s="1" t="s">
        <v>11</v>
      </c>
    </row>
    <row r="2354" spans="1:5" ht="15.75" customHeight="1">
      <c r="A2354" s="1">
        <v>530500</v>
      </c>
      <c r="B2354" s="1" t="s">
        <v>2385</v>
      </c>
      <c r="C2354" s="1" t="s">
        <v>11</v>
      </c>
      <c r="D2354" s="1" t="s">
        <v>11</v>
      </c>
      <c r="E2354" s="1" t="s">
        <v>11</v>
      </c>
    </row>
    <row r="2355" spans="1:5" ht="15.75" customHeight="1">
      <c r="A2355" s="1">
        <v>530610</v>
      </c>
      <c r="B2355" s="1" t="s">
        <v>2386</v>
      </c>
      <c r="C2355" s="1" t="s">
        <v>11</v>
      </c>
      <c r="D2355" s="1" t="s">
        <v>11</v>
      </c>
      <c r="E2355" s="1" t="s">
        <v>11</v>
      </c>
    </row>
    <row r="2356" spans="1:5" ht="15.75" customHeight="1">
      <c r="A2356" s="1">
        <v>530620</v>
      </c>
      <c r="B2356" s="1" t="s">
        <v>2387</v>
      </c>
      <c r="C2356" s="1" t="s">
        <v>11</v>
      </c>
      <c r="D2356" s="1" t="s">
        <v>11</v>
      </c>
      <c r="E2356" s="1" t="s">
        <v>11</v>
      </c>
    </row>
    <row r="2357" spans="1:5" ht="15.75" customHeight="1">
      <c r="A2357" s="1">
        <v>530710</v>
      </c>
      <c r="B2357" s="1" t="s">
        <v>2388</v>
      </c>
      <c r="C2357" s="1" t="s">
        <v>11</v>
      </c>
      <c r="D2357" s="1" t="s">
        <v>11</v>
      </c>
      <c r="E2357" s="1" t="s">
        <v>11</v>
      </c>
    </row>
    <row r="2358" spans="1:5" ht="15.75" customHeight="1">
      <c r="A2358" s="1">
        <v>530720</v>
      </c>
      <c r="B2358" s="1" t="s">
        <v>2389</v>
      </c>
      <c r="C2358" s="1" t="s">
        <v>11</v>
      </c>
      <c r="D2358" s="1" t="s">
        <v>11</v>
      </c>
      <c r="E2358" s="1" t="s">
        <v>11</v>
      </c>
    </row>
    <row r="2359" spans="1:5" ht="15.75" customHeight="1">
      <c r="A2359" s="1">
        <v>530810</v>
      </c>
      <c r="B2359" s="1" t="s">
        <v>2390</v>
      </c>
      <c r="C2359" s="1" t="s">
        <v>11</v>
      </c>
      <c r="D2359" s="1" t="s">
        <v>11</v>
      </c>
      <c r="E2359" s="1" t="s">
        <v>11</v>
      </c>
    </row>
    <row r="2360" spans="1:5" ht="15.75" customHeight="1">
      <c r="A2360" s="1">
        <v>530820</v>
      </c>
      <c r="B2360" s="1" t="s">
        <v>2391</v>
      </c>
      <c r="C2360" s="1" t="s">
        <v>11</v>
      </c>
      <c r="D2360" s="1" t="s">
        <v>11</v>
      </c>
      <c r="E2360" s="1" t="s">
        <v>11</v>
      </c>
    </row>
    <row r="2361" spans="1:5" ht="15.75" customHeight="1">
      <c r="A2361" s="1">
        <v>530890</v>
      </c>
      <c r="B2361" s="1" t="s">
        <v>2392</v>
      </c>
      <c r="C2361" s="1" t="s">
        <v>11</v>
      </c>
      <c r="D2361" s="1" t="s">
        <v>11</v>
      </c>
      <c r="E2361" s="1" t="s">
        <v>11</v>
      </c>
    </row>
    <row r="2362" spans="1:5" ht="15.75" customHeight="1">
      <c r="A2362" s="1">
        <v>530911</v>
      </c>
      <c r="B2362" s="1" t="s">
        <v>2393</v>
      </c>
      <c r="C2362" s="1" t="s">
        <v>11</v>
      </c>
      <c r="D2362" s="1" t="s">
        <v>11</v>
      </c>
      <c r="E2362" s="1" t="s">
        <v>11</v>
      </c>
    </row>
    <row r="2363" spans="1:5" ht="15.75" customHeight="1">
      <c r="A2363" s="1">
        <v>530919</v>
      </c>
      <c r="B2363" s="1" t="s">
        <v>2394</v>
      </c>
      <c r="C2363" s="1" t="s">
        <v>11</v>
      </c>
      <c r="D2363" s="1" t="s">
        <v>11</v>
      </c>
      <c r="E2363" s="1" t="s">
        <v>11</v>
      </c>
    </row>
    <row r="2364" spans="1:5" ht="15.75" customHeight="1">
      <c r="A2364" s="1">
        <v>530921</v>
      </c>
      <c r="B2364" s="1" t="s">
        <v>2395</v>
      </c>
      <c r="C2364" s="1" t="s">
        <v>11</v>
      </c>
      <c r="D2364" s="1" t="s">
        <v>11</v>
      </c>
      <c r="E2364" s="1" t="s">
        <v>11</v>
      </c>
    </row>
    <row r="2365" spans="1:5" ht="15.75" customHeight="1">
      <c r="A2365" s="1">
        <v>530929</v>
      </c>
      <c r="B2365" s="1" t="s">
        <v>2396</v>
      </c>
      <c r="C2365" s="1" t="s">
        <v>11</v>
      </c>
      <c r="D2365" s="1" t="s">
        <v>11</v>
      </c>
      <c r="E2365" s="1" t="s">
        <v>11</v>
      </c>
    </row>
    <row r="2366" spans="1:5" ht="15.75" customHeight="1">
      <c r="A2366" s="1">
        <v>531010</v>
      </c>
      <c r="B2366" s="1" t="s">
        <v>2397</v>
      </c>
      <c r="C2366" s="1" t="s">
        <v>11</v>
      </c>
      <c r="D2366" s="1" t="s">
        <v>11</v>
      </c>
      <c r="E2366" s="1" t="s">
        <v>11</v>
      </c>
    </row>
    <row r="2367" spans="1:5" ht="15.75" customHeight="1">
      <c r="A2367" s="1">
        <v>531090</v>
      </c>
      <c r="B2367" s="1" t="s">
        <v>2398</v>
      </c>
      <c r="C2367" s="1" t="s">
        <v>11</v>
      </c>
      <c r="D2367" s="1" t="s">
        <v>11</v>
      </c>
      <c r="E2367" s="1" t="s">
        <v>11</v>
      </c>
    </row>
    <row r="2368" spans="1:5" ht="15.75" customHeight="1">
      <c r="A2368" s="1">
        <v>531100</v>
      </c>
      <c r="B2368" s="1" t="s">
        <v>2399</v>
      </c>
      <c r="C2368" s="1" t="s">
        <v>11</v>
      </c>
      <c r="D2368" s="1" t="s">
        <v>11</v>
      </c>
      <c r="E2368" s="1" t="s">
        <v>11</v>
      </c>
    </row>
    <row r="2369" spans="1:5" ht="15.75" customHeight="1">
      <c r="A2369" s="1">
        <v>540110</v>
      </c>
      <c r="B2369" s="1" t="s">
        <v>2400</v>
      </c>
      <c r="C2369" s="1" t="s">
        <v>11</v>
      </c>
      <c r="D2369" s="1" t="s">
        <v>11</v>
      </c>
      <c r="E2369" s="1" t="s">
        <v>11</v>
      </c>
    </row>
    <row r="2370" spans="1:5" ht="15.75" customHeight="1">
      <c r="A2370" s="1">
        <v>540120</v>
      </c>
      <c r="B2370" s="1" t="s">
        <v>2401</v>
      </c>
      <c r="C2370" s="1" t="s">
        <v>11</v>
      </c>
      <c r="D2370" s="1" t="s">
        <v>11</v>
      </c>
      <c r="E2370" s="1" t="s">
        <v>11</v>
      </c>
    </row>
    <row r="2371" spans="1:5" ht="15.75" customHeight="1">
      <c r="A2371" s="1">
        <v>540211</v>
      </c>
      <c r="B2371" s="1" t="s">
        <v>2402</v>
      </c>
      <c r="C2371" s="1" t="s">
        <v>11</v>
      </c>
      <c r="D2371" s="1" t="s">
        <v>11</v>
      </c>
      <c r="E2371" s="1" t="s">
        <v>11</v>
      </c>
    </row>
    <row r="2372" spans="1:5" ht="15.75" customHeight="1">
      <c r="A2372" s="1">
        <v>540219</v>
      </c>
      <c r="B2372" s="1" t="s">
        <v>2403</v>
      </c>
      <c r="C2372" s="1" t="s">
        <v>11</v>
      </c>
      <c r="D2372" s="1" t="s">
        <v>11</v>
      </c>
      <c r="E2372" s="1" t="s">
        <v>11</v>
      </c>
    </row>
    <row r="2373" spans="1:5" ht="15.75" customHeight="1">
      <c r="A2373" s="1">
        <v>540220</v>
      </c>
      <c r="B2373" s="1" t="s">
        <v>2404</v>
      </c>
      <c r="C2373" s="1" t="s">
        <v>11</v>
      </c>
      <c r="D2373" s="1" t="s">
        <v>11</v>
      </c>
      <c r="E2373" s="1" t="s">
        <v>11</v>
      </c>
    </row>
    <row r="2374" spans="1:5" ht="15.75" customHeight="1">
      <c r="A2374" s="1">
        <v>540231</v>
      </c>
      <c r="B2374" s="1" t="s">
        <v>2405</v>
      </c>
      <c r="C2374" s="1" t="s">
        <v>11</v>
      </c>
      <c r="D2374" s="1" t="s">
        <v>11</v>
      </c>
      <c r="E2374" s="1" t="s">
        <v>11</v>
      </c>
    </row>
    <row r="2375" spans="1:5" ht="15.75" customHeight="1">
      <c r="A2375" s="1">
        <v>540232</v>
      </c>
      <c r="B2375" s="1" t="s">
        <v>2406</v>
      </c>
      <c r="C2375" s="1" t="s">
        <v>11</v>
      </c>
      <c r="D2375" s="1" t="s">
        <v>11</v>
      </c>
      <c r="E2375" s="1" t="s">
        <v>11</v>
      </c>
    </row>
    <row r="2376" spans="1:5" ht="15.75" customHeight="1">
      <c r="A2376" s="1">
        <v>540233</v>
      </c>
      <c r="B2376" s="1" t="s">
        <v>2407</v>
      </c>
      <c r="C2376" s="1" t="s">
        <v>11</v>
      </c>
      <c r="D2376" s="1" t="s">
        <v>11</v>
      </c>
      <c r="E2376" s="1" t="s">
        <v>11</v>
      </c>
    </row>
    <row r="2377" spans="1:5" ht="15.75" customHeight="1">
      <c r="A2377" s="1">
        <v>540234</v>
      </c>
      <c r="B2377" s="1" t="s">
        <v>2408</v>
      </c>
      <c r="C2377" s="1" t="s">
        <v>11</v>
      </c>
      <c r="D2377" s="1" t="s">
        <v>11</v>
      </c>
      <c r="E2377" s="1" t="s">
        <v>11</v>
      </c>
    </row>
    <row r="2378" spans="1:5" ht="15.75" customHeight="1">
      <c r="A2378" s="1">
        <v>540239</v>
      </c>
      <c r="B2378" s="1" t="s">
        <v>2409</v>
      </c>
      <c r="C2378" s="1" t="s">
        <v>11</v>
      </c>
      <c r="D2378" s="1" t="s">
        <v>11</v>
      </c>
      <c r="E2378" s="1" t="s">
        <v>11</v>
      </c>
    </row>
    <row r="2379" spans="1:5" ht="15.75" customHeight="1">
      <c r="A2379" s="1">
        <v>540244</v>
      </c>
      <c r="B2379" s="1" t="s">
        <v>2410</v>
      </c>
      <c r="C2379" s="1" t="s">
        <v>11</v>
      </c>
      <c r="D2379" s="1" t="s">
        <v>11</v>
      </c>
      <c r="E2379" s="1" t="s">
        <v>11</v>
      </c>
    </row>
    <row r="2380" spans="1:5" ht="15.75" customHeight="1">
      <c r="A2380" s="1">
        <v>540245</v>
      </c>
      <c r="B2380" s="1" t="s">
        <v>2411</v>
      </c>
      <c r="C2380" s="1" t="s">
        <v>11</v>
      </c>
      <c r="D2380" s="1" t="s">
        <v>11</v>
      </c>
      <c r="E2380" s="1" t="s">
        <v>11</v>
      </c>
    </row>
    <row r="2381" spans="1:5" ht="15.75" customHeight="1">
      <c r="A2381" s="1">
        <v>540246</v>
      </c>
      <c r="B2381" s="1" t="s">
        <v>2412</v>
      </c>
      <c r="C2381" s="1" t="s">
        <v>11</v>
      </c>
      <c r="D2381" s="1" t="s">
        <v>11</v>
      </c>
      <c r="E2381" s="1" t="s">
        <v>11</v>
      </c>
    </row>
    <row r="2382" spans="1:5" ht="15.75" customHeight="1">
      <c r="A2382" s="1">
        <v>540247</v>
      </c>
      <c r="B2382" s="1" t="s">
        <v>2413</v>
      </c>
      <c r="C2382" s="1" t="s">
        <v>11</v>
      </c>
      <c r="D2382" s="1" t="s">
        <v>11</v>
      </c>
      <c r="E2382" s="1" t="s">
        <v>11</v>
      </c>
    </row>
    <row r="2383" spans="1:5" ht="15.75" customHeight="1">
      <c r="A2383" s="1">
        <v>540248</v>
      </c>
      <c r="B2383" s="1" t="s">
        <v>2414</v>
      </c>
      <c r="C2383" s="1" t="s">
        <v>11</v>
      </c>
      <c r="D2383" s="1" t="s">
        <v>11</v>
      </c>
      <c r="E2383" s="1" t="s">
        <v>11</v>
      </c>
    </row>
    <row r="2384" spans="1:5" ht="15.75" customHeight="1">
      <c r="A2384" s="1">
        <v>540249</v>
      </c>
      <c r="B2384" s="1" t="s">
        <v>2415</v>
      </c>
      <c r="C2384" s="1" t="s">
        <v>11</v>
      </c>
      <c r="D2384" s="1" t="s">
        <v>11</v>
      </c>
      <c r="E2384" s="1" t="s">
        <v>11</v>
      </c>
    </row>
    <row r="2385" spans="1:5" ht="15.75" customHeight="1">
      <c r="A2385" s="1">
        <v>540251</v>
      </c>
      <c r="B2385" s="1" t="s">
        <v>2416</v>
      </c>
      <c r="C2385" s="1" t="s">
        <v>11</v>
      </c>
      <c r="D2385" s="1" t="s">
        <v>11</v>
      </c>
      <c r="E2385" s="1" t="s">
        <v>11</v>
      </c>
    </row>
    <row r="2386" spans="1:5" ht="15.75" customHeight="1">
      <c r="A2386" s="1">
        <v>540252</v>
      </c>
      <c r="B2386" s="1" t="s">
        <v>2417</v>
      </c>
      <c r="C2386" s="1" t="s">
        <v>11</v>
      </c>
      <c r="D2386" s="1" t="s">
        <v>11</v>
      </c>
      <c r="E2386" s="1" t="s">
        <v>11</v>
      </c>
    </row>
    <row r="2387" spans="1:5" ht="15.75" customHeight="1">
      <c r="A2387" s="1">
        <v>540259</v>
      </c>
      <c r="B2387" s="1" t="s">
        <v>2418</v>
      </c>
      <c r="C2387" s="1" t="s">
        <v>11</v>
      </c>
      <c r="D2387" s="1" t="s">
        <v>11</v>
      </c>
      <c r="E2387" s="1" t="s">
        <v>11</v>
      </c>
    </row>
    <row r="2388" spans="1:5" ht="15.75" customHeight="1">
      <c r="A2388" s="1">
        <v>540261</v>
      </c>
      <c r="B2388" s="1" t="s">
        <v>2419</v>
      </c>
      <c r="C2388" s="1" t="s">
        <v>11</v>
      </c>
      <c r="D2388" s="1" t="s">
        <v>11</v>
      </c>
      <c r="E2388" s="1" t="s">
        <v>11</v>
      </c>
    </row>
    <row r="2389" spans="1:5" ht="15.75" customHeight="1">
      <c r="A2389" s="1">
        <v>540262</v>
      </c>
      <c r="B2389" s="1" t="s">
        <v>2420</v>
      </c>
      <c r="C2389" s="1" t="s">
        <v>11</v>
      </c>
      <c r="D2389" s="1" t="s">
        <v>11</v>
      </c>
      <c r="E2389" s="1" t="s">
        <v>11</v>
      </c>
    </row>
    <row r="2390" spans="1:5" ht="15.75" customHeight="1">
      <c r="A2390" s="1">
        <v>540269</v>
      </c>
      <c r="B2390" s="1" t="s">
        <v>2421</v>
      </c>
      <c r="C2390" s="1" t="s">
        <v>11</v>
      </c>
      <c r="D2390" s="1" t="s">
        <v>11</v>
      </c>
      <c r="E2390" s="1" t="s">
        <v>11</v>
      </c>
    </row>
    <row r="2391" spans="1:5" ht="15.75" customHeight="1">
      <c r="A2391" s="1">
        <v>540310</v>
      </c>
      <c r="B2391" s="1" t="s">
        <v>2422</v>
      </c>
      <c r="C2391" s="1" t="s">
        <v>11</v>
      </c>
      <c r="D2391" s="1" t="s">
        <v>11</v>
      </c>
      <c r="E2391" s="1" t="s">
        <v>11</v>
      </c>
    </row>
    <row r="2392" spans="1:5" ht="15.75" customHeight="1">
      <c r="A2392" s="1">
        <v>540331</v>
      </c>
      <c r="B2392" s="1" t="s">
        <v>2423</v>
      </c>
      <c r="C2392" s="1" t="s">
        <v>11</v>
      </c>
      <c r="D2392" s="1" t="s">
        <v>11</v>
      </c>
      <c r="E2392" s="1" t="s">
        <v>11</v>
      </c>
    </row>
    <row r="2393" spans="1:5" ht="15.75" customHeight="1">
      <c r="A2393" s="1">
        <v>540332</v>
      </c>
      <c r="B2393" s="1" t="s">
        <v>2424</v>
      </c>
      <c r="C2393" s="1" t="s">
        <v>11</v>
      </c>
      <c r="D2393" s="1" t="s">
        <v>11</v>
      </c>
      <c r="E2393" s="1" t="s">
        <v>11</v>
      </c>
    </row>
    <row r="2394" spans="1:5" ht="15.75" customHeight="1">
      <c r="A2394" s="1">
        <v>540333</v>
      </c>
      <c r="B2394" s="1" t="s">
        <v>2425</v>
      </c>
      <c r="C2394" s="1" t="s">
        <v>11</v>
      </c>
      <c r="D2394" s="1" t="s">
        <v>11</v>
      </c>
      <c r="E2394" s="1" t="s">
        <v>11</v>
      </c>
    </row>
    <row r="2395" spans="1:5" ht="15.75" customHeight="1">
      <c r="A2395" s="1">
        <v>540339</v>
      </c>
      <c r="B2395" s="1" t="s">
        <v>2426</v>
      </c>
      <c r="C2395" s="1" t="s">
        <v>11</v>
      </c>
      <c r="D2395" s="1" t="s">
        <v>11</v>
      </c>
      <c r="E2395" s="1" t="s">
        <v>11</v>
      </c>
    </row>
    <row r="2396" spans="1:5" ht="15.75" customHeight="1">
      <c r="A2396" s="1">
        <v>540341</v>
      </c>
      <c r="B2396" s="1" t="s">
        <v>2427</v>
      </c>
      <c r="C2396" s="1" t="s">
        <v>11</v>
      </c>
      <c r="D2396" s="1" t="s">
        <v>11</v>
      </c>
      <c r="E2396" s="1" t="s">
        <v>11</v>
      </c>
    </row>
    <row r="2397" spans="1:5" ht="15.75" customHeight="1">
      <c r="A2397" s="1">
        <v>540342</v>
      </c>
      <c r="B2397" s="1" t="s">
        <v>2428</v>
      </c>
      <c r="C2397" s="1" t="s">
        <v>11</v>
      </c>
      <c r="D2397" s="1" t="s">
        <v>11</v>
      </c>
      <c r="E2397" s="1" t="s">
        <v>11</v>
      </c>
    </row>
    <row r="2398" spans="1:5" ht="15.75" customHeight="1">
      <c r="A2398" s="1">
        <v>540349</v>
      </c>
      <c r="B2398" s="1" t="s">
        <v>2429</v>
      </c>
      <c r="C2398" s="1" t="s">
        <v>11</v>
      </c>
      <c r="D2398" s="1" t="s">
        <v>11</v>
      </c>
      <c r="E2398" s="1" t="s">
        <v>11</v>
      </c>
    </row>
    <row r="2399" spans="1:5" ht="15.75" customHeight="1">
      <c r="A2399" s="1">
        <v>540411</v>
      </c>
      <c r="B2399" s="1" t="s">
        <v>2430</v>
      </c>
      <c r="C2399" s="1" t="s">
        <v>11</v>
      </c>
      <c r="D2399" s="1" t="s">
        <v>11</v>
      </c>
      <c r="E2399" s="1" t="s">
        <v>11</v>
      </c>
    </row>
    <row r="2400" spans="1:5" ht="15.75" customHeight="1">
      <c r="A2400" s="1">
        <v>540412</v>
      </c>
      <c r="B2400" s="1" t="s">
        <v>2431</v>
      </c>
      <c r="C2400" s="1" t="s">
        <v>11</v>
      </c>
      <c r="D2400" s="1" t="s">
        <v>11</v>
      </c>
      <c r="E2400" s="1" t="s">
        <v>11</v>
      </c>
    </row>
    <row r="2401" spans="1:5" ht="15.75" customHeight="1">
      <c r="A2401" s="1">
        <v>540419</v>
      </c>
      <c r="B2401" s="1" t="s">
        <v>2432</v>
      </c>
      <c r="C2401" s="1" t="s">
        <v>11</v>
      </c>
      <c r="D2401" s="1" t="s">
        <v>11</v>
      </c>
      <c r="E2401" s="1" t="s">
        <v>11</v>
      </c>
    </row>
    <row r="2402" spans="1:5" ht="15.75" customHeight="1">
      <c r="A2402" s="1">
        <v>540490</v>
      </c>
      <c r="B2402" s="1" t="s">
        <v>2433</v>
      </c>
      <c r="C2402" s="1" t="s">
        <v>11</v>
      </c>
      <c r="D2402" s="1" t="s">
        <v>11</v>
      </c>
      <c r="E2402" s="1" t="s">
        <v>11</v>
      </c>
    </row>
    <row r="2403" spans="1:5" ht="15.75" customHeight="1">
      <c r="A2403" s="1">
        <v>540500</v>
      </c>
      <c r="B2403" s="1" t="s">
        <v>2434</v>
      </c>
      <c r="C2403" s="1" t="s">
        <v>11</v>
      </c>
      <c r="D2403" s="1" t="s">
        <v>11</v>
      </c>
      <c r="E2403" s="1" t="s">
        <v>11</v>
      </c>
    </row>
    <row r="2404" spans="1:5" ht="15.75" customHeight="1">
      <c r="A2404" s="1">
        <v>540600</v>
      </c>
      <c r="B2404" s="1" t="s">
        <v>2435</v>
      </c>
      <c r="C2404" s="1" t="s">
        <v>11</v>
      </c>
      <c r="D2404" s="1" t="s">
        <v>11</v>
      </c>
      <c r="E2404" s="1" t="s">
        <v>11</v>
      </c>
    </row>
    <row r="2405" spans="1:5" ht="15.75" customHeight="1">
      <c r="A2405" s="1">
        <v>540710</v>
      </c>
      <c r="B2405" s="1" t="s">
        <v>2436</v>
      </c>
      <c r="C2405" s="1" t="s">
        <v>11</v>
      </c>
      <c r="D2405" s="1" t="s">
        <v>11</v>
      </c>
      <c r="E2405" s="1" t="s">
        <v>11</v>
      </c>
    </row>
    <row r="2406" spans="1:5" ht="15.75" customHeight="1">
      <c r="A2406" s="1">
        <v>540720</v>
      </c>
      <c r="B2406" s="1" t="s">
        <v>2437</v>
      </c>
      <c r="C2406" s="1" t="s">
        <v>11</v>
      </c>
      <c r="D2406" s="1" t="s">
        <v>11</v>
      </c>
      <c r="E2406" s="1" t="s">
        <v>11</v>
      </c>
    </row>
    <row r="2407" spans="1:5" ht="15.75" customHeight="1">
      <c r="A2407" s="1">
        <v>540730</v>
      </c>
      <c r="B2407" s="1" t="s">
        <v>2438</v>
      </c>
      <c r="C2407" s="1" t="s">
        <v>11</v>
      </c>
      <c r="D2407" s="1" t="s">
        <v>11</v>
      </c>
      <c r="E2407" s="1" t="s">
        <v>11</v>
      </c>
    </row>
    <row r="2408" spans="1:5" ht="15.75" customHeight="1">
      <c r="A2408" s="1">
        <v>540741</v>
      </c>
      <c r="B2408" s="1" t="s">
        <v>2439</v>
      </c>
      <c r="C2408" s="1" t="s">
        <v>11</v>
      </c>
      <c r="D2408" s="1" t="s">
        <v>11</v>
      </c>
      <c r="E2408" s="1" t="s">
        <v>11</v>
      </c>
    </row>
    <row r="2409" spans="1:5" ht="15.75" customHeight="1">
      <c r="A2409" s="1">
        <v>540742</v>
      </c>
      <c r="B2409" s="1" t="s">
        <v>2440</v>
      </c>
      <c r="C2409" s="1" t="s">
        <v>11</v>
      </c>
      <c r="D2409" s="1" t="s">
        <v>11</v>
      </c>
      <c r="E2409" s="1" t="s">
        <v>11</v>
      </c>
    </row>
    <row r="2410" spans="1:5" ht="15.75" customHeight="1">
      <c r="A2410" s="1">
        <v>540743</v>
      </c>
      <c r="B2410" s="1" t="s">
        <v>2441</v>
      </c>
      <c r="C2410" s="1" t="s">
        <v>11</v>
      </c>
      <c r="D2410" s="1" t="s">
        <v>11</v>
      </c>
      <c r="E2410" s="1" t="s">
        <v>11</v>
      </c>
    </row>
    <row r="2411" spans="1:5" ht="15.75" customHeight="1">
      <c r="A2411" s="1">
        <v>540744</v>
      </c>
      <c r="B2411" s="1" t="s">
        <v>2442</v>
      </c>
      <c r="C2411" s="1" t="s">
        <v>11</v>
      </c>
      <c r="D2411" s="1" t="s">
        <v>11</v>
      </c>
      <c r="E2411" s="1" t="s">
        <v>11</v>
      </c>
    </row>
    <row r="2412" spans="1:5" ht="15.75" customHeight="1">
      <c r="A2412" s="1">
        <v>540751</v>
      </c>
      <c r="B2412" s="1" t="s">
        <v>2443</v>
      </c>
      <c r="C2412" s="1" t="s">
        <v>11</v>
      </c>
      <c r="D2412" s="1" t="s">
        <v>11</v>
      </c>
      <c r="E2412" s="1" t="s">
        <v>11</v>
      </c>
    </row>
    <row r="2413" spans="1:5" ht="15.75" customHeight="1">
      <c r="A2413" s="1">
        <v>540752</v>
      </c>
      <c r="B2413" s="1" t="s">
        <v>2444</v>
      </c>
      <c r="C2413" s="1" t="s">
        <v>11</v>
      </c>
      <c r="D2413" s="1" t="s">
        <v>11</v>
      </c>
      <c r="E2413" s="1" t="s">
        <v>11</v>
      </c>
    </row>
    <row r="2414" spans="1:5" ht="15.75" customHeight="1">
      <c r="A2414" s="1">
        <v>540753</v>
      </c>
      <c r="B2414" s="1" t="s">
        <v>2445</v>
      </c>
      <c r="C2414" s="1" t="s">
        <v>11</v>
      </c>
      <c r="D2414" s="1" t="s">
        <v>11</v>
      </c>
      <c r="E2414" s="1" t="s">
        <v>11</v>
      </c>
    </row>
    <row r="2415" spans="1:5" ht="15.75" customHeight="1">
      <c r="A2415" s="1">
        <v>540754</v>
      </c>
      <c r="B2415" s="1" t="s">
        <v>2446</v>
      </c>
      <c r="C2415" s="1" t="s">
        <v>11</v>
      </c>
      <c r="D2415" s="1" t="s">
        <v>11</v>
      </c>
      <c r="E2415" s="1" t="s">
        <v>11</v>
      </c>
    </row>
    <row r="2416" spans="1:5" ht="15.75" customHeight="1">
      <c r="A2416" s="1">
        <v>540761</v>
      </c>
      <c r="B2416" s="1" t="s">
        <v>2447</v>
      </c>
      <c r="C2416" s="1" t="s">
        <v>11</v>
      </c>
      <c r="D2416" s="1" t="s">
        <v>11</v>
      </c>
      <c r="E2416" s="1" t="s">
        <v>11</v>
      </c>
    </row>
    <row r="2417" spans="1:5" ht="15.75" customHeight="1">
      <c r="A2417" s="1">
        <v>540769</v>
      </c>
      <c r="B2417" s="1" t="s">
        <v>2448</v>
      </c>
      <c r="C2417" s="1" t="s">
        <v>11</v>
      </c>
      <c r="D2417" s="1" t="s">
        <v>11</v>
      </c>
      <c r="E2417" s="1" t="s">
        <v>11</v>
      </c>
    </row>
    <row r="2418" spans="1:5" ht="15.75" customHeight="1">
      <c r="A2418" s="1">
        <v>540771</v>
      </c>
      <c r="B2418" s="1" t="s">
        <v>2449</v>
      </c>
      <c r="C2418" s="1" t="s">
        <v>11</v>
      </c>
      <c r="D2418" s="1" t="s">
        <v>11</v>
      </c>
      <c r="E2418" s="1" t="s">
        <v>11</v>
      </c>
    </row>
    <row r="2419" spans="1:5" ht="15.75" customHeight="1">
      <c r="A2419" s="1">
        <v>540772</v>
      </c>
      <c r="B2419" s="1" t="s">
        <v>2450</v>
      </c>
      <c r="C2419" s="1" t="s">
        <v>11</v>
      </c>
      <c r="D2419" s="1" t="s">
        <v>11</v>
      </c>
      <c r="E2419" s="1" t="s">
        <v>11</v>
      </c>
    </row>
    <row r="2420" spans="1:5" ht="15.75" customHeight="1">
      <c r="A2420" s="1">
        <v>540773</v>
      </c>
      <c r="B2420" s="1" t="s">
        <v>2451</v>
      </c>
      <c r="C2420" s="1" t="s">
        <v>11</v>
      </c>
      <c r="D2420" s="1" t="s">
        <v>11</v>
      </c>
      <c r="E2420" s="1" t="s">
        <v>11</v>
      </c>
    </row>
    <row r="2421" spans="1:5" ht="15.75" customHeight="1">
      <c r="A2421" s="1">
        <v>540774</v>
      </c>
      <c r="B2421" s="1" t="s">
        <v>2452</v>
      </c>
      <c r="C2421" s="1" t="s">
        <v>11</v>
      </c>
      <c r="D2421" s="1" t="s">
        <v>11</v>
      </c>
      <c r="E2421" s="1" t="s">
        <v>11</v>
      </c>
    </row>
    <row r="2422" spans="1:5" ht="15.75" customHeight="1">
      <c r="A2422" s="1">
        <v>540781</v>
      </c>
      <c r="B2422" s="1" t="s">
        <v>2453</v>
      </c>
      <c r="C2422" s="1" t="s">
        <v>11</v>
      </c>
      <c r="D2422" s="1" t="s">
        <v>11</v>
      </c>
      <c r="E2422" s="1" t="s">
        <v>11</v>
      </c>
    </row>
    <row r="2423" spans="1:5" ht="15.75" customHeight="1">
      <c r="A2423" s="1">
        <v>540782</v>
      </c>
      <c r="B2423" s="1" t="s">
        <v>2454</v>
      </c>
      <c r="C2423" s="1" t="s">
        <v>11</v>
      </c>
      <c r="D2423" s="1" t="s">
        <v>11</v>
      </c>
      <c r="E2423" s="1" t="s">
        <v>11</v>
      </c>
    </row>
    <row r="2424" spans="1:5" ht="15.75" customHeight="1">
      <c r="A2424" s="1">
        <v>540783</v>
      </c>
      <c r="B2424" s="1" t="s">
        <v>2455</v>
      </c>
      <c r="C2424" s="1" t="s">
        <v>11</v>
      </c>
      <c r="D2424" s="1" t="s">
        <v>11</v>
      </c>
      <c r="E2424" s="1" t="s">
        <v>11</v>
      </c>
    </row>
    <row r="2425" spans="1:5" ht="15.75" customHeight="1">
      <c r="A2425" s="1">
        <v>540784</v>
      </c>
      <c r="B2425" s="1" t="s">
        <v>2456</v>
      </c>
      <c r="C2425" s="1" t="s">
        <v>11</v>
      </c>
      <c r="D2425" s="1" t="s">
        <v>11</v>
      </c>
      <c r="E2425" s="1" t="s">
        <v>11</v>
      </c>
    </row>
    <row r="2426" spans="1:5" ht="15.75" customHeight="1">
      <c r="A2426" s="1">
        <v>540791</v>
      </c>
      <c r="B2426" s="1" t="s">
        <v>2457</v>
      </c>
      <c r="C2426" s="1" t="s">
        <v>11</v>
      </c>
      <c r="D2426" s="1" t="s">
        <v>11</v>
      </c>
      <c r="E2426" s="1" t="s">
        <v>11</v>
      </c>
    </row>
    <row r="2427" spans="1:5" ht="15.75" customHeight="1">
      <c r="A2427" s="1">
        <v>540792</v>
      </c>
      <c r="B2427" s="1" t="s">
        <v>2458</v>
      </c>
      <c r="C2427" s="1" t="s">
        <v>11</v>
      </c>
      <c r="D2427" s="1" t="s">
        <v>11</v>
      </c>
      <c r="E2427" s="1" t="s">
        <v>11</v>
      </c>
    </row>
    <row r="2428" spans="1:5" ht="15.75" customHeight="1">
      <c r="A2428" s="1">
        <v>540793</v>
      </c>
      <c r="B2428" s="1" t="s">
        <v>2459</v>
      </c>
      <c r="C2428" s="1" t="s">
        <v>11</v>
      </c>
      <c r="D2428" s="1" t="s">
        <v>11</v>
      </c>
      <c r="E2428" s="1" t="s">
        <v>11</v>
      </c>
    </row>
    <row r="2429" spans="1:5" ht="15.75" customHeight="1">
      <c r="A2429" s="1">
        <v>540794</v>
      </c>
      <c r="B2429" s="1" t="s">
        <v>2460</v>
      </c>
      <c r="C2429" s="1" t="s">
        <v>11</v>
      </c>
      <c r="D2429" s="1" t="s">
        <v>11</v>
      </c>
      <c r="E2429" s="1" t="s">
        <v>11</v>
      </c>
    </row>
    <row r="2430" spans="1:5" ht="15.75" customHeight="1">
      <c r="A2430" s="1">
        <v>540810</v>
      </c>
      <c r="B2430" s="1" t="s">
        <v>2461</v>
      </c>
      <c r="C2430" s="1" t="s">
        <v>11</v>
      </c>
      <c r="D2430" s="1" t="s">
        <v>11</v>
      </c>
      <c r="E2430" s="1" t="s">
        <v>11</v>
      </c>
    </row>
    <row r="2431" spans="1:5" ht="15.75" customHeight="1">
      <c r="A2431" s="1">
        <v>540821</v>
      </c>
      <c r="B2431" s="1" t="s">
        <v>2462</v>
      </c>
      <c r="C2431" s="1" t="s">
        <v>11</v>
      </c>
      <c r="D2431" s="1" t="s">
        <v>11</v>
      </c>
      <c r="E2431" s="1" t="s">
        <v>11</v>
      </c>
    </row>
    <row r="2432" spans="1:5" ht="15.75" customHeight="1">
      <c r="A2432" s="1">
        <v>540822</v>
      </c>
      <c r="B2432" s="1" t="s">
        <v>2463</v>
      </c>
      <c r="C2432" s="1" t="s">
        <v>11</v>
      </c>
      <c r="D2432" s="1" t="s">
        <v>11</v>
      </c>
      <c r="E2432" s="1" t="s">
        <v>11</v>
      </c>
    </row>
    <row r="2433" spans="1:5" ht="15.75" customHeight="1">
      <c r="A2433" s="1">
        <v>540823</v>
      </c>
      <c r="B2433" s="1" t="s">
        <v>2464</v>
      </c>
      <c r="C2433" s="1" t="s">
        <v>11</v>
      </c>
      <c r="D2433" s="1" t="s">
        <v>11</v>
      </c>
      <c r="E2433" s="1" t="s">
        <v>11</v>
      </c>
    </row>
    <row r="2434" spans="1:5" ht="15.75" customHeight="1">
      <c r="A2434" s="1">
        <v>540824</v>
      </c>
      <c r="B2434" s="1" t="s">
        <v>2465</v>
      </c>
      <c r="C2434" s="1" t="s">
        <v>11</v>
      </c>
      <c r="D2434" s="1" t="s">
        <v>11</v>
      </c>
      <c r="E2434" s="1" t="s">
        <v>11</v>
      </c>
    </row>
    <row r="2435" spans="1:5" ht="15.75" customHeight="1">
      <c r="A2435" s="1">
        <v>540831</v>
      </c>
      <c r="B2435" s="1" t="s">
        <v>2466</v>
      </c>
      <c r="C2435" s="1" t="s">
        <v>11</v>
      </c>
      <c r="D2435" s="1" t="s">
        <v>11</v>
      </c>
      <c r="E2435" s="1" t="s">
        <v>11</v>
      </c>
    </row>
    <row r="2436" spans="1:5" ht="15.75" customHeight="1">
      <c r="A2436" s="1">
        <v>540832</v>
      </c>
      <c r="B2436" s="1" t="s">
        <v>2467</v>
      </c>
      <c r="C2436" s="1" t="s">
        <v>11</v>
      </c>
      <c r="D2436" s="1" t="s">
        <v>11</v>
      </c>
      <c r="E2436" s="1" t="s">
        <v>11</v>
      </c>
    </row>
    <row r="2437" spans="1:5" ht="15.75" customHeight="1">
      <c r="A2437" s="1">
        <v>540833</v>
      </c>
      <c r="B2437" s="1" t="s">
        <v>2468</v>
      </c>
      <c r="C2437" s="1" t="s">
        <v>11</v>
      </c>
      <c r="D2437" s="1" t="s">
        <v>11</v>
      </c>
      <c r="E2437" s="1" t="s">
        <v>11</v>
      </c>
    </row>
    <row r="2438" spans="1:5" ht="15.75" customHeight="1">
      <c r="A2438" s="1">
        <v>540834</v>
      </c>
      <c r="B2438" s="1" t="s">
        <v>2469</v>
      </c>
      <c r="C2438" s="1" t="s">
        <v>11</v>
      </c>
      <c r="D2438" s="1" t="s">
        <v>11</v>
      </c>
      <c r="E2438" s="1" t="s">
        <v>11</v>
      </c>
    </row>
    <row r="2439" spans="1:5" ht="15.75" customHeight="1">
      <c r="A2439" s="1">
        <v>550110</v>
      </c>
      <c r="B2439" s="1" t="s">
        <v>2470</v>
      </c>
      <c r="C2439" s="1" t="s">
        <v>11</v>
      </c>
      <c r="D2439" s="1" t="s">
        <v>11</v>
      </c>
      <c r="E2439" s="1" t="s">
        <v>11</v>
      </c>
    </row>
    <row r="2440" spans="1:5" ht="15.75" customHeight="1">
      <c r="A2440" s="1">
        <v>550120</v>
      </c>
      <c r="B2440" s="1" t="s">
        <v>2471</v>
      </c>
      <c r="C2440" s="1" t="s">
        <v>11</v>
      </c>
      <c r="D2440" s="1" t="s">
        <v>11</v>
      </c>
      <c r="E2440" s="1" t="s">
        <v>11</v>
      </c>
    </row>
    <row r="2441" spans="1:5" ht="15.75" customHeight="1">
      <c r="A2441" s="1">
        <v>550130</v>
      </c>
      <c r="B2441" s="1" t="s">
        <v>2472</v>
      </c>
      <c r="C2441" s="1" t="s">
        <v>11</v>
      </c>
      <c r="D2441" s="1" t="s">
        <v>11</v>
      </c>
      <c r="E2441" s="1" t="s">
        <v>11</v>
      </c>
    </row>
    <row r="2442" spans="1:5" ht="15.75" customHeight="1">
      <c r="A2442" s="1">
        <v>550140</v>
      </c>
      <c r="B2442" s="1" t="s">
        <v>2473</v>
      </c>
      <c r="C2442" s="1" t="s">
        <v>11</v>
      </c>
      <c r="D2442" s="1" t="s">
        <v>11</v>
      </c>
      <c r="E2442" s="1" t="s">
        <v>11</v>
      </c>
    </row>
    <row r="2443" spans="1:5" ht="15.75" customHeight="1">
      <c r="A2443" s="1">
        <v>550190</v>
      </c>
      <c r="B2443" s="1" t="s">
        <v>2474</v>
      </c>
      <c r="C2443" s="1" t="s">
        <v>11</v>
      </c>
      <c r="D2443" s="1" t="s">
        <v>11</v>
      </c>
      <c r="E2443" s="1" t="s">
        <v>11</v>
      </c>
    </row>
    <row r="2444" spans="1:5" ht="15.75" customHeight="1">
      <c r="A2444" s="1">
        <v>550200</v>
      </c>
      <c r="B2444" s="1" t="s">
        <v>2475</v>
      </c>
      <c r="C2444" s="1" t="s">
        <v>11</v>
      </c>
      <c r="D2444" s="1" t="s">
        <v>11</v>
      </c>
      <c r="E2444" s="1" t="s">
        <v>11</v>
      </c>
    </row>
    <row r="2445" spans="1:5" ht="15.75" customHeight="1">
      <c r="A2445" s="1">
        <v>550311</v>
      </c>
      <c r="B2445" s="1" t="s">
        <v>2476</v>
      </c>
      <c r="C2445" s="1" t="s">
        <v>11</v>
      </c>
      <c r="D2445" s="1" t="s">
        <v>11</v>
      </c>
      <c r="E2445" s="1" t="s">
        <v>11</v>
      </c>
    </row>
    <row r="2446" spans="1:5" ht="15.75" customHeight="1">
      <c r="A2446" s="1">
        <v>550319</v>
      </c>
      <c r="B2446" s="1" t="s">
        <v>2477</v>
      </c>
      <c r="C2446" s="1" t="s">
        <v>11</v>
      </c>
      <c r="D2446" s="1" t="s">
        <v>11</v>
      </c>
      <c r="E2446" s="1" t="s">
        <v>11</v>
      </c>
    </row>
    <row r="2447" spans="1:5" ht="15.75" customHeight="1">
      <c r="A2447" s="1">
        <v>550320</v>
      </c>
      <c r="B2447" s="1" t="s">
        <v>2478</v>
      </c>
      <c r="C2447" s="1" t="s">
        <v>11</v>
      </c>
      <c r="D2447" s="1" t="s">
        <v>11</v>
      </c>
      <c r="E2447" s="1" t="s">
        <v>11</v>
      </c>
    </row>
    <row r="2448" spans="1:5" ht="15.75" customHeight="1">
      <c r="A2448" s="1">
        <v>550330</v>
      </c>
      <c r="B2448" s="1" t="s">
        <v>2479</v>
      </c>
      <c r="C2448" s="1" t="s">
        <v>11</v>
      </c>
      <c r="D2448" s="1" t="s">
        <v>11</v>
      </c>
      <c r="E2448" s="1" t="s">
        <v>11</v>
      </c>
    </row>
    <row r="2449" spans="1:5" ht="15.75" customHeight="1">
      <c r="A2449" s="1">
        <v>550340</v>
      </c>
      <c r="B2449" s="1" t="s">
        <v>2480</v>
      </c>
      <c r="C2449" s="1" t="s">
        <v>11</v>
      </c>
      <c r="D2449" s="1" t="s">
        <v>11</v>
      </c>
      <c r="E2449" s="1" t="s">
        <v>11</v>
      </c>
    </row>
    <row r="2450" spans="1:5" ht="15.75" customHeight="1">
      <c r="A2450" s="1">
        <v>550390</v>
      </c>
      <c r="B2450" s="1" t="s">
        <v>2481</v>
      </c>
      <c r="C2450" s="1" t="s">
        <v>11</v>
      </c>
      <c r="D2450" s="1" t="s">
        <v>11</v>
      </c>
      <c r="E2450" s="1" t="s">
        <v>11</v>
      </c>
    </row>
    <row r="2451" spans="1:5" ht="15.75" customHeight="1">
      <c r="A2451" s="1">
        <v>550410</v>
      </c>
      <c r="B2451" s="1" t="s">
        <v>2482</v>
      </c>
      <c r="C2451" s="1" t="s">
        <v>11</v>
      </c>
      <c r="D2451" s="1" t="s">
        <v>11</v>
      </c>
      <c r="E2451" s="1" t="s">
        <v>11</v>
      </c>
    </row>
    <row r="2452" spans="1:5" ht="15.75" customHeight="1">
      <c r="A2452" s="1">
        <v>550490</v>
      </c>
      <c r="B2452" s="1" t="s">
        <v>2483</v>
      </c>
      <c r="C2452" s="1" t="s">
        <v>11</v>
      </c>
      <c r="D2452" s="1" t="s">
        <v>11</v>
      </c>
      <c r="E2452" s="1" t="s">
        <v>11</v>
      </c>
    </row>
    <row r="2453" spans="1:5" ht="15.75" customHeight="1">
      <c r="A2453" s="1">
        <v>550510</v>
      </c>
      <c r="B2453" s="1" t="s">
        <v>2484</v>
      </c>
      <c r="C2453" s="1" t="s">
        <v>11</v>
      </c>
      <c r="D2453" s="1" t="s">
        <v>11</v>
      </c>
      <c r="E2453" s="1" t="s">
        <v>11</v>
      </c>
    </row>
    <row r="2454" spans="1:5" ht="15.75" customHeight="1">
      <c r="A2454" s="1">
        <v>550520</v>
      </c>
      <c r="B2454" s="1" t="s">
        <v>2485</v>
      </c>
      <c r="C2454" s="1" t="s">
        <v>11</v>
      </c>
      <c r="D2454" s="1" t="s">
        <v>11</v>
      </c>
      <c r="E2454" s="1" t="s">
        <v>11</v>
      </c>
    </row>
    <row r="2455" spans="1:5" ht="15.75" customHeight="1">
      <c r="A2455" s="1">
        <v>550610</v>
      </c>
      <c r="B2455" s="1" t="s">
        <v>2486</v>
      </c>
      <c r="C2455" s="1" t="s">
        <v>11</v>
      </c>
      <c r="D2455" s="1" t="s">
        <v>11</v>
      </c>
      <c r="E2455" s="1" t="s">
        <v>11</v>
      </c>
    </row>
    <row r="2456" spans="1:5" ht="15.75" customHeight="1">
      <c r="A2456" s="1">
        <v>550620</v>
      </c>
      <c r="B2456" s="1" t="s">
        <v>2487</v>
      </c>
      <c r="C2456" s="1" t="s">
        <v>11</v>
      </c>
      <c r="D2456" s="1" t="s">
        <v>11</v>
      </c>
      <c r="E2456" s="1" t="s">
        <v>11</v>
      </c>
    </row>
    <row r="2457" spans="1:5" ht="15.75" customHeight="1">
      <c r="A2457" s="1">
        <v>550630</v>
      </c>
      <c r="B2457" s="1" t="s">
        <v>2488</v>
      </c>
      <c r="C2457" s="1" t="s">
        <v>11</v>
      </c>
      <c r="D2457" s="1" t="s">
        <v>11</v>
      </c>
      <c r="E2457" s="1" t="s">
        <v>11</v>
      </c>
    </row>
    <row r="2458" spans="1:5" ht="15.75" customHeight="1">
      <c r="A2458" s="1">
        <v>550690</v>
      </c>
      <c r="B2458" s="1" t="s">
        <v>2489</v>
      </c>
      <c r="C2458" s="1" t="s">
        <v>11</v>
      </c>
      <c r="D2458" s="1" t="s">
        <v>11</v>
      </c>
      <c r="E2458" s="1" t="s">
        <v>11</v>
      </c>
    </row>
    <row r="2459" spans="1:5" ht="15.75" customHeight="1">
      <c r="A2459" s="1">
        <v>550700</v>
      </c>
      <c r="B2459" s="1" t="s">
        <v>2490</v>
      </c>
      <c r="C2459" s="1" t="s">
        <v>11</v>
      </c>
      <c r="D2459" s="1" t="s">
        <v>11</v>
      </c>
      <c r="E2459" s="1" t="s">
        <v>11</v>
      </c>
    </row>
    <row r="2460" spans="1:5" ht="15.75" customHeight="1">
      <c r="A2460" s="1">
        <v>550810</v>
      </c>
      <c r="B2460" s="1" t="s">
        <v>2491</v>
      </c>
      <c r="C2460" s="1" t="s">
        <v>11</v>
      </c>
      <c r="D2460" s="1" t="s">
        <v>11</v>
      </c>
      <c r="E2460" s="1" t="s">
        <v>11</v>
      </c>
    </row>
    <row r="2461" spans="1:5" ht="15.75" customHeight="1">
      <c r="A2461" s="1">
        <v>550820</v>
      </c>
      <c r="B2461" s="1" t="s">
        <v>2492</v>
      </c>
      <c r="C2461" s="1" t="s">
        <v>11</v>
      </c>
      <c r="D2461" s="1" t="s">
        <v>11</v>
      </c>
      <c r="E2461" s="1" t="s">
        <v>11</v>
      </c>
    </row>
    <row r="2462" spans="1:5" ht="15.75" customHeight="1">
      <c r="A2462" s="1">
        <v>550911</v>
      </c>
      <c r="B2462" s="1" t="s">
        <v>2493</v>
      </c>
      <c r="C2462" s="1" t="s">
        <v>11</v>
      </c>
      <c r="D2462" s="1" t="s">
        <v>11</v>
      </c>
      <c r="E2462" s="1" t="s">
        <v>11</v>
      </c>
    </row>
    <row r="2463" spans="1:5" ht="15.75" customHeight="1">
      <c r="A2463" s="1">
        <v>550912</v>
      </c>
      <c r="B2463" s="1" t="s">
        <v>2494</v>
      </c>
      <c r="C2463" s="1" t="s">
        <v>11</v>
      </c>
      <c r="D2463" s="1" t="s">
        <v>11</v>
      </c>
      <c r="E2463" s="1" t="s">
        <v>11</v>
      </c>
    </row>
    <row r="2464" spans="1:5" ht="15.75" customHeight="1">
      <c r="A2464" s="1">
        <v>550921</v>
      </c>
      <c r="B2464" s="1" t="s">
        <v>2495</v>
      </c>
      <c r="C2464" s="1" t="s">
        <v>11</v>
      </c>
      <c r="D2464" s="1" t="s">
        <v>11</v>
      </c>
      <c r="E2464" s="1" t="s">
        <v>11</v>
      </c>
    </row>
    <row r="2465" spans="1:5" ht="15.75" customHeight="1">
      <c r="A2465" s="1">
        <v>550922</v>
      </c>
      <c r="B2465" s="1" t="s">
        <v>2496</v>
      </c>
      <c r="C2465" s="1" t="s">
        <v>11</v>
      </c>
      <c r="D2465" s="1" t="s">
        <v>11</v>
      </c>
      <c r="E2465" s="1" t="s">
        <v>11</v>
      </c>
    </row>
    <row r="2466" spans="1:5" ht="15.75" customHeight="1">
      <c r="A2466" s="1">
        <v>550931</v>
      </c>
      <c r="B2466" s="1" t="s">
        <v>2497</v>
      </c>
      <c r="C2466" s="1" t="s">
        <v>11</v>
      </c>
      <c r="D2466" s="1" t="s">
        <v>11</v>
      </c>
      <c r="E2466" s="1" t="s">
        <v>11</v>
      </c>
    </row>
    <row r="2467" spans="1:5" ht="15.75" customHeight="1">
      <c r="A2467" s="1">
        <v>550932</v>
      </c>
      <c r="B2467" s="1" t="s">
        <v>2498</v>
      </c>
      <c r="C2467" s="1" t="s">
        <v>11</v>
      </c>
      <c r="D2467" s="1" t="s">
        <v>11</v>
      </c>
      <c r="E2467" s="1" t="s">
        <v>11</v>
      </c>
    </row>
    <row r="2468" spans="1:5" ht="15.75" customHeight="1">
      <c r="A2468" s="1">
        <v>550941</v>
      </c>
      <c r="B2468" s="1" t="s">
        <v>2499</v>
      </c>
      <c r="C2468" s="1" t="s">
        <v>11</v>
      </c>
      <c r="D2468" s="1" t="s">
        <v>11</v>
      </c>
      <c r="E2468" s="1" t="s">
        <v>11</v>
      </c>
    </row>
    <row r="2469" spans="1:5" ht="15.75" customHeight="1">
      <c r="A2469" s="1">
        <v>550942</v>
      </c>
      <c r="B2469" s="1" t="s">
        <v>2500</v>
      </c>
      <c r="C2469" s="1" t="s">
        <v>11</v>
      </c>
      <c r="D2469" s="1" t="s">
        <v>11</v>
      </c>
      <c r="E2469" s="1" t="s">
        <v>11</v>
      </c>
    </row>
    <row r="2470" spans="1:5" ht="15.75" customHeight="1">
      <c r="A2470" s="1">
        <v>550951</v>
      </c>
      <c r="B2470" s="1" t="s">
        <v>2501</v>
      </c>
      <c r="C2470" s="1" t="s">
        <v>11</v>
      </c>
      <c r="D2470" s="1" t="s">
        <v>11</v>
      </c>
      <c r="E2470" s="1" t="s">
        <v>11</v>
      </c>
    </row>
    <row r="2471" spans="1:5" ht="15.75" customHeight="1">
      <c r="A2471" s="1">
        <v>550952</v>
      </c>
      <c r="B2471" s="1" t="s">
        <v>2502</v>
      </c>
      <c r="C2471" s="1" t="s">
        <v>11</v>
      </c>
      <c r="D2471" s="1" t="s">
        <v>11</v>
      </c>
      <c r="E2471" s="1" t="s">
        <v>11</v>
      </c>
    </row>
    <row r="2472" spans="1:5" ht="15.75" customHeight="1">
      <c r="A2472" s="1">
        <v>550953</v>
      </c>
      <c r="B2472" s="1" t="s">
        <v>2503</v>
      </c>
      <c r="C2472" s="1" t="s">
        <v>11</v>
      </c>
      <c r="D2472" s="1" t="s">
        <v>11</v>
      </c>
      <c r="E2472" s="1" t="s">
        <v>11</v>
      </c>
    </row>
    <row r="2473" spans="1:5" ht="15.75" customHeight="1">
      <c r="A2473" s="1">
        <v>550959</v>
      </c>
      <c r="B2473" s="1" t="s">
        <v>2504</v>
      </c>
      <c r="C2473" s="1" t="s">
        <v>11</v>
      </c>
      <c r="D2473" s="1" t="s">
        <v>11</v>
      </c>
      <c r="E2473" s="1" t="s">
        <v>11</v>
      </c>
    </row>
    <row r="2474" spans="1:5" ht="15.75" customHeight="1">
      <c r="A2474" s="1">
        <v>550961</v>
      </c>
      <c r="B2474" s="1" t="s">
        <v>2505</v>
      </c>
      <c r="C2474" s="1" t="s">
        <v>11</v>
      </c>
      <c r="D2474" s="1" t="s">
        <v>11</v>
      </c>
      <c r="E2474" s="1" t="s">
        <v>11</v>
      </c>
    </row>
    <row r="2475" spans="1:5" ht="15.75" customHeight="1">
      <c r="A2475" s="1">
        <v>550962</v>
      </c>
      <c r="B2475" s="1" t="s">
        <v>2506</v>
      </c>
      <c r="C2475" s="1" t="s">
        <v>11</v>
      </c>
      <c r="D2475" s="1" t="s">
        <v>11</v>
      </c>
      <c r="E2475" s="1" t="s">
        <v>11</v>
      </c>
    </row>
    <row r="2476" spans="1:5" ht="15.75" customHeight="1">
      <c r="A2476" s="1">
        <v>550969</v>
      </c>
      <c r="B2476" s="1" t="s">
        <v>2507</v>
      </c>
      <c r="C2476" s="1" t="s">
        <v>11</v>
      </c>
      <c r="D2476" s="1" t="s">
        <v>11</v>
      </c>
      <c r="E2476" s="1" t="s">
        <v>11</v>
      </c>
    </row>
    <row r="2477" spans="1:5" ht="15.75" customHeight="1">
      <c r="A2477" s="1">
        <v>550991</v>
      </c>
      <c r="B2477" s="1" t="s">
        <v>2508</v>
      </c>
      <c r="C2477" s="1" t="s">
        <v>11</v>
      </c>
      <c r="D2477" s="1" t="s">
        <v>11</v>
      </c>
      <c r="E2477" s="1" t="s">
        <v>11</v>
      </c>
    </row>
    <row r="2478" spans="1:5" ht="15.75" customHeight="1">
      <c r="A2478" s="1">
        <v>550992</v>
      </c>
      <c r="B2478" s="1" t="s">
        <v>2509</v>
      </c>
      <c r="C2478" s="1" t="s">
        <v>11</v>
      </c>
      <c r="D2478" s="1" t="s">
        <v>11</v>
      </c>
      <c r="E2478" s="1" t="s">
        <v>11</v>
      </c>
    </row>
    <row r="2479" spans="1:5" ht="15.75" customHeight="1">
      <c r="A2479" s="1">
        <v>550999</v>
      </c>
      <c r="B2479" s="1" t="s">
        <v>2510</v>
      </c>
      <c r="C2479" s="1" t="s">
        <v>11</v>
      </c>
      <c r="D2479" s="1" t="s">
        <v>11</v>
      </c>
      <c r="E2479" s="1" t="s">
        <v>11</v>
      </c>
    </row>
    <row r="2480" spans="1:5" ht="15.75" customHeight="1">
      <c r="A2480" s="1">
        <v>551011</v>
      </c>
      <c r="B2480" s="1" t="s">
        <v>2511</v>
      </c>
      <c r="C2480" s="1" t="s">
        <v>11</v>
      </c>
      <c r="D2480" s="1" t="s">
        <v>11</v>
      </c>
      <c r="E2480" s="1" t="s">
        <v>11</v>
      </c>
    </row>
    <row r="2481" spans="1:5" ht="15.75" customHeight="1">
      <c r="A2481" s="1">
        <v>551012</v>
      </c>
      <c r="B2481" s="1" t="s">
        <v>2512</v>
      </c>
      <c r="C2481" s="1" t="s">
        <v>11</v>
      </c>
      <c r="D2481" s="1" t="s">
        <v>11</v>
      </c>
      <c r="E2481" s="1" t="s">
        <v>11</v>
      </c>
    </row>
    <row r="2482" spans="1:5" ht="15.75" customHeight="1">
      <c r="A2482" s="1">
        <v>551020</v>
      </c>
      <c r="B2482" s="1" t="s">
        <v>2513</v>
      </c>
      <c r="C2482" s="1" t="s">
        <v>11</v>
      </c>
      <c r="D2482" s="1" t="s">
        <v>11</v>
      </c>
      <c r="E2482" s="1" t="s">
        <v>11</v>
      </c>
    </row>
    <row r="2483" spans="1:5" ht="15.75" customHeight="1">
      <c r="A2483" s="1">
        <v>551030</v>
      </c>
      <c r="B2483" s="1" t="s">
        <v>2514</v>
      </c>
      <c r="C2483" s="1" t="s">
        <v>11</v>
      </c>
      <c r="D2483" s="1" t="s">
        <v>11</v>
      </c>
      <c r="E2483" s="1" t="s">
        <v>11</v>
      </c>
    </row>
    <row r="2484" spans="1:5" ht="15.75" customHeight="1">
      <c r="A2484" s="1">
        <v>551090</v>
      </c>
      <c r="B2484" s="1" t="s">
        <v>2515</v>
      </c>
      <c r="C2484" s="1" t="s">
        <v>11</v>
      </c>
      <c r="D2484" s="1" t="s">
        <v>11</v>
      </c>
      <c r="E2484" s="1" t="s">
        <v>11</v>
      </c>
    </row>
    <row r="2485" spans="1:5" ht="15.75" customHeight="1">
      <c r="A2485" s="1">
        <v>551110</v>
      </c>
      <c r="B2485" s="1" t="s">
        <v>2516</v>
      </c>
      <c r="C2485" s="1" t="s">
        <v>11</v>
      </c>
      <c r="D2485" s="1" t="s">
        <v>11</v>
      </c>
      <c r="E2485" s="1" t="s">
        <v>11</v>
      </c>
    </row>
    <row r="2486" spans="1:5" ht="15.75" customHeight="1">
      <c r="A2486" s="1">
        <v>551120</v>
      </c>
      <c r="B2486" s="1" t="s">
        <v>2517</v>
      </c>
      <c r="C2486" s="1" t="s">
        <v>11</v>
      </c>
      <c r="D2486" s="1" t="s">
        <v>11</v>
      </c>
      <c r="E2486" s="1" t="s">
        <v>11</v>
      </c>
    </row>
    <row r="2487" spans="1:5" ht="15.75" customHeight="1">
      <c r="A2487" s="1">
        <v>551130</v>
      </c>
      <c r="B2487" s="1" t="s">
        <v>2518</v>
      </c>
      <c r="C2487" s="1" t="s">
        <v>11</v>
      </c>
      <c r="D2487" s="1" t="s">
        <v>11</v>
      </c>
      <c r="E2487" s="1" t="s">
        <v>11</v>
      </c>
    </row>
    <row r="2488" spans="1:5" ht="15.75" customHeight="1">
      <c r="A2488" s="1">
        <v>551211</v>
      </c>
      <c r="B2488" s="1" t="s">
        <v>2519</v>
      </c>
      <c r="C2488" s="1" t="s">
        <v>11</v>
      </c>
      <c r="D2488" s="1" t="s">
        <v>11</v>
      </c>
      <c r="E2488" s="1" t="s">
        <v>11</v>
      </c>
    </row>
    <row r="2489" spans="1:5" ht="15.75" customHeight="1">
      <c r="A2489" s="1">
        <v>551219</v>
      </c>
      <c r="B2489" s="1" t="s">
        <v>2520</v>
      </c>
      <c r="C2489" s="1" t="s">
        <v>11</v>
      </c>
      <c r="D2489" s="1" t="s">
        <v>11</v>
      </c>
      <c r="E2489" s="1" t="s">
        <v>11</v>
      </c>
    </row>
    <row r="2490" spans="1:5" ht="15.75" customHeight="1">
      <c r="A2490" s="1">
        <v>551221</v>
      </c>
      <c r="B2490" s="1" t="s">
        <v>2521</v>
      </c>
      <c r="C2490" s="1" t="s">
        <v>11</v>
      </c>
      <c r="D2490" s="1" t="s">
        <v>11</v>
      </c>
      <c r="E2490" s="1" t="s">
        <v>11</v>
      </c>
    </row>
    <row r="2491" spans="1:5" ht="15.75" customHeight="1">
      <c r="A2491" s="1">
        <v>551229</v>
      </c>
      <c r="B2491" s="1" t="s">
        <v>2522</v>
      </c>
      <c r="C2491" s="1" t="s">
        <v>11</v>
      </c>
      <c r="D2491" s="1" t="s">
        <v>11</v>
      </c>
      <c r="E2491" s="1" t="s">
        <v>11</v>
      </c>
    </row>
    <row r="2492" spans="1:5" ht="15.75" customHeight="1">
      <c r="A2492" s="1">
        <v>551291</v>
      </c>
      <c r="B2492" s="1" t="s">
        <v>2523</v>
      </c>
      <c r="C2492" s="1" t="s">
        <v>11</v>
      </c>
      <c r="D2492" s="1" t="s">
        <v>11</v>
      </c>
      <c r="E2492" s="1" t="s">
        <v>11</v>
      </c>
    </row>
    <row r="2493" spans="1:5" ht="15.75" customHeight="1">
      <c r="A2493" s="1">
        <v>551299</v>
      </c>
      <c r="B2493" s="1" t="s">
        <v>2524</v>
      </c>
      <c r="C2493" s="1" t="s">
        <v>11</v>
      </c>
      <c r="D2493" s="1" t="s">
        <v>11</v>
      </c>
      <c r="E2493" s="1" t="s">
        <v>11</v>
      </c>
    </row>
    <row r="2494" spans="1:5" ht="15.75" customHeight="1">
      <c r="A2494" s="1">
        <v>551311</v>
      </c>
      <c r="B2494" s="1" t="s">
        <v>2525</v>
      </c>
      <c r="C2494" s="1" t="s">
        <v>11</v>
      </c>
      <c r="D2494" s="1" t="s">
        <v>11</v>
      </c>
      <c r="E2494" s="1" t="s">
        <v>11</v>
      </c>
    </row>
    <row r="2495" spans="1:5" ht="15.75" customHeight="1">
      <c r="A2495" s="1">
        <v>551312</v>
      </c>
      <c r="B2495" s="1" t="s">
        <v>2526</v>
      </c>
      <c r="C2495" s="1" t="s">
        <v>11</v>
      </c>
      <c r="D2495" s="1" t="s">
        <v>11</v>
      </c>
      <c r="E2495" s="1" t="s">
        <v>11</v>
      </c>
    </row>
    <row r="2496" spans="1:5" ht="15.75" customHeight="1">
      <c r="A2496" s="1">
        <v>551313</v>
      </c>
      <c r="B2496" s="1" t="s">
        <v>2527</v>
      </c>
      <c r="C2496" s="1" t="s">
        <v>11</v>
      </c>
      <c r="D2496" s="1" t="s">
        <v>11</v>
      </c>
      <c r="E2496" s="1" t="s">
        <v>11</v>
      </c>
    </row>
    <row r="2497" spans="1:5" ht="15.75" customHeight="1">
      <c r="A2497" s="1">
        <v>551319</v>
      </c>
      <c r="B2497" s="1" t="s">
        <v>2528</v>
      </c>
      <c r="C2497" s="1" t="s">
        <v>11</v>
      </c>
      <c r="D2497" s="1" t="s">
        <v>11</v>
      </c>
      <c r="E2497" s="1" t="s">
        <v>11</v>
      </c>
    </row>
    <row r="2498" spans="1:5" ht="15.75" customHeight="1">
      <c r="A2498" s="1">
        <v>551321</v>
      </c>
      <c r="B2498" s="1" t="s">
        <v>2529</v>
      </c>
      <c r="C2498" s="1" t="s">
        <v>11</v>
      </c>
      <c r="D2498" s="1" t="s">
        <v>11</v>
      </c>
      <c r="E2498" s="1" t="s">
        <v>11</v>
      </c>
    </row>
    <row r="2499" spans="1:5" ht="15.75" customHeight="1">
      <c r="A2499" s="1">
        <v>551323</v>
      </c>
      <c r="B2499" s="1" t="s">
        <v>2530</v>
      </c>
      <c r="C2499" s="1" t="s">
        <v>11</v>
      </c>
      <c r="D2499" s="1" t="s">
        <v>11</v>
      </c>
      <c r="E2499" s="1" t="s">
        <v>11</v>
      </c>
    </row>
    <row r="2500" spans="1:5" ht="15.75" customHeight="1">
      <c r="A2500" s="1">
        <v>551329</v>
      </c>
      <c r="B2500" s="1" t="s">
        <v>2531</v>
      </c>
      <c r="C2500" s="1" t="s">
        <v>11</v>
      </c>
      <c r="D2500" s="1" t="s">
        <v>11</v>
      </c>
      <c r="E2500" s="1" t="s">
        <v>11</v>
      </c>
    </row>
    <row r="2501" spans="1:5" ht="15.75" customHeight="1">
      <c r="A2501" s="1">
        <v>551331</v>
      </c>
      <c r="B2501" s="1" t="s">
        <v>2532</v>
      </c>
      <c r="C2501" s="1" t="s">
        <v>11</v>
      </c>
      <c r="D2501" s="1" t="s">
        <v>11</v>
      </c>
      <c r="E2501" s="1" t="s">
        <v>11</v>
      </c>
    </row>
    <row r="2502" spans="1:5" ht="15.75" customHeight="1">
      <c r="A2502" s="1">
        <v>551339</v>
      </c>
      <c r="B2502" s="1" t="s">
        <v>2533</v>
      </c>
      <c r="C2502" s="1" t="s">
        <v>11</v>
      </c>
      <c r="D2502" s="1" t="s">
        <v>11</v>
      </c>
      <c r="E2502" s="1" t="s">
        <v>11</v>
      </c>
    </row>
    <row r="2503" spans="1:5" ht="15.75" customHeight="1">
      <c r="A2503" s="1">
        <v>551341</v>
      </c>
      <c r="B2503" s="1" t="s">
        <v>2534</v>
      </c>
      <c r="C2503" s="1" t="s">
        <v>11</v>
      </c>
      <c r="D2503" s="1" t="s">
        <v>11</v>
      </c>
      <c r="E2503" s="1" t="s">
        <v>11</v>
      </c>
    </row>
    <row r="2504" spans="1:5" ht="15.75" customHeight="1">
      <c r="A2504" s="1">
        <v>551349</v>
      </c>
      <c r="B2504" s="1" t="s">
        <v>2535</v>
      </c>
      <c r="C2504" s="1" t="s">
        <v>11</v>
      </c>
      <c r="D2504" s="1" t="s">
        <v>11</v>
      </c>
      <c r="E2504" s="1" t="s">
        <v>11</v>
      </c>
    </row>
    <row r="2505" spans="1:5" ht="15.75" customHeight="1">
      <c r="A2505" s="1">
        <v>551411</v>
      </c>
      <c r="B2505" s="1" t="s">
        <v>2536</v>
      </c>
      <c r="C2505" s="1" t="s">
        <v>11</v>
      </c>
      <c r="D2505" s="1" t="s">
        <v>11</v>
      </c>
      <c r="E2505" s="1" t="s">
        <v>11</v>
      </c>
    </row>
    <row r="2506" spans="1:5" ht="15.75" customHeight="1">
      <c r="A2506" s="1">
        <v>551412</v>
      </c>
      <c r="B2506" s="1" t="s">
        <v>2537</v>
      </c>
      <c r="C2506" s="1" t="s">
        <v>11</v>
      </c>
      <c r="D2506" s="1" t="s">
        <v>11</v>
      </c>
      <c r="E2506" s="1" t="s">
        <v>11</v>
      </c>
    </row>
    <row r="2507" spans="1:5" ht="15.75" customHeight="1">
      <c r="A2507" s="1">
        <v>551419</v>
      </c>
      <c r="B2507" s="1" t="s">
        <v>2538</v>
      </c>
      <c r="C2507" s="1" t="s">
        <v>11</v>
      </c>
      <c r="D2507" s="1" t="s">
        <v>11</v>
      </c>
      <c r="E2507" s="1" t="s">
        <v>11</v>
      </c>
    </row>
    <row r="2508" spans="1:5" ht="15.75" customHeight="1">
      <c r="A2508" s="1">
        <v>551421</v>
      </c>
      <c r="B2508" s="1" t="s">
        <v>2539</v>
      </c>
      <c r="C2508" s="1" t="s">
        <v>11</v>
      </c>
      <c r="D2508" s="1" t="s">
        <v>11</v>
      </c>
      <c r="E2508" s="1" t="s">
        <v>11</v>
      </c>
    </row>
    <row r="2509" spans="1:5" ht="15.75" customHeight="1">
      <c r="A2509" s="1">
        <v>551422</v>
      </c>
      <c r="B2509" s="1" t="s">
        <v>2540</v>
      </c>
      <c r="C2509" s="1" t="s">
        <v>11</v>
      </c>
      <c r="D2509" s="1" t="s">
        <v>11</v>
      </c>
      <c r="E2509" s="1" t="s">
        <v>11</v>
      </c>
    </row>
    <row r="2510" spans="1:5" ht="15.75" customHeight="1">
      <c r="A2510" s="1">
        <v>551423</v>
      </c>
      <c r="B2510" s="1" t="s">
        <v>2541</v>
      </c>
      <c r="C2510" s="1" t="s">
        <v>11</v>
      </c>
      <c r="D2510" s="1" t="s">
        <v>11</v>
      </c>
      <c r="E2510" s="1" t="s">
        <v>11</v>
      </c>
    </row>
    <row r="2511" spans="1:5" ht="15.75" customHeight="1">
      <c r="A2511" s="1">
        <v>551429</v>
      </c>
      <c r="B2511" s="1" t="s">
        <v>2542</v>
      </c>
      <c r="C2511" s="1" t="s">
        <v>11</v>
      </c>
      <c r="D2511" s="1" t="s">
        <v>11</v>
      </c>
      <c r="E2511" s="1" t="s">
        <v>11</v>
      </c>
    </row>
    <row r="2512" spans="1:5" ht="15.75" customHeight="1">
      <c r="A2512" s="1">
        <v>551430</v>
      </c>
      <c r="B2512" s="1" t="s">
        <v>2543</v>
      </c>
      <c r="C2512" s="1" t="s">
        <v>11</v>
      </c>
      <c r="D2512" s="1" t="s">
        <v>11</v>
      </c>
      <c r="E2512" s="1" t="s">
        <v>11</v>
      </c>
    </row>
    <row r="2513" spans="1:5" ht="15.75" customHeight="1">
      <c r="A2513" s="1">
        <v>551441</v>
      </c>
      <c r="B2513" s="1" t="s">
        <v>2544</v>
      </c>
      <c r="C2513" s="1" t="s">
        <v>11</v>
      </c>
      <c r="D2513" s="1" t="s">
        <v>11</v>
      </c>
      <c r="E2513" s="1" t="s">
        <v>11</v>
      </c>
    </row>
    <row r="2514" spans="1:5" ht="15.75" customHeight="1">
      <c r="A2514" s="1">
        <v>551442</v>
      </c>
      <c r="B2514" s="1" t="s">
        <v>2545</v>
      </c>
      <c r="C2514" s="1" t="s">
        <v>11</v>
      </c>
      <c r="D2514" s="1" t="s">
        <v>11</v>
      </c>
      <c r="E2514" s="1" t="s">
        <v>11</v>
      </c>
    </row>
    <row r="2515" spans="1:5" ht="15.75" customHeight="1">
      <c r="A2515" s="1">
        <v>551443</v>
      </c>
      <c r="B2515" s="1" t="s">
        <v>2546</v>
      </c>
      <c r="C2515" s="1" t="s">
        <v>11</v>
      </c>
      <c r="D2515" s="1" t="s">
        <v>11</v>
      </c>
      <c r="E2515" s="1" t="s">
        <v>11</v>
      </c>
    </row>
    <row r="2516" spans="1:5" ht="15.75" customHeight="1">
      <c r="A2516" s="1">
        <v>551449</v>
      </c>
      <c r="B2516" s="1" t="s">
        <v>2547</v>
      </c>
      <c r="C2516" s="1" t="s">
        <v>11</v>
      </c>
      <c r="D2516" s="1" t="s">
        <v>11</v>
      </c>
      <c r="E2516" s="1" t="s">
        <v>11</v>
      </c>
    </row>
    <row r="2517" spans="1:5" ht="15.75" customHeight="1">
      <c r="A2517" s="1">
        <v>551511</v>
      </c>
      <c r="B2517" s="1" t="s">
        <v>2548</v>
      </c>
      <c r="C2517" s="1" t="s">
        <v>11</v>
      </c>
      <c r="D2517" s="1" t="s">
        <v>11</v>
      </c>
      <c r="E2517" s="1" t="s">
        <v>11</v>
      </c>
    </row>
    <row r="2518" spans="1:5" ht="15.75" customHeight="1">
      <c r="A2518" s="1">
        <v>551512</v>
      </c>
      <c r="B2518" s="1" t="s">
        <v>2549</v>
      </c>
      <c r="C2518" s="1" t="s">
        <v>11</v>
      </c>
      <c r="D2518" s="1" t="s">
        <v>11</v>
      </c>
      <c r="E2518" s="1" t="s">
        <v>11</v>
      </c>
    </row>
    <row r="2519" spans="1:5" ht="15.75" customHeight="1">
      <c r="A2519" s="1">
        <v>551513</v>
      </c>
      <c r="B2519" s="1" t="s">
        <v>2550</v>
      </c>
      <c r="C2519" s="1" t="s">
        <v>11</v>
      </c>
      <c r="D2519" s="1" t="s">
        <v>11</v>
      </c>
      <c r="E2519" s="1" t="s">
        <v>11</v>
      </c>
    </row>
    <row r="2520" spans="1:5" ht="15.75" customHeight="1">
      <c r="A2520" s="1">
        <v>551519</v>
      </c>
      <c r="B2520" s="1" t="s">
        <v>2551</v>
      </c>
      <c r="C2520" s="1" t="s">
        <v>11</v>
      </c>
      <c r="D2520" s="1" t="s">
        <v>11</v>
      </c>
      <c r="E2520" s="1" t="s">
        <v>11</v>
      </c>
    </row>
    <row r="2521" spans="1:5" ht="15.75" customHeight="1">
      <c r="A2521" s="1">
        <v>551521</v>
      </c>
      <c r="B2521" s="1" t="s">
        <v>2552</v>
      </c>
      <c r="C2521" s="1" t="s">
        <v>11</v>
      </c>
      <c r="D2521" s="1" t="s">
        <v>11</v>
      </c>
      <c r="E2521" s="1" t="s">
        <v>11</v>
      </c>
    </row>
    <row r="2522" spans="1:5" ht="15.75" customHeight="1">
      <c r="A2522" s="1">
        <v>551522</v>
      </c>
      <c r="B2522" s="1" t="s">
        <v>2553</v>
      </c>
      <c r="C2522" s="1" t="s">
        <v>11</v>
      </c>
      <c r="D2522" s="1" t="s">
        <v>11</v>
      </c>
      <c r="E2522" s="1" t="s">
        <v>11</v>
      </c>
    </row>
    <row r="2523" spans="1:5" ht="15.75" customHeight="1">
      <c r="A2523" s="1">
        <v>551529</v>
      </c>
      <c r="B2523" s="1" t="s">
        <v>2554</v>
      </c>
      <c r="C2523" s="1" t="s">
        <v>11</v>
      </c>
      <c r="D2523" s="1" t="s">
        <v>11</v>
      </c>
      <c r="E2523" s="1" t="s">
        <v>11</v>
      </c>
    </row>
    <row r="2524" spans="1:5" ht="15.75" customHeight="1">
      <c r="A2524" s="1">
        <v>551591</v>
      </c>
      <c r="B2524" s="1" t="s">
        <v>2555</v>
      </c>
      <c r="C2524" s="1" t="s">
        <v>11</v>
      </c>
      <c r="D2524" s="1" t="s">
        <v>11</v>
      </c>
      <c r="E2524" s="1" t="s">
        <v>11</v>
      </c>
    </row>
    <row r="2525" spans="1:5" ht="15.75" customHeight="1">
      <c r="A2525" s="1">
        <v>551599</v>
      </c>
      <c r="B2525" s="1" t="s">
        <v>2556</v>
      </c>
      <c r="C2525" s="1" t="s">
        <v>11</v>
      </c>
      <c r="D2525" s="1" t="s">
        <v>11</v>
      </c>
      <c r="E2525" s="1" t="s">
        <v>11</v>
      </c>
    </row>
    <row r="2526" spans="1:5" ht="15.75" customHeight="1">
      <c r="A2526" s="1">
        <v>551611</v>
      </c>
      <c r="B2526" s="1" t="s">
        <v>2557</v>
      </c>
      <c r="C2526" s="1" t="s">
        <v>11</v>
      </c>
      <c r="D2526" s="1" t="s">
        <v>11</v>
      </c>
      <c r="E2526" s="1" t="s">
        <v>11</v>
      </c>
    </row>
    <row r="2527" spans="1:5" ht="15.75" customHeight="1">
      <c r="A2527" s="1">
        <v>551612</v>
      </c>
      <c r="B2527" s="1" t="s">
        <v>2558</v>
      </c>
      <c r="C2527" s="1" t="s">
        <v>11</v>
      </c>
      <c r="D2527" s="1" t="s">
        <v>11</v>
      </c>
      <c r="E2527" s="1" t="s">
        <v>11</v>
      </c>
    </row>
    <row r="2528" spans="1:5" ht="15.75" customHeight="1">
      <c r="A2528" s="1">
        <v>551613</v>
      </c>
      <c r="B2528" s="1" t="s">
        <v>2559</v>
      </c>
      <c r="C2528" s="1" t="s">
        <v>11</v>
      </c>
      <c r="D2528" s="1" t="s">
        <v>11</v>
      </c>
      <c r="E2528" s="1" t="s">
        <v>11</v>
      </c>
    </row>
    <row r="2529" spans="1:5" ht="15.75" customHeight="1">
      <c r="A2529" s="1">
        <v>551614</v>
      </c>
      <c r="B2529" s="1" t="s">
        <v>2560</v>
      </c>
      <c r="C2529" s="1" t="s">
        <v>11</v>
      </c>
      <c r="D2529" s="1" t="s">
        <v>11</v>
      </c>
      <c r="E2529" s="1" t="s">
        <v>11</v>
      </c>
    </row>
    <row r="2530" spans="1:5" ht="15.75" customHeight="1">
      <c r="A2530" s="1">
        <v>551621</v>
      </c>
      <c r="B2530" s="1" t="s">
        <v>2561</v>
      </c>
      <c r="C2530" s="1" t="s">
        <v>11</v>
      </c>
      <c r="D2530" s="1" t="s">
        <v>11</v>
      </c>
      <c r="E2530" s="1" t="s">
        <v>11</v>
      </c>
    </row>
    <row r="2531" spans="1:5" ht="15.75" customHeight="1">
      <c r="A2531" s="1">
        <v>551622</v>
      </c>
      <c r="B2531" s="1" t="s">
        <v>2562</v>
      </c>
      <c r="C2531" s="1" t="s">
        <v>11</v>
      </c>
      <c r="D2531" s="1" t="s">
        <v>11</v>
      </c>
      <c r="E2531" s="1" t="s">
        <v>11</v>
      </c>
    </row>
    <row r="2532" spans="1:5" ht="15.75" customHeight="1">
      <c r="A2532" s="1">
        <v>551623</v>
      </c>
      <c r="B2532" s="1" t="s">
        <v>2563</v>
      </c>
      <c r="C2532" s="1" t="s">
        <v>11</v>
      </c>
      <c r="D2532" s="1" t="s">
        <v>11</v>
      </c>
      <c r="E2532" s="1" t="s">
        <v>11</v>
      </c>
    </row>
    <row r="2533" spans="1:5" ht="15.75" customHeight="1">
      <c r="A2533" s="1">
        <v>551624</v>
      </c>
      <c r="B2533" s="1" t="s">
        <v>2564</v>
      </c>
      <c r="C2533" s="1" t="s">
        <v>11</v>
      </c>
      <c r="D2533" s="1" t="s">
        <v>11</v>
      </c>
      <c r="E2533" s="1" t="s">
        <v>11</v>
      </c>
    </row>
    <row r="2534" spans="1:5" ht="15.75" customHeight="1">
      <c r="A2534" s="1">
        <v>551631</v>
      </c>
      <c r="B2534" s="1" t="s">
        <v>2565</v>
      </c>
      <c r="C2534" s="1" t="s">
        <v>11</v>
      </c>
      <c r="D2534" s="1" t="s">
        <v>11</v>
      </c>
      <c r="E2534" s="1" t="s">
        <v>11</v>
      </c>
    </row>
    <row r="2535" spans="1:5" ht="15.75" customHeight="1">
      <c r="A2535" s="1">
        <v>551632</v>
      </c>
      <c r="B2535" s="1" t="s">
        <v>2566</v>
      </c>
      <c r="C2535" s="1" t="s">
        <v>11</v>
      </c>
      <c r="D2535" s="1" t="s">
        <v>11</v>
      </c>
      <c r="E2535" s="1" t="s">
        <v>11</v>
      </c>
    </row>
    <row r="2536" spans="1:5" ht="15.75" customHeight="1">
      <c r="A2536" s="1">
        <v>551633</v>
      </c>
      <c r="B2536" s="1" t="s">
        <v>2567</v>
      </c>
      <c r="C2536" s="1" t="s">
        <v>11</v>
      </c>
      <c r="D2536" s="1" t="s">
        <v>11</v>
      </c>
      <c r="E2536" s="1" t="s">
        <v>11</v>
      </c>
    </row>
    <row r="2537" spans="1:5" ht="15.75" customHeight="1">
      <c r="A2537" s="1">
        <v>551634</v>
      </c>
      <c r="B2537" s="1" t="s">
        <v>2568</v>
      </c>
      <c r="C2537" s="1" t="s">
        <v>11</v>
      </c>
      <c r="D2537" s="1" t="s">
        <v>11</v>
      </c>
      <c r="E2537" s="1" t="s">
        <v>11</v>
      </c>
    </row>
    <row r="2538" spans="1:5" ht="15.75" customHeight="1">
      <c r="A2538" s="1">
        <v>551641</v>
      </c>
      <c r="B2538" s="1" t="s">
        <v>2569</v>
      </c>
      <c r="C2538" s="1" t="s">
        <v>11</v>
      </c>
      <c r="D2538" s="1" t="s">
        <v>11</v>
      </c>
      <c r="E2538" s="1" t="s">
        <v>11</v>
      </c>
    </row>
    <row r="2539" spans="1:5" ht="15.75" customHeight="1">
      <c r="A2539" s="1">
        <v>551642</v>
      </c>
      <c r="B2539" s="1" t="s">
        <v>2570</v>
      </c>
      <c r="C2539" s="1" t="s">
        <v>11</v>
      </c>
      <c r="D2539" s="1" t="s">
        <v>11</v>
      </c>
      <c r="E2539" s="1" t="s">
        <v>11</v>
      </c>
    </row>
    <row r="2540" spans="1:5" ht="15.75" customHeight="1">
      <c r="A2540" s="1">
        <v>551643</v>
      </c>
      <c r="B2540" s="1" t="s">
        <v>2571</v>
      </c>
      <c r="C2540" s="1" t="s">
        <v>11</v>
      </c>
      <c r="D2540" s="1" t="s">
        <v>11</v>
      </c>
      <c r="E2540" s="1" t="s">
        <v>11</v>
      </c>
    </row>
    <row r="2541" spans="1:5" ht="15.75" customHeight="1">
      <c r="A2541" s="1">
        <v>551644</v>
      </c>
      <c r="B2541" s="1" t="s">
        <v>2572</v>
      </c>
      <c r="C2541" s="1" t="s">
        <v>11</v>
      </c>
      <c r="D2541" s="1" t="s">
        <v>11</v>
      </c>
      <c r="E2541" s="1" t="s">
        <v>11</v>
      </c>
    </row>
    <row r="2542" spans="1:5" ht="15.75" customHeight="1">
      <c r="A2542" s="1">
        <v>551691</v>
      </c>
      <c r="B2542" s="1" t="s">
        <v>2573</v>
      </c>
      <c r="C2542" s="1" t="s">
        <v>11</v>
      </c>
      <c r="D2542" s="1" t="s">
        <v>11</v>
      </c>
      <c r="E2542" s="1" t="s">
        <v>11</v>
      </c>
    </row>
    <row r="2543" spans="1:5" ht="15.75" customHeight="1">
      <c r="A2543" s="1">
        <v>551692</v>
      </c>
      <c r="B2543" s="1" t="s">
        <v>2574</v>
      </c>
      <c r="C2543" s="1" t="s">
        <v>11</v>
      </c>
      <c r="D2543" s="1" t="s">
        <v>11</v>
      </c>
      <c r="E2543" s="1" t="s">
        <v>11</v>
      </c>
    </row>
    <row r="2544" spans="1:5" ht="15.75" customHeight="1">
      <c r="A2544" s="1">
        <v>551693</v>
      </c>
      <c r="B2544" s="1" t="s">
        <v>2575</v>
      </c>
      <c r="C2544" s="1" t="s">
        <v>11</v>
      </c>
      <c r="D2544" s="1" t="s">
        <v>11</v>
      </c>
      <c r="E2544" s="1" t="s">
        <v>11</v>
      </c>
    </row>
    <row r="2545" spans="1:5" ht="15.75" customHeight="1">
      <c r="A2545" s="1">
        <v>551694</v>
      </c>
      <c r="B2545" s="1" t="s">
        <v>2576</v>
      </c>
      <c r="C2545" s="1" t="s">
        <v>11</v>
      </c>
      <c r="D2545" s="1" t="s">
        <v>11</v>
      </c>
      <c r="E2545" s="1" t="s">
        <v>11</v>
      </c>
    </row>
    <row r="2546" spans="1:5" ht="15.75" customHeight="1">
      <c r="A2546" s="1">
        <v>560110</v>
      </c>
      <c r="B2546" s="1" t="s">
        <v>2577</v>
      </c>
      <c r="C2546" s="1" t="s">
        <v>11</v>
      </c>
      <c r="D2546" s="1" t="s">
        <v>11</v>
      </c>
      <c r="E2546" s="1" t="s">
        <v>11</v>
      </c>
    </row>
    <row r="2547" spans="1:5" ht="15.75" customHeight="1">
      <c r="A2547" s="1">
        <v>560121</v>
      </c>
      <c r="B2547" s="1" t="s">
        <v>2578</v>
      </c>
      <c r="C2547" s="1" t="s">
        <v>11</v>
      </c>
      <c r="D2547" s="1" t="s">
        <v>11</v>
      </c>
      <c r="E2547" s="1" t="s">
        <v>11</v>
      </c>
    </row>
    <row r="2548" spans="1:5" ht="15.75" customHeight="1">
      <c r="A2548" s="1">
        <v>560122</v>
      </c>
      <c r="B2548" s="1" t="s">
        <v>2579</v>
      </c>
      <c r="C2548" s="1" t="s">
        <v>11</v>
      </c>
      <c r="D2548" s="1" t="s">
        <v>11</v>
      </c>
      <c r="E2548" s="1" t="s">
        <v>11</v>
      </c>
    </row>
    <row r="2549" spans="1:5" ht="15.75" customHeight="1">
      <c r="A2549" s="1">
        <v>560129</v>
      </c>
      <c r="B2549" s="1" t="s">
        <v>2580</v>
      </c>
      <c r="C2549" s="1" t="s">
        <v>11</v>
      </c>
      <c r="D2549" s="1" t="s">
        <v>11</v>
      </c>
      <c r="E2549" s="1" t="s">
        <v>11</v>
      </c>
    </row>
    <row r="2550" spans="1:5" ht="15.75" customHeight="1">
      <c r="A2550" s="1">
        <v>560130</v>
      </c>
      <c r="B2550" s="1" t="s">
        <v>2581</v>
      </c>
      <c r="C2550" s="1" t="s">
        <v>11</v>
      </c>
      <c r="D2550" s="1" t="s">
        <v>11</v>
      </c>
      <c r="E2550" s="1" t="s">
        <v>11</v>
      </c>
    </row>
    <row r="2551" spans="1:5" ht="15.75" customHeight="1">
      <c r="A2551" s="1">
        <v>560210</v>
      </c>
      <c r="B2551" s="1" t="s">
        <v>2582</v>
      </c>
      <c r="C2551" s="1" t="s">
        <v>11</v>
      </c>
      <c r="D2551" s="1" t="s">
        <v>11</v>
      </c>
      <c r="E2551" s="1" t="s">
        <v>11</v>
      </c>
    </row>
    <row r="2552" spans="1:5" ht="15.75" customHeight="1">
      <c r="A2552" s="1">
        <v>560221</v>
      </c>
      <c r="B2552" s="1" t="s">
        <v>2583</v>
      </c>
      <c r="C2552" s="1" t="s">
        <v>11</v>
      </c>
      <c r="D2552" s="1" t="s">
        <v>11</v>
      </c>
      <c r="E2552" s="1" t="s">
        <v>11</v>
      </c>
    </row>
    <row r="2553" spans="1:5" ht="15.75" customHeight="1">
      <c r="A2553" s="1">
        <v>560229</v>
      </c>
      <c r="B2553" s="1" t="s">
        <v>2584</v>
      </c>
      <c r="C2553" s="1" t="s">
        <v>11</v>
      </c>
      <c r="D2553" s="1" t="s">
        <v>11</v>
      </c>
      <c r="E2553" s="1" t="s">
        <v>11</v>
      </c>
    </row>
    <row r="2554" spans="1:5" ht="15.75" customHeight="1">
      <c r="A2554" s="1">
        <v>560290</v>
      </c>
      <c r="B2554" s="1" t="s">
        <v>2585</v>
      </c>
      <c r="C2554" s="1" t="s">
        <v>11</v>
      </c>
      <c r="D2554" s="1" t="s">
        <v>11</v>
      </c>
      <c r="E2554" s="1" t="s">
        <v>11</v>
      </c>
    </row>
    <row r="2555" spans="1:5" ht="15.75" customHeight="1">
      <c r="A2555" s="1">
        <v>560311</v>
      </c>
      <c r="B2555" s="1" t="s">
        <v>2586</v>
      </c>
      <c r="C2555" s="1" t="s">
        <v>11</v>
      </c>
      <c r="D2555" s="1" t="s">
        <v>11</v>
      </c>
      <c r="E2555" s="1" t="s">
        <v>11</v>
      </c>
    </row>
    <row r="2556" spans="1:5" ht="15.75" customHeight="1">
      <c r="A2556" s="1">
        <v>560312</v>
      </c>
      <c r="B2556" s="1" t="s">
        <v>2587</v>
      </c>
      <c r="C2556" s="1" t="s">
        <v>11</v>
      </c>
      <c r="D2556" s="1" t="s">
        <v>11</v>
      </c>
      <c r="E2556" s="1" t="s">
        <v>11</v>
      </c>
    </row>
    <row r="2557" spans="1:5" ht="15.75" customHeight="1">
      <c r="A2557" s="1">
        <v>560313</v>
      </c>
      <c r="B2557" s="1" t="s">
        <v>2588</v>
      </c>
      <c r="C2557" s="1" t="s">
        <v>11</v>
      </c>
      <c r="D2557" s="1" t="s">
        <v>11</v>
      </c>
      <c r="E2557" s="1" t="s">
        <v>11</v>
      </c>
    </row>
    <row r="2558" spans="1:5" ht="15.75" customHeight="1">
      <c r="A2558" s="1">
        <v>560314</v>
      </c>
      <c r="B2558" s="1" t="s">
        <v>2589</v>
      </c>
      <c r="C2558" s="1" t="s">
        <v>11</v>
      </c>
      <c r="D2558" s="1" t="s">
        <v>11</v>
      </c>
      <c r="E2558" s="1" t="s">
        <v>11</v>
      </c>
    </row>
    <row r="2559" spans="1:5" ht="15.75" customHeight="1">
      <c r="A2559" s="1">
        <v>560391</v>
      </c>
      <c r="B2559" s="1" t="s">
        <v>2590</v>
      </c>
      <c r="C2559" s="1" t="s">
        <v>11</v>
      </c>
      <c r="D2559" s="1" t="s">
        <v>11</v>
      </c>
      <c r="E2559" s="1" t="s">
        <v>11</v>
      </c>
    </row>
    <row r="2560" spans="1:5" ht="15.75" customHeight="1">
      <c r="A2560" s="1">
        <v>560392</v>
      </c>
      <c r="B2560" s="1" t="s">
        <v>2591</v>
      </c>
      <c r="C2560" s="1" t="s">
        <v>11</v>
      </c>
      <c r="D2560" s="1" t="s">
        <v>11</v>
      </c>
      <c r="E2560" s="1" t="s">
        <v>11</v>
      </c>
    </row>
    <row r="2561" spans="1:5" ht="15.75" customHeight="1">
      <c r="A2561" s="1">
        <v>560393</v>
      </c>
      <c r="B2561" s="1" t="s">
        <v>2592</v>
      </c>
      <c r="C2561" s="1" t="s">
        <v>11</v>
      </c>
      <c r="D2561" s="1" t="s">
        <v>11</v>
      </c>
      <c r="E2561" s="1" t="s">
        <v>11</v>
      </c>
    </row>
    <row r="2562" spans="1:5" ht="15.75" customHeight="1">
      <c r="A2562" s="1">
        <v>560394</v>
      </c>
      <c r="B2562" s="1" t="s">
        <v>2593</v>
      </c>
      <c r="C2562" s="1" t="s">
        <v>11</v>
      </c>
      <c r="D2562" s="1" t="s">
        <v>11</v>
      </c>
      <c r="E2562" s="1" t="s">
        <v>11</v>
      </c>
    </row>
    <row r="2563" spans="1:5" ht="15.75" customHeight="1">
      <c r="A2563" s="1">
        <v>560410</v>
      </c>
      <c r="B2563" s="1" t="s">
        <v>2594</v>
      </c>
      <c r="C2563" s="1" t="s">
        <v>11</v>
      </c>
      <c r="D2563" s="1" t="s">
        <v>11</v>
      </c>
      <c r="E2563" s="1" t="s">
        <v>11</v>
      </c>
    </row>
    <row r="2564" spans="1:5" ht="15.75" customHeight="1">
      <c r="A2564" s="1">
        <v>560490</v>
      </c>
      <c r="B2564" s="1" t="s">
        <v>2595</v>
      </c>
      <c r="C2564" s="1" t="s">
        <v>11</v>
      </c>
      <c r="D2564" s="1" t="s">
        <v>11</v>
      </c>
      <c r="E2564" s="1" t="s">
        <v>11</v>
      </c>
    </row>
    <row r="2565" spans="1:5" ht="15.75" customHeight="1">
      <c r="A2565" s="1">
        <v>560500</v>
      </c>
      <c r="B2565" s="1" t="s">
        <v>2596</v>
      </c>
      <c r="C2565" s="1" t="s">
        <v>11</v>
      </c>
      <c r="D2565" s="1" t="s">
        <v>11</v>
      </c>
      <c r="E2565" s="1" t="s">
        <v>11</v>
      </c>
    </row>
    <row r="2566" spans="1:5" ht="15.75" customHeight="1">
      <c r="A2566" s="1">
        <v>560600</v>
      </c>
      <c r="B2566" s="1" t="s">
        <v>2597</v>
      </c>
      <c r="C2566" s="1" t="s">
        <v>11</v>
      </c>
      <c r="D2566" s="1" t="s">
        <v>11</v>
      </c>
      <c r="E2566" s="1" t="s">
        <v>11</v>
      </c>
    </row>
    <row r="2567" spans="1:5" ht="15.75" customHeight="1">
      <c r="A2567" s="1">
        <v>560721</v>
      </c>
      <c r="B2567" s="1" t="s">
        <v>2598</v>
      </c>
      <c r="C2567" s="1" t="s">
        <v>11</v>
      </c>
      <c r="D2567" s="1" t="s">
        <v>11</v>
      </c>
      <c r="E2567" s="1" t="s">
        <v>11</v>
      </c>
    </row>
    <row r="2568" spans="1:5" ht="15.75" customHeight="1">
      <c r="A2568" s="1">
        <v>560729</v>
      </c>
      <c r="B2568" s="1" t="s">
        <v>2599</v>
      </c>
      <c r="C2568" s="1" t="s">
        <v>11</v>
      </c>
      <c r="D2568" s="1" t="s">
        <v>11</v>
      </c>
      <c r="E2568" s="1" t="s">
        <v>11</v>
      </c>
    </row>
    <row r="2569" spans="1:5" ht="15.75" customHeight="1">
      <c r="A2569" s="1">
        <v>560741</v>
      </c>
      <c r="B2569" s="1" t="s">
        <v>2600</v>
      </c>
      <c r="C2569" s="1" t="s">
        <v>11</v>
      </c>
      <c r="D2569" s="1" t="s">
        <v>11</v>
      </c>
      <c r="E2569" s="1" t="s">
        <v>11</v>
      </c>
    </row>
    <row r="2570" spans="1:5" ht="15.75" customHeight="1">
      <c r="A2570" s="1">
        <v>560749</v>
      </c>
      <c r="B2570" s="1" t="s">
        <v>2601</v>
      </c>
      <c r="C2570" s="1" t="s">
        <v>11</v>
      </c>
      <c r="D2570" s="1" t="s">
        <v>11</v>
      </c>
      <c r="E2570" s="1" t="s">
        <v>11</v>
      </c>
    </row>
    <row r="2571" spans="1:5" ht="15.75" customHeight="1">
      <c r="A2571" s="1">
        <v>560750</v>
      </c>
      <c r="B2571" s="1" t="s">
        <v>2602</v>
      </c>
      <c r="C2571" s="1" t="s">
        <v>11</v>
      </c>
      <c r="D2571" s="1" t="s">
        <v>11</v>
      </c>
      <c r="E2571" s="1" t="s">
        <v>11</v>
      </c>
    </row>
    <row r="2572" spans="1:5" ht="15.75" customHeight="1">
      <c r="A2572" s="1">
        <v>560790</v>
      </c>
      <c r="B2572" s="1" t="s">
        <v>2603</v>
      </c>
      <c r="C2572" s="1" t="s">
        <v>11</v>
      </c>
      <c r="D2572" s="1" t="s">
        <v>11</v>
      </c>
      <c r="E2572" s="1" t="s">
        <v>11</v>
      </c>
    </row>
    <row r="2573" spans="1:5" ht="15.75" customHeight="1">
      <c r="A2573" s="1">
        <v>560811</v>
      </c>
      <c r="B2573" s="1" t="s">
        <v>2604</v>
      </c>
      <c r="C2573" s="1" t="s">
        <v>11</v>
      </c>
      <c r="D2573" s="1" t="s">
        <v>11</v>
      </c>
      <c r="E2573" s="1" t="s">
        <v>11</v>
      </c>
    </row>
    <row r="2574" spans="1:5" ht="15.75" customHeight="1">
      <c r="A2574" s="1">
        <v>560819</v>
      </c>
      <c r="B2574" s="1" t="s">
        <v>2605</v>
      </c>
      <c r="C2574" s="1" t="s">
        <v>11</v>
      </c>
      <c r="D2574" s="1" t="s">
        <v>11</v>
      </c>
      <c r="E2574" s="1" t="s">
        <v>11</v>
      </c>
    </row>
    <row r="2575" spans="1:5" ht="15.75" customHeight="1">
      <c r="A2575" s="1">
        <v>560890</v>
      </c>
      <c r="B2575" s="1" t="s">
        <v>2606</v>
      </c>
      <c r="C2575" s="1" t="s">
        <v>11</v>
      </c>
      <c r="D2575" s="1" t="s">
        <v>11</v>
      </c>
      <c r="E2575" s="1" t="s">
        <v>11</v>
      </c>
    </row>
    <row r="2576" spans="1:5" ht="15.75" customHeight="1">
      <c r="A2576" s="1">
        <v>560900</v>
      </c>
      <c r="B2576" s="1" t="s">
        <v>2607</v>
      </c>
      <c r="C2576" s="1" t="s">
        <v>11</v>
      </c>
      <c r="D2576" s="1" t="s">
        <v>11</v>
      </c>
      <c r="E2576" s="1" t="s">
        <v>11</v>
      </c>
    </row>
    <row r="2577" spans="1:5" ht="15.75" customHeight="1">
      <c r="A2577" s="1">
        <v>570110</v>
      </c>
      <c r="B2577" s="1" t="s">
        <v>2608</v>
      </c>
      <c r="C2577" s="1" t="s">
        <v>11</v>
      </c>
      <c r="D2577" s="1" t="s">
        <v>11</v>
      </c>
      <c r="E2577" s="1" t="s">
        <v>11</v>
      </c>
    </row>
    <row r="2578" spans="1:5" ht="15.75" customHeight="1">
      <c r="A2578" s="1">
        <v>570190</v>
      </c>
      <c r="B2578" s="1" t="s">
        <v>2609</v>
      </c>
      <c r="C2578" s="1" t="s">
        <v>11</v>
      </c>
      <c r="D2578" s="1" t="s">
        <v>11</v>
      </c>
      <c r="E2578" s="1" t="s">
        <v>11</v>
      </c>
    </row>
    <row r="2579" spans="1:5" ht="15.75" customHeight="1">
      <c r="A2579" s="1">
        <v>570210</v>
      </c>
      <c r="B2579" s="1" t="s">
        <v>2610</v>
      </c>
      <c r="C2579" s="1" t="s">
        <v>11</v>
      </c>
      <c r="D2579" s="1" t="s">
        <v>11</v>
      </c>
      <c r="E2579" s="1" t="s">
        <v>11</v>
      </c>
    </row>
    <row r="2580" spans="1:5" ht="15.75" customHeight="1">
      <c r="A2580" s="1">
        <v>570220</v>
      </c>
      <c r="B2580" s="1" t="s">
        <v>2611</v>
      </c>
      <c r="C2580" s="1" t="s">
        <v>11</v>
      </c>
      <c r="D2580" s="1" t="s">
        <v>11</v>
      </c>
      <c r="E2580" s="1" t="s">
        <v>11</v>
      </c>
    </row>
    <row r="2581" spans="1:5" ht="15.75" customHeight="1">
      <c r="A2581" s="1">
        <v>570231</v>
      </c>
      <c r="B2581" s="1" t="s">
        <v>2612</v>
      </c>
      <c r="C2581" s="1" t="s">
        <v>11</v>
      </c>
      <c r="D2581" s="1" t="s">
        <v>11</v>
      </c>
      <c r="E2581" s="1" t="s">
        <v>11</v>
      </c>
    </row>
    <row r="2582" spans="1:5" ht="15.75" customHeight="1">
      <c r="A2582" s="1">
        <v>570232</v>
      </c>
      <c r="B2582" s="1" t="s">
        <v>2613</v>
      </c>
      <c r="C2582" s="1" t="s">
        <v>11</v>
      </c>
      <c r="D2582" s="1" t="s">
        <v>11</v>
      </c>
      <c r="E2582" s="1" t="s">
        <v>11</v>
      </c>
    </row>
    <row r="2583" spans="1:5" ht="15.75" customHeight="1">
      <c r="A2583" s="1">
        <v>570239</v>
      </c>
      <c r="B2583" s="1" t="s">
        <v>2614</v>
      </c>
      <c r="C2583" s="1" t="s">
        <v>11</v>
      </c>
      <c r="D2583" s="1" t="s">
        <v>11</v>
      </c>
      <c r="E2583" s="1" t="s">
        <v>11</v>
      </c>
    </row>
    <row r="2584" spans="1:5" ht="15.75" customHeight="1">
      <c r="A2584" s="1">
        <v>570241</v>
      </c>
      <c r="B2584" s="1" t="s">
        <v>2615</v>
      </c>
      <c r="C2584" s="1" t="s">
        <v>11</v>
      </c>
      <c r="D2584" s="1" t="s">
        <v>11</v>
      </c>
      <c r="E2584" s="1" t="s">
        <v>11</v>
      </c>
    </row>
    <row r="2585" spans="1:5" ht="15.75" customHeight="1">
      <c r="A2585" s="1">
        <v>570242</v>
      </c>
      <c r="B2585" s="1" t="s">
        <v>2616</v>
      </c>
      <c r="C2585" s="1" t="s">
        <v>11</v>
      </c>
      <c r="D2585" s="1" t="s">
        <v>11</v>
      </c>
      <c r="E2585" s="1" t="s">
        <v>11</v>
      </c>
    </row>
    <row r="2586" spans="1:5" ht="15.75" customHeight="1">
      <c r="A2586" s="1">
        <v>570249</v>
      </c>
      <c r="B2586" s="1" t="s">
        <v>2617</v>
      </c>
      <c r="C2586" s="1" t="s">
        <v>11</v>
      </c>
      <c r="D2586" s="1" t="s">
        <v>11</v>
      </c>
      <c r="E2586" s="1" t="s">
        <v>11</v>
      </c>
    </row>
    <row r="2587" spans="1:5" ht="15.75" customHeight="1">
      <c r="A2587" s="1">
        <v>570250</v>
      </c>
      <c r="B2587" s="1" t="s">
        <v>2618</v>
      </c>
      <c r="C2587" s="1" t="s">
        <v>11</v>
      </c>
      <c r="D2587" s="1" t="s">
        <v>11</v>
      </c>
      <c r="E2587" s="1" t="s">
        <v>11</v>
      </c>
    </row>
    <row r="2588" spans="1:5" ht="15.75" customHeight="1">
      <c r="A2588" s="1">
        <v>570291</v>
      </c>
      <c r="B2588" s="1" t="s">
        <v>2619</v>
      </c>
      <c r="C2588" s="1" t="s">
        <v>11</v>
      </c>
      <c r="D2588" s="1" t="s">
        <v>11</v>
      </c>
      <c r="E2588" s="1" t="s">
        <v>11</v>
      </c>
    </row>
    <row r="2589" spans="1:5" ht="15.75" customHeight="1">
      <c r="A2589" s="1">
        <v>570292</v>
      </c>
      <c r="B2589" s="1" t="s">
        <v>2620</v>
      </c>
      <c r="C2589" s="1" t="s">
        <v>11</v>
      </c>
      <c r="D2589" s="1" t="s">
        <v>11</v>
      </c>
      <c r="E2589" s="1" t="s">
        <v>11</v>
      </c>
    </row>
    <row r="2590" spans="1:5" ht="15.75" customHeight="1">
      <c r="A2590" s="1">
        <v>570299</v>
      </c>
      <c r="B2590" s="1" t="s">
        <v>2621</v>
      </c>
      <c r="C2590" s="1" t="s">
        <v>11</v>
      </c>
      <c r="D2590" s="1" t="s">
        <v>11</v>
      </c>
      <c r="E2590" s="1" t="s">
        <v>11</v>
      </c>
    </row>
    <row r="2591" spans="1:5" ht="15.75" customHeight="1">
      <c r="A2591" s="1">
        <v>570310</v>
      </c>
      <c r="B2591" s="1" t="s">
        <v>2622</v>
      </c>
      <c r="C2591" s="1" t="s">
        <v>11</v>
      </c>
      <c r="D2591" s="1" t="s">
        <v>11</v>
      </c>
      <c r="E2591" s="1" t="s">
        <v>11</v>
      </c>
    </row>
    <row r="2592" spans="1:5" ht="15.75" customHeight="1">
      <c r="A2592" s="1">
        <v>570320</v>
      </c>
      <c r="B2592" s="1" t="s">
        <v>2623</v>
      </c>
      <c r="C2592" s="1" t="s">
        <v>11</v>
      </c>
      <c r="D2592" s="1" t="s">
        <v>11</v>
      </c>
      <c r="E2592" s="1" t="s">
        <v>11</v>
      </c>
    </row>
    <row r="2593" spans="1:5" ht="15.75" customHeight="1">
      <c r="A2593" s="1">
        <v>570330</v>
      </c>
      <c r="B2593" s="1" t="s">
        <v>2624</v>
      </c>
      <c r="C2593" s="1" t="s">
        <v>11</v>
      </c>
      <c r="D2593" s="1" t="s">
        <v>11</v>
      </c>
      <c r="E2593" s="1" t="s">
        <v>11</v>
      </c>
    </row>
    <row r="2594" spans="1:5" ht="15.75" customHeight="1">
      <c r="A2594" s="1">
        <v>570390</v>
      </c>
      <c r="B2594" s="1" t="s">
        <v>2625</v>
      </c>
      <c r="C2594" s="1" t="s">
        <v>11</v>
      </c>
      <c r="D2594" s="1" t="s">
        <v>11</v>
      </c>
      <c r="E2594" s="1" t="s">
        <v>11</v>
      </c>
    </row>
    <row r="2595" spans="1:5" ht="15.75" customHeight="1">
      <c r="A2595" s="1">
        <v>570410</v>
      </c>
      <c r="B2595" s="1" t="s">
        <v>2626</v>
      </c>
      <c r="C2595" s="1" t="s">
        <v>11</v>
      </c>
      <c r="D2595" s="1" t="s">
        <v>11</v>
      </c>
      <c r="E2595" s="1" t="s">
        <v>11</v>
      </c>
    </row>
    <row r="2596" spans="1:5" ht="15.75" customHeight="1">
      <c r="A2596" s="1">
        <v>570490</v>
      </c>
      <c r="B2596" s="1" t="s">
        <v>2627</v>
      </c>
      <c r="C2596" s="1" t="s">
        <v>11</v>
      </c>
      <c r="D2596" s="1" t="s">
        <v>11</v>
      </c>
      <c r="E2596" s="1" t="s">
        <v>11</v>
      </c>
    </row>
    <row r="2597" spans="1:5" ht="15.75" customHeight="1">
      <c r="A2597" s="1">
        <v>570500</v>
      </c>
      <c r="B2597" s="1" t="s">
        <v>2628</v>
      </c>
      <c r="C2597" s="1" t="s">
        <v>11</v>
      </c>
      <c r="D2597" s="1" t="s">
        <v>11</v>
      </c>
      <c r="E2597" s="1" t="s">
        <v>11</v>
      </c>
    </row>
    <row r="2598" spans="1:5" ht="15.75" customHeight="1">
      <c r="A2598" s="1">
        <v>580110</v>
      </c>
      <c r="B2598" s="1" t="s">
        <v>2629</v>
      </c>
      <c r="C2598" s="1" t="s">
        <v>11</v>
      </c>
      <c r="D2598" s="1" t="s">
        <v>11</v>
      </c>
      <c r="E2598" s="1" t="s">
        <v>11</v>
      </c>
    </row>
    <row r="2599" spans="1:5" ht="15.75" customHeight="1">
      <c r="A2599" s="1">
        <v>580121</v>
      </c>
      <c r="B2599" s="1" t="s">
        <v>2630</v>
      </c>
      <c r="C2599" s="1" t="s">
        <v>11</v>
      </c>
      <c r="D2599" s="1" t="s">
        <v>11</v>
      </c>
      <c r="E2599" s="1" t="s">
        <v>11</v>
      </c>
    </row>
    <row r="2600" spans="1:5" ht="15.75" customHeight="1">
      <c r="A2600" s="1">
        <v>580122</v>
      </c>
      <c r="B2600" s="1" t="s">
        <v>2631</v>
      </c>
      <c r="C2600" s="1" t="s">
        <v>11</v>
      </c>
      <c r="D2600" s="1" t="s">
        <v>11</v>
      </c>
      <c r="E2600" s="1" t="s">
        <v>11</v>
      </c>
    </row>
    <row r="2601" spans="1:5" ht="15.75" customHeight="1">
      <c r="A2601" s="1">
        <v>580123</v>
      </c>
      <c r="B2601" s="1" t="s">
        <v>2632</v>
      </c>
      <c r="C2601" s="1" t="s">
        <v>11</v>
      </c>
      <c r="D2601" s="1" t="s">
        <v>11</v>
      </c>
      <c r="E2601" s="1" t="s">
        <v>11</v>
      </c>
    </row>
    <row r="2602" spans="1:5" ht="15.75" customHeight="1">
      <c r="A2602" s="1">
        <v>580124</v>
      </c>
      <c r="B2602" s="1" t="s">
        <v>2633</v>
      </c>
      <c r="C2602" s="1" t="s">
        <v>11</v>
      </c>
      <c r="D2602" s="1" t="s">
        <v>11</v>
      </c>
      <c r="E2602" s="1" t="s">
        <v>11</v>
      </c>
    </row>
    <row r="2603" spans="1:5" ht="15.75" customHeight="1">
      <c r="A2603" s="1">
        <v>580125</v>
      </c>
      <c r="B2603" s="1" t="s">
        <v>2634</v>
      </c>
      <c r="C2603" s="1" t="s">
        <v>11</v>
      </c>
      <c r="D2603" s="1" t="s">
        <v>11</v>
      </c>
      <c r="E2603" s="1" t="s">
        <v>11</v>
      </c>
    </row>
    <row r="2604" spans="1:5" ht="15.75" customHeight="1">
      <c r="A2604" s="1">
        <v>580126</v>
      </c>
      <c r="B2604" s="1" t="s">
        <v>2635</v>
      </c>
      <c r="C2604" s="1" t="s">
        <v>11</v>
      </c>
      <c r="D2604" s="1" t="s">
        <v>11</v>
      </c>
      <c r="E2604" s="1" t="s">
        <v>11</v>
      </c>
    </row>
    <row r="2605" spans="1:5" ht="15.75" customHeight="1">
      <c r="A2605" s="1">
        <v>580131</v>
      </c>
      <c r="B2605" s="1" t="s">
        <v>2636</v>
      </c>
      <c r="C2605" s="1" t="s">
        <v>11</v>
      </c>
      <c r="D2605" s="1" t="s">
        <v>11</v>
      </c>
      <c r="E2605" s="1" t="s">
        <v>11</v>
      </c>
    </row>
    <row r="2606" spans="1:5" ht="15.75" customHeight="1">
      <c r="A2606" s="1">
        <v>580132</v>
      </c>
      <c r="B2606" s="1" t="s">
        <v>2637</v>
      </c>
      <c r="C2606" s="1" t="s">
        <v>11</v>
      </c>
      <c r="D2606" s="1" t="s">
        <v>11</v>
      </c>
      <c r="E2606" s="1" t="s">
        <v>11</v>
      </c>
    </row>
    <row r="2607" spans="1:5" ht="15.75" customHeight="1">
      <c r="A2607" s="1">
        <v>580133</v>
      </c>
      <c r="B2607" s="1" t="s">
        <v>2638</v>
      </c>
      <c r="C2607" s="1" t="s">
        <v>11</v>
      </c>
      <c r="D2607" s="1" t="s">
        <v>11</v>
      </c>
      <c r="E2607" s="1" t="s">
        <v>11</v>
      </c>
    </row>
    <row r="2608" spans="1:5" ht="15.75" customHeight="1">
      <c r="A2608" s="1">
        <v>580134</v>
      </c>
      <c r="B2608" s="1" t="s">
        <v>2639</v>
      </c>
      <c r="C2608" s="1" t="s">
        <v>11</v>
      </c>
      <c r="D2608" s="1" t="s">
        <v>11</v>
      </c>
      <c r="E2608" s="1" t="s">
        <v>11</v>
      </c>
    </row>
    <row r="2609" spans="1:5" ht="15.75" customHeight="1">
      <c r="A2609" s="1">
        <v>580135</v>
      </c>
      <c r="B2609" s="1" t="s">
        <v>2640</v>
      </c>
      <c r="C2609" s="1" t="s">
        <v>11</v>
      </c>
      <c r="D2609" s="1" t="s">
        <v>11</v>
      </c>
      <c r="E2609" s="1" t="s">
        <v>11</v>
      </c>
    </row>
    <row r="2610" spans="1:5" ht="15.75" customHeight="1">
      <c r="A2610" s="1">
        <v>580136</v>
      </c>
      <c r="B2610" s="1" t="s">
        <v>2641</v>
      </c>
      <c r="C2610" s="1" t="s">
        <v>11</v>
      </c>
      <c r="D2610" s="1" t="s">
        <v>11</v>
      </c>
      <c r="E2610" s="1" t="s">
        <v>11</v>
      </c>
    </row>
    <row r="2611" spans="1:5" ht="15.75" customHeight="1">
      <c r="A2611" s="1">
        <v>580190</v>
      </c>
      <c r="B2611" s="1" t="s">
        <v>2642</v>
      </c>
      <c r="C2611" s="1" t="s">
        <v>11</v>
      </c>
      <c r="D2611" s="1" t="s">
        <v>11</v>
      </c>
      <c r="E2611" s="1" t="s">
        <v>11</v>
      </c>
    </row>
    <row r="2612" spans="1:5" ht="15.75" customHeight="1">
      <c r="A2612" s="1">
        <v>580211</v>
      </c>
      <c r="B2612" s="1" t="s">
        <v>2643</v>
      </c>
      <c r="C2612" s="1" t="s">
        <v>11</v>
      </c>
      <c r="D2612" s="1" t="s">
        <v>11</v>
      </c>
      <c r="E2612" s="1" t="s">
        <v>11</v>
      </c>
    </row>
    <row r="2613" spans="1:5" ht="15.75" customHeight="1">
      <c r="A2613" s="1">
        <v>580219</v>
      </c>
      <c r="B2613" s="1" t="s">
        <v>2644</v>
      </c>
      <c r="C2613" s="1" t="s">
        <v>11</v>
      </c>
      <c r="D2613" s="1" t="s">
        <v>11</v>
      </c>
      <c r="E2613" s="1" t="s">
        <v>11</v>
      </c>
    </row>
    <row r="2614" spans="1:5" ht="15.75" customHeight="1">
      <c r="A2614" s="1">
        <v>580220</v>
      </c>
      <c r="B2614" s="1" t="s">
        <v>2645</v>
      </c>
      <c r="C2614" s="1" t="s">
        <v>11</v>
      </c>
      <c r="D2614" s="1" t="s">
        <v>11</v>
      </c>
      <c r="E2614" s="1" t="s">
        <v>11</v>
      </c>
    </row>
    <row r="2615" spans="1:5" ht="15.75" customHeight="1">
      <c r="A2615" s="1">
        <v>580230</v>
      </c>
      <c r="B2615" s="1" t="s">
        <v>2646</v>
      </c>
      <c r="C2615" s="1" t="s">
        <v>11</v>
      </c>
      <c r="D2615" s="1" t="s">
        <v>11</v>
      </c>
      <c r="E2615" s="1" t="s">
        <v>11</v>
      </c>
    </row>
    <row r="2616" spans="1:5" ht="15.75" customHeight="1">
      <c r="A2616" s="1">
        <v>580300</v>
      </c>
      <c r="B2616" s="1" t="s">
        <v>2647</v>
      </c>
      <c r="C2616" s="1" t="s">
        <v>11</v>
      </c>
      <c r="D2616" s="1" t="s">
        <v>11</v>
      </c>
      <c r="E2616" s="1" t="s">
        <v>11</v>
      </c>
    </row>
    <row r="2617" spans="1:5" ht="15.75" customHeight="1">
      <c r="A2617" s="1">
        <v>580410</v>
      </c>
      <c r="B2617" s="1" t="s">
        <v>2648</v>
      </c>
      <c r="C2617" s="1" t="s">
        <v>11</v>
      </c>
      <c r="D2617" s="1" t="s">
        <v>11</v>
      </c>
      <c r="E2617" s="1" t="s">
        <v>11</v>
      </c>
    </row>
    <row r="2618" spans="1:5" ht="15.75" customHeight="1">
      <c r="A2618" s="1">
        <v>580421</v>
      </c>
      <c r="B2618" s="1" t="s">
        <v>2649</v>
      </c>
      <c r="C2618" s="1" t="s">
        <v>11</v>
      </c>
      <c r="D2618" s="1" t="s">
        <v>11</v>
      </c>
      <c r="E2618" s="1" t="s">
        <v>11</v>
      </c>
    </row>
    <row r="2619" spans="1:5" ht="15.75" customHeight="1">
      <c r="A2619" s="1">
        <v>580429</v>
      </c>
      <c r="B2619" s="1" t="s">
        <v>2650</v>
      </c>
      <c r="C2619" s="1" t="s">
        <v>11</v>
      </c>
      <c r="D2619" s="1" t="s">
        <v>11</v>
      </c>
      <c r="E2619" s="1" t="s">
        <v>11</v>
      </c>
    </row>
    <row r="2620" spans="1:5" ht="15.75" customHeight="1">
      <c r="A2620" s="1">
        <v>580430</v>
      </c>
      <c r="B2620" s="1" t="s">
        <v>2651</v>
      </c>
      <c r="C2620" s="1" t="s">
        <v>11</v>
      </c>
      <c r="D2620" s="1" t="s">
        <v>11</v>
      </c>
      <c r="E2620" s="1" t="s">
        <v>11</v>
      </c>
    </row>
    <row r="2621" spans="1:5" ht="15.75" customHeight="1">
      <c r="A2621" s="1">
        <v>580500</v>
      </c>
      <c r="B2621" s="1" t="s">
        <v>2652</v>
      </c>
      <c r="C2621" s="1" t="s">
        <v>11</v>
      </c>
      <c r="D2621" s="1" t="s">
        <v>11</v>
      </c>
      <c r="E2621" s="1" t="s">
        <v>11</v>
      </c>
    </row>
    <row r="2622" spans="1:5" ht="15.75" customHeight="1">
      <c r="A2622" s="1">
        <v>580610</v>
      </c>
      <c r="B2622" s="1" t="s">
        <v>2653</v>
      </c>
      <c r="C2622" s="1" t="s">
        <v>11</v>
      </c>
      <c r="D2622" s="1" t="s">
        <v>11</v>
      </c>
      <c r="E2622" s="1" t="s">
        <v>11</v>
      </c>
    </row>
    <row r="2623" spans="1:5" ht="15.75" customHeight="1">
      <c r="A2623" s="1">
        <v>580620</v>
      </c>
      <c r="B2623" s="1" t="s">
        <v>2654</v>
      </c>
      <c r="C2623" s="1" t="s">
        <v>11</v>
      </c>
      <c r="D2623" s="1" t="s">
        <v>11</v>
      </c>
      <c r="E2623" s="1" t="s">
        <v>11</v>
      </c>
    </row>
    <row r="2624" spans="1:5" ht="15.75" customHeight="1">
      <c r="A2624" s="1">
        <v>580631</v>
      </c>
      <c r="B2624" s="1" t="s">
        <v>2655</v>
      </c>
      <c r="C2624" s="1" t="s">
        <v>11</v>
      </c>
      <c r="D2624" s="1" t="s">
        <v>11</v>
      </c>
      <c r="E2624" s="1" t="s">
        <v>11</v>
      </c>
    </row>
    <row r="2625" spans="1:5" ht="15.75" customHeight="1">
      <c r="A2625" s="1">
        <v>580632</v>
      </c>
      <c r="B2625" s="1" t="s">
        <v>2656</v>
      </c>
      <c r="C2625" s="1" t="s">
        <v>11</v>
      </c>
      <c r="D2625" s="1" t="s">
        <v>11</v>
      </c>
      <c r="E2625" s="1" t="s">
        <v>11</v>
      </c>
    </row>
    <row r="2626" spans="1:5" ht="15.75" customHeight="1">
      <c r="A2626" s="1">
        <v>580639</v>
      </c>
      <c r="B2626" s="1" t="s">
        <v>2657</v>
      </c>
      <c r="C2626" s="1" t="s">
        <v>11</v>
      </c>
      <c r="D2626" s="1" t="s">
        <v>11</v>
      </c>
      <c r="E2626" s="1" t="s">
        <v>11</v>
      </c>
    </row>
    <row r="2627" spans="1:5" ht="15.75" customHeight="1">
      <c r="A2627" s="1">
        <v>580640</v>
      </c>
      <c r="B2627" s="1" t="s">
        <v>2658</v>
      </c>
      <c r="C2627" s="1" t="s">
        <v>11</v>
      </c>
      <c r="D2627" s="1" t="s">
        <v>11</v>
      </c>
      <c r="E2627" s="1" t="s">
        <v>11</v>
      </c>
    </row>
    <row r="2628" spans="1:5" ht="15.75" customHeight="1">
      <c r="A2628" s="1">
        <v>580710</v>
      </c>
      <c r="B2628" s="1" t="s">
        <v>2659</v>
      </c>
      <c r="C2628" s="1" t="s">
        <v>11</v>
      </c>
      <c r="D2628" s="1" t="s">
        <v>11</v>
      </c>
      <c r="E2628" s="1" t="s">
        <v>11</v>
      </c>
    </row>
    <row r="2629" spans="1:5" ht="15.75" customHeight="1">
      <c r="A2629" s="1">
        <v>580790</v>
      </c>
      <c r="B2629" s="1" t="s">
        <v>2660</v>
      </c>
      <c r="C2629" s="1" t="s">
        <v>11</v>
      </c>
      <c r="D2629" s="1" t="s">
        <v>11</v>
      </c>
      <c r="E2629" s="1" t="s">
        <v>11</v>
      </c>
    </row>
    <row r="2630" spans="1:5" ht="15.75" customHeight="1">
      <c r="A2630" s="1">
        <v>580810</v>
      </c>
      <c r="B2630" s="1" t="s">
        <v>2661</v>
      </c>
      <c r="C2630" s="1" t="s">
        <v>11</v>
      </c>
      <c r="D2630" s="1" t="s">
        <v>11</v>
      </c>
      <c r="E2630" s="1" t="s">
        <v>11</v>
      </c>
    </row>
    <row r="2631" spans="1:5" ht="15.75" customHeight="1">
      <c r="A2631" s="1">
        <v>580890</v>
      </c>
      <c r="B2631" s="1" t="s">
        <v>2662</v>
      </c>
      <c r="C2631" s="1" t="s">
        <v>11</v>
      </c>
      <c r="D2631" s="1" t="s">
        <v>11</v>
      </c>
      <c r="E2631" s="1" t="s">
        <v>11</v>
      </c>
    </row>
    <row r="2632" spans="1:5" ht="15.75" customHeight="1">
      <c r="A2632" s="1">
        <v>580900</v>
      </c>
      <c r="B2632" s="1" t="s">
        <v>2663</v>
      </c>
      <c r="C2632" s="1" t="s">
        <v>11</v>
      </c>
      <c r="D2632" s="1" t="s">
        <v>11</v>
      </c>
      <c r="E2632" s="1" t="s">
        <v>11</v>
      </c>
    </row>
    <row r="2633" spans="1:5" ht="15.75" customHeight="1">
      <c r="A2633" s="1">
        <v>581010</v>
      </c>
      <c r="B2633" s="1" t="s">
        <v>2664</v>
      </c>
      <c r="C2633" s="1" t="s">
        <v>11</v>
      </c>
      <c r="D2633" s="1" t="s">
        <v>11</v>
      </c>
      <c r="E2633" s="1" t="s">
        <v>11</v>
      </c>
    </row>
    <row r="2634" spans="1:5" ht="15.75" customHeight="1">
      <c r="A2634" s="1">
        <v>581091</v>
      </c>
      <c r="B2634" s="1" t="s">
        <v>2665</v>
      </c>
      <c r="C2634" s="1" t="s">
        <v>11</v>
      </c>
      <c r="D2634" s="1" t="s">
        <v>11</v>
      </c>
      <c r="E2634" s="1" t="s">
        <v>11</v>
      </c>
    </row>
    <row r="2635" spans="1:5" ht="15.75" customHeight="1">
      <c r="A2635" s="1">
        <v>581092</v>
      </c>
      <c r="B2635" s="1" t="s">
        <v>2666</v>
      </c>
      <c r="C2635" s="1" t="s">
        <v>11</v>
      </c>
      <c r="D2635" s="1" t="s">
        <v>11</v>
      </c>
      <c r="E2635" s="1" t="s">
        <v>11</v>
      </c>
    </row>
    <row r="2636" spans="1:5" ht="15.75" customHeight="1">
      <c r="A2636" s="1">
        <v>581099</v>
      </c>
      <c r="B2636" s="1" t="s">
        <v>2667</v>
      </c>
      <c r="C2636" s="1" t="s">
        <v>11</v>
      </c>
      <c r="D2636" s="1" t="s">
        <v>11</v>
      </c>
      <c r="E2636" s="1" t="s">
        <v>11</v>
      </c>
    </row>
    <row r="2637" spans="1:5" ht="15.75" customHeight="1">
      <c r="A2637" s="1">
        <v>581100</v>
      </c>
      <c r="B2637" s="1" t="s">
        <v>2668</v>
      </c>
      <c r="C2637" s="1" t="s">
        <v>11</v>
      </c>
      <c r="D2637" s="1" t="s">
        <v>11</v>
      </c>
      <c r="E2637" s="1" t="s">
        <v>11</v>
      </c>
    </row>
    <row r="2638" spans="1:5" ht="15.75" customHeight="1">
      <c r="A2638" s="1">
        <v>590110</v>
      </c>
      <c r="B2638" s="1" t="s">
        <v>2669</v>
      </c>
      <c r="C2638" s="1" t="s">
        <v>11</v>
      </c>
      <c r="D2638" s="1" t="s">
        <v>11</v>
      </c>
      <c r="E2638" s="1" t="s">
        <v>11</v>
      </c>
    </row>
    <row r="2639" spans="1:5" ht="15.75" customHeight="1">
      <c r="A2639" s="1">
        <v>590190</v>
      </c>
      <c r="B2639" s="1" t="s">
        <v>2670</v>
      </c>
      <c r="C2639" s="1" t="s">
        <v>11</v>
      </c>
      <c r="D2639" s="1" t="s">
        <v>11</v>
      </c>
      <c r="E2639" s="1" t="s">
        <v>11</v>
      </c>
    </row>
    <row r="2640" spans="1:5" ht="15.75" customHeight="1">
      <c r="A2640" s="1">
        <v>590210</v>
      </c>
      <c r="B2640" s="1" t="s">
        <v>2671</v>
      </c>
      <c r="C2640" s="1" t="s">
        <v>11</v>
      </c>
      <c r="D2640" s="1" t="s">
        <v>11</v>
      </c>
      <c r="E2640" s="1" t="s">
        <v>11</v>
      </c>
    </row>
    <row r="2641" spans="1:5" ht="15.75" customHeight="1">
      <c r="A2641" s="1">
        <v>590220</v>
      </c>
      <c r="B2641" s="1" t="s">
        <v>2672</v>
      </c>
      <c r="C2641" s="1" t="s">
        <v>11</v>
      </c>
      <c r="D2641" s="1" t="s">
        <v>11</v>
      </c>
      <c r="E2641" s="1" t="s">
        <v>11</v>
      </c>
    </row>
    <row r="2642" spans="1:5" ht="15.75" customHeight="1">
      <c r="A2642" s="1">
        <v>590290</v>
      </c>
      <c r="B2642" s="1" t="s">
        <v>2673</v>
      </c>
      <c r="C2642" s="1" t="s">
        <v>11</v>
      </c>
      <c r="D2642" s="1" t="s">
        <v>11</v>
      </c>
      <c r="E2642" s="1" t="s">
        <v>11</v>
      </c>
    </row>
    <row r="2643" spans="1:5" ht="15.75" customHeight="1">
      <c r="A2643" s="1">
        <v>590310</v>
      </c>
      <c r="B2643" s="1" t="s">
        <v>2674</v>
      </c>
      <c r="C2643" s="1" t="s">
        <v>11</v>
      </c>
      <c r="D2643" s="1" t="s">
        <v>11</v>
      </c>
      <c r="E2643" s="1" t="s">
        <v>11</v>
      </c>
    </row>
    <row r="2644" spans="1:5" ht="15.75" customHeight="1">
      <c r="A2644" s="1">
        <v>590320</v>
      </c>
      <c r="B2644" s="1" t="s">
        <v>2675</v>
      </c>
      <c r="C2644" s="1" t="s">
        <v>11</v>
      </c>
      <c r="D2644" s="1" t="s">
        <v>11</v>
      </c>
      <c r="E2644" s="1" t="s">
        <v>11</v>
      </c>
    </row>
    <row r="2645" spans="1:5" ht="15.75" customHeight="1">
      <c r="A2645" s="1">
        <v>590390</v>
      </c>
      <c r="B2645" s="1" t="s">
        <v>2676</v>
      </c>
      <c r="C2645" s="1" t="s">
        <v>11</v>
      </c>
      <c r="D2645" s="1" t="s">
        <v>11</v>
      </c>
      <c r="E2645" s="1" t="s">
        <v>11</v>
      </c>
    </row>
    <row r="2646" spans="1:5" ht="15.75" customHeight="1">
      <c r="A2646" s="1">
        <v>590410</v>
      </c>
      <c r="B2646" s="1" t="s">
        <v>2677</v>
      </c>
      <c r="C2646" s="1" t="s">
        <v>11</v>
      </c>
      <c r="D2646" s="1" t="s">
        <v>11</v>
      </c>
      <c r="E2646" s="1" t="s">
        <v>11</v>
      </c>
    </row>
    <row r="2647" spans="1:5" ht="15.75" customHeight="1">
      <c r="A2647" s="1">
        <v>590490</v>
      </c>
      <c r="B2647" s="1" t="s">
        <v>2678</v>
      </c>
      <c r="C2647" s="1" t="s">
        <v>11</v>
      </c>
      <c r="D2647" s="1" t="s">
        <v>11</v>
      </c>
      <c r="E2647" s="1" t="s">
        <v>11</v>
      </c>
    </row>
    <row r="2648" spans="1:5" ht="15.75" customHeight="1">
      <c r="A2648" s="1">
        <v>590500</v>
      </c>
      <c r="B2648" s="1" t="s">
        <v>2679</v>
      </c>
      <c r="C2648" s="1" t="s">
        <v>11</v>
      </c>
      <c r="D2648" s="1" t="s">
        <v>11</v>
      </c>
      <c r="E2648" s="1" t="s">
        <v>11</v>
      </c>
    </row>
    <row r="2649" spans="1:5" ht="15.75" customHeight="1">
      <c r="A2649" s="1">
        <v>590610</v>
      </c>
      <c r="B2649" s="1" t="s">
        <v>2680</v>
      </c>
      <c r="C2649" s="1" t="s">
        <v>11</v>
      </c>
      <c r="D2649" s="1" t="s">
        <v>11</v>
      </c>
      <c r="E2649" s="1" t="s">
        <v>11</v>
      </c>
    </row>
    <row r="2650" spans="1:5" ht="15.75" customHeight="1">
      <c r="A2650" s="1">
        <v>590691</v>
      </c>
      <c r="B2650" s="1" t="s">
        <v>2681</v>
      </c>
      <c r="C2650" s="1" t="s">
        <v>11</v>
      </c>
      <c r="D2650" s="1" t="s">
        <v>11</v>
      </c>
      <c r="E2650" s="1" t="s">
        <v>11</v>
      </c>
    </row>
    <row r="2651" spans="1:5" ht="15.75" customHeight="1">
      <c r="A2651" s="1">
        <v>590699</v>
      </c>
      <c r="B2651" s="1" t="s">
        <v>2682</v>
      </c>
      <c r="C2651" s="1" t="s">
        <v>11</v>
      </c>
      <c r="D2651" s="1" t="s">
        <v>11</v>
      </c>
      <c r="E2651" s="1" t="s">
        <v>11</v>
      </c>
    </row>
    <row r="2652" spans="1:5" ht="15.75" customHeight="1">
      <c r="A2652" s="1">
        <v>590700</v>
      </c>
      <c r="B2652" s="1" t="s">
        <v>2683</v>
      </c>
      <c r="C2652" s="1" t="s">
        <v>11</v>
      </c>
      <c r="D2652" s="1" t="s">
        <v>11</v>
      </c>
      <c r="E2652" s="1" t="s">
        <v>11</v>
      </c>
    </row>
    <row r="2653" spans="1:5" ht="15.75" customHeight="1">
      <c r="A2653" s="1">
        <v>590800</v>
      </c>
      <c r="B2653" s="1" t="s">
        <v>2684</v>
      </c>
      <c r="C2653" s="1" t="s">
        <v>11</v>
      </c>
      <c r="D2653" s="1" t="s">
        <v>11</v>
      </c>
      <c r="E2653" s="1" t="s">
        <v>11</v>
      </c>
    </row>
    <row r="2654" spans="1:5" ht="15.75" customHeight="1">
      <c r="A2654" s="1">
        <v>590900</v>
      </c>
      <c r="B2654" s="1" t="s">
        <v>2685</v>
      </c>
      <c r="C2654" s="1" t="s">
        <v>11</v>
      </c>
      <c r="D2654" s="1" t="s">
        <v>11</v>
      </c>
      <c r="E2654" s="1" t="s">
        <v>11</v>
      </c>
    </row>
    <row r="2655" spans="1:5" ht="15.75" customHeight="1">
      <c r="A2655" s="1">
        <v>591000</v>
      </c>
      <c r="B2655" s="1" t="s">
        <v>2686</v>
      </c>
      <c r="C2655" s="1" t="s">
        <v>11</v>
      </c>
      <c r="D2655" s="1" t="s">
        <v>11</v>
      </c>
      <c r="E2655" s="1" t="s">
        <v>11</v>
      </c>
    </row>
    <row r="2656" spans="1:5" ht="15.75" customHeight="1">
      <c r="A2656" s="1">
        <v>591110</v>
      </c>
      <c r="B2656" s="1" t="s">
        <v>2687</v>
      </c>
      <c r="C2656" s="1" t="s">
        <v>11</v>
      </c>
      <c r="D2656" s="1" t="s">
        <v>11</v>
      </c>
      <c r="E2656" s="1" t="s">
        <v>11</v>
      </c>
    </row>
    <row r="2657" spans="1:5" ht="15.75" customHeight="1">
      <c r="A2657" s="1">
        <v>591120</v>
      </c>
      <c r="B2657" s="1" t="s">
        <v>2688</v>
      </c>
      <c r="C2657" s="1" t="s">
        <v>11</v>
      </c>
      <c r="D2657" s="1" t="s">
        <v>11</v>
      </c>
      <c r="E2657" s="1" t="s">
        <v>11</v>
      </c>
    </row>
    <row r="2658" spans="1:5" ht="15.75" customHeight="1">
      <c r="A2658" s="1">
        <v>591131</v>
      </c>
      <c r="B2658" s="1" t="s">
        <v>2689</v>
      </c>
      <c r="C2658" s="1" t="s">
        <v>11</v>
      </c>
      <c r="D2658" s="1" t="s">
        <v>11</v>
      </c>
      <c r="E2658" s="1" t="s">
        <v>11</v>
      </c>
    </row>
    <row r="2659" spans="1:5" ht="15.75" customHeight="1">
      <c r="A2659" s="1">
        <v>591132</v>
      </c>
      <c r="B2659" s="1" t="s">
        <v>2690</v>
      </c>
      <c r="C2659" s="1" t="s">
        <v>11</v>
      </c>
      <c r="D2659" s="1" t="s">
        <v>11</v>
      </c>
      <c r="E2659" s="1" t="s">
        <v>11</v>
      </c>
    </row>
    <row r="2660" spans="1:5" ht="15.75" customHeight="1">
      <c r="A2660" s="1">
        <v>591140</v>
      </c>
      <c r="B2660" s="1" t="s">
        <v>2691</v>
      </c>
      <c r="C2660" s="1" t="s">
        <v>11</v>
      </c>
      <c r="D2660" s="1" t="s">
        <v>11</v>
      </c>
      <c r="E2660" s="1" t="s">
        <v>11</v>
      </c>
    </row>
    <row r="2661" spans="1:5" ht="15.75" customHeight="1">
      <c r="A2661" s="1">
        <v>591190</v>
      </c>
      <c r="B2661" s="1" t="s">
        <v>2692</v>
      </c>
      <c r="C2661" s="1" t="s">
        <v>11</v>
      </c>
      <c r="D2661" s="1" t="s">
        <v>11</v>
      </c>
      <c r="E2661" s="1" t="s">
        <v>11</v>
      </c>
    </row>
    <row r="2662" spans="1:5" ht="15.75" customHeight="1">
      <c r="A2662" s="1">
        <v>600110</v>
      </c>
      <c r="B2662" s="1" t="s">
        <v>2693</v>
      </c>
      <c r="C2662" s="1" t="s">
        <v>11</v>
      </c>
      <c r="D2662" s="1" t="s">
        <v>11</v>
      </c>
      <c r="E2662" s="1" t="s">
        <v>11</v>
      </c>
    </row>
    <row r="2663" spans="1:5" ht="15.75" customHeight="1">
      <c r="A2663" s="1">
        <v>600121</v>
      </c>
      <c r="B2663" s="1" t="s">
        <v>2694</v>
      </c>
      <c r="C2663" s="1" t="s">
        <v>11</v>
      </c>
      <c r="D2663" s="1" t="s">
        <v>11</v>
      </c>
      <c r="E2663" s="1" t="s">
        <v>11</v>
      </c>
    </row>
    <row r="2664" spans="1:5" ht="15.75" customHeight="1">
      <c r="A2664" s="1">
        <v>600122</v>
      </c>
      <c r="B2664" s="1" t="s">
        <v>2695</v>
      </c>
      <c r="C2664" s="1" t="s">
        <v>11</v>
      </c>
      <c r="D2664" s="1" t="s">
        <v>11</v>
      </c>
      <c r="E2664" s="1" t="s">
        <v>11</v>
      </c>
    </row>
    <row r="2665" spans="1:5" ht="15.75" customHeight="1">
      <c r="A2665" s="1">
        <v>600129</v>
      </c>
      <c r="B2665" s="1" t="s">
        <v>2696</v>
      </c>
      <c r="C2665" s="1" t="s">
        <v>11</v>
      </c>
      <c r="D2665" s="1" t="s">
        <v>11</v>
      </c>
      <c r="E2665" s="1" t="s">
        <v>11</v>
      </c>
    </row>
    <row r="2666" spans="1:5" ht="15.75" customHeight="1">
      <c r="A2666" s="1">
        <v>600191</v>
      </c>
      <c r="B2666" s="1" t="s">
        <v>2697</v>
      </c>
      <c r="C2666" s="1" t="s">
        <v>11</v>
      </c>
      <c r="D2666" s="1" t="s">
        <v>11</v>
      </c>
      <c r="E2666" s="1" t="s">
        <v>11</v>
      </c>
    </row>
    <row r="2667" spans="1:5" ht="15.75" customHeight="1">
      <c r="A2667" s="1">
        <v>600192</v>
      </c>
      <c r="B2667" s="1" t="s">
        <v>2698</v>
      </c>
      <c r="C2667" s="1" t="s">
        <v>11</v>
      </c>
      <c r="D2667" s="1" t="s">
        <v>11</v>
      </c>
      <c r="E2667" s="1" t="s">
        <v>11</v>
      </c>
    </row>
    <row r="2668" spans="1:5" ht="15.75" customHeight="1">
      <c r="A2668" s="1">
        <v>600199</v>
      </c>
      <c r="B2668" s="1" t="s">
        <v>2699</v>
      </c>
      <c r="C2668" s="1" t="s">
        <v>11</v>
      </c>
      <c r="D2668" s="1" t="s">
        <v>11</v>
      </c>
      <c r="E2668" s="1" t="s">
        <v>11</v>
      </c>
    </row>
    <row r="2669" spans="1:5" ht="15.75" customHeight="1">
      <c r="A2669" s="1">
        <v>600240</v>
      </c>
      <c r="B2669" s="1" t="s">
        <v>2700</v>
      </c>
      <c r="C2669" s="1" t="s">
        <v>11</v>
      </c>
      <c r="D2669" s="1" t="s">
        <v>11</v>
      </c>
      <c r="E2669" s="1" t="s">
        <v>11</v>
      </c>
    </row>
    <row r="2670" spans="1:5" ht="15.75" customHeight="1">
      <c r="A2670" s="1">
        <v>600290</v>
      </c>
      <c r="B2670" s="1" t="s">
        <v>2701</v>
      </c>
      <c r="C2670" s="1" t="s">
        <v>11</v>
      </c>
      <c r="D2670" s="1" t="s">
        <v>11</v>
      </c>
      <c r="E2670" s="1" t="s">
        <v>11</v>
      </c>
    </row>
    <row r="2671" spans="1:5" ht="15.75" customHeight="1">
      <c r="A2671" s="1">
        <v>600310</v>
      </c>
      <c r="B2671" s="1" t="s">
        <v>2702</v>
      </c>
      <c r="C2671" s="1" t="s">
        <v>11</v>
      </c>
      <c r="D2671" s="1" t="s">
        <v>11</v>
      </c>
      <c r="E2671" s="1" t="s">
        <v>11</v>
      </c>
    </row>
    <row r="2672" spans="1:5" ht="15.75" customHeight="1">
      <c r="A2672" s="1">
        <v>600320</v>
      </c>
      <c r="B2672" s="1" t="s">
        <v>2703</v>
      </c>
      <c r="C2672" s="1" t="s">
        <v>11</v>
      </c>
      <c r="D2672" s="1" t="s">
        <v>11</v>
      </c>
      <c r="E2672" s="1" t="s">
        <v>11</v>
      </c>
    </row>
    <row r="2673" spans="1:5" ht="15.75" customHeight="1">
      <c r="A2673" s="1">
        <v>600330</v>
      </c>
      <c r="B2673" s="1" t="s">
        <v>2704</v>
      </c>
      <c r="C2673" s="1" t="s">
        <v>11</v>
      </c>
      <c r="D2673" s="1" t="s">
        <v>11</v>
      </c>
      <c r="E2673" s="1" t="s">
        <v>11</v>
      </c>
    </row>
    <row r="2674" spans="1:5" ht="15.75" customHeight="1">
      <c r="A2674" s="1">
        <v>600340</v>
      </c>
      <c r="B2674" s="1" t="s">
        <v>2705</v>
      </c>
      <c r="C2674" s="1" t="s">
        <v>11</v>
      </c>
      <c r="D2674" s="1" t="s">
        <v>11</v>
      </c>
      <c r="E2674" s="1" t="s">
        <v>11</v>
      </c>
    </row>
    <row r="2675" spans="1:5" ht="15.75" customHeight="1">
      <c r="A2675" s="1">
        <v>600390</v>
      </c>
      <c r="B2675" s="1" t="s">
        <v>2706</v>
      </c>
      <c r="C2675" s="1" t="s">
        <v>11</v>
      </c>
      <c r="D2675" s="1" t="s">
        <v>11</v>
      </c>
      <c r="E2675" s="1" t="s">
        <v>11</v>
      </c>
    </row>
    <row r="2676" spans="1:5" ht="15.75" customHeight="1">
      <c r="A2676" s="1">
        <v>600410</v>
      </c>
      <c r="B2676" s="1" t="s">
        <v>2707</v>
      </c>
      <c r="C2676" s="1" t="s">
        <v>11</v>
      </c>
      <c r="D2676" s="1" t="s">
        <v>11</v>
      </c>
      <c r="E2676" s="1" t="s">
        <v>11</v>
      </c>
    </row>
    <row r="2677" spans="1:5" ht="15.75" customHeight="1">
      <c r="A2677" s="1">
        <v>600490</v>
      </c>
      <c r="B2677" s="1" t="s">
        <v>2708</v>
      </c>
      <c r="C2677" s="1" t="s">
        <v>11</v>
      </c>
      <c r="D2677" s="1" t="s">
        <v>11</v>
      </c>
      <c r="E2677" s="1" t="s">
        <v>11</v>
      </c>
    </row>
    <row r="2678" spans="1:5" ht="15.75" customHeight="1">
      <c r="A2678" s="1">
        <v>600521</v>
      </c>
      <c r="B2678" s="1" t="s">
        <v>2709</v>
      </c>
      <c r="C2678" s="1" t="s">
        <v>11</v>
      </c>
      <c r="D2678" s="1" t="s">
        <v>11</v>
      </c>
      <c r="E2678" s="1" t="s">
        <v>11</v>
      </c>
    </row>
    <row r="2679" spans="1:5" ht="15.75" customHeight="1">
      <c r="A2679" s="1">
        <v>600522</v>
      </c>
      <c r="B2679" s="1" t="s">
        <v>2710</v>
      </c>
      <c r="C2679" s="1" t="s">
        <v>11</v>
      </c>
      <c r="D2679" s="1" t="s">
        <v>11</v>
      </c>
      <c r="E2679" s="1" t="s">
        <v>11</v>
      </c>
    </row>
    <row r="2680" spans="1:5" ht="15.75" customHeight="1">
      <c r="A2680" s="1">
        <v>600523</v>
      </c>
      <c r="B2680" s="1" t="s">
        <v>2711</v>
      </c>
      <c r="C2680" s="1" t="s">
        <v>11</v>
      </c>
      <c r="D2680" s="1" t="s">
        <v>11</v>
      </c>
      <c r="E2680" s="1" t="s">
        <v>11</v>
      </c>
    </row>
    <row r="2681" spans="1:5" ht="15.75" customHeight="1">
      <c r="A2681" s="1">
        <v>600524</v>
      </c>
      <c r="B2681" s="1" t="s">
        <v>2712</v>
      </c>
      <c r="C2681" s="1" t="s">
        <v>11</v>
      </c>
      <c r="D2681" s="1" t="s">
        <v>11</v>
      </c>
      <c r="E2681" s="1" t="s">
        <v>11</v>
      </c>
    </row>
    <row r="2682" spans="1:5" ht="15.75" customHeight="1">
      <c r="A2682" s="1">
        <v>600531</v>
      </c>
      <c r="B2682" s="1" t="s">
        <v>2713</v>
      </c>
      <c r="C2682" s="1" t="s">
        <v>11</v>
      </c>
      <c r="D2682" s="1" t="s">
        <v>11</v>
      </c>
      <c r="E2682" s="1" t="s">
        <v>11</v>
      </c>
    </row>
    <row r="2683" spans="1:5" ht="15.75" customHeight="1">
      <c r="A2683" s="1">
        <v>600532</v>
      </c>
      <c r="B2683" s="1" t="s">
        <v>2714</v>
      </c>
      <c r="C2683" s="1" t="s">
        <v>11</v>
      </c>
      <c r="D2683" s="1" t="s">
        <v>11</v>
      </c>
      <c r="E2683" s="1" t="s">
        <v>11</v>
      </c>
    </row>
    <row r="2684" spans="1:5" ht="15.75" customHeight="1">
      <c r="A2684" s="1">
        <v>600533</v>
      </c>
      <c r="B2684" s="1" t="s">
        <v>2715</v>
      </c>
      <c r="C2684" s="1" t="s">
        <v>11</v>
      </c>
      <c r="D2684" s="1" t="s">
        <v>11</v>
      </c>
      <c r="E2684" s="1" t="s">
        <v>11</v>
      </c>
    </row>
    <row r="2685" spans="1:5" ht="15.75" customHeight="1">
      <c r="A2685" s="1">
        <v>600534</v>
      </c>
      <c r="B2685" s="1" t="s">
        <v>2716</v>
      </c>
      <c r="C2685" s="1" t="s">
        <v>11</v>
      </c>
      <c r="D2685" s="1" t="s">
        <v>11</v>
      </c>
      <c r="E2685" s="1" t="s">
        <v>11</v>
      </c>
    </row>
    <row r="2686" spans="1:5" ht="15.75" customHeight="1">
      <c r="A2686" s="1">
        <v>600541</v>
      </c>
      <c r="B2686" s="1" t="s">
        <v>2717</v>
      </c>
      <c r="C2686" s="1" t="s">
        <v>11</v>
      </c>
      <c r="D2686" s="1" t="s">
        <v>11</v>
      </c>
      <c r="E2686" s="1" t="s">
        <v>11</v>
      </c>
    </row>
    <row r="2687" spans="1:5" ht="15.75" customHeight="1">
      <c r="A2687" s="1">
        <v>600542</v>
      </c>
      <c r="B2687" s="1" t="s">
        <v>2718</v>
      </c>
      <c r="C2687" s="1" t="s">
        <v>11</v>
      </c>
      <c r="D2687" s="1" t="s">
        <v>11</v>
      </c>
      <c r="E2687" s="1" t="s">
        <v>11</v>
      </c>
    </row>
    <row r="2688" spans="1:5" ht="15.75" customHeight="1">
      <c r="A2688" s="1">
        <v>600543</v>
      </c>
      <c r="B2688" s="1" t="s">
        <v>2719</v>
      </c>
      <c r="C2688" s="1" t="s">
        <v>11</v>
      </c>
      <c r="D2688" s="1" t="s">
        <v>11</v>
      </c>
      <c r="E2688" s="1" t="s">
        <v>11</v>
      </c>
    </row>
    <row r="2689" spans="1:5" ht="15.75" customHeight="1">
      <c r="A2689" s="1">
        <v>600544</v>
      </c>
      <c r="B2689" s="1" t="s">
        <v>2720</v>
      </c>
      <c r="C2689" s="1" t="s">
        <v>11</v>
      </c>
      <c r="D2689" s="1" t="s">
        <v>11</v>
      </c>
      <c r="E2689" s="1" t="s">
        <v>11</v>
      </c>
    </row>
    <row r="2690" spans="1:5" ht="15.75" customHeight="1">
      <c r="A2690" s="1">
        <v>600590</v>
      </c>
      <c r="B2690" s="1" t="s">
        <v>2721</v>
      </c>
      <c r="C2690" s="1" t="s">
        <v>11</v>
      </c>
      <c r="D2690" s="1" t="s">
        <v>11</v>
      </c>
      <c r="E2690" s="1" t="s">
        <v>11</v>
      </c>
    </row>
    <row r="2691" spans="1:5" ht="15.75" customHeight="1">
      <c r="A2691" s="1">
        <v>600610</v>
      </c>
      <c r="B2691" s="1" t="s">
        <v>2722</v>
      </c>
      <c r="C2691" s="1" t="s">
        <v>11</v>
      </c>
      <c r="D2691" s="1" t="s">
        <v>11</v>
      </c>
      <c r="E2691" s="1" t="s">
        <v>11</v>
      </c>
    </row>
    <row r="2692" spans="1:5" ht="15.75" customHeight="1">
      <c r="A2692" s="1">
        <v>600621</v>
      </c>
      <c r="B2692" s="1" t="s">
        <v>2723</v>
      </c>
      <c r="C2692" s="1" t="s">
        <v>11</v>
      </c>
      <c r="D2692" s="1" t="s">
        <v>11</v>
      </c>
      <c r="E2692" s="1" t="s">
        <v>11</v>
      </c>
    </row>
    <row r="2693" spans="1:5" ht="15.75" customHeight="1">
      <c r="A2693" s="1">
        <v>600622</v>
      </c>
      <c r="B2693" s="1" t="s">
        <v>2724</v>
      </c>
      <c r="C2693" s="1" t="s">
        <v>11</v>
      </c>
      <c r="D2693" s="1" t="s">
        <v>11</v>
      </c>
      <c r="E2693" s="1" t="s">
        <v>11</v>
      </c>
    </row>
    <row r="2694" spans="1:5" ht="15.75" customHeight="1">
      <c r="A2694" s="1">
        <v>600623</v>
      </c>
      <c r="B2694" s="1" t="s">
        <v>2725</v>
      </c>
      <c r="C2694" s="1" t="s">
        <v>11</v>
      </c>
      <c r="D2694" s="1" t="s">
        <v>11</v>
      </c>
      <c r="E2694" s="1" t="s">
        <v>11</v>
      </c>
    </row>
    <row r="2695" spans="1:5" ht="15.75" customHeight="1">
      <c r="A2695" s="1">
        <v>600624</v>
      </c>
      <c r="B2695" s="1" t="s">
        <v>2726</v>
      </c>
      <c r="C2695" s="1" t="s">
        <v>11</v>
      </c>
      <c r="D2695" s="1" t="s">
        <v>11</v>
      </c>
      <c r="E2695" s="1" t="s">
        <v>11</v>
      </c>
    </row>
    <row r="2696" spans="1:5" ht="15.75" customHeight="1">
      <c r="A2696" s="1">
        <v>600631</v>
      </c>
      <c r="B2696" s="1" t="s">
        <v>2727</v>
      </c>
      <c r="C2696" s="1" t="s">
        <v>11</v>
      </c>
      <c r="D2696" s="1" t="s">
        <v>11</v>
      </c>
      <c r="E2696" s="1" t="s">
        <v>11</v>
      </c>
    </row>
    <row r="2697" spans="1:5" ht="15.75" customHeight="1">
      <c r="A2697" s="1">
        <v>600632</v>
      </c>
      <c r="B2697" s="1" t="s">
        <v>2728</v>
      </c>
      <c r="C2697" s="1" t="s">
        <v>11</v>
      </c>
      <c r="D2697" s="1" t="s">
        <v>11</v>
      </c>
      <c r="E2697" s="1" t="s">
        <v>11</v>
      </c>
    </row>
    <row r="2698" spans="1:5" ht="15.75" customHeight="1">
      <c r="A2698" s="1">
        <v>600633</v>
      </c>
      <c r="B2698" s="1" t="s">
        <v>2729</v>
      </c>
      <c r="C2698" s="1" t="s">
        <v>11</v>
      </c>
      <c r="D2698" s="1" t="s">
        <v>11</v>
      </c>
      <c r="E2698" s="1" t="s">
        <v>11</v>
      </c>
    </row>
    <row r="2699" spans="1:5" ht="15.75" customHeight="1">
      <c r="A2699" s="1">
        <v>600634</v>
      </c>
      <c r="B2699" s="1" t="s">
        <v>2730</v>
      </c>
      <c r="C2699" s="1" t="s">
        <v>11</v>
      </c>
      <c r="D2699" s="1" t="s">
        <v>11</v>
      </c>
      <c r="E2699" s="1" t="s">
        <v>11</v>
      </c>
    </row>
    <row r="2700" spans="1:5" ht="15.75" customHeight="1">
      <c r="A2700" s="1">
        <v>600641</v>
      </c>
      <c r="B2700" s="1" t="s">
        <v>2731</v>
      </c>
      <c r="C2700" s="1" t="s">
        <v>11</v>
      </c>
      <c r="D2700" s="1" t="s">
        <v>11</v>
      </c>
      <c r="E2700" s="1" t="s">
        <v>11</v>
      </c>
    </row>
    <row r="2701" spans="1:5" ht="15.75" customHeight="1">
      <c r="A2701" s="1">
        <v>600642</v>
      </c>
      <c r="B2701" s="1" t="s">
        <v>2732</v>
      </c>
      <c r="C2701" s="1" t="s">
        <v>11</v>
      </c>
      <c r="D2701" s="1" t="s">
        <v>11</v>
      </c>
      <c r="E2701" s="1" t="s">
        <v>11</v>
      </c>
    </row>
    <row r="2702" spans="1:5" ht="15.75" customHeight="1">
      <c r="A2702" s="1">
        <v>600643</v>
      </c>
      <c r="B2702" s="1" t="s">
        <v>2733</v>
      </c>
      <c r="C2702" s="1" t="s">
        <v>11</v>
      </c>
      <c r="D2702" s="1" t="s">
        <v>11</v>
      </c>
      <c r="E2702" s="1" t="s">
        <v>11</v>
      </c>
    </row>
    <row r="2703" spans="1:5" ht="15.75" customHeight="1">
      <c r="A2703" s="1">
        <v>600644</v>
      </c>
      <c r="B2703" s="1" t="s">
        <v>2734</v>
      </c>
      <c r="C2703" s="1" t="s">
        <v>11</v>
      </c>
      <c r="D2703" s="1" t="s">
        <v>11</v>
      </c>
      <c r="E2703" s="1" t="s">
        <v>11</v>
      </c>
    </row>
    <row r="2704" spans="1:5" ht="15.75" customHeight="1">
      <c r="A2704" s="1">
        <v>600690</v>
      </c>
      <c r="B2704" s="1" t="s">
        <v>2735</v>
      </c>
      <c r="C2704" s="1" t="s">
        <v>11</v>
      </c>
      <c r="D2704" s="1" t="s">
        <v>11</v>
      </c>
      <c r="E2704" s="1" t="s">
        <v>11</v>
      </c>
    </row>
    <row r="2705" spans="1:5" ht="15.75" customHeight="1">
      <c r="A2705" s="1">
        <v>610120</v>
      </c>
      <c r="B2705" s="1" t="s">
        <v>2736</v>
      </c>
      <c r="C2705" s="1" t="s">
        <v>11</v>
      </c>
      <c r="D2705" s="1" t="s">
        <v>11</v>
      </c>
      <c r="E2705" s="1" t="s">
        <v>11</v>
      </c>
    </row>
    <row r="2706" spans="1:5" ht="15.75" customHeight="1">
      <c r="A2706" s="1">
        <v>610130</v>
      </c>
      <c r="B2706" s="1" t="s">
        <v>2737</v>
      </c>
      <c r="C2706" s="1" t="s">
        <v>11</v>
      </c>
      <c r="D2706" s="1" t="s">
        <v>11</v>
      </c>
      <c r="E2706" s="1" t="s">
        <v>11</v>
      </c>
    </row>
    <row r="2707" spans="1:5" ht="15.75" customHeight="1">
      <c r="A2707" s="1">
        <v>610190</v>
      </c>
      <c r="B2707" s="1" t="s">
        <v>2738</v>
      </c>
      <c r="C2707" s="1" t="s">
        <v>11</v>
      </c>
      <c r="D2707" s="1" t="s">
        <v>11</v>
      </c>
      <c r="E2707" s="1" t="s">
        <v>11</v>
      </c>
    </row>
    <row r="2708" spans="1:5" ht="15.75" customHeight="1">
      <c r="A2708" s="1">
        <v>610210</v>
      </c>
      <c r="B2708" s="1" t="s">
        <v>2739</v>
      </c>
      <c r="C2708" s="1" t="s">
        <v>11</v>
      </c>
      <c r="D2708" s="1" t="s">
        <v>11</v>
      </c>
      <c r="E2708" s="1" t="s">
        <v>11</v>
      </c>
    </row>
    <row r="2709" spans="1:5" ht="15.75" customHeight="1">
      <c r="A2709" s="1">
        <v>610220</v>
      </c>
      <c r="B2709" s="1" t="s">
        <v>2740</v>
      </c>
      <c r="C2709" s="1" t="s">
        <v>11</v>
      </c>
      <c r="D2709" s="1" t="s">
        <v>11</v>
      </c>
      <c r="E2709" s="1" t="s">
        <v>11</v>
      </c>
    </row>
    <row r="2710" spans="1:5" ht="15.75" customHeight="1">
      <c r="A2710" s="1">
        <v>610230</v>
      </c>
      <c r="B2710" s="1" t="s">
        <v>2741</v>
      </c>
      <c r="C2710" s="1" t="s">
        <v>11</v>
      </c>
      <c r="D2710" s="1" t="s">
        <v>11</v>
      </c>
      <c r="E2710" s="1" t="s">
        <v>11</v>
      </c>
    </row>
    <row r="2711" spans="1:5" ht="15.75" customHeight="1">
      <c r="A2711" s="1">
        <v>610290</v>
      </c>
      <c r="B2711" s="1" t="s">
        <v>2742</v>
      </c>
      <c r="C2711" s="1" t="s">
        <v>11</v>
      </c>
      <c r="D2711" s="1" t="s">
        <v>11</v>
      </c>
      <c r="E2711" s="1" t="s">
        <v>11</v>
      </c>
    </row>
    <row r="2712" spans="1:5" ht="15.75" customHeight="1">
      <c r="A2712" s="1">
        <v>610310</v>
      </c>
      <c r="B2712" s="1" t="s">
        <v>2743</v>
      </c>
      <c r="C2712" s="1" t="s">
        <v>11</v>
      </c>
      <c r="D2712" s="1" t="s">
        <v>11</v>
      </c>
      <c r="E2712" s="1" t="s">
        <v>11</v>
      </c>
    </row>
    <row r="2713" spans="1:5" ht="15.75" customHeight="1">
      <c r="A2713" s="1">
        <v>610322</v>
      </c>
      <c r="B2713" s="1" t="s">
        <v>2744</v>
      </c>
      <c r="C2713" s="1" t="s">
        <v>11</v>
      </c>
      <c r="D2713" s="1" t="s">
        <v>11</v>
      </c>
      <c r="E2713" s="1" t="s">
        <v>11</v>
      </c>
    </row>
    <row r="2714" spans="1:5" ht="15.75" customHeight="1">
      <c r="A2714" s="1">
        <v>610323</v>
      </c>
      <c r="B2714" s="1" t="s">
        <v>2745</v>
      </c>
      <c r="C2714" s="1" t="s">
        <v>11</v>
      </c>
      <c r="D2714" s="1" t="s">
        <v>11</v>
      </c>
      <c r="E2714" s="1" t="s">
        <v>11</v>
      </c>
    </row>
    <row r="2715" spans="1:5" ht="15.75" customHeight="1">
      <c r="A2715" s="1">
        <v>610329</v>
      </c>
      <c r="B2715" s="1" t="s">
        <v>2746</v>
      </c>
      <c r="C2715" s="1" t="s">
        <v>11</v>
      </c>
      <c r="D2715" s="1" t="s">
        <v>11</v>
      </c>
      <c r="E2715" s="1" t="s">
        <v>11</v>
      </c>
    </row>
    <row r="2716" spans="1:5" ht="15.75" customHeight="1">
      <c r="A2716" s="1">
        <v>610331</v>
      </c>
      <c r="B2716" s="1" t="s">
        <v>2747</v>
      </c>
      <c r="C2716" s="1" t="s">
        <v>11</v>
      </c>
      <c r="D2716" s="1" t="s">
        <v>11</v>
      </c>
      <c r="E2716" s="1" t="s">
        <v>11</v>
      </c>
    </row>
    <row r="2717" spans="1:5" ht="15.75" customHeight="1">
      <c r="A2717" s="1">
        <v>610332</v>
      </c>
      <c r="B2717" s="1" t="s">
        <v>2748</v>
      </c>
      <c r="C2717" s="1" t="s">
        <v>11</v>
      </c>
      <c r="D2717" s="1" t="s">
        <v>11</v>
      </c>
      <c r="E2717" s="1" t="s">
        <v>11</v>
      </c>
    </row>
    <row r="2718" spans="1:5" ht="15.75" customHeight="1">
      <c r="A2718" s="1">
        <v>610333</v>
      </c>
      <c r="B2718" s="1" t="s">
        <v>2749</v>
      </c>
      <c r="C2718" s="1" t="s">
        <v>11</v>
      </c>
      <c r="D2718" s="1" t="s">
        <v>11</v>
      </c>
      <c r="E2718" s="1" t="s">
        <v>11</v>
      </c>
    </row>
    <row r="2719" spans="1:5" ht="15.75" customHeight="1">
      <c r="A2719" s="1">
        <v>610339</v>
      </c>
      <c r="B2719" s="1" t="s">
        <v>2750</v>
      </c>
      <c r="C2719" s="1" t="s">
        <v>11</v>
      </c>
      <c r="D2719" s="1" t="s">
        <v>11</v>
      </c>
      <c r="E2719" s="1" t="s">
        <v>11</v>
      </c>
    </row>
    <row r="2720" spans="1:5" ht="15.75" customHeight="1">
      <c r="A2720" s="1">
        <v>610341</v>
      </c>
      <c r="B2720" s="1" t="s">
        <v>2751</v>
      </c>
      <c r="C2720" s="1" t="s">
        <v>11</v>
      </c>
      <c r="D2720" s="1" t="s">
        <v>11</v>
      </c>
      <c r="E2720" s="1" t="s">
        <v>11</v>
      </c>
    </row>
    <row r="2721" spans="1:5" ht="15.75" customHeight="1">
      <c r="A2721" s="1">
        <v>610342</v>
      </c>
      <c r="B2721" s="1" t="s">
        <v>2752</v>
      </c>
      <c r="C2721" s="1" t="s">
        <v>11</v>
      </c>
      <c r="D2721" s="1" t="s">
        <v>11</v>
      </c>
      <c r="E2721" s="1" t="s">
        <v>11</v>
      </c>
    </row>
    <row r="2722" spans="1:5" ht="15.75" customHeight="1">
      <c r="A2722" s="1">
        <v>610343</v>
      </c>
      <c r="B2722" s="1" t="s">
        <v>2753</v>
      </c>
      <c r="C2722" s="1" t="s">
        <v>11</v>
      </c>
      <c r="D2722" s="1" t="s">
        <v>11</v>
      </c>
      <c r="E2722" s="1" t="s">
        <v>11</v>
      </c>
    </row>
    <row r="2723" spans="1:5" ht="15.75" customHeight="1">
      <c r="A2723" s="1">
        <v>610349</v>
      </c>
      <c r="B2723" s="1" t="s">
        <v>2754</v>
      </c>
      <c r="C2723" s="1" t="s">
        <v>11</v>
      </c>
      <c r="D2723" s="1" t="s">
        <v>11</v>
      </c>
      <c r="E2723" s="1" t="s">
        <v>11</v>
      </c>
    </row>
    <row r="2724" spans="1:5" ht="15.75" customHeight="1">
      <c r="A2724" s="1">
        <v>610413</v>
      </c>
      <c r="B2724" s="1" t="s">
        <v>2755</v>
      </c>
      <c r="C2724" s="1" t="s">
        <v>11</v>
      </c>
      <c r="D2724" s="1" t="s">
        <v>11</v>
      </c>
      <c r="E2724" s="1" t="s">
        <v>11</v>
      </c>
    </row>
    <row r="2725" spans="1:5" ht="15.75" customHeight="1">
      <c r="A2725" s="1">
        <v>610419</v>
      </c>
      <c r="B2725" s="1" t="s">
        <v>2756</v>
      </c>
      <c r="C2725" s="1" t="s">
        <v>11</v>
      </c>
      <c r="D2725" s="1" t="s">
        <v>11</v>
      </c>
      <c r="E2725" s="1" t="s">
        <v>11</v>
      </c>
    </row>
    <row r="2726" spans="1:5" ht="15.75" customHeight="1">
      <c r="A2726" s="1">
        <v>610422</v>
      </c>
      <c r="B2726" s="1" t="s">
        <v>2757</v>
      </c>
      <c r="C2726" s="1" t="s">
        <v>11</v>
      </c>
      <c r="D2726" s="1" t="s">
        <v>11</v>
      </c>
      <c r="E2726" s="1" t="s">
        <v>11</v>
      </c>
    </row>
    <row r="2727" spans="1:5" ht="15.75" customHeight="1">
      <c r="A2727" s="1">
        <v>610423</v>
      </c>
      <c r="B2727" s="1" t="s">
        <v>2758</v>
      </c>
      <c r="C2727" s="1" t="s">
        <v>11</v>
      </c>
      <c r="D2727" s="1" t="s">
        <v>11</v>
      </c>
      <c r="E2727" s="1" t="s">
        <v>11</v>
      </c>
    </row>
    <row r="2728" spans="1:5" ht="15.75" customHeight="1">
      <c r="A2728" s="1">
        <v>610429</v>
      </c>
      <c r="B2728" s="1" t="s">
        <v>2759</v>
      </c>
      <c r="C2728" s="1" t="s">
        <v>11</v>
      </c>
      <c r="D2728" s="1" t="s">
        <v>11</v>
      </c>
      <c r="E2728" s="1" t="s">
        <v>11</v>
      </c>
    </row>
    <row r="2729" spans="1:5" ht="15.75" customHeight="1">
      <c r="A2729" s="1">
        <v>610431</v>
      </c>
      <c r="B2729" s="1" t="s">
        <v>2760</v>
      </c>
      <c r="C2729" s="1" t="s">
        <v>11</v>
      </c>
      <c r="D2729" s="1" t="s">
        <v>11</v>
      </c>
      <c r="E2729" s="1" t="s">
        <v>11</v>
      </c>
    </row>
    <row r="2730" spans="1:5" ht="15.75" customHeight="1">
      <c r="A2730" s="1">
        <v>610432</v>
      </c>
      <c r="B2730" s="1" t="s">
        <v>2761</v>
      </c>
      <c r="C2730" s="1" t="s">
        <v>11</v>
      </c>
      <c r="D2730" s="1" t="s">
        <v>11</v>
      </c>
      <c r="E2730" s="1" t="s">
        <v>11</v>
      </c>
    </row>
    <row r="2731" spans="1:5" ht="15.75" customHeight="1">
      <c r="A2731" s="1">
        <v>610433</v>
      </c>
      <c r="B2731" s="1" t="s">
        <v>2762</v>
      </c>
      <c r="C2731" s="1" t="s">
        <v>11</v>
      </c>
      <c r="D2731" s="1" t="s">
        <v>11</v>
      </c>
      <c r="E2731" s="1" t="s">
        <v>11</v>
      </c>
    </row>
    <row r="2732" spans="1:5" ht="15.75" customHeight="1">
      <c r="A2732" s="1">
        <v>610439</v>
      </c>
      <c r="B2732" s="1" t="s">
        <v>2763</v>
      </c>
      <c r="C2732" s="1" t="s">
        <v>11</v>
      </c>
      <c r="D2732" s="1" t="s">
        <v>11</v>
      </c>
      <c r="E2732" s="1" t="s">
        <v>11</v>
      </c>
    </row>
    <row r="2733" spans="1:5" ht="15.75" customHeight="1">
      <c r="A2733" s="1">
        <v>610441</v>
      </c>
      <c r="B2733" s="1" t="s">
        <v>2764</v>
      </c>
      <c r="C2733" s="1" t="s">
        <v>11</v>
      </c>
      <c r="D2733" s="1" t="s">
        <v>11</v>
      </c>
      <c r="E2733" s="1" t="s">
        <v>11</v>
      </c>
    </row>
    <row r="2734" spans="1:5" ht="15.75" customHeight="1">
      <c r="A2734" s="1">
        <v>610442</v>
      </c>
      <c r="B2734" s="1" t="s">
        <v>2765</v>
      </c>
      <c r="C2734" s="1" t="s">
        <v>11</v>
      </c>
      <c r="D2734" s="1" t="s">
        <v>11</v>
      </c>
      <c r="E2734" s="1" t="s">
        <v>11</v>
      </c>
    </row>
    <row r="2735" spans="1:5" ht="15.75" customHeight="1">
      <c r="A2735" s="1">
        <v>610443</v>
      </c>
      <c r="B2735" s="1" t="s">
        <v>2766</v>
      </c>
      <c r="C2735" s="1" t="s">
        <v>11</v>
      </c>
      <c r="D2735" s="1" t="s">
        <v>11</v>
      </c>
      <c r="E2735" s="1" t="s">
        <v>11</v>
      </c>
    </row>
    <row r="2736" spans="1:5" ht="15.75" customHeight="1">
      <c r="A2736" s="1">
        <v>610444</v>
      </c>
      <c r="B2736" s="1" t="s">
        <v>2767</v>
      </c>
      <c r="C2736" s="1" t="s">
        <v>11</v>
      </c>
      <c r="D2736" s="1" t="s">
        <v>11</v>
      </c>
      <c r="E2736" s="1" t="s">
        <v>11</v>
      </c>
    </row>
    <row r="2737" spans="1:5" ht="15.75" customHeight="1">
      <c r="A2737" s="1">
        <v>610449</v>
      </c>
      <c r="B2737" s="1" t="s">
        <v>2768</v>
      </c>
      <c r="C2737" s="1" t="s">
        <v>11</v>
      </c>
      <c r="D2737" s="1" t="s">
        <v>11</v>
      </c>
      <c r="E2737" s="1" t="s">
        <v>11</v>
      </c>
    </row>
    <row r="2738" spans="1:5" ht="15.75" customHeight="1">
      <c r="A2738" s="1">
        <v>610451</v>
      </c>
      <c r="B2738" s="1" t="s">
        <v>2769</v>
      </c>
      <c r="C2738" s="1" t="s">
        <v>11</v>
      </c>
      <c r="D2738" s="1" t="s">
        <v>11</v>
      </c>
      <c r="E2738" s="1" t="s">
        <v>11</v>
      </c>
    </row>
    <row r="2739" spans="1:5" ht="15.75" customHeight="1">
      <c r="A2739" s="1">
        <v>610452</v>
      </c>
      <c r="B2739" s="1" t="s">
        <v>2770</v>
      </c>
      <c r="C2739" s="1" t="s">
        <v>11</v>
      </c>
      <c r="D2739" s="1" t="s">
        <v>11</v>
      </c>
      <c r="E2739" s="1" t="s">
        <v>11</v>
      </c>
    </row>
    <row r="2740" spans="1:5" ht="15.75" customHeight="1">
      <c r="A2740" s="1">
        <v>610453</v>
      </c>
      <c r="B2740" s="1" t="s">
        <v>2771</v>
      </c>
      <c r="C2740" s="1" t="s">
        <v>11</v>
      </c>
      <c r="D2740" s="1" t="s">
        <v>11</v>
      </c>
      <c r="E2740" s="1" t="s">
        <v>11</v>
      </c>
    </row>
    <row r="2741" spans="1:5" ht="15.75" customHeight="1">
      <c r="A2741" s="1">
        <v>610459</v>
      </c>
      <c r="B2741" s="1" t="s">
        <v>2772</v>
      </c>
      <c r="C2741" s="1" t="s">
        <v>11</v>
      </c>
      <c r="D2741" s="1" t="s">
        <v>11</v>
      </c>
      <c r="E2741" s="1" t="s">
        <v>11</v>
      </c>
    </row>
    <row r="2742" spans="1:5" ht="15.75" customHeight="1">
      <c r="A2742" s="1">
        <v>610461</v>
      </c>
      <c r="B2742" s="1" t="s">
        <v>2773</v>
      </c>
      <c r="C2742" s="1" t="s">
        <v>11</v>
      </c>
      <c r="D2742" s="1" t="s">
        <v>11</v>
      </c>
      <c r="E2742" s="1" t="s">
        <v>11</v>
      </c>
    </row>
    <row r="2743" spans="1:5" ht="15.75" customHeight="1">
      <c r="A2743" s="1">
        <v>610462</v>
      </c>
      <c r="B2743" s="1" t="s">
        <v>2774</v>
      </c>
      <c r="C2743" s="1" t="s">
        <v>11</v>
      </c>
      <c r="D2743" s="1" t="s">
        <v>11</v>
      </c>
      <c r="E2743" s="1" t="s">
        <v>11</v>
      </c>
    </row>
    <row r="2744" spans="1:5" ht="15.75" customHeight="1">
      <c r="A2744" s="1">
        <v>610463</v>
      </c>
      <c r="B2744" s="1" t="s">
        <v>2775</v>
      </c>
      <c r="C2744" s="1" t="s">
        <v>11</v>
      </c>
      <c r="D2744" s="1" t="s">
        <v>11</v>
      </c>
      <c r="E2744" s="1" t="s">
        <v>11</v>
      </c>
    </row>
    <row r="2745" spans="1:5" ht="15.75" customHeight="1">
      <c r="A2745" s="1">
        <v>610469</v>
      </c>
      <c r="B2745" s="1" t="s">
        <v>2776</v>
      </c>
      <c r="C2745" s="1" t="s">
        <v>11</v>
      </c>
      <c r="D2745" s="1" t="s">
        <v>11</v>
      </c>
      <c r="E2745" s="1" t="s">
        <v>11</v>
      </c>
    </row>
    <row r="2746" spans="1:5" ht="15.75" customHeight="1">
      <c r="A2746" s="1">
        <v>610510</v>
      </c>
      <c r="B2746" s="1" t="s">
        <v>2777</v>
      </c>
      <c r="C2746" s="1" t="s">
        <v>11</v>
      </c>
      <c r="D2746" s="1" t="s">
        <v>11</v>
      </c>
      <c r="E2746" s="1" t="s">
        <v>11</v>
      </c>
    </row>
    <row r="2747" spans="1:5" ht="15.75" customHeight="1">
      <c r="A2747" s="1">
        <v>610520</v>
      </c>
      <c r="B2747" s="1" t="s">
        <v>2778</v>
      </c>
      <c r="C2747" s="1" t="s">
        <v>11</v>
      </c>
      <c r="D2747" s="1" t="s">
        <v>11</v>
      </c>
      <c r="E2747" s="1" t="s">
        <v>11</v>
      </c>
    </row>
    <row r="2748" spans="1:5" ht="15.75" customHeight="1">
      <c r="A2748" s="1">
        <v>610590</v>
      </c>
      <c r="B2748" s="1" t="s">
        <v>2779</v>
      </c>
      <c r="C2748" s="1" t="s">
        <v>11</v>
      </c>
      <c r="D2748" s="1" t="s">
        <v>11</v>
      </c>
      <c r="E2748" s="1" t="s">
        <v>11</v>
      </c>
    </row>
    <row r="2749" spans="1:5" ht="15.75" customHeight="1">
      <c r="A2749" s="1">
        <v>610610</v>
      </c>
      <c r="B2749" s="1" t="s">
        <v>2780</v>
      </c>
      <c r="C2749" s="1" t="s">
        <v>11</v>
      </c>
      <c r="D2749" s="1" t="s">
        <v>11</v>
      </c>
      <c r="E2749" s="1" t="s">
        <v>11</v>
      </c>
    </row>
    <row r="2750" spans="1:5" ht="15.75" customHeight="1">
      <c r="A2750" s="1">
        <v>610620</v>
      </c>
      <c r="B2750" s="1" t="s">
        <v>2781</v>
      </c>
      <c r="C2750" s="1" t="s">
        <v>11</v>
      </c>
      <c r="D2750" s="1" t="s">
        <v>11</v>
      </c>
      <c r="E2750" s="1" t="s">
        <v>11</v>
      </c>
    </row>
    <row r="2751" spans="1:5" ht="15.75" customHeight="1">
      <c r="A2751" s="1">
        <v>610690</v>
      </c>
      <c r="B2751" s="1" t="s">
        <v>2782</v>
      </c>
      <c r="C2751" s="1" t="s">
        <v>11</v>
      </c>
      <c r="D2751" s="1" t="s">
        <v>11</v>
      </c>
      <c r="E2751" s="1" t="s">
        <v>11</v>
      </c>
    </row>
    <row r="2752" spans="1:5" ht="15.75" customHeight="1">
      <c r="A2752" s="1">
        <v>610711</v>
      </c>
      <c r="B2752" s="1" t="s">
        <v>2783</v>
      </c>
      <c r="C2752" s="1" t="s">
        <v>11</v>
      </c>
      <c r="D2752" s="1" t="s">
        <v>11</v>
      </c>
      <c r="E2752" s="1" t="s">
        <v>11</v>
      </c>
    </row>
    <row r="2753" spans="1:5" ht="15.75" customHeight="1">
      <c r="A2753" s="1">
        <v>610712</v>
      </c>
      <c r="B2753" s="1" t="s">
        <v>2784</v>
      </c>
      <c r="C2753" s="1" t="s">
        <v>11</v>
      </c>
      <c r="D2753" s="1" t="s">
        <v>11</v>
      </c>
      <c r="E2753" s="1" t="s">
        <v>11</v>
      </c>
    </row>
    <row r="2754" spans="1:5" ht="15.75" customHeight="1">
      <c r="A2754" s="1">
        <v>610719</v>
      </c>
      <c r="B2754" s="1" t="s">
        <v>2785</v>
      </c>
      <c r="C2754" s="1" t="s">
        <v>11</v>
      </c>
      <c r="D2754" s="1" t="s">
        <v>11</v>
      </c>
      <c r="E2754" s="1" t="s">
        <v>11</v>
      </c>
    </row>
    <row r="2755" spans="1:5" ht="15.75" customHeight="1">
      <c r="A2755" s="1">
        <v>610721</v>
      </c>
      <c r="B2755" s="1" t="s">
        <v>2786</v>
      </c>
      <c r="C2755" s="1" t="s">
        <v>11</v>
      </c>
      <c r="D2755" s="1" t="s">
        <v>11</v>
      </c>
      <c r="E2755" s="1" t="s">
        <v>11</v>
      </c>
    </row>
    <row r="2756" spans="1:5" ht="15.75" customHeight="1">
      <c r="A2756" s="1">
        <v>610722</v>
      </c>
      <c r="B2756" s="1" t="s">
        <v>2787</v>
      </c>
      <c r="C2756" s="1" t="s">
        <v>11</v>
      </c>
      <c r="D2756" s="1" t="s">
        <v>11</v>
      </c>
      <c r="E2756" s="1" t="s">
        <v>11</v>
      </c>
    </row>
    <row r="2757" spans="1:5" ht="15.75" customHeight="1">
      <c r="A2757" s="1">
        <v>610729</v>
      </c>
      <c r="B2757" s="1" t="s">
        <v>2788</v>
      </c>
      <c r="C2757" s="1" t="s">
        <v>11</v>
      </c>
      <c r="D2757" s="1" t="s">
        <v>11</v>
      </c>
      <c r="E2757" s="1" t="s">
        <v>11</v>
      </c>
    </row>
    <row r="2758" spans="1:5" ht="15.75" customHeight="1">
      <c r="A2758" s="1">
        <v>610791</v>
      </c>
      <c r="B2758" s="1" t="s">
        <v>2789</v>
      </c>
      <c r="C2758" s="1" t="s">
        <v>11</v>
      </c>
      <c r="D2758" s="1" t="s">
        <v>11</v>
      </c>
      <c r="E2758" s="1" t="s">
        <v>11</v>
      </c>
    </row>
    <row r="2759" spans="1:5" ht="15.75" customHeight="1">
      <c r="A2759" s="1">
        <v>610799</v>
      </c>
      <c r="B2759" s="1" t="s">
        <v>2790</v>
      </c>
      <c r="C2759" s="1" t="s">
        <v>11</v>
      </c>
      <c r="D2759" s="1" t="s">
        <v>11</v>
      </c>
      <c r="E2759" s="1" t="s">
        <v>11</v>
      </c>
    </row>
    <row r="2760" spans="1:5" ht="15.75" customHeight="1">
      <c r="A2760" s="1">
        <v>610811</v>
      </c>
      <c r="B2760" s="1" t="s">
        <v>2791</v>
      </c>
      <c r="C2760" s="1" t="s">
        <v>11</v>
      </c>
      <c r="D2760" s="1" t="s">
        <v>11</v>
      </c>
      <c r="E2760" s="1" t="s">
        <v>11</v>
      </c>
    </row>
    <row r="2761" spans="1:5" ht="15.75" customHeight="1">
      <c r="A2761" s="1">
        <v>610819</v>
      </c>
      <c r="B2761" s="1" t="s">
        <v>2792</v>
      </c>
      <c r="C2761" s="1" t="s">
        <v>11</v>
      </c>
      <c r="D2761" s="1" t="s">
        <v>11</v>
      </c>
      <c r="E2761" s="1" t="s">
        <v>11</v>
      </c>
    </row>
    <row r="2762" spans="1:5" ht="15.75" customHeight="1">
      <c r="A2762" s="1">
        <v>610821</v>
      </c>
      <c r="B2762" s="1" t="s">
        <v>2793</v>
      </c>
      <c r="C2762" s="1" t="s">
        <v>11</v>
      </c>
      <c r="D2762" s="1" t="s">
        <v>11</v>
      </c>
      <c r="E2762" s="1" t="s">
        <v>11</v>
      </c>
    </row>
    <row r="2763" spans="1:5" ht="15.75" customHeight="1">
      <c r="A2763" s="1">
        <v>610822</v>
      </c>
      <c r="B2763" s="1" t="s">
        <v>2794</v>
      </c>
      <c r="C2763" s="1" t="s">
        <v>11</v>
      </c>
      <c r="D2763" s="1" t="s">
        <v>11</v>
      </c>
      <c r="E2763" s="1" t="s">
        <v>11</v>
      </c>
    </row>
    <row r="2764" spans="1:5" ht="15.75" customHeight="1">
      <c r="A2764" s="1">
        <v>610829</v>
      </c>
      <c r="B2764" s="1" t="s">
        <v>2795</v>
      </c>
      <c r="C2764" s="1" t="s">
        <v>11</v>
      </c>
      <c r="D2764" s="1" t="s">
        <v>11</v>
      </c>
      <c r="E2764" s="1" t="s">
        <v>11</v>
      </c>
    </row>
    <row r="2765" spans="1:5" ht="15.75" customHeight="1">
      <c r="A2765" s="1">
        <v>610831</v>
      </c>
      <c r="B2765" s="1" t="s">
        <v>2796</v>
      </c>
      <c r="C2765" s="1" t="s">
        <v>11</v>
      </c>
      <c r="D2765" s="1" t="s">
        <v>11</v>
      </c>
      <c r="E2765" s="1" t="s">
        <v>11</v>
      </c>
    </row>
    <row r="2766" spans="1:5" ht="15.75" customHeight="1">
      <c r="A2766" s="1">
        <v>610832</v>
      </c>
      <c r="B2766" s="1" t="s">
        <v>2797</v>
      </c>
      <c r="C2766" s="1" t="s">
        <v>11</v>
      </c>
      <c r="D2766" s="1" t="s">
        <v>11</v>
      </c>
      <c r="E2766" s="1" t="s">
        <v>11</v>
      </c>
    </row>
    <row r="2767" spans="1:5" ht="15.75" customHeight="1">
      <c r="A2767" s="1">
        <v>610839</v>
      </c>
      <c r="B2767" s="1" t="s">
        <v>2798</v>
      </c>
      <c r="C2767" s="1" t="s">
        <v>11</v>
      </c>
      <c r="D2767" s="1" t="s">
        <v>11</v>
      </c>
      <c r="E2767" s="1" t="s">
        <v>11</v>
      </c>
    </row>
    <row r="2768" spans="1:5" ht="15.75" customHeight="1">
      <c r="A2768" s="1">
        <v>610891</v>
      </c>
      <c r="B2768" s="1" t="s">
        <v>2799</v>
      </c>
      <c r="C2768" s="1" t="s">
        <v>11</v>
      </c>
      <c r="D2768" s="1" t="s">
        <v>11</v>
      </c>
      <c r="E2768" s="1" t="s">
        <v>11</v>
      </c>
    </row>
    <row r="2769" spans="1:5" ht="15.75" customHeight="1">
      <c r="A2769" s="1">
        <v>610892</v>
      </c>
      <c r="B2769" s="1" t="s">
        <v>2800</v>
      </c>
      <c r="C2769" s="1" t="s">
        <v>11</v>
      </c>
      <c r="D2769" s="1" t="s">
        <v>11</v>
      </c>
      <c r="E2769" s="1" t="s">
        <v>11</v>
      </c>
    </row>
    <row r="2770" spans="1:5" ht="15.75" customHeight="1">
      <c r="A2770" s="1">
        <v>610899</v>
      </c>
      <c r="B2770" s="1" t="s">
        <v>2801</v>
      </c>
      <c r="C2770" s="1" t="s">
        <v>11</v>
      </c>
      <c r="D2770" s="1" t="s">
        <v>11</v>
      </c>
      <c r="E2770" s="1" t="s">
        <v>11</v>
      </c>
    </row>
    <row r="2771" spans="1:5" ht="15.75" customHeight="1">
      <c r="A2771" s="1">
        <v>610910</v>
      </c>
      <c r="B2771" s="1" t="s">
        <v>2802</v>
      </c>
      <c r="C2771" s="1" t="s">
        <v>11</v>
      </c>
      <c r="D2771" s="1" t="s">
        <v>11</v>
      </c>
      <c r="E2771" s="1" t="s">
        <v>11</v>
      </c>
    </row>
    <row r="2772" spans="1:5" ht="15.75" customHeight="1">
      <c r="A2772" s="1">
        <v>610990</v>
      </c>
      <c r="B2772" s="1" t="s">
        <v>2803</v>
      </c>
      <c r="C2772" s="1" t="s">
        <v>11</v>
      </c>
      <c r="D2772" s="1" t="s">
        <v>11</v>
      </c>
      <c r="E2772" s="1" t="s">
        <v>11</v>
      </c>
    </row>
    <row r="2773" spans="1:5" ht="15.75" customHeight="1">
      <c r="A2773" s="1">
        <v>611011</v>
      </c>
      <c r="B2773" s="1" t="s">
        <v>2804</v>
      </c>
      <c r="C2773" s="1" t="s">
        <v>11</v>
      </c>
      <c r="D2773" s="1" t="s">
        <v>11</v>
      </c>
      <c r="E2773" s="1" t="s">
        <v>11</v>
      </c>
    </row>
    <row r="2774" spans="1:5" ht="15.75" customHeight="1">
      <c r="A2774" s="1">
        <v>611012</v>
      </c>
      <c r="B2774" s="1" t="s">
        <v>2805</v>
      </c>
      <c r="C2774" s="1" t="s">
        <v>11</v>
      </c>
      <c r="D2774" s="1" t="s">
        <v>11</v>
      </c>
      <c r="E2774" s="1" t="s">
        <v>11</v>
      </c>
    </row>
    <row r="2775" spans="1:5" ht="15.75" customHeight="1">
      <c r="A2775" s="1">
        <v>611019</v>
      </c>
      <c r="B2775" s="1" t="s">
        <v>2806</v>
      </c>
      <c r="C2775" s="1" t="s">
        <v>11</v>
      </c>
      <c r="D2775" s="1" t="s">
        <v>11</v>
      </c>
      <c r="E2775" s="1" t="s">
        <v>11</v>
      </c>
    </row>
    <row r="2776" spans="1:5" ht="15.75" customHeight="1">
      <c r="A2776" s="1">
        <v>611020</v>
      </c>
      <c r="B2776" s="1" t="s">
        <v>2807</v>
      </c>
      <c r="C2776" s="1" t="s">
        <v>11</v>
      </c>
      <c r="D2776" s="1" t="s">
        <v>11</v>
      </c>
      <c r="E2776" s="1" t="s">
        <v>11</v>
      </c>
    </row>
    <row r="2777" spans="1:5" ht="15.75" customHeight="1">
      <c r="A2777" s="1">
        <v>611030</v>
      </c>
      <c r="B2777" s="1" t="s">
        <v>2808</v>
      </c>
      <c r="C2777" s="1" t="s">
        <v>11</v>
      </c>
      <c r="D2777" s="1" t="s">
        <v>11</v>
      </c>
      <c r="E2777" s="1" t="s">
        <v>11</v>
      </c>
    </row>
    <row r="2778" spans="1:5" ht="15.75" customHeight="1">
      <c r="A2778" s="1">
        <v>611090</v>
      </c>
      <c r="B2778" s="1" t="s">
        <v>2809</v>
      </c>
      <c r="C2778" s="1" t="s">
        <v>11</v>
      </c>
      <c r="D2778" s="1" t="s">
        <v>11</v>
      </c>
      <c r="E2778" s="1" t="s">
        <v>11</v>
      </c>
    </row>
    <row r="2779" spans="1:5" ht="15.75" customHeight="1">
      <c r="A2779" s="1">
        <v>611120</v>
      </c>
      <c r="B2779" s="1" t="s">
        <v>2810</v>
      </c>
      <c r="C2779" s="1" t="s">
        <v>11</v>
      </c>
      <c r="D2779" s="1" t="s">
        <v>11</v>
      </c>
      <c r="E2779" s="1" t="s">
        <v>11</v>
      </c>
    </row>
    <row r="2780" spans="1:5" ht="15.75" customHeight="1">
      <c r="A2780" s="1">
        <v>611130</v>
      </c>
      <c r="B2780" s="1" t="s">
        <v>2811</v>
      </c>
      <c r="C2780" s="1" t="s">
        <v>11</v>
      </c>
      <c r="D2780" s="1" t="s">
        <v>11</v>
      </c>
      <c r="E2780" s="1" t="s">
        <v>11</v>
      </c>
    </row>
    <row r="2781" spans="1:5" ht="15.75" customHeight="1">
      <c r="A2781" s="1">
        <v>611190</v>
      </c>
      <c r="B2781" s="1" t="s">
        <v>2812</v>
      </c>
      <c r="C2781" s="1" t="s">
        <v>11</v>
      </c>
      <c r="D2781" s="1" t="s">
        <v>11</v>
      </c>
      <c r="E2781" s="1" t="s">
        <v>11</v>
      </c>
    </row>
    <row r="2782" spans="1:5" ht="15.75" customHeight="1">
      <c r="A2782" s="1">
        <v>611211</v>
      </c>
      <c r="B2782" s="1" t="s">
        <v>2813</v>
      </c>
      <c r="C2782" s="1" t="s">
        <v>11</v>
      </c>
      <c r="D2782" s="1" t="s">
        <v>11</v>
      </c>
      <c r="E2782" s="1" t="s">
        <v>11</v>
      </c>
    </row>
    <row r="2783" spans="1:5" ht="15.75" customHeight="1">
      <c r="A2783" s="1">
        <v>611212</v>
      </c>
      <c r="B2783" s="1" t="s">
        <v>2814</v>
      </c>
      <c r="C2783" s="1" t="s">
        <v>11</v>
      </c>
      <c r="D2783" s="1" t="s">
        <v>11</v>
      </c>
      <c r="E2783" s="1" t="s">
        <v>11</v>
      </c>
    </row>
    <row r="2784" spans="1:5" ht="15.75" customHeight="1">
      <c r="A2784" s="1">
        <v>611219</v>
      </c>
      <c r="B2784" s="1" t="s">
        <v>2815</v>
      </c>
      <c r="C2784" s="1" t="s">
        <v>11</v>
      </c>
      <c r="D2784" s="1" t="s">
        <v>11</v>
      </c>
      <c r="E2784" s="1" t="s">
        <v>11</v>
      </c>
    </row>
    <row r="2785" spans="1:6" ht="15.75" customHeight="1">
      <c r="A2785" s="1">
        <v>611220</v>
      </c>
      <c r="B2785" s="1" t="s">
        <v>2816</v>
      </c>
      <c r="C2785" s="1" t="s">
        <v>11</v>
      </c>
      <c r="D2785" s="1" t="s">
        <v>11</v>
      </c>
      <c r="E2785" s="1" t="s">
        <v>11</v>
      </c>
    </row>
    <row r="2786" spans="1:6" ht="15.75" customHeight="1">
      <c r="A2786" s="1">
        <v>611231</v>
      </c>
      <c r="B2786" s="1" t="s">
        <v>2817</v>
      </c>
      <c r="C2786" s="1" t="s">
        <v>11</v>
      </c>
      <c r="D2786" s="1" t="s">
        <v>11</v>
      </c>
      <c r="E2786" s="1" t="s">
        <v>11</v>
      </c>
    </row>
    <row r="2787" spans="1:6" ht="15.75" customHeight="1">
      <c r="A2787" s="1">
        <v>611239</v>
      </c>
      <c r="B2787" s="1" t="s">
        <v>2818</v>
      </c>
      <c r="C2787" s="1" t="s">
        <v>11</v>
      </c>
      <c r="D2787" s="1" t="s">
        <v>11</v>
      </c>
      <c r="E2787" s="1" t="s">
        <v>11</v>
      </c>
    </row>
    <row r="2788" spans="1:6" ht="15.75" customHeight="1">
      <c r="A2788" s="1">
        <v>611241</v>
      </c>
      <c r="B2788" s="1" t="s">
        <v>2819</v>
      </c>
      <c r="C2788" s="1" t="s">
        <v>11</v>
      </c>
      <c r="D2788" s="1" t="s">
        <v>11</v>
      </c>
      <c r="E2788" s="1" t="s">
        <v>11</v>
      </c>
    </row>
    <row r="2789" spans="1:6" ht="15.75" customHeight="1">
      <c r="A2789" s="1">
        <v>611249</v>
      </c>
      <c r="B2789" s="1" t="s">
        <v>2820</v>
      </c>
      <c r="C2789" s="1" t="s">
        <v>11</v>
      </c>
      <c r="D2789" s="1" t="s">
        <v>11</v>
      </c>
      <c r="E2789" s="1" t="s">
        <v>11</v>
      </c>
    </row>
    <row r="2790" spans="1:6" ht="15.75" customHeight="1">
      <c r="A2790" s="1">
        <v>611300</v>
      </c>
      <c r="B2790" s="1" t="s">
        <v>2821</v>
      </c>
      <c r="C2790" s="1" t="s">
        <v>11</v>
      </c>
      <c r="D2790" s="1" t="s">
        <v>11</v>
      </c>
      <c r="E2790" s="1" t="s">
        <v>11</v>
      </c>
    </row>
    <row r="2791" spans="1:6" ht="15.75" customHeight="1">
      <c r="A2791" s="1">
        <v>611420</v>
      </c>
      <c r="B2791" s="1" t="s">
        <v>2822</v>
      </c>
      <c r="C2791" s="1" t="s">
        <v>11</v>
      </c>
      <c r="D2791" s="1" t="s">
        <v>11</v>
      </c>
      <c r="E2791" s="1" t="s">
        <v>11</v>
      </c>
    </row>
    <row r="2792" spans="1:6" ht="15.75" customHeight="1">
      <c r="A2792" s="1">
        <v>611430</v>
      </c>
      <c r="B2792" s="1" t="s">
        <v>2823</v>
      </c>
      <c r="C2792" s="1" t="s">
        <v>11</v>
      </c>
      <c r="D2792" s="1" t="s">
        <v>11</v>
      </c>
      <c r="E2792" s="1" t="s">
        <v>11</v>
      </c>
    </row>
    <row r="2793" spans="1:6" ht="15.75" customHeight="1">
      <c r="A2793" s="1">
        <v>611490</v>
      </c>
      <c r="B2793" s="1" t="s">
        <v>2824</v>
      </c>
      <c r="C2793" s="1" t="s">
        <v>11</v>
      </c>
      <c r="D2793" s="1" t="s">
        <v>11</v>
      </c>
      <c r="E2793" s="1" t="s">
        <v>11</v>
      </c>
    </row>
    <row r="2794" spans="1:6" ht="15.75" customHeight="1">
      <c r="A2794" s="1">
        <v>611510</v>
      </c>
      <c r="B2794" s="1" t="s">
        <v>2825</v>
      </c>
      <c r="C2794" s="1">
        <v>1</v>
      </c>
      <c r="D2794" s="1" t="s">
        <v>1418</v>
      </c>
      <c r="E2794" s="1" t="s">
        <v>1418</v>
      </c>
      <c r="F2794" s="2" t="s">
        <v>1419</v>
      </c>
    </row>
    <row r="2795" spans="1:6" ht="15.75" customHeight="1">
      <c r="A2795" s="1">
        <v>611521</v>
      </c>
      <c r="B2795" s="1" t="s">
        <v>2826</v>
      </c>
      <c r="C2795" s="1" t="s">
        <v>11</v>
      </c>
      <c r="D2795" s="1" t="s">
        <v>11</v>
      </c>
      <c r="E2795" s="1" t="s">
        <v>11</v>
      </c>
    </row>
    <row r="2796" spans="1:6" ht="15.75" customHeight="1">
      <c r="A2796" s="1">
        <v>611522</v>
      </c>
      <c r="B2796" s="1" t="s">
        <v>2827</v>
      </c>
      <c r="C2796" s="1" t="s">
        <v>11</v>
      </c>
      <c r="D2796" s="1" t="s">
        <v>11</v>
      </c>
      <c r="E2796" s="1" t="s">
        <v>11</v>
      </c>
    </row>
    <row r="2797" spans="1:6" ht="15.75" customHeight="1">
      <c r="A2797" s="1">
        <v>611529</v>
      </c>
      <c r="B2797" s="1" t="s">
        <v>2828</v>
      </c>
      <c r="C2797" s="1" t="s">
        <v>11</v>
      </c>
      <c r="D2797" s="1" t="s">
        <v>11</v>
      </c>
      <c r="E2797" s="1" t="s">
        <v>11</v>
      </c>
    </row>
    <row r="2798" spans="1:6" ht="15.75" customHeight="1">
      <c r="A2798" s="1">
        <v>611530</v>
      </c>
      <c r="B2798" s="1" t="s">
        <v>2829</v>
      </c>
      <c r="C2798" s="1" t="s">
        <v>11</v>
      </c>
      <c r="D2798" s="1" t="s">
        <v>11</v>
      </c>
      <c r="E2798" s="1" t="s">
        <v>11</v>
      </c>
    </row>
    <row r="2799" spans="1:6" ht="15.75" customHeight="1">
      <c r="A2799" s="1">
        <v>611594</v>
      </c>
      <c r="B2799" s="1" t="s">
        <v>2830</v>
      </c>
      <c r="C2799" s="1" t="s">
        <v>11</v>
      </c>
      <c r="D2799" s="1" t="s">
        <v>11</v>
      </c>
      <c r="E2799" s="1" t="s">
        <v>11</v>
      </c>
    </row>
    <row r="2800" spans="1:6" ht="15.75" customHeight="1">
      <c r="A2800" s="1">
        <v>611595</v>
      </c>
      <c r="B2800" s="1" t="s">
        <v>2831</v>
      </c>
      <c r="C2800" s="1" t="s">
        <v>11</v>
      </c>
      <c r="D2800" s="1" t="s">
        <v>11</v>
      </c>
      <c r="E2800" s="1" t="s">
        <v>11</v>
      </c>
    </row>
    <row r="2801" spans="1:5" ht="15.75" customHeight="1">
      <c r="A2801" s="1">
        <v>611596</v>
      </c>
      <c r="B2801" s="1" t="s">
        <v>2832</v>
      </c>
      <c r="C2801" s="1" t="s">
        <v>11</v>
      </c>
      <c r="D2801" s="1" t="s">
        <v>11</v>
      </c>
      <c r="E2801" s="1" t="s">
        <v>11</v>
      </c>
    </row>
    <row r="2802" spans="1:5" ht="15.75" customHeight="1">
      <c r="A2802" s="1">
        <v>611599</v>
      </c>
      <c r="B2802" s="1" t="s">
        <v>2833</v>
      </c>
      <c r="C2802" s="1" t="s">
        <v>11</v>
      </c>
      <c r="D2802" s="1" t="s">
        <v>11</v>
      </c>
      <c r="E2802" s="1" t="s">
        <v>11</v>
      </c>
    </row>
    <row r="2803" spans="1:5" ht="15.75" customHeight="1">
      <c r="A2803" s="1">
        <v>611610</v>
      </c>
      <c r="B2803" s="1" t="s">
        <v>2834</v>
      </c>
      <c r="C2803" s="1" t="s">
        <v>11</v>
      </c>
      <c r="D2803" s="1" t="s">
        <v>11</v>
      </c>
      <c r="E2803" s="1" t="s">
        <v>11</v>
      </c>
    </row>
    <row r="2804" spans="1:5" ht="15.75" customHeight="1">
      <c r="A2804" s="1">
        <v>611691</v>
      </c>
      <c r="B2804" s="1" t="s">
        <v>2835</v>
      </c>
      <c r="C2804" s="1" t="s">
        <v>11</v>
      </c>
      <c r="D2804" s="1" t="s">
        <v>11</v>
      </c>
      <c r="E2804" s="1" t="s">
        <v>11</v>
      </c>
    </row>
    <row r="2805" spans="1:5" ht="15.75" customHeight="1">
      <c r="A2805" s="1">
        <v>611692</v>
      </c>
      <c r="B2805" s="1" t="s">
        <v>2836</v>
      </c>
      <c r="C2805" s="1" t="s">
        <v>11</v>
      </c>
      <c r="D2805" s="1" t="s">
        <v>11</v>
      </c>
      <c r="E2805" s="1" t="s">
        <v>11</v>
      </c>
    </row>
    <row r="2806" spans="1:5" ht="15.75" customHeight="1">
      <c r="A2806" s="1">
        <v>611693</v>
      </c>
      <c r="B2806" s="1" t="s">
        <v>2837</v>
      </c>
      <c r="C2806" s="1" t="s">
        <v>11</v>
      </c>
      <c r="D2806" s="1" t="s">
        <v>11</v>
      </c>
      <c r="E2806" s="1" t="s">
        <v>11</v>
      </c>
    </row>
    <row r="2807" spans="1:5" ht="15.75" customHeight="1">
      <c r="A2807" s="1">
        <v>611699</v>
      </c>
      <c r="B2807" s="1" t="s">
        <v>2838</v>
      </c>
      <c r="C2807" s="1" t="s">
        <v>11</v>
      </c>
      <c r="D2807" s="1" t="s">
        <v>11</v>
      </c>
      <c r="E2807" s="1" t="s">
        <v>11</v>
      </c>
    </row>
    <row r="2808" spans="1:5" ht="15.75" customHeight="1">
      <c r="A2808" s="1">
        <v>611710</v>
      </c>
      <c r="B2808" s="1" t="s">
        <v>2839</v>
      </c>
      <c r="C2808" s="1" t="s">
        <v>11</v>
      </c>
      <c r="D2808" s="1" t="s">
        <v>11</v>
      </c>
      <c r="E2808" s="1" t="s">
        <v>11</v>
      </c>
    </row>
    <row r="2809" spans="1:5" ht="15.75" customHeight="1">
      <c r="A2809" s="1">
        <v>611780</v>
      </c>
      <c r="B2809" s="1" t="s">
        <v>2840</v>
      </c>
      <c r="C2809" s="1" t="s">
        <v>11</v>
      </c>
      <c r="D2809" s="1" t="s">
        <v>11</v>
      </c>
      <c r="E2809" s="1" t="s">
        <v>11</v>
      </c>
    </row>
    <row r="2810" spans="1:5" ht="15.75" customHeight="1">
      <c r="A2810" s="1">
        <v>611790</v>
      </c>
      <c r="B2810" s="1" t="s">
        <v>2841</v>
      </c>
      <c r="C2810" s="1" t="s">
        <v>11</v>
      </c>
      <c r="D2810" s="1" t="s">
        <v>11</v>
      </c>
      <c r="E2810" s="1" t="s">
        <v>11</v>
      </c>
    </row>
    <row r="2811" spans="1:5" ht="15.75" customHeight="1">
      <c r="A2811" s="1">
        <v>620111</v>
      </c>
      <c r="B2811" s="1" t="s">
        <v>2842</v>
      </c>
      <c r="C2811" s="1" t="s">
        <v>11</v>
      </c>
      <c r="D2811" s="1" t="s">
        <v>11</v>
      </c>
      <c r="E2811" s="1" t="s">
        <v>11</v>
      </c>
    </row>
    <row r="2812" spans="1:5" ht="15.75" customHeight="1">
      <c r="A2812" s="1">
        <v>620112</v>
      </c>
      <c r="B2812" s="1" t="s">
        <v>2843</v>
      </c>
      <c r="C2812" s="1" t="s">
        <v>11</v>
      </c>
      <c r="D2812" s="1" t="s">
        <v>11</v>
      </c>
      <c r="E2812" s="1" t="s">
        <v>11</v>
      </c>
    </row>
    <row r="2813" spans="1:5" ht="15.75" customHeight="1">
      <c r="A2813" s="1">
        <v>620113</v>
      </c>
      <c r="B2813" s="1" t="s">
        <v>2844</v>
      </c>
      <c r="C2813" s="1" t="s">
        <v>11</v>
      </c>
      <c r="D2813" s="1" t="s">
        <v>11</v>
      </c>
      <c r="E2813" s="1" t="s">
        <v>11</v>
      </c>
    </row>
    <row r="2814" spans="1:5" ht="15.75" customHeight="1">
      <c r="A2814" s="1">
        <v>620119</v>
      </c>
      <c r="B2814" s="1" t="s">
        <v>2845</v>
      </c>
      <c r="C2814" s="1" t="s">
        <v>11</v>
      </c>
      <c r="D2814" s="1" t="s">
        <v>11</v>
      </c>
      <c r="E2814" s="1" t="s">
        <v>11</v>
      </c>
    </row>
    <row r="2815" spans="1:5" ht="15.75" customHeight="1">
      <c r="A2815" s="1">
        <v>620191</v>
      </c>
      <c r="B2815" s="1" t="s">
        <v>2846</v>
      </c>
      <c r="C2815" s="1" t="s">
        <v>11</v>
      </c>
      <c r="D2815" s="1" t="s">
        <v>11</v>
      </c>
      <c r="E2815" s="1" t="s">
        <v>11</v>
      </c>
    </row>
    <row r="2816" spans="1:5" ht="15.75" customHeight="1">
      <c r="A2816" s="1">
        <v>620192</v>
      </c>
      <c r="B2816" s="1" t="s">
        <v>2847</v>
      </c>
      <c r="C2816" s="1" t="s">
        <v>11</v>
      </c>
      <c r="D2816" s="1" t="s">
        <v>11</v>
      </c>
      <c r="E2816" s="1" t="s">
        <v>11</v>
      </c>
    </row>
    <row r="2817" spans="1:5" ht="15.75" customHeight="1">
      <c r="A2817" s="1">
        <v>620193</v>
      </c>
      <c r="B2817" s="1" t="s">
        <v>2848</v>
      </c>
      <c r="C2817" s="1" t="s">
        <v>11</v>
      </c>
      <c r="D2817" s="1" t="s">
        <v>11</v>
      </c>
      <c r="E2817" s="1" t="s">
        <v>11</v>
      </c>
    </row>
    <row r="2818" spans="1:5" ht="15.75" customHeight="1">
      <c r="A2818" s="1">
        <v>620199</v>
      </c>
      <c r="B2818" s="1" t="s">
        <v>2849</v>
      </c>
      <c r="C2818" s="1" t="s">
        <v>11</v>
      </c>
      <c r="D2818" s="1" t="s">
        <v>11</v>
      </c>
      <c r="E2818" s="1" t="s">
        <v>11</v>
      </c>
    </row>
    <row r="2819" spans="1:5" ht="15.75" customHeight="1">
      <c r="A2819" s="1">
        <v>620211</v>
      </c>
      <c r="B2819" s="1" t="s">
        <v>2850</v>
      </c>
      <c r="C2819" s="1" t="s">
        <v>11</v>
      </c>
      <c r="D2819" s="1" t="s">
        <v>11</v>
      </c>
      <c r="E2819" s="1" t="s">
        <v>11</v>
      </c>
    </row>
    <row r="2820" spans="1:5" ht="15.75" customHeight="1">
      <c r="A2820" s="1">
        <v>620212</v>
      </c>
      <c r="B2820" s="1" t="s">
        <v>2851</v>
      </c>
      <c r="C2820" s="1" t="s">
        <v>11</v>
      </c>
      <c r="D2820" s="1" t="s">
        <v>11</v>
      </c>
      <c r="E2820" s="1" t="s">
        <v>11</v>
      </c>
    </row>
    <row r="2821" spans="1:5" ht="15.75" customHeight="1">
      <c r="A2821" s="1">
        <v>620213</v>
      </c>
      <c r="B2821" s="1" t="s">
        <v>2852</v>
      </c>
      <c r="C2821" s="1" t="s">
        <v>11</v>
      </c>
      <c r="D2821" s="1" t="s">
        <v>11</v>
      </c>
      <c r="E2821" s="1" t="s">
        <v>11</v>
      </c>
    </row>
    <row r="2822" spans="1:5" ht="15.75" customHeight="1">
      <c r="A2822" s="1">
        <v>620219</v>
      </c>
      <c r="B2822" s="1" t="s">
        <v>2853</v>
      </c>
      <c r="C2822" s="1" t="s">
        <v>11</v>
      </c>
      <c r="D2822" s="1" t="s">
        <v>11</v>
      </c>
      <c r="E2822" s="1" t="s">
        <v>11</v>
      </c>
    </row>
    <row r="2823" spans="1:5" ht="15.75" customHeight="1">
      <c r="A2823" s="1">
        <v>620291</v>
      </c>
      <c r="B2823" s="1" t="s">
        <v>2854</v>
      </c>
      <c r="C2823" s="1" t="s">
        <v>11</v>
      </c>
      <c r="D2823" s="1" t="s">
        <v>11</v>
      </c>
      <c r="E2823" s="1" t="s">
        <v>11</v>
      </c>
    </row>
    <row r="2824" spans="1:5" ht="15.75" customHeight="1">
      <c r="A2824" s="1">
        <v>620292</v>
      </c>
      <c r="B2824" s="1" t="s">
        <v>2855</v>
      </c>
      <c r="C2824" s="1" t="s">
        <v>11</v>
      </c>
      <c r="D2824" s="1" t="s">
        <v>11</v>
      </c>
      <c r="E2824" s="1" t="s">
        <v>11</v>
      </c>
    </row>
    <row r="2825" spans="1:5" ht="15.75" customHeight="1">
      <c r="A2825" s="1">
        <v>620293</v>
      </c>
      <c r="B2825" s="1" t="s">
        <v>2856</v>
      </c>
      <c r="C2825" s="1" t="s">
        <v>11</v>
      </c>
      <c r="D2825" s="1" t="s">
        <v>11</v>
      </c>
      <c r="E2825" s="1" t="s">
        <v>11</v>
      </c>
    </row>
    <row r="2826" spans="1:5" ht="15.75" customHeight="1">
      <c r="A2826" s="1">
        <v>620299</v>
      </c>
      <c r="B2826" s="1" t="s">
        <v>2857</v>
      </c>
      <c r="C2826" s="1" t="s">
        <v>11</v>
      </c>
      <c r="D2826" s="1" t="s">
        <v>11</v>
      </c>
      <c r="E2826" s="1" t="s">
        <v>11</v>
      </c>
    </row>
    <row r="2827" spans="1:5" ht="15.75" customHeight="1">
      <c r="A2827" s="1">
        <v>620311</v>
      </c>
      <c r="B2827" s="1" t="s">
        <v>2858</v>
      </c>
      <c r="C2827" s="1" t="s">
        <v>11</v>
      </c>
      <c r="D2827" s="1" t="s">
        <v>11</v>
      </c>
      <c r="E2827" s="1" t="s">
        <v>11</v>
      </c>
    </row>
    <row r="2828" spans="1:5" ht="15.75" customHeight="1">
      <c r="A2828" s="1">
        <v>620312</v>
      </c>
      <c r="B2828" s="1" t="s">
        <v>2859</v>
      </c>
      <c r="C2828" s="1" t="s">
        <v>11</v>
      </c>
      <c r="D2828" s="1" t="s">
        <v>11</v>
      </c>
      <c r="E2828" s="1" t="s">
        <v>11</v>
      </c>
    </row>
    <row r="2829" spans="1:5" ht="15.75" customHeight="1">
      <c r="A2829" s="1">
        <v>620319</v>
      </c>
      <c r="B2829" s="1" t="s">
        <v>2860</v>
      </c>
      <c r="C2829" s="1" t="s">
        <v>11</v>
      </c>
      <c r="D2829" s="1" t="s">
        <v>11</v>
      </c>
      <c r="E2829" s="1" t="s">
        <v>11</v>
      </c>
    </row>
    <row r="2830" spans="1:5" ht="15.75" customHeight="1">
      <c r="A2830" s="1">
        <v>620322</v>
      </c>
      <c r="B2830" s="1" t="s">
        <v>2861</v>
      </c>
      <c r="C2830" s="1" t="s">
        <v>11</v>
      </c>
      <c r="D2830" s="1" t="s">
        <v>11</v>
      </c>
      <c r="E2830" s="1" t="s">
        <v>11</v>
      </c>
    </row>
    <row r="2831" spans="1:5" ht="15.75" customHeight="1">
      <c r="A2831" s="1">
        <v>620323</v>
      </c>
      <c r="B2831" s="1" t="s">
        <v>2862</v>
      </c>
      <c r="C2831" s="1" t="s">
        <v>11</v>
      </c>
      <c r="D2831" s="1" t="s">
        <v>11</v>
      </c>
      <c r="E2831" s="1" t="s">
        <v>11</v>
      </c>
    </row>
    <row r="2832" spans="1:5" ht="15.75" customHeight="1">
      <c r="A2832" s="1">
        <v>620329</v>
      </c>
      <c r="B2832" s="1" t="s">
        <v>2863</v>
      </c>
      <c r="C2832" s="1" t="s">
        <v>11</v>
      </c>
      <c r="D2832" s="1" t="s">
        <v>11</v>
      </c>
      <c r="E2832" s="1" t="s">
        <v>11</v>
      </c>
    </row>
    <row r="2833" spans="1:5" ht="15.75" customHeight="1">
      <c r="A2833" s="1">
        <v>620331</v>
      </c>
      <c r="B2833" s="1" t="s">
        <v>2864</v>
      </c>
      <c r="C2833" s="1" t="s">
        <v>11</v>
      </c>
      <c r="D2833" s="1" t="s">
        <v>11</v>
      </c>
      <c r="E2833" s="1" t="s">
        <v>11</v>
      </c>
    </row>
    <row r="2834" spans="1:5" ht="15.75" customHeight="1">
      <c r="A2834" s="1">
        <v>620332</v>
      </c>
      <c r="B2834" s="1" t="s">
        <v>2865</v>
      </c>
      <c r="C2834" s="1" t="s">
        <v>11</v>
      </c>
      <c r="D2834" s="1" t="s">
        <v>11</v>
      </c>
      <c r="E2834" s="1" t="s">
        <v>11</v>
      </c>
    </row>
    <row r="2835" spans="1:5" ht="15.75" customHeight="1">
      <c r="A2835" s="1">
        <v>620333</v>
      </c>
      <c r="B2835" s="1" t="s">
        <v>2866</v>
      </c>
      <c r="C2835" s="1" t="s">
        <v>11</v>
      </c>
      <c r="D2835" s="1" t="s">
        <v>11</v>
      </c>
      <c r="E2835" s="1" t="s">
        <v>11</v>
      </c>
    </row>
    <row r="2836" spans="1:5" ht="15.75" customHeight="1">
      <c r="A2836" s="1">
        <v>620339</v>
      </c>
      <c r="B2836" s="1" t="s">
        <v>2867</v>
      </c>
      <c r="C2836" s="1" t="s">
        <v>11</v>
      </c>
      <c r="D2836" s="1" t="s">
        <v>11</v>
      </c>
      <c r="E2836" s="1" t="s">
        <v>11</v>
      </c>
    </row>
    <row r="2837" spans="1:5" ht="15.75" customHeight="1">
      <c r="A2837" s="1">
        <v>620341</v>
      </c>
      <c r="B2837" s="1" t="s">
        <v>2868</v>
      </c>
      <c r="C2837" s="1" t="s">
        <v>11</v>
      </c>
      <c r="D2837" s="1" t="s">
        <v>11</v>
      </c>
      <c r="E2837" s="1" t="s">
        <v>11</v>
      </c>
    </row>
    <row r="2838" spans="1:5" ht="15.75" customHeight="1">
      <c r="A2838" s="1">
        <v>620342</v>
      </c>
      <c r="B2838" s="1" t="s">
        <v>2869</v>
      </c>
      <c r="C2838" s="1" t="s">
        <v>11</v>
      </c>
      <c r="D2838" s="1" t="s">
        <v>11</v>
      </c>
      <c r="E2838" s="1" t="s">
        <v>11</v>
      </c>
    </row>
    <row r="2839" spans="1:5" ht="15.75" customHeight="1">
      <c r="A2839" s="1">
        <v>620343</v>
      </c>
      <c r="B2839" s="1" t="s">
        <v>2870</v>
      </c>
      <c r="C2839" s="1" t="s">
        <v>11</v>
      </c>
      <c r="D2839" s="1" t="s">
        <v>11</v>
      </c>
      <c r="E2839" s="1" t="s">
        <v>11</v>
      </c>
    </row>
    <row r="2840" spans="1:5" ht="15.75" customHeight="1">
      <c r="A2840" s="1">
        <v>620349</v>
      </c>
      <c r="B2840" s="1" t="s">
        <v>2871</v>
      </c>
      <c r="C2840" s="1" t="s">
        <v>11</v>
      </c>
      <c r="D2840" s="1" t="s">
        <v>11</v>
      </c>
      <c r="E2840" s="1" t="s">
        <v>11</v>
      </c>
    </row>
    <row r="2841" spans="1:5" ht="15.75" customHeight="1">
      <c r="A2841" s="1">
        <v>620411</v>
      </c>
      <c r="B2841" s="1" t="s">
        <v>2872</v>
      </c>
      <c r="C2841" s="1" t="s">
        <v>11</v>
      </c>
      <c r="D2841" s="1" t="s">
        <v>11</v>
      </c>
      <c r="E2841" s="1" t="s">
        <v>11</v>
      </c>
    </row>
    <row r="2842" spans="1:5" ht="15.75" customHeight="1">
      <c r="A2842" s="1">
        <v>620412</v>
      </c>
      <c r="B2842" s="1" t="s">
        <v>2873</v>
      </c>
      <c r="C2842" s="1" t="s">
        <v>11</v>
      </c>
      <c r="D2842" s="1" t="s">
        <v>11</v>
      </c>
      <c r="E2842" s="1" t="s">
        <v>11</v>
      </c>
    </row>
    <row r="2843" spans="1:5" ht="15.75" customHeight="1">
      <c r="A2843" s="1">
        <v>620413</v>
      </c>
      <c r="B2843" s="1" t="s">
        <v>2874</v>
      </c>
      <c r="C2843" s="1" t="s">
        <v>11</v>
      </c>
      <c r="D2843" s="1" t="s">
        <v>11</v>
      </c>
      <c r="E2843" s="1" t="s">
        <v>11</v>
      </c>
    </row>
    <row r="2844" spans="1:5" ht="15.75" customHeight="1">
      <c r="A2844" s="1">
        <v>620419</v>
      </c>
      <c r="B2844" s="1" t="s">
        <v>2875</v>
      </c>
      <c r="C2844" s="1" t="s">
        <v>11</v>
      </c>
      <c r="D2844" s="1" t="s">
        <v>11</v>
      </c>
      <c r="E2844" s="1" t="s">
        <v>11</v>
      </c>
    </row>
    <row r="2845" spans="1:5" ht="15.75" customHeight="1">
      <c r="A2845" s="1">
        <v>620421</v>
      </c>
      <c r="B2845" s="1" t="s">
        <v>2876</v>
      </c>
      <c r="C2845" s="1" t="s">
        <v>11</v>
      </c>
      <c r="D2845" s="1" t="s">
        <v>11</v>
      </c>
      <c r="E2845" s="1" t="s">
        <v>11</v>
      </c>
    </row>
    <row r="2846" spans="1:5" ht="15.75" customHeight="1">
      <c r="A2846" s="1">
        <v>620422</v>
      </c>
      <c r="B2846" s="1" t="s">
        <v>2877</v>
      </c>
      <c r="C2846" s="1" t="s">
        <v>11</v>
      </c>
      <c r="D2846" s="1" t="s">
        <v>11</v>
      </c>
      <c r="E2846" s="1" t="s">
        <v>11</v>
      </c>
    </row>
    <row r="2847" spans="1:5" ht="15.75" customHeight="1">
      <c r="A2847" s="1">
        <v>620423</v>
      </c>
      <c r="B2847" s="1" t="s">
        <v>2878</v>
      </c>
      <c r="C2847" s="1" t="s">
        <v>11</v>
      </c>
      <c r="D2847" s="1" t="s">
        <v>11</v>
      </c>
      <c r="E2847" s="1" t="s">
        <v>11</v>
      </c>
    </row>
    <row r="2848" spans="1:5" ht="15.75" customHeight="1">
      <c r="A2848" s="1">
        <v>620429</v>
      </c>
      <c r="B2848" s="1" t="s">
        <v>2879</v>
      </c>
      <c r="C2848" s="1" t="s">
        <v>11</v>
      </c>
      <c r="D2848" s="1" t="s">
        <v>11</v>
      </c>
      <c r="E2848" s="1" t="s">
        <v>11</v>
      </c>
    </row>
    <row r="2849" spans="1:5" ht="15.75" customHeight="1">
      <c r="A2849" s="1">
        <v>620431</v>
      </c>
      <c r="B2849" s="1" t="s">
        <v>2880</v>
      </c>
      <c r="C2849" s="1" t="s">
        <v>11</v>
      </c>
      <c r="D2849" s="1" t="s">
        <v>11</v>
      </c>
      <c r="E2849" s="1" t="s">
        <v>11</v>
      </c>
    </row>
    <row r="2850" spans="1:5" ht="15.75" customHeight="1">
      <c r="A2850" s="1">
        <v>620432</v>
      </c>
      <c r="B2850" s="1" t="s">
        <v>2881</v>
      </c>
      <c r="C2850" s="1" t="s">
        <v>11</v>
      </c>
      <c r="D2850" s="1" t="s">
        <v>11</v>
      </c>
      <c r="E2850" s="1" t="s">
        <v>11</v>
      </c>
    </row>
    <row r="2851" spans="1:5" ht="15.75" customHeight="1">
      <c r="A2851" s="1">
        <v>620433</v>
      </c>
      <c r="B2851" s="1" t="s">
        <v>2882</v>
      </c>
      <c r="C2851" s="1" t="s">
        <v>11</v>
      </c>
      <c r="D2851" s="1" t="s">
        <v>11</v>
      </c>
      <c r="E2851" s="1" t="s">
        <v>11</v>
      </c>
    </row>
    <row r="2852" spans="1:5" ht="15.75" customHeight="1">
      <c r="A2852" s="1">
        <v>620439</v>
      </c>
      <c r="B2852" s="1" t="s">
        <v>2883</v>
      </c>
      <c r="C2852" s="1" t="s">
        <v>11</v>
      </c>
      <c r="D2852" s="1" t="s">
        <v>11</v>
      </c>
      <c r="E2852" s="1" t="s">
        <v>11</v>
      </c>
    </row>
    <row r="2853" spans="1:5" ht="15.75" customHeight="1">
      <c r="A2853" s="1">
        <v>620441</v>
      </c>
      <c r="B2853" s="1" t="s">
        <v>2884</v>
      </c>
      <c r="C2853" s="1" t="s">
        <v>11</v>
      </c>
      <c r="D2853" s="1" t="s">
        <v>11</v>
      </c>
      <c r="E2853" s="1" t="s">
        <v>11</v>
      </c>
    </row>
    <row r="2854" spans="1:5" ht="15.75" customHeight="1">
      <c r="A2854" s="1">
        <v>620442</v>
      </c>
      <c r="B2854" s="1" t="s">
        <v>2885</v>
      </c>
      <c r="C2854" s="1" t="s">
        <v>11</v>
      </c>
      <c r="D2854" s="1" t="s">
        <v>11</v>
      </c>
      <c r="E2854" s="1" t="s">
        <v>11</v>
      </c>
    </row>
    <row r="2855" spans="1:5" ht="15.75" customHeight="1">
      <c r="A2855" s="1">
        <v>620443</v>
      </c>
      <c r="B2855" s="1" t="s">
        <v>2886</v>
      </c>
      <c r="C2855" s="1" t="s">
        <v>11</v>
      </c>
      <c r="D2855" s="1" t="s">
        <v>11</v>
      </c>
      <c r="E2855" s="1" t="s">
        <v>11</v>
      </c>
    </row>
    <row r="2856" spans="1:5" ht="15.75" customHeight="1">
      <c r="A2856" s="1">
        <v>620444</v>
      </c>
      <c r="B2856" s="1" t="s">
        <v>2887</v>
      </c>
      <c r="C2856" s="1" t="s">
        <v>11</v>
      </c>
      <c r="D2856" s="1" t="s">
        <v>11</v>
      </c>
      <c r="E2856" s="1" t="s">
        <v>11</v>
      </c>
    </row>
    <row r="2857" spans="1:5" ht="15.75" customHeight="1">
      <c r="A2857" s="1">
        <v>620449</v>
      </c>
      <c r="B2857" s="1" t="s">
        <v>2888</v>
      </c>
      <c r="C2857" s="1" t="s">
        <v>11</v>
      </c>
      <c r="D2857" s="1" t="s">
        <v>11</v>
      </c>
      <c r="E2857" s="1" t="s">
        <v>11</v>
      </c>
    </row>
    <row r="2858" spans="1:5" ht="15.75" customHeight="1">
      <c r="A2858" s="1">
        <v>620451</v>
      </c>
      <c r="B2858" s="1" t="s">
        <v>2889</v>
      </c>
      <c r="C2858" s="1" t="s">
        <v>11</v>
      </c>
      <c r="D2858" s="1" t="s">
        <v>11</v>
      </c>
      <c r="E2858" s="1" t="s">
        <v>11</v>
      </c>
    </row>
    <row r="2859" spans="1:5" ht="15.75" customHeight="1">
      <c r="A2859" s="1">
        <v>620452</v>
      </c>
      <c r="B2859" s="1" t="s">
        <v>2890</v>
      </c>
      <c r="C2859" s="1" t="s">
        <v>11</v>
      </c>
      <c r="D2859" s="1" t="s">
        <v>11</v>
      </c>
      <c r="E2859" s="1" t="s">
        <v>11</v>
      </c>
    </row>
    <row r="2860" spans="1:5" ht="15.75" customHeight="1">
      <c r="A2860" s="1">
        <v>620453</v>
      </c>
      <c r="B2860" s="1" t="s">
        <v>2891</v>
      </c>
      <c r="C2860" s="1" t="s">
        <v>11</v>
      </c>
      <c r="D2860" s="1" t="s">
        <v>11</v>
      </c>
      <c r="E2860" s="1" t="s">
        <v>11</v>
      </c>
    </row>
    <row r="2861" spans="1:5" ht="15.75" customHeight="1">
      <c r="A2861" s="1">
        <v>620459</v>
      </c>
      <c r="B2861" s="1" t="s">
        <v>2892</v>
      </c>
      <c r="C2861" s="1" t="s">
        <v>11</v>
      </c>
      <c r="D2861" s="1" t="s">
        <v>11</v>
      </c>
      <c r="E2861" s="1" t="s">
        <v>11</v>
      </c>
    </row>
    <row r="2862" spans="1:5" ht="15.75" customHeight="1">
      <c r="A2862" s="1">
        <v>620461</v>
      </c>
      <c r="B2862" s="1" t="s">
        <v>2893</v>
      </c>
      <c r="C2862" s="1" t="s">
        <v>11</v>
      </c>
      <c r="D2862" s="1" t="s">
        <v>11</v>
      </c>
      <c r="E2862" s="1" t="s">
        <v>11</v>
      </c>
    </row>
    <row r="2863" spans="1:5" ht="15.75" customHeight="1">
      <c r="A2863" s="1">
        <v>620462</v>
      </c>
      <c r="B2863" s="1" t="s">
        <v>2894</v>
      </c>
      <c r="C2863" s="1" t="s">
        <v>11</v>
      </c>
      <c r="D2863" s="1" t="s">
        <v>11</v>
      </c>
      <c r="E2863" s="1" t="s">
        <v>11</v>
      </c>
    </row>
    <row r="2864" spans="1:5" ht="15.75" customHeight="1">
      <c r="A2864" s="1">
        <v>620463</v>
      </c>
      <c r="B2864" s="1" t="s">
        <v>2895</v>
      </c>
      <c r="C2864" s="1" t="s">
        <v>11</v>
      </c>
      <c r="D2864" s="1" t="s">
        <v>11</v>
      </c>
      <c r="E2864" s="1" t="s">
        <v>11</v>
      </c>
    </row>
    <row r="2865" spans="1:5" ht="15.75" customHeight="1">
      <c r="A2865" s="1">
        <v>620469</v>
      </c>
      <c r="B2865" s="1" t="s">
        <v>2896</v>
      </c>
      <c r="C2865" s="1" t="s">
        <v>11</v>
      </c>
      <c r="D2865" s="1" t="s">
        <v>11</v>
      </c>
      <c r="E2865" s="1" t="s">
        <v>11</v>
      </c>
    </row>
    <row r="2866" spans="1:5" ht="15.75" customHeight="1">
      <c r="A2866" s="1">
        <v>620520</v>
      </c>
      <c r="B2866" s="1" t="s">
        <v>2897</v>
      </c>
      <c r="C2866" s="1" t="s">
        <v>11</v>
      </c>
      <c r="D2866" s="1" t="s">
        <v>11</v>
      </c>
      <c r="E2866" s="1" t="s">
        <v>11</v>
      </c>
    </row>
    <row r="2867" spans="1:5" ht="15.75" customHeight="1">
      <c r="A2867" s="1">
        <v>620530</v>
      </c>
      <c r="B2867" s="1" t="s">
        <v>2898</v>
      </c>
      <c r="C2867" s="1" t="s">
        <v>11</v>
      </c>
      <c r="D2867" s="1" t="s">
        <v>11</v>
      </c>
      <c r="E2867" s="1" t="s">
        <v>11</v>
      </c>
    </row>
    <row r="2868" spans="1:5" ht="15.75" customHeight="1">
      <c r="A2868" s="1">
        <v>620590</v>
      </c>
      <c r="B2868" s="1" t="s">
        <v>2899</v>
      </c>
      <c r="C2868" s="1" t="s">
        <v>11</v>
      </c>
      <c r="D2868" s="1" t="s">
        <v>11</v>
      </c>
      <c r="E2868" s="1" t="s">
        <v>11</v>
      </c>
    </row>
    <row r="2869" spans="1:5" ht="15.75" customHeight="1">
      <c r="A2869" s="1">
        <v>620610</v>
      </c>
      <c r="B2869" s="1" t="s">
        <v>2900</v>
      </c>
      <c r="C2869" s="1" t="s">
        <v>11</v>
      </c>
      <c r="D2869" s="1" t="s">
        <v>11</v>
      </c>
      <c r="E2869" s="1" t="s">
        <v>11</v>
      </c>
    </row>
    <row r="2870" spans="1:5" ht="15.75" customHeight="1">
      <c r="A2870" s="1">
        <v>620620</v>
      </c>
      <c r="B2870" s="1" t="s">
        <v>2901</v>
      </c>
      <c r="C2870" s="1" t="s">
        <v>11</v>
      </c>
      <c r="D2870" s="1" t="s">
        <v>11</v>
      </c>
      <c r="E2870" s="1" t="s">
        <v>11</v>
      </c>
    </row>
    <row r="2871" spans="1:5" ht="15.75" customHeight="1">
      <c r="A2871" s="1">
        <v>620630</v>
      </c>
      <c r="B2871" s="1" t="s">
        <v>2902</v>
      </c>
      <c r="C2871" s="1" t="s">
        <v>11</v>
      </c>
      <c r="D2871" s="1" t="s">
        <v>11</v>
      </c>
      <c r="E2871" s="1" t="s">
        <v>11</v>
      </c>
    </row>
    <row r="2872" spans="1:5" ht="15.75" customHeight="1">
      <c r="A2872" s="1">
        <v>620640</v>
      </c>
      <c r="B2872" s="1" t="s">
        <v>2903</v>
      </c>
      <c r="C2872" s="1" t="s">
        <v>11</v>
      </c>
      <c r="D2872" s="1" t="s">
        <v>11</v>
      </c>
      <c r="E2872" s="1" t="s">
        <v>11</v>
      </c>
    </row>
    <row r="2873" spans="1:5" ht="15.75" customHeight="1">
      <c r="A2873" s="1">
        <v>620690</v>
      </c>
      <c r="B2873" s="1" t="s">
        <v>2904</v>
      </c>
      <c r="C2873" s="1" t="s">
        <v>11</v>
      </c>
      <c r="D2873" s="1" t="s">
        <v>11</v>
      </c>
      <c r="E2873" s="1" t="s">
        <v>11</v>
      </c>
    </row>
    <row r="2874" spans="1:5" ht="15.75" customHeight="1">
      <c r="A2874" s="1">
        <v>620711</v>
      </c>
      <c r="B2874" s="1" t="s">
        <v>2905</v>
      </c>
      <c r="C2874" s="1" t="s">
        <v>11</v>
      </c>
      <c r="D2874" s="1" t="s">
        <v>11</v>
      </c>
      <c r="E2874" s="1" t="s">
        <v>11</v>
      </c>
    </row>
    <row r="2875" spans="1:5" ht="15.75" customHeight="1">
      <c r="A2875" s="1">
        <v>620719</v>
      </c>
      <c r="B2875" s="1" t="s">
        <v>2906</v>
      </c>
      <c r="C2875" s="1" t="s">
        <v>11</v>
      </c>
      <c r="D2875" s="1" t="s">
        <v>11</v>
      </c>
      <c r="E2875" s="1" t="s">
        <v>11</v>
      </c>
    </row>
    <row r="2876" spans="1:5" ht="15.75" customHeight="1">
      <c r="A2876" s="1">
        <v>620721</v>
      </c>
      <c r="B2876" s="1" t="s">
        <v>2907</v>
      </c>
      <c r="C2876" s="1" t="s">
        <v>11</v>
      </c>
      <c r="D2876" s="1" t="s">
        <v>11</v>
      </c>
      <c r="E2876" s="1" t="s">
        <v>11</v>
      </c>
    </row>
    <row r="2877" spans="1:5" ht="15.75" customHeight="1">
      <c r="A2877" s="1">
        <v>620722</v>
      </c>
      <c r="B2877" s="1" t="s">
        <v>2908</v>
      </c>
      <c r="C2877" s="1" t="s">
        <v>11</v>
      </c>
      <c r="D2877" s="1" t="s">
        <v>11</v>
      </c>
      <c r="E2877" s="1" t="s">
        <v>11</v>
      </c>
    </row>
    <row r="2878" spans="1:5" ht="15.75" customHeight="1">
      <c r="A2878" s="1">
        <v>620729</v>
      </c>
      <c r="B2878" s="1" t="s">
        <v>2909</v>
      </c>
      <c r="C2878" s="1" t="s">
        <v>11</v>
      </c>
      <c r="D2878" s="1" t="s">
        <v>11</v>
      </c>
      <c r="E2878" s="1" t="s">
        <v>11</v>
      </c>
    </row>
    <row r="2879" spans="1:5" ht="15.75" customHeight="1">
      <c r="A2879" s="1">
        <v>620791</v>
      </c>
      <c r="B2879" s="1" t="s">
        <v>2910</v>
      </c>
      <c r="C2879" s="1" t="s">
        <v>11</v>
      </c>
      <c r="D2879" s="1" t="s">
        <v>11</v>
      </c>
      <c r="E2879" s="1" t="s">
        <v>11</v>
      </c>
    </row>
    <row r="2880" spans="1:5" ht="15.75" customHeight="1">
      <c r="A2880" s="1">
        <v>620799</v>
      </c>
      <c r="B2880" s="1" t="s">
        <v>2911</v>
      </c>
      <c r="C2880" s="1" t="s">
        <v>11</v>
      </c>
      <c r="D2880" s="1" t="s">
        <v>11</v>
      </c>
      <c r="E2880" s="1" t="s">
        <v>11</v>
      </c>
    </row>
    <row r="2881" spans="1:5" ht="15.75" customHeight="1">
      <c r="A2881" s="1">
        <v>620811</v>
      </c>
      <c r="B2881" s="1" t="s">
        <v>2912</v>
      </c>
      <c r="C2881" s="1" t="s">
        <v>11</v>
      </c>
      <c r="D2881" s="1" t="s">
        <v>11</v>
      </c>
      <c r="E2881" s="1" t="s">
        <v>11</v>
      </c>
    </row>
    <row r="2882" spans="1:5" ht="15.75" customHeight="1">
      <c r="A2882" s="1">
        <v>620819</v>
      </c>
      <c r="B2882" s="1" t="s">
        <v>2913</v>
      </c>
      <c r="C2882" s="1" t="s">
        <v>11</v>
      </c>
      <c r="D2882" s="1" t="s">
        <v>11</v>
      </c>
      <c r="E2882" s="1" t="s">
        <v>11</v>
      </c>
    </row>
    <row r="2883" spans="1:5" ht="15.75" customHeight="1">
      <c r="A2883" s="1">
        <v>620821</v>
      </c>
      <c r="B2883" s="1" t="s">
        <v>2914</v>
      </c>
      <c r="C2883" s="1" t="s">
        <v>11</v>
      </c>
      <c r="D2883" s="1" t="s">
        <v>11</v>
      </c>
      <c r="E2883" s="1" t="s">
        <v>11</v>
      </c>
    </row>
    <row r="2884" spans="1:5" ht="15.75" customHeight="1">
      <c r="A2884" s="1">
        <v>620822</v>
      </c>
      <c r="B2884" s="1" t="s">
        <v>2915</v>
      </c>
      <c r="C2884" s="1" t="s">
        <v>11</v>
      </c>
      <c r="D2884" s="1" t="s">
        <v>11</v>
      </c>
      <c r="E2884" s="1" t="s">
        <v>11</v>
      </c>
    </row>
    <row r="2885" spans="1:5" ht="15.75" customHeight="1">
      <c r="A2885" s="1">
        <v>620829</v>
      </c>
      <c r="B2885" s="1" t="s">
        <v>2916</v>
      </c>
      <c r="C2885" s="1" t="s">
        <v>11</v>
      </c>
      <c r="D2885" s="1" t="s">
        <v>11</v>
      </c>
      <c r="E2885" s="1" t="s">
        <v>11</v>
      </c>
    </row>
    <row r="2886" spans="1:5" ht="15.75" customHeight="1">
      <c r="A2886" s="1">
        <v>620891</v>
      </c>
      <c r="B2886" s="1" t="s">
        <v>2917</v>
      </c>
      <c r="C2886" s="1" t="s">
        <v>11</v>
      </c>
      <c r="D2886" s="1" t="s">
        <v>11</v>
      </c>
      <c r="E2886" s="1" t="s">
        <v>11</v>
      </c>
    </row>
    <row r="2887" spans="1:5" ht="15.75" customHeight="1">
      <c r="A2887" s="1">
        <v>620892</v>
      </c>
      <c r="B2887" s="1" t="s">
        <v>2918</v>
      </c>
      <c r="C2887" s="1" t="s">
        <v>11</v>
      </c>
      <c r="D2887" s="1" t="s">
        <v>11</v>
      </c>
      <c r="E2887" s="1" t="s">
        <v>11</v>
      </c>
    </row>
    <row r="2888" spans="1:5" ht="15.75" customHeight="1">
      <c r="A2888" s="1">
        <v>620899</v>
      </c>
      <c r="B2888" s="1" t="s">
        <v>2919</v>
      </c>
      <c r="C2888" s="1" t="s">
        <v>11</v>
      </c>
      <c r="D2888" s="1" t="s">
        <v>11</v>
      </c>
      <c r="E2888" s="1" t="s">
        <v>11</v>
      </c>
    </row>
    <row r="2889" spans="1:5" ht="15.75" customHeight="1">
      <c r="A2889" s="1">
        <v>620920</v>
      </c>
      <c r="B2889" s="1" t="s">
        <v>2920</v>
      </c>
      <c r="C2889" s="1" t="s">
        <v>11</v>
      </c>
      <c r="D2889" s="1" t="s">
        <v>11</v>
      </c>
      <c r="E2889" s="1" t="s">
        <v>11</v>
      </c>
    </row>
    <row r="2890" spans="1:5" ht="15.75" customHeight="1">
      <c r="A2890" s="1">
        <v>620930</v>
      </c>
      <c r="B2890" s="1" t="s">
        <v>2921</v>
      </c>
      <c r="C2890" s="1" t="s">
        <v>11</v>
      </c>
      <c r="D2890" s="1" t="s">
        <v>11</v>
      </c>
      <c r="E2890" s="1" t="s">
        <v>11</v>
      </c>
    </row>
    <row r="2891" spans="1:5" ht="15.75" customHeight="1">
      <c r="A2891" s="1">
        <v>620990</v>
      </c>
      <c r="B2891" s="1" t="s">
        <v>2922</v>
      </c>
      <c r="C2891" s="1" t="s">
        <v>11</v>
      </c>
      <c r="D2891" s="1" t="s">
        <v>11</v>
      </c>
      <c r="E2891" s="1" t="s">
        <v>11</v>
      </c>
    </row>
    <row r="2892" spans="1:5" ht="15.75" customHeight="1">
      <c r="A2892" s="1">
        <v>621010</v>
      </c>
      <c r="B2892" s="1" t="s">
        <v>2923</v>
      </c>
      <c r="C2892" s="1" t="s">
        <v>11</v>
      </c>
      <c r="D2892" s="1" t="s">
        <v>11</v>
      </c>
      <c r="E2892" s="1" t="s">
        <v>11</v>
      </c>
    </row>
    <row r="2893" spans="1:5" ht="15.75" customHeight="1">
      <c r="A2893" s="1">
        <v>621020</v>
      </c>
      <c r="B2893" s="1" t="s">
        <v>2924</v>
      </c>
      <c r="C2893" s="1" t="s">
        <v>11</v>
      </c>
      <c r="D2893" s="1" t="s">
        <v>11</v>
      </c>
      <c r="E2893" s="1" t="s">
        <v>11</v>
      </c>
    </row>
    <row r="2894" spans="1:5" ht="15.75" customHeight="1">
      <c r="A2894" s="1">
        <v>621030</v>
      </c>
      <c r="B2894" s="1" t="s">
        <v>2925</v>
      </c>
      <c r="C2894" s="1" t="s">
        <v>11</v>
      </c>
      <c r="D2894" s="1" t="s">
        <v>11</v>
      </c>
      <c r="E2894" s="1" t="s">
        <v>11</v>
      </c>
    </row>
    <row r="2895" spans="1:5" ht="15.75" customHeight="1">
      <c r="A2895" s="1">
        <v>621040</v>
      </c>
      <c r="B2895" s="1" t="s">
        <v>2926</v>
      </c>
      <c r="C2895" s="1" t="s">
        <v>11</v>
      </c>
      <c r="D2895" s="1" t="s">
        <v>11</v>
      </c>
      <c r="E2895" s="1" t="s">
        <v>11</v>
      </c>
    </row>
    <row r="2896" spans="1:5" ht="15.75" customHeight="1">
      <c r="A2896" s="1">
        <v>621050</v>
      </c>
      <c r="B2896" s="1" t="s">
        <v>2927</v>
      </c>
      <c r="C2896" s="1" t="s">
        <v>11</v>
      </c>
      <c r="D2896" s="1" t="s">
        <v>11</v>
      </c>
      <c r="E2896" s="1" t="s">
        <v>11</v>
      </c>
    </row>
    <row r="2897" spans="1:5" ht="15.75" customHeight="1">
      <c r="A2897" s="1">
        <v>621111</v>
      </c>
      <c r="B2897" s="1" t="s">
        <v>2928</v>
      </c>
      <c r="C2897" s="1" t="s">
        <v>11</v>
      </c>
      <c r="D2897" s="1" t="s">
        <v>11</v>
      </c>
      <c r="E2897" s="1" t="s">
        <v>11</v>
      </c>
    </row>
    <row r="2898" spans="1:5" ht="15.75" customHeight="1">
      <c r="A2898" s="1">
        <v>621112</v>
      </c>
      <c r="B2898" s="1" t="s">
        <v>2929</v>
      </c>
      <c r="C2898" s="1" t="s">
        <v>11</v>
      </c>
      <c r="D2898" s="1" t="s">
        <v>11</v>
      </c>
      <c r="E2898" s="1" t="s">
        <v>11</v>
      </c>
    </row>
    <row r="2899" spans="1:5" ht="15.75" customHeight="1">
      <c r="A2899" s="1">
        <v>621120</v>
      </c>
      <c r="B2899" s="1" t="s">
        <v>2930</v>
      </c>
      <c r="C2899" s="1" t="s">
        <v>11</v>
      </c>
      <c r="D2899" s="1" t="s">
        <v>11</v>
      </c>
      <c r="E2899" s="1" t="s">
        <v>11</v>
      </c>
    </row>
    <row r="2900" spans="1:5" ht="15.75" customHeight="1">
      <c r="A2900" s="1">
        <v>621132</v>
      </c>
      <c r="B2900" s="1" t="s">
        <v>2931</v>
      </c>
      <c r="C2900" s="1" t="s">
        <v>11</v>
      </c>
      <c r="D2900" s="1" t="s">
        <v>11</v>
      </c>
      <c r="E2900" s="1" t="s">
        <v>11</v>
      </c>
    </row>
    <row r="2901" spans="1:5" ht="15.75" customHeight="1">
      <c r="A2901" s="1">
        <v>621133</v>
      </c>
      <c r="B2901" s="1" t="s">
        <v>2932</v>
      </c>
      <c r="C2901" s="1" t="s">
        <v>11</v>
      </c>
      <c r="D2901" s="1" t="s">
        <v>11</v>
      </c>
      <c r="E2901" s="1" t="s">
        <v>11</v>
      </c>
    </row>
    <row r="2902" spans="1:5" ht="15.75" customHeight="1">
      <c r="A2902" s="1">
        <v>621139</v>
      </c>
      <c r="B2902" s="1" t="s">
        <v>2933</v>
      </c>
      <c r="C2902" s="1" t="s">
        <v>11</v>
      </c>
      <c r="D2902" s="1" t="s">
        <v>11</v>
      </c>
      <c r="E2902" s="1" t="s">
        <v>11</v>
      </c>
    </row>
    <row r="2903" spans="1:5" ht="15.75" customHeight="1">
      <c r="A2903" s="1">
        <v>621141</v>
      </c>
      <c r="B2903" s="1" t="s">
        <v>2934</v>
      </c>
      <c r="C2903" s="1" t="s">
        <v>11</v>
      </c>
      <c r="D2903" s="1" t="s">
        <v>11</v>
      </c>
      <c r="E2903" s="1" t="s">
        <v>11</v>
      </c>
    </row>
    <row r="2904" spans="1:5" ht="15.75" customHeight="1">
      <c r="A2904" s="1">
        <v>621142</v>
      </c>
      <c r="B2904" s="1" t="s">
        <v>2935</v>
      </c>
      <c r="C2904" s="1" t="s">
        <v>11</v>
      </c>
      <c r="D2904" s="1" t="s">
        <v>11</v>
      </c>
      <c r="E2904" s="1" t="s">
        <v>11</v>
      </c>
    </row>
    <row r="2905" spans="1:5" ht="15.75" customHeight="1">
      <c r="A2905" s="1">
        <v>621143</v>
      </c>
      <c r="B2905" s="1" t="s">
        <v>2936</v>
      </c>
      <c r="C2905" s="1" t="s">
        <v>11</v>
      </c>
      <c r="D2905" s="1" t="s">
        <v>11</v>
      </c>
      <c r="E2905" s="1" t="s">
        <v>11</v>
      </c>
    </row>
    <row r="2906" spans="1:5" ht="15.75" customHeight="1">
      <c r="A2906" s="1">
        <v>621149</v>
      </c>
      <c r="B2906" s="1" t="s">
        <v>2937</v>
      </c>
      <c r="C2906" s="1" t="s">
        <v>11</v>
      </c>
      <c r="D2906" s="1" t="s">
        <v>11</v>
      </c>
      <c r="E2906" s="1" t="s">
        <v>11</v>
      </c>
    </row>
    <row r="2907" spans="1:5" ht="15.75" customHeight="1">
      <c r="A2907" s="1">
        <v>621210</v>
      </c>
      <c r="B2907" s="1" t="s">
        <v>2938</v>
      </c>
      <c r="C2907" s="1" t="s">
        <v>11</v>
      </c>
      <c r="D2907" s="1" t="s">
        <v>11</v>
      </c>
      <c r="E2907" s="1" t="s">
        <v>11</v>
      </c>
    </row>
    <row r="2908" spans="1:5" ht="15.75" customHeight="1">
      <c r="A2908" s="1">
        <v>621220</v>
      </c>
      <c r="B2908" s="1" t="s">
        <v>2939</v>
      </c>
      <c r="C2908" s="1" t="s">
        <v>11</v>
      </c>
      <c r="D2908" s="1" t="s">
        <v>11</v>
      </c>
      <c r="E2908" s="1" t="s">
        <v>11</v>
      </c>
    </row>
    <row r="2909" spans="1:5" ht="15.75" customHeight="1">
      <c r="A2909" s="1">
        <v>621230</v>
      </c>
      <c r="B2909" s="1" t="s">
        <v>2940</v>
      </c>
      <c r="C2909" s="1" t="s">
        <v>11</v>
      </c>
      <c r="D2909" s="1" t="s">
        <v>11</v>
      </c>
      <c r="E2909" s="1" t="s">
        <v>11</v>
      </c>
    </row>
    <row r="2910" spans="1:5" ht="15.75" customHeight="1">
      <c r="A2910" s="1">
        <v>621290</v>
      </c>
      <c r="B2910" s="1" t="s">
        <v>2941</v>
      </c>
      <c r="C2910" s="1" t="s">
        <v>11</v>
      </c>
      <c r="D2910" s="1" t="s">
        <v>11</v>
      </c>
      <c r="E2910" s="1" t="s">
        <v>11</v>
      </c>
    </row>
    <row r="2911" spans="1:5" ht="15.75" customHeight="1">
      <c r="A2911" s="1">
        <v>621320</v>
      </c>
      <c r="B2911" s="1" t="s">
        <v>2942</v>
      </c>
      <c r="C2911" s="1" t="s">
        <v>11</v>
      </c>
      <c r="D2911" s="1" t="s">
        <v>11</v>
      </c>
      <c r="E2911" s="1" t="s">
        <v>11</v>
      </c>
    </row>
    <row r="2912" spans="1:5" ht="15.75" customHeight="1">
      <c r="A2912" s="1">
        <v>621390</v>
      </c>
      <c r="B2912" s="1" t="s">
        <v>2943</v>
      </c>
      <c r="C2912" s="1" t="s">
        <v>11</v>
      </c>
      <c r="D2912" s="1" t="s">
        <v>11</v>
      </c>
      <c r="E2912" s="1" t="s">
        <v>11</v>
      </c>
    </row>
    <row r="2913" spans="1:5" ht="15.75" customHeight="1">
      <c r="A2913" s="1">
        <v>621410</v>
      </c>
      <c r="B2913" s="1" t="s">
        <v>2944</v>
      </c>
      <c r="C2913" s="1" t="s">
        <v>11</v>
      </c>
      <c r="D2913" s="1" t="s">
        <v>11</v>
      </c>
      <c r="E2913" s="1" t="s">
        <v>11</v>
      </c>
    </row>
    <row r="2914" spans="1:5" ht="15.75" customHeight="1">
      <c r="A2914" s="1">
        <v>621420</v>
      </c>
      <c r="B2914" s="1" t="s">
        <v>2945</v>
      </c>
      <c r="C2914" s="1" t="s">
        <v>11</v>
      </c>
      <c r="D2914" s="1" t="s">
        <v>11</v>
      </c>
      <c r="E2914" s="1" t="s">
        <v>11</v>
      </c>
    </row>
    <row r="2915" spans="1:5" ht="15.75" customHeight="1">
      <c r="A2915" s="1">
        <v>621430</v>
      </c>
      <c r="B2915" s="1" t="s">
        <v>2946</v>
      </c>
      <c r="C2915" s="1" t="s">
        <v>11</v>
      </c>
      <c r="D2915" s="1" t="s">
        <v>11</v>
      </c>
      <c r="E2915" s="1" t="s">
        <v>11</v>
      </c>
    </row>
    <row r="2916" spans="1:5" ht="15.75" customHeight="1">
      <c r="A2916" s="1">
        <v>621440</v>
      </c>
      <c r="B2916" s="1" t="s">
        <v>2947</v>
      </c>
      <c r="C2916" s="1" t="s">
        <v>11</v>
      </c>
      <c r="D2916" s="1" t="s">
        <v>11</v>
      </c>
      <c r="E2916" s="1" t="s">
        <v>11</v>
      </c>
    </row>
    <row r="2917" spans="1:5" ht="15.75" customHeight="1">
      <c r="A2917" s="1">
        <v>621490</v>
      </c>
      <c r="B2917" s="1" t="s">
        <v>2948</v>
      </c>
      <c r="C2917" s="1" t="s">
        <v>11</v>
      </c>
      <c r="D2917" s="1" t="s">
        <v>11</v>
      </c>
      <c r="E2917" s="1" t="s">
        <v>11</v>
      </c>
    </row>
    <row r="2918" spans="1:5" ht="15.75" customHeight="1">
      <c r="A2918" s="1">
        <v>621510</v>
      </c>
      <c r="B2918" s="1" t="s">
        <v>2949</v>
      </c>
      <c r="C2918" s="1" t="s">
        <v>11</v>
      </c>
      <c r="D2918" s="1" t="s">
        <v>11</v>
      </c>
      <c r="E2918" s="1" t="s">
        <v>11</v>
      </c>
    </row>
    <row r="2919" spans="1:5" ht="15.75" customHeight="1">
      <c r="A2919" s="1">
        <v>621520</v>
      </c>
      <c r="B2919" s="1" t="s">
        <v>2950</v>
      </c>
      <c r="C2919" s="1" t="s">
        <v>11</v>
      </c>
      <c r="D2919" s="1" t="s">
        <v>11</v>
      </c>
      <c r="E2919" s="1" t="s">
        <v>11</v>
      </c>
    </row>
    <row r="2920" spans="1:5" ht="15.75" customHeight="1">
      <c r="A2920" s="1">
        <v>621590</v>
      </c>
      <c r="B2920" s="1" t="s">
        <v>2951</v>
      </c>
      <c r="C2920" s="1" t="s">
        <v>11</v>
      </c>
      <c r="D2920" s="1" t="s">
        <v>11</v>
      </c>
      <c r="E2920" s="1" t="s">
        <v>11</v>
      </c>
    </row>
    <row r="2921" spans="1:5" ht="15.75" customHeight="1">
      <c r="A2921" s="1">
        <v>621600</v>
      </c>
      <c r="B2921" s="1" t="s">
        <v>2952</v>
      </c>
      <c r="C2921" s="1" t="s">
        <v>11</v>
      </c>
      <c r="D2921" s="1" t="s">
        <v>11</v>
      </c>
      <c r="E2921" s="1" t="s">
        <v>11</v>
      </c>
    </row>
    <row r="2922" spans="1:5" ht="15.75" customHeight="1">
      <c r="A2922" s="1">
        <v>621710</v>
      </c>
      <c r="B2922" s="1" t="s">
        <v>2953</v>
      </c>
      <c r="C2922" s="1" t="s">
        <v>11</v>
      </c>
      <c r="D2922" s="1" t="s">
        <v>11</v>
      </c>
      <c r="E2922" s="1" t="s">
        <v>11</v>
      </c>
    </row>
    <row r="2923" spans="1:5" ht="15.75" customHeight="1">
      <c r="A2923" s="1">
        <v>621790</v>
      </c>
      <c r="B2923" s="1" t="s">
        <v>2954</v>
      </c>
      <c r="C2923" s="1" t="s">
        <v>11</v>
      </c>
      <c r="D2923" s="1" t="s">
        <v>11</v>
      </c>
      <c r="E2923" s="1" t="s">
        <v>11</v>
      </c>
    </row>
    <row r="2924" spans="1:5" ht="15.75" customHeight="1">
      <c r="A2924" s="1">
        <v>630110</v>
      </c>
      <c r="B2924" s="1" t="s">
        <v>2955</v>
      </c>
      <c r="C2924" s="1" t="s">
        <v>11</v>
      </c>
      <c r="D2924" s="1" t="s">
        <v>11</v>
      </c>
      <c r="E2924" s="1" t="s">
        <v>11</v>
      </c>
    </row>
    <row r="2925" spans="1:5" ht="15.75" customHeight="1">
      <c r="A2925" s="1">
        <v>630120</v>
      </c>
      <c r="B2925" s="1" t="s">
        <v>2956</v>
      </c>
      <c r="C2925" s="1" t="s">
        <v>11</v>
      </c>
      <c r="D2925" s="1" t="s">
        <v>11</v>
      </c>
      <c r="E2925" s="1" t="s">
        <v>11</v>
      </c>
    </row>
    <row r="2926" spans="1:5" ht="15.75" customHeight="1">
      <c r="A2926" s="1">
        <v>630130</v>
      </c>
      <c r="B2926" s="1" t="s">
        <v>2957</v>
      </c>
      <c r="C2926" s="1" t="s">
        <v>11</v>
      </c>
      <c r="D2926" s="1" t="s">
        <v>11</v>
      </c>
      <c r="E2926" s="1" t="s">
        <v>11</v>
      </c>
    </row>
    <row r="2927" spans="1:5" ht="15.75" customHeight="1">
      <c r="A2927" s="1">
        <v>630140</v>
      </c>
      <c r="B2927" s="1" t="s">
        <v>2958</v>
      </c>
      <c r="C2927" s="1" t="s">
        <v>11</v>
      </c>
      <c r="D2927" s="1" t="s">
        <v>11</v>
      </c>
      <c r="E2927" s="1" t="s">
        <v>11</v>
      </c>
    </row>
    <row r="2928" spans="1:5" ht="15.75" customHeight="1">
      <c r="A2928" s="1">
        <v>630190</v>
      </c>
      <c r="B2928" s="1" t="s">
        <v>2959</v>
      </c>
      <c r="C2928" s="1" t="s">
        <v>11</v>
      </c>
      <c r="D2928" s="1" t="s">
        <v>11</v>
      </c>
      <c r="E2928" s="1" t="s">
        <v>11</v>
      </c>
    </row>
    <row r="2929" spans="1:5" ht="15.75" customHeight="1">
      <c r="A2929" s="1">
        <v>630210</v>
      </c>
      <c r="B2929" s="1" t="s">
        <v>2960</v>
      </c>
      <c r="C2929" s="1" t="s">
        <v>11</v>
      </c>
      <c r="D2929" s="1" t="s">
        <v>11</v>
      </c>
      <c r="E2929" s="1" t="s">
        <v>11</v>
      </c>
    </row>
    <row r="2930" spans="1:5" ht="15.75" customHeight="1">
      <c r="A2930" s="1">
        <v>630221</v>
      </c>
      <c r="B2930" s="1" t="s">
        <v>2961</v>
      </c>
      <c r="C2930" s="1" t="s">
        <v>11</v>
      </c>
      <c r="D2930" s="1" t="s">
        <v>11</v>
      </c>
      <c r="E2930" s="1" t="s">
        <v>11</v>
      </c>
    </row>
    <row r="2931" spans="1:5" ht="15.75" customHeight="1">
      <c r="A2931" s="1">
        <v>630222</v>
      </c>
      <c r="B2931" s="1" t="s">
        <v>2962</v>
      </c>
      <c r="C2931" s="1" t="s">
        <v>11</v>
      </c>
      <c r="D2931" s="1" t="s">
        <v>11</v>
      </c>
      <c r="E2931" s="1" t="s">
        <v>11</v>
      </c>
    </row>
    <row r="2932" spans="1:5" ht="15.75" customHeight="1">
      <c r="A2932" s="1">
        <v>630229</v>
      </c>
      <c r="B2932" s="1" t="s">
        <v>2963</v>
      </c>
      <c r="C2932" s="1" t="s">
        <v>11</v>
      </c>
      <c r="D2932" s="1" t="s">
        <v>11</v>
      </c>
      <c r="E2932" s="1" t="s">
        <v>11</v>
      </c>
    </row>
    <row r="2933" spans="1:5" ht="15.75" customHeight="1">
      <c r="A2933" s="1">
        <v>630231</v>
      </c>
      <c r="B2933" s="1" t="s">
        <v>2964</v>
      </c>
      <c r="C2933" s="1" t="s">
        <v>11</v>
      </c>
      <c r="D2933" s="1" t="s">
        <v>11</v>
      </c>
      <c r="E2933" s="1" t="s">
        <v>11</v>
      </c>
    </row>
    <row r="2934" spans="1:5" ht="15.75" customHeight="1">
      <c r="A2934" s="1">
        <v>630232</v>
      </c>
      <c r="B2934" s="1" t="s">
        <v>2965</v>
      </c>
      <c r="C2934" s="1" t="s">
        <v>11</v>
      </c>
      <c r="D2934" s="1" t="s">
        <v>11</v>
      </c>
      <c r="E2934" s="1" t="s">
        <v>11</v>
      </c>
    </row>
    <row r="2935" spans="1:5" ht="15.75" customHeight="1">
      <c r="A2935" s="1">
        <v>630239</v>
      </c>
      <c r="B2935" s="1" t="s">
        <v>2966</v>
      </c>
      <c r="C2935" s="1" t="s">
        <v>11</v>
      </c>
      <c r="D2935" s="1" t="s">
        <v>11</v>
      </c>
      <c r="E2935" s="1" t="s">
        <v>11</v>
      </c>
    </row>
    <row r="2936" spans="1:5" ht="15.75" customHeight="1">
      <c r="A2936" s="1">
        <v>630240</v>
      </c>
      <c r="B2936" s="1" t="s">
        <v>2967</v>
      </c>
      <c r="C2936" s="1" t="s">
        <v>11</v>
      </c>
      <c r="D2936" s="1" t="s">
        <v>11</v>
      </c>
      <c r="E2936" s="1" t="s">
        <v>11</v>
      </c>
    </row>
    <row r="2937" spans="1:5" ht="15.75" customHeight="1">
      <c r="A2937" s="1">
        <v>630251</v>
      </c>
      <c r="B2937" s="1" t="s">
        <v>2968</v>
      </c>
      <c r="C2937" s="1" t="s">
        <v>11</v>
      </c>
      <c r="D2937" s="1" t="s">
        <v>11</v>
      </c>
      <c r="E2937" s="1" t="s">
        <v>11</v>
      </c>
    </row>
    <row r="2938" spans="1:5" ht="15.75" customHeight="1">
      <c r="A2938" s="1">
        <v>630253</v>
      </c>
      <c r="B2938" s="1" t="s">
        <v>2969</v>
      </c>
      <c r="C2938" s="1" t="s">
        <v>11</v>
      </c>
      <c r="D2938" s="1" t="s">
        <v>11</v>
      </c>
      <c r="E2938" s="1" t="s">
        <v>11</v>
      </c>
    </row>
    <row r="2939" spans="1:5" ht="15.75" customHeight="1">
      <c r="A2939" s="1">
        <v>630259</v>
      </c>
      <c r="B2939" s="1" t="s">
        <v>2970</v>
      </c>
      <c r="C2939" s="1" t="s">
        <v>11</v>
      </c>
      <c r="D2939" s="1" t="s">
        <v>11</v>
      </c>
      <c r="E2939" s="1" t="s">
        <v>11</v>
      </c>
    </row>
    <row r="2940" spans="1:5" ht="15.75" customHeight="1">
      <c r="A2940" s="1">
        <v>630260</v>
      </c>
      <c r="B2940" s="1" t="s">
        <v>2971</v>
      </c>
      <c r="C2940" s="1" t="s">
        <v>11</v>
      </c>
      <c r="D2940" s="1" t="s">
        <v>11</v>
      </c>
      <c r="E2940" s="1" t="s">
        <v>11</v>
      </c>
    </row>
    <row r="2941" spans="1:5" ht="15.75" customHeight="1">
      <c r="A2941" s="1">
        <v>630291</v>
      </c>
      <c r="B2941" s="1" t="s">
        <v>2972</v>
      </c>
      <c r="C2941" s="1" t="s">
        <v>11</v>
      </c>
      <c r="D2941" s="1" t="s">
        <v>11</v>
      </c>
      <c r="E2941" s="1" t="s">
        <v>11</v>
      </c>
    </row>
    <row r="2942" spans="1:5" ht="15.75" customHeight="1">
      <c r="A2942" s="1">
        <v>630293</v>
      </c>
      <c r="B2942" s="1" t="s">
        <v>2973</v>
      </c>
      <c r="C2942" s="1" t="s">
        <v>11</v>
      </c>
      <c r="D2942" s="1" t="s">
        <v>11</v>
      </c>
      <c r="E2942" s="1" t="s">
        <v>11</v>
      </c>
    </row>
    <row r="2943" spans="1:5" ht="15.75" customHeight="1">
      <c r="A2943" s="1">
        <v>630299</v>
      </c>
      <c r="B2943" s="1" t="s">
        <v>2974</v>
      </c>
      <c r="C2943" s="1" t="s">
        <v>11</v>
      </c>
      <c r="D2943" s="1" t="s">
        <v>11</v>
      </c>
      <c r="E2943" s="1" t="s">
        <v>11</v>
      </c>
    </row>
    <row r="2944" spans="1:5" ht="15.75" customHeight="1">
      <c r="A2944" s="1">
        <v>630312</v>
      </c>
      <c r="B2944" s="1" t="s">
        <v>2975</v>
      </c>
      <c r="C2944" s="1" t="s">
        <v>11</v>
      </c>
      <c r="D2944" s="1" t="s">
        <v>11</v>
      </c>
      <c r="E2944" s="1" t="s">
        <v>11</v>
      </c>
    </row>
    <row r="2945" spans="1:5" ht="15.75" customHeight="1">
      <c r="A2945" s="1">
        <v>630319</v>
      </c>
      <c r="B2945" s="1" t="s">
        <v>2976</v>
      </c>
      <c r="C2945" s="1" t="s">
        <v>11</v>
      </c>
      <c r="D2945" s="1" t="s">
        <v>11</v>
      </c>
      <c r="E2945" s="1" t="s">
        <v>11</v>
      </c>
    </row>
    <row r="2946" spans="1:5" ht="15.75" customHeight="1">
      <c r="A2946" s="1">
        <v>630391</v>
      </c>
      <c r="B2946" s="1" t="s">
        <v>2977</v>
      </c>
      <c r="C2946" s="1" t="s">
        <v>11</v>
      </c>
      <c r="D2946" s="1" t="s">
        <v>11</v>
      </c>
      <c r="E2946" s="1" t="s">
        <v>11</v>
      </c>
    </row>
    <row r="2947" spans="1:5" ht="15.75" customHeight="1">
      <c r="A2947" s="1">
        <v>630392</v>
      </c>
      <c r="B2947" s="1" t="s">
        <v>2978</v>
      </c>
      <c r="C2947" s="1" t="s">
        <v>11</v>
      </c>
      <c r="D2947" s="1" t="s">
        <v>11</v>
      </c>
      <c r="E2947" s="1" t="s">
        <v>11</v>
      </c>
    </row>
    <row r="2948" spans="1:5" ht="15.75" customHeight="1">
      <c r="A2948" s="1">
        <v>630399</v>
      </c>
      <c r="B2948" s="1" t="s">
        <v>2979</v>
      </c>
      <c r="C2948" s="1" t="s">
        <v>11</v>
      </c>
      <c r="D2948" s="1" t="s">
        <v>11</v>
      </c>
      <c r="E2948" s="1" t="s">
        <v>11</v>
      </c>
    </row>
    <row r="2949" spans="1:5" ht="15.75" customHeight="1">
      <c r="A2949" s="1">
        <v>630411</v>
      </c>
      <c r="B2949" s="1" t="s">
        <v>2980</v>
      </c>
      <c r="C2949" s="1" t="s">
        <v>11</v>
      </c>
      <c r="D2949" s="1" t="s">
        <v>11</v>
      </c>
      <c r="E2949" s="1" t="s">
        <v>11</v>
      </c>
    </row>
    <row r="2950" spans="1:5" ht="15.75" customHeight="1">
      <c r="A2950" s="1">
        <v>630419</v>
      </c>
      <c r="B2950" s="1" t="s">
        <v>2981</v>
      </c>
      <c r="C2950" s="1" t="s">
        <v>11</v>
      </c>
      <c r="D2950" s="1" t="s">
        <v>11</v>
      </c>
      <c r="E2950" s="1" t="s">
        <v>11</v>
      </c>
    </row>
    <row r="2951" spans="1:5" ht="15.75" customHeight="1">
      <c r="A2951" s="1">
        <v>630491</v>
      </c>
      <c r="B2951" s="1" t="s">
        <v>2982</v>
      </c>
      <c r="C2951" s="1" t="s">
        <v>11</v>
      </c>
      <c r="D2951" s="1" t="s">
        <v>11</v>
      </c>
      <c r="E2951" s="1" t="s">
        <v>11</v>
      </c>
    </row>
    <row r="2952" spans="1:5" ht="15.75" customHeight="1">
      <c r="A2952" s="1">
        <v>630492</v>
      </c>
      <c r="B2952" s="1" t="s">
        <v>2983</v>
      </c>
      <c r="C2952" s="1" t="s">
        <v>11</v>
      </c>
      <c r="D2952" s="1" t="s">
        <v>11</v>
      </c>
      <c r="E2952" s="1" t="s">
        <v>11</v>
      </c>
    </row>
    <row r="2953" spans="1:5" ht="15.75" customHeight="1">
      <c r="A2953" s="1">
        <v>630493</v>
      </c>
      <c r="B2953" s="1" t="s">
        <v>2984</v>
      </c>
      <c r="C2953" s="1" t="s">
        <v>11</v>
      </c>
      <c r="D2953" s="1" t="s">
        <v>11</v>
      </c>
      <c r="E2953" s="1" t="s">
        <v>11</v>
      </c>
    </row>
    <row r="2954" spans="1:5" ht="15.75" customHeight="1">
      <c r="A2954" s="1">
        <v>630499</v>
      </c>
      <c r="B2954" s="1" t="s">
        <v>2985</v>
      </c>
      <c r="C2954" s="1" t="s">
        <v>11</v>
      </c>
      <c r="D2954" s="1" t="s">
        <v>11</v>
      </c>
      <c r="E2954" s="1" t="s">
        <v>11</v>
      </c>
    </row>
    <row r="2955" spans="1:5" ht="15.75" customHeight="1">
      <c r="A2955" s="1">
        <v>630510</v>
      </c>
      <c r="B2955" s="1" t="s">
        <v>2986</v>
      </c>
      <c r="C2955" s="1" t="s">
        <v>11</v>
      </c>
      <c r="D2955" s="1" t="s">
        <v>11</v>
      </c>
      <c r="E2955" s="1" t="s">
        <v>11</v>
      </c>
    </row>
    <row r="2956" spans="1:5" ht="15.75" customHeight="1">
      <c r="A2956" s="1">
        <v>630520</v>
      </c>
      <c r="B2956" s="1" t="s">
        <v>2987</v>
      </c>
      <c r="C2956" s="1" t="s">
        <v>11</v>
      </c>
      <c r="D2956" s="1" t="s">
        <v>11</v>
      </c>
      <c r="E2956" s="1" t="s">
        <v>11</v>
      </c>
    </row>
    <row r="2957" spans="1:5" ht="15.75" customHeight="1">
      <c r="A2957" s="1">
        <v>630532</v>
      </c>
      <c r="B2957" s="1" t="s">
        <v>2988</v>
      </c>
      <c r="C2957" s="1" t="s">
        <v>11</v>
      </c>
      <c r="D2957" s="1" t="s">
        <v>11</v>
      </c>
      <c r="E2957" s="1" t="s">
        <v>11</v>
      </c>
    </row>
    <row r="2958" spans="1:5" ht="15.75" customHeight="1">
      <c r="A2958" s="1">
        <v>630533</v>
      </c>
      <c r="B2958" s="1" t="s">
        <v>2989</v>
      </c>
      <c r="C2958" s="1" t="s">
        <v>11</v>
      </c>
      <c r="D2958" s="1" t="s">
        <v>11</v>
      </c>
      <c r="E2958" s="1" t="s">
        <v>11</v>
      </c>
    </row>
    <row r="2959" spans="1:5" ht="15.75" customHeight="1">
      <c r="A2959" s="1">
        <v>630539</v>
      </c>
      <c r="B2959" s="1" t="s">
        <v>2990</v>
      </c>
      <c r="C2959" s="1" t="s">
        <v>11</v>
      </c>
      <c r="D2959" s="1" t="s">
        <v>11</v>
      </c>
      <c r="E2959" s="1" t="s">
        <v>11</v>
      </c>
    </row>
    <row r="2960" spans="1:5" ht="15.75" customHeight="1">
      <c r="A2960" s="1">
        <v>630590</v>
      </c>
      <c r="B2960" s="1" t="s">
        <v>2991</v>
      </c>
      <c r="C2960" s="1" t="s">
        <v>11</v>
      </c>
      <c r="D2960" s="1" t="s">
        <v>11</v>
      </c>
      <c r="E2960" s="1" t="s">
        <v>11</v>
      </c>
    </row>
    <row r="2961" spans="1:5" ht="15.75" customHeight="1">
      <c r="A2961" s="1">
        <v>630612</v>
      </c>
      <c r="B2961" s="1" t="s">
        <v>2992</v>
      </c>
      <c r="C2961" s="1" t="s">
        <v>11</v>
      </c>
      <c r="D2961" s="1" t="s">
        <v>11</v>
      </c>
      <c r="E2961" s="1" t="s">
        <v>11</v>
      </c>
    </row>
    <row r="2962" spans="1:5" ht="15.75" customHeight="1">
      <c r="A2962" s="1">
        <v>630619</v>
      </c>
      <c r="B2962" s="1" t="s">
        <v>2993</v>
      </c>
      <c r="C2962" s="1" t="s">
        <v>11</v>
      </c>
      <c r="D2962" s="1" t="s">
        <v>11</v>
      </c>
      <c r="E2962" s="1" t="s">
        <v>11</v>
      </c>
    </row>
    <row r="2963" spans="1:5" ht="15.75" customHeight="1">
      <c r="A2963" s="1">
        <v>630622</v>
      </c>
      <c r="B2963" s="1" t="s">
        <v>2994</v>
      </c>
      <c r="C2963" s="1" t="s">
        <v>11</v>
      </c>
      <c r="D2963" s="1" t="s">
        <v>11</v>
      </c>
      <c r="E2963" s="1" t="s">
        <v>11</v>
      </c>
    </row>
    <row r="2964" spans="1:5" ht="15.75" customHeight="1">
      <c r="A2964" s="1">
        <v>630629</v>
      </c>
      <c r="B2964" s="1" t="s">
        <v>2995</v>
      </c>
      <c r="C2964" s="1" t="s">
        <v>11</v>
      </c>
      <c r="D2964" s="1" t="s">
        <v>11</v>
      </c>
      <c r="E2964" s="1" t="s">
        <v>11</v>
      </c>
    </row>
    <row r="2965" spans="1:5" ht="15.75" customHeight="1">
      <c r="A2965" s="1">
        <v>630630</v>
      </c>
      <c r="B2965" s="1" t="s">
        <v>2996</v>
      </c>
      <c r="C2965" s="1" t="s">
        <v>11</v>
      </c>
      <c r="D2965" s="1" t="s">
        <v>11</v>
      </c>
      <c r="E2965" s="1" t="s">
        <v>11</v>
      </c>
    </row>
    <row r="2966" spans="1:5" ht="15.75" customHeight="1">
      <c r="A2966" s="1">
        <v>630640</v>
      </c>
      <c r="B2966" s="1" t="s">
        <v>2997</v>
      </c>
      <c r="C2966" s="1" t="s">
        <v>11</v>
      </c>
      <c r="D2966" s="1" t="s">
        <v>11</v>
      </c>
      <c r="E2966" s="1" t="s">
        <v>11</v>
      </c>
    </row>
    <row r="2967" spans="1:5" ht="15.75" customHeight="1">
      <c r="A2967" s="1">
        <v>630691</v>
      </c>
      <c r="B2967" s="1" t="s">
        <v>2998</v>
      </c>
      <c r="C2967" s="1" t="s">
        <v>11</v>
      </c>
      <c r="D2967" s="1" t="s">
        <v>11</v>
      </c>
      <c r="E2967" s="1" t="s">
        <v>11</v>
      </c>
    </row>
    <row r="2968" spans="1:5" ht="15.75" customHeight="1">
      <c r="A2968" s="1">
        <v>630699</v>
      </c>
      <c r="B2968" s="1" t="s">
        <v>2999</v>
      </c>
      <c r="C2968" s="1" t="s">
        <v>11</v>
      </c>
      <c r="D2968" s="1" t="s">
        <v>11</v>
      </c>
      <c r="E2968" s="1" t="s">
        <v>11</v>
      </c>
    </row>
    <row r="2969" spans="1:5" ht="15.75" customHeight="1">
      <c r="A2969" s="1">
        <v>630710</v>
      </c>
      <c r="B2969" s="1" t="s">
        <v>3000</v>
      </c>
      <c r="C2969" s="1" t="s">
        <v>11</v>
      </c>
      <c r="D2969" s="1" t="s">
        <v>11</v>
      </c>
      <c r="E2969" s="1" t="s">
        <v>11</v>
      </c>
    </row>
    <row r="2970" spans="1:5" ht="15.75" customHeight="1">
      <c r="A2970" s="1">
        <v>630720</v>
      </c>
      <c r="B2970" s="1" t="s">
        <v>3001</v>
      </c>
      <c r="C2970" s="1" t="s">
        <v>11</v>
      </c>
      <c r="D2970" s="1" t="s">
        <v>11</v>
      </c>
      <c r="E2970" s="1" t="s">
        <v>11</v>
      </c>
    </row>
    <row r="2971" spans="1:5" ht="15.75" customHeight="1">
      <c r="A2971" s="1">
        <v>630790</v>
      </c>
      <c r="B2971" s="1" t="s">
        <v>3002</v>
      </c>
      <c r="C2971" s="1" t="s">
        <v>11</v>
      </c>
      <c r="D2971" s="1" t="s">
        <v>11</v>
      </c>
      <c r="E2971" s="1" t="s">
        <v>11</v>
      </c>
    </row>
    <row r="2972" spans="1:5" ht="15.75" customHeight="1">
      <c r="A2972" s="1">
        <v>630800</v>
      </c>
      <c r="B2972" s="1" t="s">
        <v>3003</v>
      </c>
      <c r="C2972" s="1" t="s">
        <v>11</v>
      </c>
      <c r="D2972" s="1" t="s">
        <v>11</v>
      </c>
      <c r="E2972" s="1" t="s">
        <v>11</v>
      </c>
    </row>
    <row r="2973" spans="1:5" ht="15.75" customHeight="1">
      <c r="A2973" s="1">
        <v>630900</v>
      </c>
      <c r="B2973" s="1" t="s">
        <v>3004</v>
      </c>
      <c r="C2973" s="1" t="s">
        <v>11</v>
      </c>
      <c r="D2973" s="1" t="s">
        <v>11</v>
      </c>
      <c r="E2973" s="1" t="s">
        <v>11</v>
      </c>
    </row>
    <row r="2974" spans="1:5" ht="15.75" customHeight="1">
      <c r="A2974" s="1">
        <v>631010</v>
      </c>
      <c r="B2974" s="1" t="s">
        <v>3005</v>
      </c>
      <c r="C2974" s="1" t="s">
        <v>11</v>
      </c>
      <c r="D2974" s="1" t="s">
        <v>11</v>
      </c>
      <c r="E2974" s="1" t="s">
        <v>11</v>
      </c>
    </row>
    <row r="2975" spans="1:5" ht="15.75" customHeight="1">
      <c r="A2975" s="1">
        <v>631090</v>
      </c>
      <c r="B2975" s="1" t="s">
        <v>3006</v>
      </c>
      <c r="C2975" s="1" t="s">
        <v>11</v>
      </c>
      <c r="D2975" s="1" t="s">
        <v>11</v>
      </c>
      <c r="E2975" s="1" t="s">
        <v>11</v>
      </c>
    </row>
    <row r="2976" spans="1:5" ht="15.75" customHeight="1">
      <c r="A2976" s="1">
        <v>640110</v>
      </c>
      <c r="B2976" s="1" t="s">
        <v>3007</v>
      </c>
      <c r="C2976" s="1" t="s">
        <v>11</v>
      </c>
      <c r="D2976" s="1" t="s">
        <v>11</v>
      </c>
      <c r="E2976" s="1" t="s">
        <v>11</v>
      </c>
    </row>
    <row r="2977" spans="1:5" ht="15.75" customHeight="1">
      <c r="A2977" s="1">
        <v>640192</v>
      </c>
      <c r="B2977" s="1" t="s">
        <v>3008</v>
      </c>
      <c r="C2977" s="1" t="s">
        <v>11</v>
      </c>
      <c r="D2977" s="1" t="s">
        <v>11</v>
      </c>
      <c r="E2977" s="1" t="s">
        <v>11</v>
      </c>
    </row>
    <row r="2978" spans="1:5" ht="15.75" customHeight="1">
      <c r="A2978" s="1">
        <v>640199</v>
      </c>
      <c r="B2978" s="1" t="s">
        <v>3009</v>
      </c>
      <c r="C2978" s="1" t="s">
        <v>11</v>
      </c>
      <c r="D2978" s="1" t="s">
        <v>11</v>
      </c>
      <c r="E2978" s="1" t="s">
        <v>11</v>
      </c>
    </row>
    <row r="2979" spans="1:5" ht="15.75" customHeight="1">
      <c r="A2979" s="1">
        <v>640212</v>
      </c>
      <c r="B2979" s="1" t="s">
        <v>3010</v>
      </c>
      <c r="C2979" s="1" t="s">
        <v>11</v>
      </c>
      <c r="D2979" s="1" t="s">
        <v>11</v>
      </c>
      <c r="E2979" s="1" t="s">
        <v>11</v>
      </c>
    </row>
    <row r="2980" spans="1:5" ht="15.75" customHeight="1">
      <c r="A2980" s="1">
        <v>640219</v>
      </c>
      <c r="B2980" s="1" t="s">
        <v>3011</v>
      </c>
      <c r="C2980" s="1" t="s">
        <v>11</v>
      </c>
      <c r="D2980" s="1" t="s">
        <v>11</v>
      </c>
      <c r="E2980" s="1" t="s">
        <v>11</v>
      </c>
    </row>
    <row r="2981" spans="1:5" ht="15.75" customHeight="1">
      <c r="A2981" s="1">
        <v>640220</v>
      </c>
      <c r="B2981" s="1" t="s">
        <v>3012</v>
      </c>
      <c r="C2981" s="1" t="s">
        <v>11</v>
      </c>
      <c r="D2981" s="1" t="s">
        <v>11</v>
      </c>
      <c r="E2981" s="1" t="s">
        <v>11</v>
      </c>
    </row>
    <row r="2982" spans="1:5" ht="15.75" customHeight="1">
      <c r="A2982" s="1">
        <v>640291</v>
      </c>
      <c r="B2982" s="1" t="s">
        <v>3013</v>
      </c>
      <c r="C2982" s="1" t="s">
        <v>11</v>
      </c>
      <c r="D2982" s="1" t="s">
        <v>11</v>
      </c>
      <c r="E2982" s="1" t="s">
        <v>11</v>
      </c>
    </row>
    <row r="2983" spans="1:5" ht="15.75" customHeight="1">
      <c r="A2983" s="1">
        <v>640299</v>
      </c>
      <c r="B2983" s="1" t="s">
        <v>3014</v>
      </c>
      <c r="C2983" s="1" t="s">
        <v>11</v>
      </c>
      <c r="D2983" s="1" t="s">
        <v>11</v>
      </c>
      <c r="E2983" s="1" t="s">
        <v>11</v>
      </c>
    </row>
    <row r="2984" spans="1:5" ht="15.75" customHeight="1">
      <c r="A2984" s="1">
        <v>640312</v>
      </c>
      <c r="B2984" s="1" t="s">
        <v>3015</v>
      </c>
      <c r="C2984" s="1" t="s">
        <v>11</v>
      </c>
      <c r="D2984" s="1" t="s">
        <v>11</v>
      </c>
      <c r="E2984" s="1" t="s">
        <v>11</v>
      </c>
    </row>
    <row r="2985" spans="1:5" ht="15.75" customHeight="1">
      <c r="A2985" s="1">
        <v>640319</v>
      </c>
      <c r="B2985" s="1" t="s">
        <v>3016</v>
      </c>
      <c r="C2985" s="1" t="s">
        <v>11</v>
      </c>
      <c r="D2985" s="1" t="s">
        <v>11</v>
      </c>
      <c r="E2985" s="1" t="s">
        <v>11</v>
      </c>
    </row>
    <row r="2986" spans="1:5" ht="15.75" customHeight="1">
      <c r="A2986" s="1">
        <v>640320</v>
      </c>
      <c r="B2986" s="1" t="s">
        <v>3017</v>
      </c>
      <c r="C2986" s="1" t="s">
        <v>11</v>
      </c>
      <c r="D2986" s="1" t="s">
        <v>11</v>
      </c>
      <c r="E2986" s="1" t="s">
        <v>11</v>
      </c>
    </row>
    <row r="2987" spans="1:5" ht="15.75" customHeight="1">
      <c r="A2987" s="1">
        <v>640340</v>
      </c>
      <c r="B2987" s="1" t="s">
        <v>3018</v>
      </c>
      <c r="C2987" s="1" t="s">
        <v>11</v>
      </c>
      <c r="D2987" s="1" t="s">
        <v>11</v>
      </c>
      <c r="E2987" s="1" t="s">
        <v>11</v>
      </c>
    </row>
    <row r="2988" spans="1:5" ht="15.75" customHeight="1">
      <c r="A2988" s="1">
        <v>640351</v>
      </c>
      <c r="B2988" s="1" t="s">
        <v>3019</v>
      </c>
      <c r="C2988" s="1" t="s">
        <v>11</v>
      </c>
      <c r="D2988" s="1" t="s">
        <v>11</v>
      </c>
      <c r="E2988" s="1" t="s">
        <v>11</v>
      </c>
    </row>
    <row r="2989" spans="1:5" ht="15.75" customHeight="1">
      <c r="A2989" s="1">
        <v>640359</v>
      </c>
      <c r="B2989" s="1" t="s">
        <v>3020</v>
      </c>
      <c r="C2989" s="1" t="s">
        <v>11</v>
      </c>
      <c r="D2989" s="1" t="s">
        <v>11</v>
      </c>
      <c r="E2989" s="1" t="s">
        <v>11</v>
      </c>
    </row>
    <row r="2990" spans="1:5" ht="15.75" customHeight="1">
      <c r="A2990" s="1">
        <v>640391</v>
      </c>
      <c r="B2990" s="1" t="s">
        <v>3021</v>
      </c>
      <c r="C2990" s="1" t="s">
        <v>11</v>
      </c>
      <c r="D2990" s="1" t="s">
        <v>11</v>
      </c>
      <c r="E2990" s="1" t="s">
        <v>11</v>
      </c>
    </row>
    <row r="2991" spans="1:5" ht="15.75" customHeight="1">
      <c r="A2991" s="1">
        <v>640399</v>
      </c>
      <c r="B2991" s="1" t="s">
        <v>3022</v>
      </c>
      <c r="C2991" s="1" t="s">
        <v>11</v>
      </c>
      <c r="D2991" s="1" t="s">
        <v>11</v>
      </c>
      <c r="E2991" s="1" t="s">
        <v>11</v>
      </c>
    </row>
    <row r="2992" spans="1:5" ht="15.75" customHeight="1">
      <c r="A2992" s="1">
        <v>640411</v>
      </c>
      <c r="B2992" s="1" t="s">
        <v>3023</v>
      </c>
      <c r="C2992" s="1" t="s">
        <v>11</v>
      </c>
      <c r="D2992" s="1" t="s">
        <v>11</v>
      </c>
      <c r="E2992" s="1" t="s">
        <v>11</v>
      </c>
    </row>
    <row r="2993" spans="1:5" ht="15.75" customHeight="1">
      <c r="A2993" s="1">
        <v>640419</v>
      </c>
      <c r="B2993" s="1" t="s">
        <v>3024</v>
      </c>
      <c r="C2993" s="1" t="s">
        <v>11</v>
      </c>
      <c r="D2993" s="1" t="s">
        <v>11</v>
      </c>
      <c r="E2993" s="1" t="s">
        <v>11</v>
      </c>
    </row>
    <row r="2994" spans="1:5" ht="15.75" customHeight="1">
      <c r="A2994" s="1">
        <v>640420</v>
      </c>
      <c r="B2994" s="1" t="s">
        <v>3025</v>
      </c>
      <c r="C2994" s="1" t="s">
        <v>11</v>
      </c>
      <c r="D2994" s="1" t="s">
        <v>11</v>
      </c>
      <c r="E2994" s="1" t="s">
        <v>11</v>
      </c>
    </row>
    <row r="2995" spans="1:5" ht="15.75" customHeight="1">
      <c r="A2995" s="1">
        <v>640510</v>
      </c>
      <c r="B2995" s="1" t="s">
        <v>3026</v>
      </c>
      <c r="C2995" s="1" t="s">
        <v>11</v>
      </c>
      <c r="D2995" s="1" t="s">
        <v>11</v>
      </c>
      <c r="E2995" s="1" t="s">
        <v>11</v>
      </c>
    </row>
    <row r="2996" spans="1:5" ht="15.75" customHeight="1">
      <c r="A2996" s="1">
        <v>640520</v>
      </c>
      <c r="B2996" s="1" t="s">
        <v>3027</v>
      </c>
      <c r="C2996" s="1" t="s">
        <v>11</v>
      </c>
      <c r="D2996" s="1" t="s">
        <v>11</v>
      </c>
      <c r="E2996" s="1" t="s">
        <v>11</v>
      </c>
    </row>
    <row r="2997" spans="1:5" ht="15.75" customHeight="1">
      <c r="A2997" s="1">
        <v>640590</v>
      </c>
      <c r="B2997" s="1" t="s">
        <v>3028</v>
      </c>
      <c r="C2997" s="1" t="s">
        <v>11</v>
      </c>
      <c r="D2997" s="1" t="s">
        <v>11</v>
      </c>
      <c r="E2997" s="1" t="s">
        <v>11</v>
      </c>
    </row>
    <row r="2998" spans="1:5" ht="15.75" customHeight="1">
      <c r="A2998" s="1">
        <v>640610</v>
      </c>
      <c r="B2998" s="1" t="s">
        <v>3029</v>
      </c>
      <c r="C2998" s="1" t="s">
        <v>11</v>
      </c>
      <c r="D2998" s="1" t="s">
        <v>11</v>
      </c>
      <c r="E2998" s="1" t="s">
        <v>11</v>
      </c>
    </row>
    <row r="2999" spans="1:5" ht="15.75" customHeight="1">
      <c r="A2999" s="1">
        <v>640620</v>
      </c>
      <c r="B2999" s="1" t="s">
        <v>3030</v>
      </c>
      <c r="C2999" s="1" t="s">
        <v>11</v>
      </c>
      <c r="D2999" s="1" t="s">
        <v>11</v>
      </c>
      <c r="E2999" s="1" t="s">
        <v>11</v>
      </c>
    </row>
    <row r="3000" spans="1:5" ht="15.75" customHeight="1">
      <c r="A3000" s="1">
        <v>640691</v>
      </c>
      <c r="B3000" s="1" t="s">
        <v>3031</v>
      </c>
      <c r="C3000" s="1" t="s">
        <v>11</v>
      </c>
      <c r="D3000" s="1" t="s">
        <v>11</v>
      </c>
      <c r="E3000" s="1" t="s">
        <v>11</v>
      </c>
    </row>
    <row r="3001" spans="1:5" ht="15.75" customHeight="1">
      <c r="A3001" s="1">
        <v>640699</v>
      </c>
      <c r="B3001" s="1" t="s">
        <v>3032</v>
      </c>
      <c r="C3001" s="1" t="s">
        <v>11</v>
      </c>
      <c r="D3001" s="1" t="s">
        <v>11</v>
      </c>
      <c r="E3001" s="1" t="s">
        <v>11</v>
      </c>
    </row>
    <row r="3002" spans="1:5" ht="15.75" customHeight="1">
      <c r="A3002" s="1">
        <v>650100</v>
      </c>
      <c r="B3002" s="1" t="s">
        <v>3033</v>
      </c>
      <c r="C3002" s="1" t="s">
        <v>11</v>
      </c>
      <c r="D3002" s="1" t="s">
        <v>11</v>
      </c>
      <c r="E3002" s="1" t="s">
        <v>11</v>
      </c>
    </row>
    <row r="3003" spans="1:5" ht="15.75" customHeight="1">
      <c r="A3003" s="1">
        <v>650200</v>
      </c>
      <c r="B3003" s="1" t="s">
        <v>3034</v>
      </c>
      <c r="C3003" s="1" t="s">
        <v>11</v>
      </c>
      <c r="D3003" s="1" t="s">
        <v>11</v>
      </c>
      <c r="E3003" s="1" t="s">
        <v>11</v>
      </c>
    </row>
    <row r="3004" spans="1:5" ht="15.75" customHeight="1">
      <c r="A3004" s="1">
        <v>650400</v>
      </c>
      <c r="B3004" s="1" t="s">
        <v>3035</v>
      </c>
      <c r="C3004" s="1" t="s">
        <v>11</v>
      </c>
      <c r="D3004" s="1" t="s">
        <v>11</v>
      </c>
      <c r="E3004" s="1" t="s">
        <v>11</v>
      </c>
    </row>
    <row r="3005" spans="1:5" ht="15.75" customHeight="1">
      <c r="A3005" s="1">
        <v>650510</v>
      </c>
      <c r="B3005" s="1" t="s">
        <v>3036</v>
      </c>
      <c r="C3005" s="1" t="s">
        <v>11</v>
      </c>
      <c r="D3005" s="1" t="s">
        <v>11</v>
      </c>
      <c r="E3005" s="1" t="s">
        <v>11</v>
      </c>
    </row>
    <row r="3006" spans="1:5" ht="15.75" customHeight="1">
      <c r="A3006" s="1">
        <v>650590</v>
      </c>
      <c r="B3006" s="1" t="s">
        <v>3037</v>
      </c>
      <c r="C3006" s="1" t="s">
        <v>11</v>
      </c>
      <c r="D3006" s="1" t="s">
        <v>11</v>
      </c>
      <c r="E3006" s="1" t="s">
        <v>11</v>
      </c>
    </row>
    <row r="3007" spans="1:5" ht="15.75" customHeight="1">
      <c r="A3007" s="1">
        <v>650610</v>
      </c>
      <c r="B3007" s="1" t="s">
        <v>3038</v>
      </c>
      <c r="C3007" s="1" t="s">
        <v>11</v>
      </c>
      <c r="D3007" s="1" t="s">
        <v>11</v>
      </c>
      <c r="E3007" s="1" t="s">
        <v>11</v>
      </c>
    </row>
    <row r="3008" spans="1:5" ht="15.75" customHeight="1">
      <c r="A3008" s="1">
        <v>650691</v>
      </c>
      <c r="B3008" s="1" t="s">
        <v>3039</v>
      </c>
      <c r="C3008" s="1" t="s">
        <v>11</v>
      </c>
      <c r="D3008" s="1" t="s">
        <v>11</v>
      </c>
      <c r="E3008" s="1" t="s">
        <v>11</v>
      </c>
    </row>
    <row r="3009" spans="1:5" ht="15.75" customHeight="1">
      <c r="A3009" s="1">
        <v>650699</v>
      </c>
      <c r="B3009" s="1" t="s">
        <v>3040</v>
      </c>
      <c r="C3009" s="1" t="s">
        <v>11</v>
      </c>
      <c r="D3009" s="1" t="s">
        <v>11</v>
      </c>
      <c r="E3009" s="1" t="s">
        <v>11</v>
      </c>
    </row>
    <row r="3010" spans="1:5" ht="15.75" customHeight="1">
      <c r="A3010" s="1">
        <v>650700</v>
      </c>
      <c r="B3010" s="1" t="s">
        <v>3041</v>
      </c>
      <c r="C3010" s="1" t="s">
        <v>11</v>
      </c>
      <c r="D3010" s="1" t="s">
        <v>11</v>
      </c>
      <c r="E3010" s="1" t="s">
        <v>11</v>
      </c>
    </row>
    <row r="3011" spans="1:5" ht="15.75" customHeight="1">
      <c r="A3011" s="1">
        <v>660110</v>
      </c>
      <c r="B3011" s="1" t="s">
        <v>3042</v>
      </c>
      <c r="C3011" s="1" t="s">
        <v>11</v>
      </c>
      <c r="D3011" s="1" t="s">
        <v>11</v>
      </c>
      <c r="E3011" s="1" t="s">
        <v>11</v>
      </c>
    </row>
    <row r="3012" spans="1:5" ht="15.75" customHeight="1">
      <c r="A3012" s="1">
        <v>660191</v>
      </c>
      <c r="B3012" s="1" t="s">
        <v>3043</v>
      </c>
      <c r="C3012" s="1" t="s">
        <v>11</v>
      </c>
      <c r="D3012" s="1" t="s">
        <v>11</v>
      </c>
      <c r="E3012" s="1" t="s">
        <v>11</v>
      </c>
    </row>
    <row r="3013" spans="1:5" ht="15.75" customHeight="1">
      <c r="A3013" s="1">
        <v>660199</v>
      </c>
      <c r="B3013" s="1" t="s">
        <v>3044</v>
      </c>
      <c r="C3013" s="1" t="s">
        <v>11</v>
      </c>
      <c r="D3013" s="1" t="s">
        <v>11</v>
      </c>
      <c r="E3013" s="1" t="s">
        <v>11</v>
      </c>
    </row>
    <row r="3014" spans="1:5" ht="15.75" customHeight="1">
      <c r="A3014" s="1">
        <v>660200</v>
      </c>
      <c r="B3014" s="1" t="s">
        <v>3045</v>
      </c>
      <c r="C3014" s="1" t="s">
        <v>11</v>
      </c>
      <c r="D3014" s="1" t="s">
        <v>11</v>
      </c>
      <c r="E3014" s="1" t="s">
        <v>11</v>
      </c>
    </row>
    <row r="3015" spans="1:5" ht="15.75" customHeight="1">
      <c r="A3015" s="1">
        <v>660320</v>
      </c>
      <c r="B3015" s="1" t="s">
        <v>3046</v>
      </c>
      <c r="C3015" s="1" t="s">
        <v>11</v>
      </c>
      <c r="D3015" s="1" t="s">
        <v>11</v>
      </c>
      <c r="E3015" s="1" t="s">
        <v>11</v>
      </c>
    </row>
    <row r="3016" spans="1:5" ht="15.75" customHeight="1">
      <c r="A3016" s="1">
        <v>660390</v>
      </c>
      <c r="B3016" s="1" t="s">
        <v>3047</v>
      </c>
      <c r="C3016" s="1" t="s">
        <v>11</v>
      </c>
      <c r="D3016" s="1" t="s">
        <v>11</v>
      </c>
      <c r="E3016" s="1" t="s">
        <v>11</v>
      </c>
    </row>
    <row r="3017" spans="1:5" ht="15.75" customHeight="1">
      <c r="A3017" s="1">
        <v>670100</v>
      </c>
      <c r="B3017" s="1" t="s">
        <v>3048</v>
      </c>
      <c r="C3017" s="1" t="s">
        <v>11</v>
      </c>
      <c r="D3017" s="1" t="s">
        <v>11</v>
      </c>
      <c r="E3017" s="1" t="s">
        <v>11</v>
      </c>
    </row>
    <row r="3018" spans="1:5" ht="15.75" customHeight="1">
      <c r="A3018" s="1">
        <v>670210</v>
      </c>
      <c r="B3018" s="1" t="s">
        <v>3049</v>
      </c>
      <c r="C3018" s="1" t="s">
        <v>11</v>
      </c>
      <c r="D3018" s="1" t="s">
        <v>11</v>
      </c>
      <c r="E3018" s="1" t="s">
        <v>11</v>
      </c>
    </row>
    <row r="3019" spans="1:5" ht="15.75" customHeight="1">
      <c r="A3019" s="1">
        <v>670290</v>
      </c>
      <c r="B3019" s="1" t="s">
        <v>3050</v>
      </c>
      <c r="C3019" s="1" t="s">
        <v>11</v>
      </c>
      <c r="D3019" s="1" t="s">
        <v>11</v>
      </c>
      <c r="E3019" s="1" t="s">
        <v>11</v>
      </c>
    </row>
    <row r="3020" spans="1:5" ht="15.75" customHeight="1">
      <c r="A3020" s="1">
        <v>670300</v>
      </c>
      <c r="B3020" s="1" t="s">
        <v>3051</v>
      </c>
      <c r="C3020" s="1" t="s">
        <v>11</v>
      </c>
      <c r="D3020" s="1" t="s">
        <v>11</v>
      </c>
      <c r="E3020" s="1" t="s">
        <v>11</v>
      </c>
    </row>
    <row r="3021" spans="1:5" ht="15.75" customHeight="1">
      <c r="A3021" s="1">
        <v>670411</v>
      </c>
      <c r="B3021" s="1" t="s">
        <v>3052</v>
      </c>
      <c r="C3021" s="1" t="s">
        <v>11</v>
      </c>
      <c r="D3021" s="1" t="s">
        <v>11</v>
      </c>
      <c r="E3021" s="1" t="s">
        <v>11</v>
      </c>
    </row>
    <row r="3022" spans="1:5" ht="15.75" customHeight="1">
      <c r="A3022" s="1">
        <v>670419</v>
      </c>
      <c r="B3022" s="1" t="s">
        <v>3053</v>
      </c>
      <c r="C3022" s="1" t="s">
        <v>11</v>
      </c>
      <c r="D3022" s="1" t="s">
        <v>11</v>
      </c>
      <c r="E3022" s="1" t="s">
        <v>11</v>
      </c>
    </row>
    <row r="3023" spans="1:5" ht="15.75" customHeight="1">
      <c r="A3023" s="1">
        <v>670420</v>
      </c>
      <c r="B3023" s="1" t="s">
        <v>3054</v>
      </c>
      <c r="C3023" s="1" t="s">
        <v>11</v>
      </c>
      <c r="D3023" s="1" t="s">
        <v>11</v>
      </c>
      <c r="E3023" s="1" t="s">
        <v>11</v>
      </c>
    </row>
    <row r="3024" spans="1:5" ht="15.75" customHeight="1">
      <c r="A3024" s="1">
        <v>670490</v>
      </c>
      <c r="B3024" s="1" t="s">
        <v>3055</v>
      </c>
      <c r="C3024" s="1" t="s">
        <v>11</v>
      </c>
      <c r="D3024" s="1" t="s">
        <v>11</v>
      </c>
      <c r="E3024" s="1" t="s">
        <v>11</v>
      </c>
    </row>
    <row r="3025" spans="1:5" ht="15.75" customHeight="1">
      <c r="A3025" s="1">
        <v>680100</v>
      </c>
      <c r="B3025" s="1" t="s">
        <v>3056</v>
      </c>
      <c r="C3025" s="1" t="s">
        <v>11</v>
      </c>
      <c r="D3025" s="1" t="s">
        <v>11</v>
      </c>
      <c r="E3025" s="1" t="s">
        <v>11</v>
      </c>
    </row>
    <row r="3026" spans="1:5" ht="15.75" customHeight="1">
      <c r="A3026" s="1">
        <v>680210</v>
      </c>
      <c r="B3026" s="1" t="s">
        <v>3057</v>
      </c>
      <c r="C3026" s="1" t="s">
        <v>11</v>
      </c>
      <c r="D3026" s="1" t="s">
        <v>11</v>
      </c>
      <c r="E3026" s="1" t="s">
        <v>11</v>
      </c>
    </row>
    <row r="3027" spans="1:5" ht="15.75" customHeight="1">
      <c r="A3027" s="1">
        <v>680221</v>
      </c>
      <c r="B3027" s="1" t="s">
        <v>3058</v>
      </c>
      <c r="C3027" s="1" t="s">
        <v>11</v>
      </c>
      <c r="D3027" s="1" t="s">
        <v>11</v>
      </c>
      <c r="E3027" s="1" t="s">
        <v>11</v>
      </c>
    </row>
    <row r="3028" spans="1:5" ht="15.75" customHeight="1">
      <c r="A3028" s="1">
        <v>680223</v>
      </c>
      <c r="B3028" s="1" t="s">
        <v>3059</v>
      </c>
      <c r="C3028" s="1" t="s">
        <v>11</v>
      </c>
      <c r="D3028" s="1" t="s">
        <v>11</v>
      </c>
      <c r="E3028" s="1" t="s">
        <v>11</v>
      </c>
    </row>
    <row r="3029" spans="1:5" ht="15.75" customHeight="1">
      <c r="A3029" s="1">
        <v>680229</v>
      </c>
      <c r="B3029" s="1" t="s">
        <v>3060</v>
      </c>
      <c r="C3029" s="1" t="s">
        <v>11</v>
      </c>
      <c r="D3029" s="1" t="s">
        <v>11</v>
      </c>
      <c r="E3029" s="1" t="s">
        <v>11</v>
      </c>
    </row>
    <row r="3030" spans="1:5" ht="15.75" customHeight="1">
      <c r="A3030" s="1">
        <v>680291</v>
      </c>
      <c r="B3030" s="1" t="s">
        <v>3061</v>
      </c>
      <c r="C3030" s="1" t="s">
        <v>11</v>
      </c>
      <c r="D3030" s="1" t="s">
        <v>11</v>
      </c>
      <c r="E3030" s="1" t="s">
        <v>11</v>
      </c>
    </row>
    <row r="3031" spans="1:5" ht="15.75" customHeight="1">
      <c r="A3031" s="1">
        <v>680292</v>
      </c>
      <c r="B3031" s="1" t="s">
        <v>3062</v>
      </c>
      <c r="C3031" s="1" t="s">
        <v>11</v>
      </c>
      <c r="D3031" s="1" t="s">
        <v>11</v>
      </c>
      <c r="E3031" s="1" t="s">
        <v>11</v>
      </c>
    </row>
    <row r="3032" spans="1:5" ht="15.75" customHeight="1">
      <c r="A3032" s="1">
        <v>680293</v>
      </c>
      <c r="B3032" s="1" t="s">
        <v>3063</v>
      </c>
      <c r="C3032" s="1" t="s">
        <v>11</v>
      </c>
      <c r="D3032" s="1" t="s">
        <v>11</v>
      </c>
      <c r="E3032" s="1" t="s">
        <v>11</v>
      </c>
    </row>
    <row r="3033" spans="1:5" ht="15.75" customHeight="1">
      <c r="A3033" s="1">
        <v>680299</v>
      </c>
      <c r="B3033" s="1" t="s">
        <v>3064</v>
      </c>
      <c r="C3033" s="1" t="s">
        <v>11</v>
      </c>
      <c r="D3033" s="1" t="s">
        <v>11</v>
      </c>
      <c r="E3033" s="1" t="s">
        <v>11</v>
      </c>
    </row>
    <row r="3034" spans="1:5" ht="15.75" customHeight="1">
      <c r="A3034" s="1">
        <v>680300</v>
      </c>
      <c r="B3034" s="1" t="s">
        <v>3065</v>
      </c>
      <c r="C3034" s="1" t="s">
        <v>11</v>
      </c>
      <c r="D3034" s="1" t="s">
        <v>11</v>
      </c>
      <c r="E3034" s="1" t="s">
        <v>11</v>
      </c>
    </row>
    <row r="3035" spans="1:5" ht="15.75" customHeight="1">
      <c r="A3035" s="1">
        <v>680410</v>
      </c>
      <c r="B3035" s="1" t="s">
        <v>3066</v>
      </c>
      <c r="C3035" s="1" t="s">
        <v>11</v>
      </c>
      <c r="D3035" s="1" t="s">
        <v>11</v>
      </c>
      <c r="E3035" s="1" t="s">
        <v>11</v>
      </c>
    </row>
    <row r="3036" spans="1:5" ht="15.75" customHeight="1">
      <c r="A3036" s="1">
        <v>680421</v>
      </c>
      <c r="B3036" s="1" t="s">
        <v>3067</v>
      </c>
      <c r="C3036" s="1" t="s">
        <v>11</v>
      </c>
      <c r="D3036" s="1" t="s">
        <v>11</v>
      </c>
      <c r="E3036" s="1" t="s">
        <v>11</v>
      </c>
    </row>
    <row r="3037" spans="1:5" ht="15.75" customHeight="1">
      <c r="A3037" s="1">
        <v>680422</v>
      </c>
      <c r="B3037" s="1" t="s">
        <v>3068</v>
      </c>
      <c r="C3037" s="1" t="s">
        <v>11</v>
      </c>
      <c r="D3037" s="1" t="s">
        <v>11</v>
      </c>
      <c r="E3037" s="1" t="s">
        <v>11</v>
      </c>
    </row>
    <row r="3038" spans="1:5" ht="15.75" customHeight="1">
      <c r="A3038" s="1">
        <v>680423</v>
      </c>
      <c r="B3038" s="1" t="s">
        <v>3069</v>
      </c>
      <c r="C3038" s="1" t="s">
        <v>11</v>
      </c>
      <c r="D3038" s="1" t="s">
        <v>11</v>
      </c>
      <c r="E3038" s="1" t="s">
        <v>11</v>
      </c>
    </row>
    <row r="3039" spans="1:5" ht="15.75" customHeight="1">
      <c r="A3039" s="1">
        <v>680430</v>
      </c>
      <c r="B3039" s="1" t="s">
        <v>3070</v>
      </c>
      <c r="C3039" s="1" t="s">
        <v>11</v>
      </c>
      <c r="D3039" s="1" t="s">
        <v>11</v>
      </c>
      <c r="E3039" s="1" t="s">
        <v>11</v>
      </c>
    </row>
    <row r="3040" spans="1:5" ht="15.75" customHeight="1">
      <c r="A3040" s="1">
        <v>680510</v>
      </c>
      <c r="B3040" s="1" t="s">
        <v>3071</v>
      </c>
      <c r="C3040" s="1" t="s">
        <v>11</v>
      </c>
      <c r="D3040" s="1" t="s">
        <v>11</v>
      </c>
      <c r="E3040" s="1" t="s">
        <v>11</v>
      </c>
    </row>
    <row r="3041" spans="1:5" ht="15.75" customHeight="1">
      <c r="A3041" s="1">
        <v>680520</v>
      </c>
      <c r="B3041" s="1" t="s">
        <v>3072</v>
      </c>
      <c r="C3041" s="1" t="s">
        <v>11</v>
      </c>
      <c r="D3041" s="1" t="s">
        <v>11</v>
      </c>
      <c r="E3041" s="1" t="s">
        <v>11</v>
      </c>
    </row>
    <row r="3042" spans="1:5" ht="15.75" customHeight="1">
      <c r="A3042" s="1">
        <v>680530</v>
      </c>
      <c r="B3042" s="1" t="s">
        <v>3073</v>
      </c>
      <c r="C3042" s="1" t="s">
        <v>11</v>
      </c>
      <c r="D3042" s="1" t="s">
        <v>11</v>
      </c>
      <c r="E3042" s="1" t="s">
        <v>11</v>
      </c>
    </row>
    <row r="3043" spans="1:5" ht="15.75" customHeight="1">
      <c r="A3043" s="1">
        <v>680610</v>
      </c>
      <c r="B3043" s="1" t="s">
        <v>3074</v>
      </c>
      <c r="C3043" s="1" t="s">
        <v>11</v>
      </c>
      <c r="D3043" s="1" t="s">
        <v>11</v>
      </c>
      <c r="E3043" s="1" t="s">
        <v>11</v>
      </c>
    </row>
    <row r="3044" spans="1:5" ht="15.75" customHeight="1">
      <c r="A3044" s="1">
        <v>680620</v>
      </c>
      <c r="B3044" s="1" t="s">
        <v>3075</v>
      </c>
      <c r="C3044" s="1" t="s">
        <v>11</v>
      </c>
      <c r="D3044" s="1" t="s">
        <v>11</v>
      </c>
      <c r="E3044" s="1" t="s">
        <v>11</v>
      </c>
    </row>
    <row r="3045" spans="1:5" ht="15.75" customHeight="1">
      <c r="A3045" s="1">
        <v>680690</v>
      </c>
      <c r="B3045" s="1" t="s">
        <v>3076</v>
      </c>
      <c r="C3045" s="1" t="s">
        <v>11</v>
      </c>
      <c r="D3045" s="1" t="s">
        <v>11</v>
      </c>
      <c r="E3045" s="1" t="s">
        <v>11</v>
      </c>
    </row>
    <row r="3046" spans="1:5" ht="15.75" customHeight="1">
      <c r="A3046" s="1">
        <v>680710</v>
      </c>
      <c r="B3046" s="1" t="s">
        <v>3077</v>
      </c>
      <c r="C3046" s="1" t="s">
        <v>11</v>
      </c>
      <c r="D3046" s="1" t="s">
        <v>11</v>
      </c>
      <c r="E3046" s="1" t="s">
        <v>11</v>
      </c>
    </row>
    <row r="3047" spans="1:5" ht="15.75" customHeight="1">
      <c r="A3047" s="1">
        <v>680790</v>
      </c>
      <c r="B3047" s="1" t="s">
        <v>3078</v>
      </c>
      <c r="C3047" s="1" t="s">
        <v>11</v>
      </c>
      <c r="D3047" s="1" t="s">
        <v>11</v>
      </c>
      <c r="E3047" s="1" t="s">
        <v>11</v>
      </c>
    </row>
    <row r="3048" spans="1:5" ht="15.75" customHeight="1">
      <c r="A3048" s="1">
        <v>680800</v>
      </c>
      <c r="B3048" s="1" t="s">
        <v>3079</v>
      </c>
      <c r="C3048" s="1" t="s">
        <v>11</v>
      </c>
      <c r="D3048" s="1" t="s">
        <v>11</v>
      </c>
      <c r="E3048" s="1" t="s">
        <v>11</v>
      </c>
    </row>
    <row r="3049" spans="1:5" ht="15.75" customHeight="1">
      <c r="A3049" s="1">
        <v>680911</v>
      </c>
      <c r="B3049" s="1" t="s">
        <v>3080</v>
      </c>
      <c r="C3049" s="1" t="s">
        <v>11</v>
      </c>
      <c r="D3049" s="1" t="s">
        <v>11</v>
      </c>
      <c r="E3049" s="1" t="s">
        <v>11</v>
      </c>
    </row>
    <row r="3050" spans="1:5" ht="15.75" customHeight="1">
      <c r="A3050" s="1">
        <v>680919</v>
      </c>
      <c r="B3050" s="1" t="s">
        <v>3081</v>
      </c>
      <c r="C3050" s="1" t="s">
        <v>11</v>
      </c>
      <c r="D3050" s="1" t="s">
        <v>11</v>
      </c>
      <c r="E3050" s="1" t="s">
        <v>11</v>
      </c>
    </row>
    <row r="3051" spans="1:5" ht="15.75" customHeight="1">
      <c r="A3051" s="1">
        <v>680990</v>
      </c>
      <c r="B3051" s="1" t="s">
        <v>3082</v>
      </c>
      <c r="C3051" s="1" t="s">
        <v>11</v>
      </c>
      <c r="D3051" s="1" t="s">
        <v>11</v>
      </c>
      <c r="E3051" s="1" t="s">
        <v>11</v>
      </c>
    </row>
    <row r="3052" spans="1:5" ht="15.75" customHeight="1">
      <c r="A3052" s="1">
        <v>681011</v>
      </c>
      <c r="B3052" s="1" t="s">
        <v>3083</v>
      </c>
      <c r="C3052" s="1" t="s">
        <v>11</v>
      </c>
      <c r="D3052" s="1" t="s">
        <v>11</v>
      </c>
      <c r="E3052" s="1" t="s">
        <v>11</v>
      </c>
    </row>
    <row r="3053" spans="1:5" ht="15.75" customHeight="1">
      <c r="A3053" s="1">
        <v>681019</v>
      </c>
      <c r="B3053" s="1" t="s">
        <v>3084</v>
      </c>
      <c r="C3053" s="1" t="s">
        <v>11</v>
      </c>
      <c r="D3053" s="1" t="s">
        <v>11</v>
      </c>
      <c r="E3053" s="1" t="s">
        <v>11</v>
      </c>
    </row>
    <row r="3054" spans="1:5" ht="15.75" customHeight="1">
      <c r="A3054" s="1">
        <v>681091</v>
      </c>
      <c r="B3054" s="1" t="s">
        <v>3085</v>
      </c>
      <c r="C3054" s="1" t="s">
        <v>11</v>
      </c>
      <c r="D3054" s="1" t="s">
        <v>11</v>
      </c>
      <c r="E3054" s="1" t="s">
        <v>11</v>
      </c>
    </row>
    <row r="3055" spans="1:5" ht="15.75" customHeight="1">
      <c r="A3055" s="1">
        <v>681099</v>
      </c>
      <c r="B3055" s="1" t="s">
        <v>3086</v>
      </c>
      <c r="C3055" s="1" t="s">
        <v>11</v>
      </c>
      <c r="D3055" s="1" t="s">
        <v>11</v>
      </c>
      <c r="E3055" s="1" t="s">
        <v>11</v>
      </c>
    </row>
    <row r="3056" spans="1:5" ht="15.75" customHeight="1">
      <c r="A3056" s="1">
        <v>681140</v>
      </c>
      <c r="B3056" s="1" t="s">
        <v>3087</v>
      </c>
      <c r="C3056" s="1" t="s">
        <v>11</v>
      </c>
      <c r="D3056" s="1" t="s">
        <v>11</v>
      </c>
      <c r="E3056" s="1" t="s">
        <v>11</v>
      </c>
    </row>
    <row r="3057" spans="1:5" ht="15.75" customHeight="1">
      <c r="A3057" s="1">
        <v>681181</v>
      </c>
      <c r="B3057" s="1" t="s">
        <v>3088</v>
      </c>
      <c r="C3057" s="1" t="s">
        <v>11</v>
      </c>
      <c r="D3057" s="1" t="s">
        <v>11</v>
      </c>
      <c r="E3057" s="1" t="s">
        <v>11</v>
      </c>
    </row>
    <row r="3058" spans="1:5" ht="15.75" customHeight="1">
      <c r="A3058" s="1">
        <v>681182</v>
      </c>
      <c r="B3058" s="1" t="s">
        <v>3089</v>
      </c>
      <c r="C3058" s="1" t="s">
        <v>11</v>
      </c>
      <c r="D3058" s="1" t="s">
        <v>11</v>
      </c>
      <c r="E3058" s="1" t="s">
        <v>11</v>
      </c>
    </row>
    <row r="3059" spans="1:5" ht="15.75" customHeight="1">
      <c r="A3059" s="1">
        <v>681183</v>
      </c>
      <c r="B3059" s="1" t="s">
        <v>3090</v>
      </c>
      <c r="C3059" s="1" t="s">
        <v>11</v>
      </c>
      <c r="D3059" s="1" t="s">
        <v>11</v>
      </c>
      <c r="E3059" s="1" t="s">
        <v>11</v>
      </c>
    </row>
    <row r="3060" spans="1:5" ht="15.75" customHeight="1">
      <c r="A3060" s="1">
        <v>681189</v>
      </c>
      <c r="B3060" s="1" t="s">
        <v>3091</v>
      </c>
      <c r="C3060" s="1" t="s">
        <v>11</v>
      </c>
      <c r="D3060" s="1" t="s">
        <v>11</v>
      </c>
      <c r="E3060" s="1" t="s">
        <v>11</v>
      </c>
    </row>
    <row r="3061" spans="1:5" ht="15.75" customHeight="1">
      <c r="A3061" s="1">
        <v>681280</v>
      </c>
      <c r="B3061" s="1" t="s">
        <v>3092</v>
      </c>
      <c r="C3061" s="1" t="s">
        <v>11</v>
      </c>
      <c r="D3061" s="1" t="s">
        <v>11</v>
      </c>
      <c r="E3061" s="1" t="s">
        <v>11</v>
      </c>
    </row>
    <row r="3062" spans="1:5" ht="15.75" customHeight="1">
      <c r="A3062" s="1">
        <v>681291</v>
      </c>
      <c r="B3062" s="1" t="s">
        <v>3093</v>
      </c>
      <c r="C3062" s="1" t="s">
        <v>11</v>
      </c>
      <c r="D3062" s="1" t="s">
        <v>11</v>
      </c>
      <c r="E3062" s="1" t="s">
        <v>11</v>
      </c>
    </row>
    <row r="3063" spans="1:5" ht="15.75" customHeight="1">
      <c r="A3063" s="1">
        <v>681292</v>
      </c>
      <c r="B3063" s="1" t="s">
        <v>3094</v>
      </c>
      <c r="C3063" s="1" t="s">
        <v>11</v>
      </c>
      <c r="D3063" s="1" t="s">
        <v>11</v>
      </c>
      <c r="E3063" s="1" t="s">
        <v>11</v>
      </c>
    </row>
    <row r="3064" spans="1:5" ht="15.75" customHeight="1">
      <c r="A3064" s="1">
        <v>681293</v>
      </c>
      <c r="B3064" s="1" t="s">
        <v>3095</v>
      </c>
      <c r="C3064" s="1" t="s">
        <v>11</v>
      </c>
      <c r="D3064" s="1" t="s">
        <v>11</v>
      </c>
      <c r="E3064" s="1" t="s">
        <v>11</v>
      </c>
    </row>
    <row r="3065" spans="1:5" ht="15.75" customHeight="1">
      <c r="A3065" s="1">
        <v>681299</v>
      </c>
      <c r="B3065" s="1" t="s">
        <v>3096</v>
      </c>
      <c r="C3065" s="1" t="s">
        <v>11</v>
      </c>
      <c r="D3065" s="1" t="s">
        <v>11</v>
      </c>
      <c r="E3065" s="1" t="s">
        <v>11</v>
      </c>
    </row>
    <row r="3066" spans="1:5" ht="15.75" customHeight="1">
      <c r="A3066" s="1">
        <v>681320</v>
      </c>
      <c r="B3066" s="1" t="s">
        <v>3097</v>
      </c>
      <c r="C3066" s="1" t="s">
        <v>11</v>
      </c>
      <c r="D3066" s="1" t="s">
        <v>11</v>
      </c>
      <c r="E3066" s="1" t="s">
        <v>11</v>
      </c>
    </row>
    <row r="3067" spans="1:5" ht="15.75" customHeight="1">
      <c r="A3067" s="1">
        <v>681381</v>
      </c>
      <c r="B3067" s="1" t="s">
        <v>3098</v>
      </c>
      <c r="C3067" s="1" t="s">
        <v>11</v>
      </c>
      <c r="D3067" s="1" t="s">
        <v>11</v>
      </c>
      <c r="E3067" s="1" t="s">
        <v>11</v>
      </c>
    </row>
    <row r="3068" spans="1:5" ht="15.75" customHeight="1">
      <c r="A3068" s="1">
        <v>681389</v>
      </c>
      <c r="B3068" s="1" t="s">
        <v>3099</v>
      </c>
      <c r="C3068" s="1" t="s">
        <v>11</v>
      </c>
      <c r="D3068" s="1" t="s">
        <v>11</v>
      </c>
      <c r="E3068" s="1" t="s">
        <v>11</v>
      </c>
    </row>
    <row r="3069" spans="1:5" ht="15.75" customHeight="1">
      <c r="A3069" s="1">
        <v>681410</v>
      </c>
      <c r="B3069" s="1" t="s">
        <v>3100</v>
      </c>
      <c r="C3069" s="1" t="s">
        <v>11</v>
      </c>
      <c r="D3069" s="1" t="s">
        <v>11</v>
      </c>
      <c r="E3069" s="1" t="s">
        <v>11</v>
      </c>
    </row>
    <row r="3070" spans="1:5" ht="15.75" customHeight="1">
      <c r="A3070" s="1">
        <v>681490</v>
      </c>
      <c r="B3070" s="1" t="s">
        <v>3101</v>
      </c>
      <c r="C3070" s="1" t="s">
        <v>11</v>
      </c>
      <c r="D3070" s="1" t="s">
        <v>11</v>
      </c>
      <c r="E3070" s="1" t="s">
        <v>11</v>
      </c>
    </row>
    <row r="3071" spans="1:5" ht="15.75" customHeight="1">
      <c r="A3071" s="1">
        <v>681510</v>
      </c>
      <c r="B3071" s="1" t="s">
        <v>3102</v>
      </c>
      <c r="C3071" s="1" t="s">
        <v>11</v>
      </c>
      <c r="D3071" s="1" t="s">
        <v>11</v>
      </c>
      <c r="E3071" s="1" t="s">
        <v>11</v>
      </c>
    </row>
    <row r="3072" spans="1:5" ht="15.75" customHeight="1">
      <c r="A3072" s="1">
        <v>681520</v>
      </c>
      <c r="B3072" s="1" t="s">
        <v>3103</v>
      </c>
      <c r="C3072" s="1" t="s">
        <v>11</v>
      </c>
      <c r="D3072" s="1" t="s">
        <v>11</v>
      </c>
      <c r="E3072" s="1" t="s">
        <v>11</v>
      </c>
    </row>
    <row r="3073" spans="1:5" ht="15.75" customHeight="1">
      <c r="A3073" s="1">
        <v>681591</v>
      </c>
      <c r="B3073" s="1" t="s">
        <v>3104</v>
      </c>
      <c r="C3073" s="1" t="s">
        <v>11</v>
      </c>
      <c r="D3073" s="1" t="s">
        <v>11</v>
      </c>
      <c r="E3073" s="1" t="s">
        <v>11</v>
      </c>
    </row>
    <row r="3074" spans="1:5" ht="15.75" customHeight="1">
      <c r="A3074" s="1">
        <v>681599</v>
      </c>
      <c r="B3074" s="1" t="s">
        <v>3105</v>
      </c>
      <c r="C3074" s="1" t="s">
        <v>11</v>
      </c>
      <c r="D3074" s="1" t="s">
        <v>11</v>
      </c>
      <c r="E3074" s="1" t="s">
        <v>11</v>
      </c>
    </row>
    <row r="3075" spans="1:5" ht="15.75" customHeight="1">
      <c r="A3075" s="1">
        <v>690100</v>
      </c>
      <c r="B3075" s="1" t="s">
        <v>3106</v>
      </c>
      <c r="C3075" s="1" t="s">
        <v>11</v>
      </c>
      <c r="D3075" s="1" t="s">
        <v>11</v>
      </c>
      <c r="E3075" s="1" t="s">
        <v>11</v>
      </c>
    </row>
    <row r="3076" spans="1:5" ht="15.75" customHeight="1">
      <c r="A3076" s="1">
        <v>690210</v>
      </c>
      <c r="B3076" s="1" t="s">
        <v>3107</v>
      </c>
      <c r="C3076" s="1" t="s">
        <v>11</v>
      </c>
      <c r="D3076" s="1" t="s">
        <v>11</v>
      </c>
      <c r="E3076" s="1" t="s">
        <v>11</v>
      </c>
    </row>
    <row r="3077" spans="1:5" ht="15.75" customHeight="1">
      <c r="A3077" s="1">
        <v>690220</v>
      </c>
      <c r="B3077" s="1" t="s">
        <v>3108</v>
      </c>
      <c r="C3077" s="1" t="s">
        <v>11</v>
      </c>
      <c r="D3077" s="1" t="s">
        <v>11</v>
      </c>
      <c r="E3077" s="1" t="s">
        <v>11</v>
      </c>
    </row>
    <row r="3078" spans="1:5" ht="15.75" customHeight="1">
      <c r="A3078" s="1">
        <v>690290</v>
      </c>
      <c r="B3078" s="1" t="s">
        <v>3109</v>
      </c>
      <c r="C3078" s="1" t="s">
        <v>11</v>
      </c>
      <c r="D3078" s="1" t="s">
        <v>11</v>
      </c>
      <c r="E3078" s="1" t="s">
        <v>11</v>
      </c>
    </row>
    <row r="3079" spans="1:5" ht="15.75" customHeight="1">
      <c r="A3079" s="1">
        <v>690310</v>
      </c>
      <c r="B3079" s="1" t="s">
        <v>3110</v>
      </c>
      <c r="C3079" s="1" t="s">
        <v>11</v>
      </c>
      <c r="D3079" s="1" t="s">
        <v>11</v>
      </c>
      <c r="E3079" s="1" t="s">
        <v>11</v>
      </c>
    </row>
    <row r="3080" spans="1:5" ht="15.75" customHeight="1">
      <c r="A3080" s="1">
        <v>690320</v>
      </c>
      <c r="B3080" s="1" t="s">
        <v>3111</v>
      </c>
      <c r="C3080" s="1" t="s">
        <v>11</v>
      </c>
      <c r="D3080" s="1" t="s">
        <v>11</v>
      </c>
      <c r="E3080" s="1" t="s">
        <v>11</v>
      </c>
    </row>
    <row r="3081" spans="1:5" ht="15.75" customHeight="1">
      <c r="A3081" s="1">
        <v>690390</v>
      </c>
      <c r="B3081" s="1" t="s">
        <v>3112</v>
      </c>
      <c r="C3081" s="1" t="s">
        <v>11</v>
      </c>
      <c r="D3081" s="1" t="s">
        <v>11</v>
      </c>
      <c r="E3081" s="1" t="s">
        <v>11</v>
      </c>
    </row>
    <row r="3082" spans="1:5" ht="15.75" customHeight="1">
      <c r="A3082" s="1">
        <v>690410</v>
      </c>
      <c r="B3082" s="1" t="s">
        <v>3113</v>
      </c>
      <c r="C3082" s="1" t="s">
        <v>11</v>
      </c>
      <c r="D3082" s="1" t="s">
        <v>11</v>
      </c>
      <c r="E3082" s="1" t="s">
        <v>11</v>
      </c>
    </row>
    <row r="3083" spans="1:5" ht="15.75" customHeight="1">
      <c r="A3083" s="1">
        <v>690490</v>
      </c>
      <c r="B3083" s="1" t="s">
        <v>3114</v>
      </c>
      <c r="C3083" s="1" t="s">
        <v>11</v>
      </c>
      <c r="D3083" s="1" t="s">
        <v>11</v>
      </c>
      <c r="E3083" s="1" t="s">
        <v>11</v>
      </c>
    </row>
    <row r="3084" spans="1:5" ht="15.75" customHeight="1">
      <c r="A3084" s="1">
        <v>690510</v>
      </c>
      <c r="B3084" s="1" t="s">
        <v>3115</v>
      </c>
      <c r="C3084" s="1" t="s">
        <v>11</v>
      </c>
      <c r="D3084" s="1" t="s">
        <v>11</v>
      </c>
      <c r="E3084" s="1" t="s">
        <v>11</v>
      </c>
    </row>
    <row r="3085" spans="1:5" ht="15.75" customHeight="1">
      <c r="A3085" s="1">
        <v>690590</v>
      </c>
      <c r="B3085" s="1" t="s">
        <v>3116</v>
      </c>
      <c r="C3085" s="1" t="s">
        <v>11</v>
      </c>
      <c r="D3085" s="1" t="s">
        <v>11</v>
      </c>
      <c r="E3085" s="1" t="s">
        <v>11</v>
      </c>
    </row>
    <row r="3086" spans="1:5" ht="15.75" customHeight="1">
      <c r="A3086" s="1">
        <v>690600</v>
      </c>
      <c r="B3086" s="1" t="s">
        <v>3117</v>
      </c>
      <c r="C3086" s="1" t="s">
        <v>11</v>
      </c>
      <c r="D3086" s="1" t="s">
        <v>11</v>
      </c>
      <c r="E3086" s="1" t="s">
        <v>11</v>
      </c>
    </row>
    <row r="3087" spans="1:5" ht="15.75" customHeight="1">
      <c r="A3087" s="1">
        <v>690710</v>
      </c>
      <c r="B3087" s="1" t="s">
        <v>3118</v>
      </c>
      <c r="C3087" s="1" t="s">
        <v>11</v>
      </c>
      <c r="D3087" s="1" t="s">
        <v>11</v>
      </c>
      <c r="E3087" s="1" t="s">
        <v>11</v>
      </c>
    </row>
    <row r="3088" spans="1:5" ht="15.75" customHeight="1">
      <c r="A3088" s="1">
        <v>690790</v>
      </c>
      <c r="B3088" s="1" t="s">
        <v>3119</v>
      </c>
      <c r="C3088" s="1" t="s">
        <v>11</v>
      </c>
      <c r="D3088" s="1" t="s">
        <v>11</v>
      </c>
      <c r="E3088" s="1" t="s">
        <v>11</v>
      </c>
    </row>
    <row r="3089" spans="1:5" ht="15.75" customHeight="1">
      <c r="A3089" s="1">
        <v>690810</v>
      </c>
      <c r="B3089" s="1" t="s">
        <v>3120</v>
      </c>
      <c r="C3089" s="1" t="s">
        <v>11</v>
      </c>
      <c r="D3089" s="1" t="s">
        <v>11</v>
      </c>
      <c r="E3089" s="1" t="s">
        <v>11</v>
      </c>
    </row>
    <row r="3090" spans="1:5" ht="15.75" customHeight="1">
      <c r="A3090" s="1">
        <v>690890</v>
      </c>
      <c r="B3090" s="1" t="s">
        <v>3121</v>
      </c>
      <c r="C3090" s="1" t="s">
        <v>11</v>
      </c>
      <c r="D3090" s="1" t="s">
        <v>11</v>
      </c>
      <c r="E3090" s="1" t="s">
        <v>11</v>
      </c>
    </row>
    <row r="3091" spans="1:5" ht="15.75" customHeight="1">
      <c r="A3091" s="1">
        <v>690911</v>
      </c>
      <c r="B3091" s="1" t="s">
        <v>3122</v>
      </c>
      <c r="C3091" s="1" t="s">
        <v>11</v>
      </c>
      <c r="D3091" s="1" t="s">
        <v>11</v>
      </c>
      <c r="E3091" s="1" t="s">
        <v>11</v>
      </c>
    </row>
    <row r="3092" spans="1:5" ht="15.75" customHeight="1">
      <c r="A3092" s="1">
        <v>690912</v>
      </c>
      <c r="B3092" s="1" t="s">
        <v>3123</v>
      </c>
      <c r="C3092" s="1" t="s">
        <v>11</v>
      </c>
      <c r="D3092" s="1" t="s">
        <v>11</v>
      </c>
      <c r="E3092" s="1" t="s">
        <v>11</v>
      </c>
    </row>
    <row r="3093" spans="1:5" ht="15.75" customHeight="1">
      <c r="A3093" s="1">
        <v>690919</v>
      </c>
      <c r="B3093" s="1" t="s">
        <v>3124</v>
      </c>
      <c r="C3093" s="1" t="s">
        <v>11</v>
      </c>
      <c r="D3093" s="1" t="s">
        <v>11</v>
      </c>
      <c r="E3093" s="1" t="s">
        <v>11</v>
      </c>
    </row>
    <row r="3094" spans="1:5" ht="15.75" customHeight="1">
      <c r="A3094" s="1">
        <v>690990</v>
      </c>
      <c r="B3094" s="1" t="s">
        <v>3125</v>
      </c>
      <c r="C3094" s="1" t="s">
        <v>11</v>
      </c>
      <c r="D3094" s="1" t="s">
        <v>11</v>
      </c>
      <c r="E3094" s="1" t="s">
        <v>11</v>
      </c>
    </row>
    <row r="3095" spans="1:5" ht="15.75" customHeight="1">
      <c r="A3095" s="1">
        <v>691010</v>
      </c>
      <c r="B3095" s="1" t="s">
        <v>3126</v>
      </c>
      <c r="C3095" s="1" t="s">
        <v>11</v>
      </c>
      <c r="D3095" s="1" t="s">
        <v>11</v>
      </c>
      <c r="E3095" s="1" t="s">
        <v>11</v>
      </c>
    </row>
    <row r="3096" spans="1:5" ht="15.75" customHeight="1">
      <c r="A3096" s="1">
        <v>691090</v>
      </c>
      <c r="B3096" s="1" t="s">
        <v>3127</v>
      </c>
      <c r="C3096" s="1" t="s">
        <v>11</v>
      </c>
      <c r="D3096" s="1" t="s">
        <v>11</v>
      </c>
      <c r="E3096" s="1" t="s">
        <v>11</v>
      </c>
    </row>
    <row r="3097" spans="1:5" ht="15.75" customHeight="1">
      <c r="A3097" s="1">
        <v>691110</v>
      </c>
      <c r="B3097" s="1" t="s">
        <v>3128</v>
      </c>
      <c r="C3097" s="1" t="s">
        <v>11</v>
      </c>
      <c r="D3097" s="1" t="s">
        <v>11</v>
      </c>
      <c r="E3097" s="1" t="s">
        <v>11</v>
      </c>
    </row>
    <row r="3098" spans="1:5" ht="15.75" customHeight="1">
      <c r="A3098" s="1">
        <v>691190</v>
      </c>
      <c r="B3098" s="1" t="s">
        <v>3129</v>
      </c>
      <c r="C3098" s="1" t="s">
        <v>11</v>
      </c>
      <c r="D3098" s="1" t="s">
        <v>11</v>
      </c>
      <c r="E3098" s="1" t="s">
        <v>11</v>
      </c>
    </row>
    <row r="3099" spans="1:5" ht="15.75" customHeight="1">
      <c r="A3099" s="1">
        <v>691200</v>
      </c>
      <c r="B3099" s="1" t="s">
        <v>3130</v>
      </c>
      <c r="C3099" s="1" t="s">
        <v>11</v>
      </c>
      <c r="D3099" s="1" t="s">
        <v>11</v>
      </c>
      <c r="E3099" s="1" t="s">
        <v>11</v>
      </c>
    </row>
    <row r="3100" spans="1:5" ht="15.75" customHeight="1">
      <c r="A3100" s="1">
        <v>691310</v>
      </c>
      <c r="B3100" s="1" t="s">
        <v>3131</v>
      </c>
      <c r="C3100" s="1" t="s">
        <v>11</v>
      </c>
      <c r="D3100" s="1" t="s">
        <v>11</v>
      </c>
      <c r="E3100" s="1" t="s">
        <v>11</v>
      </c>
    </row>
    <row r="3101" spans="1:5" ht="15.75" customHeight="1">
      <c r="A3101" s="1">
        <v>691390</v>
      </c>
      <c r="B3101" s="1" t="s">
        <v>3132</v>
      </c>
      <c r="C3101" s="1" t="s">
        <v>11</v>
      </c>
      <c r="D3101" s="1" t="s">
        <v>11</v>
      </c>
      <c r="E3101" s="1" t="s">
        <v>11</v>
      </c>
    </row>
    <row r="3102" spans="1:5" ht="15.75" customHeight="1">
      <c r="A3102" s="1">
        <v>691410</v>
      </c>
      <c r="B3102" s="1" t="s">
        <v>3133</v>
      </c>
      <c r="C3102" s="1" t="s">
        <v>11</v>
      </c>
      <c r="D3102" s="1" t="s">
        <v>11</v>
      </c>
      <c r="E3102" s="1" t="s">
        <v>11</v>
      </c>
    </row>
    <row r="3103" spans="1:5" ht="15.75" customHeight="1">
      <c r="A3103" s="1">
        <v>691490</v>
      </c>
      <c r="B3103" s="1" t="s">
        <v>3134</v>
      </c>
      <c r="C3103" s="1" t="s">
        <v>11</v>
      </c>
      <c r="D3103" s="1" t="s">
        <v>11</v>
      </c>
      <c r="E3103" s="1" t="s">
        <v>11</v>
      </c>
    </row>
    <row r="3104" spans="1:5" ht="15.75" customHeight="1">
      <c r="A3104" s="1">
        <v>700100</v>
      </c>
      <c r="B3104" s="1" t="s">
        <v>3135</v>
      </c>
      <c r="C3104" s="1" t="s">
        <v>11</v>
      </c>
      <c r="D3104" s="1" t="s">
        <v>11</v>
      </c>
      <c r="E3104" s="1" t="s">
        <v>11</v>
      </c>
    </row>
    <row r="3105" spans="1:5" ht="15.75" customHeight="1">
      <c r="A3105" s="1">
        <v>700210</v>
      </c>
      <c r="B3105" s="1" t="s">
        <v>3136</v>
      </c>
      <c r="C3105" s="1" t="s">
        <v>11</v>
      </c>
      <c r="D3105" s="1" t="s">
        <v>11</v>
      </c>
      <c r="E3105" s="1" t="s">
        <v>11</v>
      </c>
    </row>
    <row r="3106" spans="1:5" ht="15.75" customHeight="1">
      <c r="A3106" s="1">
        <v>700220</v>
      </c>
      <c r="B3106" s="1" t="s">
        <v>3137</v>
      </c>
      <c r="C3106" s="1" t="s">
        <v>11</v>
      </c>
      <c r="D3106" s="1" t="s">
        <v>11</v>
      </c>
      <c r="E3106" s="1" t="s">
        <v>11</v>
      </c>
    </row>
    <row r="3107" spans="1:5" ht="15.75" customHeight="1">
      <c r="A3107" s="1">
        <v>700231</v>
      </c>
      <c r="B3107" s="1" t="s">
        <v>3138</v>
      </c>
      <c r="C3107" s="1" t="s">
        <v>11</v>
      </c>
      <c r="D3107" s="1" t="s">
        <v>11</v>
      </c>
      <c r="E3107" s="1" t="s">
        <v>11</v>
      </c>
    </row>
    <row r="3108" spans="1:5" ht="15.75" customHeight="1">
      <c r="A3108" s="1">
        <v>700232</v>
      </c>
      <c r="B3108" s="1" t="s">
        <v>3139</v>
      </c>
      <c r="C3108" s="1" t="s">
        <v>11</v>
      </c>
      <c r="D3108" s="1" t="s">
        <v>11</v>
      </c>
      <c r="E3108" s="1" t="s">
        <v>11</v>
      </c>
    </row>
    <row r="3109" spans="1:5" ht="15.75" customHeight="1">
      <c r="A3109" s="1">
        <v>700239</v>
      </c>
      <c r="B3109" s="1" t="s">
        <v>3140</v>
      </c>
      <c r="C3109" s="1" t="s">
        <v>11</v>
      </c>
      <c r="D3109" s="1" t="s">
        <v>11</v>
      </c>
      <c r="E3109" s="1" t="s">
        <v>11</v>
      </c>
    </row>
    <row r="3110" spans="1:5" ht="15.75" customHeight="1">
      <c r="A3110" s="1">
        <v>700312</v>
      </c>
      <c r="B3110" s="1" t="s">
        <v>3141</v>
      </c>
      <c r="C3110" s="1" t="s">
        <v>11</v>
      </c>
      <c r="D3110" s="1" t="s">
        <v>11</v>
      </c>
      <c r="E3110" s="1" t="s">
        <v>11</v>
      </c>
    </row>
    <row r="3111" spans="1:5" ht="15.75" customHeight="1">
      <c r="A3111" s="1">
        <v>700319</v>
      </c>
      <c r="B3111" s="1" t="s">
        <v>3142</v>
      </c>
      <c r="C3111" s="1" t="s">
        <v>11</v>
      </c>
      <c r="D3111" s="1" t="s">
        <v>11</v>
      </c>
      <c r="E3111" s="1" t="s">
        <v>11</v>
      </c>
    </row>
    <row r="3112" spans="1:5" ht="15.75" customHeight="1">
      <c r="A3112" s="1">
        <v>700320</v>
      </c>
      <c r="B3112" s="1" t="s">
        <v>3143</v>
      </c>
      <c r="C3112" s="1" t="s">
        <v>11</v>
      </c>
      <c r="D3112" s="1" t="s">
        <v>11</v>
      </c>
      <c r="E3112" s="1" t="s">
        <v>11</v>
      </c>
    </row>
    <row r="3113" spans="1:5" ht="15.75" customHeight="1">
      <c r="A3113" s="1">
        <v>700330</v>
      </c>
      <c r="B3113" s="1" t="s">
        <v>3144</v>
      </c>
      <c r="C3113" s="1" t="s">
        <v>11</v>
      </c>
      <c r="D3113" s="1" t="s">
        <v>11</v>
      </c>
      <c r="E3113" s="1" t="s">
        <v>11</v>
      </c>
    </row>
    <row r="3114" spans="1:5" ht="15.75" customHeight="1">
      <c r="A3114" s="1">
        <v>700420</v>
      </c>
      <c r="B3114" s="1" t="s">
        <v>3145</v>
      </c>
      <c r="C3114" s="1" t="s">
        <v>11</v>
      </c>
      <c r="D3114" s="1" t="s">
        <v>11</v>
      </c>
      <c r="E3114" s="1" t="s">
        <v>11</v>
      </c>
    </row>
    <row r="3115" spans="1:5" ht="15.75" customHeight="1">
      <c r="A3115" s="1">
        <v>700490</v>
      </c>
      <c r="B3115" s="1" t="s">
        <v>3146</v>
      </c>
      <c r="C3115" s="1" t="s">
        <v>11</v>
      </c>
      <c r="D3115" s="1" t="s">
        <v>11</v>
      </c>
      <c r="E3115" s="1" t="s">
        <v>11</v>
      </c>
    </row>
    <row r="3116" spans="1:5" ht="15.75" customHeight="1">
      <c r="A3116" s="1">
        <v>700510</v>
      </c>
      <c r="B3116" s="1" t="s">
        <v>3147</v>
      </c>
      <c r="C3116" s="1" t="s">
        <v>11</v>
      </c>
      <c r="D3116" s="1" t="s">
        <v>11</v>
      </c>
      <c r="E3116" s="1" t="s">
        <v>11</v>
      </c>
    </row>
    <row r="3117" spans="1:5" ht="15.75" customHeight="1">
      <c r="A3117" s="1">
        <v>700521</v>
      </c>
      <c r="B3117" s="1" t="s">
        <v>3148</v>
      </c>
      <c r="C3117" s="1" t="s">
        <v>11</v>
      </c>
      <c r="D3117" s="1" t="s">
        <v>11</v>
      </c>
      <c r="E3117" s="1" t="s">
        <v>11</v>
      </c>
    </row>
    <row r="3118" spans="1:5" ht="15.75" customHeight="1">
      <c r="A3118" s="1">
        <v>700529</v>
      </c>
      <c r="B3118" s="1" t="s">
        <v>3149</v>
      </c>
      <c r="C3118" s="1" t="s">
        <v>11</v>
      </c>
      <c r="D3118" s="1" t="s">
        <v>11</v>
      </c>
      <c r="E3118" s="1" t="s">
        <v>11</v>
      </c>
    </row>
    <row r="3119" spans="1:5" ht="15.75" customHeight="1">
      <c r="A3119" s="1">
        <v>700530</v>
      </c>
      <c r="B3119" s="1" t="s">
        <v>3150</v>
      </c>
      <c r="C3119" s="1" t="s">
        <v>11</v>
      </c>
      <c r="D3119" s="1" t="s">
        <v>11</v>
      </c>
      <c r="E3119" s="1" t="s">
        <v>11</v>
      </c>
    </row>
    <row r="3120" spans="1:5" ht="15.75" customHeight="1">
      <c r="A3120" s="1">
        <v>700600</v>
      </c>
      <c r="B3120" s="1" t="s">
        <v>3151</v>
      </c>
      <c r="C3120" s="1" t="s">
        <v>11</v>
      </c>
      <c r="D3120" s="1" t="s">
        <v>11</v>
      </c>
      <c r="E3120" s="1" t="s">
        <v>11</v>
      </c>
    </row>
    <row r="3121" spans="1:5" ht="15.75" customHeight="1">
      <c r="A3121" s="1">
        <v>700711</v>
      </c>
      <c r="B3121" s="1" t="s">
        <v>3152</v>
      </c>
      <c r="C3121" s="1" t="s">
        <v>11</v>
      </c>
      <c r="D3121" s="1" t="s">
        <v>11</v>
      </c>
      <c r="E3121" s="1" t="s">
        <v>11</v>
      </c>
    </row>
    <row r="3122" spans="1:5" ht="15.75" customHeight="1">
      <c r="A3122" s="1">
        <v>700719</v>
      </c>
      <c r="B3122" s="1" t="s">
        <v>3153</v>
      </c>
      <c r="C3122" s="1" t="s">
        <v>11</v>
      </c>
      <c r="D3122" s="1" t="s">
        <v>11</v>
      </c>
      <c r="E3122" s="1" t="s">
        <v>11</v>
      </c>
    </row>
    <row r="3123" spans="1:5" ht="15.75" customHeight="1">
      <c r="A3123" s="1">
        <v>700721</v>
      </c>
      <c r="B3123" s="1" t="s">
        <v>3154</v>
      </c>
      <c r="C3123" s="1" t="s">
        <v>11</v>
      </c>
      <c r="D3123" s="1" t="s">
        <v>11</v>
      </c>
      <c r="E3123" s="1" t="s">
        <v>11</v>
      </c>
    </row>
    <row r="3124" spans="1:5" ht="15.75" customHeight="1">
      <c r="A3124" s="1">
        <v>700729</v>
      </c>
      <c r="B3124" s="1" t="s">
        <v>3155</v>
      </c>
      <c r="C3124" s="1" t="s">
        <v>11</v>
      </c>
      <c r="D3124" s="1" t="s">
        <v>11</v>
      </c>
      <c r="E3124" s="1" t="s">
        <v>11</v>
      </c>
    </row>
    <row r="3125" spans="1:5" ht="15.75" customHeight="1">
      <c r="A3125" s="1">
        <v>700800</v>
      </c>
      <c r="B3125" s="1" t="s">
        <v>3156</v>
      </c>
      <c r="C3125" s="1" t="s">
        <v>11</v>
      </c>
      <c r="D3125" s="1" t="s">
        <v>11</v>
      </c>
      <c r="E3125" s="1" t="s">
        <v>11</v>
      </c>
    </row>
    <row r="3126" spans="1:5" ht="15.75" customHeight="1">
      <c r="A3126" s="1">
        <v>700910</v>
      </c>
      <c r="B3126" s="1" t="s">
        <v>3157</v>
      </c>
      <c r="C3126" s="1" t="s">
        <v>11</v>
      </c>
      <c r="D3126" s="1" t="s">
        <v>11</v>
      </c>
      <c r="E3126" s="1" t="s">
        <v>11</v>
      </c>
    </row>
    <row r="3127" spans="1:5" ht="15.75" customHeight="1">
      <c r="A3127" s="1">
        <v>700991</v>
      </c>
      <c r="B3127" s="1" t="s">
        <v>3158</v>
      </c>
      <c r="C3127" s="1" t="s">
        <v>11</v>
      </c>
      <c r="D3127" s="1" t="s">
        <v>11</v>
      </c>
      <c r="E3127" s="1" t="s">
        <v>11</v>
      </c>
    </row>
    <row r="3128" spans="1:5" ht="15.75" customHeight="1">
      <c r="A3128" s="1">
        <v>700992</v>
      </c>
      <c r="B3128" s="1" t="s">
        <v>3159</v>
      </c>
      <c r="C3128" s="1" t="s">
        <v>11</v>
      </c>
      <c r="D3128" s="1" t="s">
        <v>11</v>
      </c>
      <c r="E3128" s="1" t="s">
        <v>11</v>
      </c>
    </row>
    <row r="3129" spans="1:5" ht="15.75" customHeight="1">
      <c r="A3129" s="1">
        <v>701010</v>
      </c>
      <c r="B3129" s="1" t="s">
        <v>3160</v>
      </c>
      <c r="C3129" s="1" t="s">
        <v>11</v>
      </c>
      <c r="D3129" s="1" t="s">
        <v>11</v>
      </c>
      <c r="E3129" s="1" t="s">
        <v>11</v>
      </c>
    </row>
    <row r="3130" spans="1:5" ht="15.75" customHeight="1">
      <c r="A3130" s="1">
        <v>701020</v>
      </c>
      <c r="B3130" s="1" t="s">
        <v>3161</v>
      </c>
      <c r="C3130" s="1" t="s">
        <v>11</v>
      </c>
      <c r="D3130" s="1" t="s">
        <v>11</v>
      </c>
      <c r="E3130" s="1" t="s">
        <v>11</v>
      </c>
    </row>
    <row r="3131" spans="1:5" ht="15.75" customHeight="1">
      <c r="A3131" s="1">
        <v>701090</v>
      </c>
      <c r="B3131" s="1" t="s">
        <v>3162</v>
      </c>
      <c r="C3131" s="1" t="s">
        <v>11</v>
      </c>
      <c r="D3131" s="1" t="s">
        <v>11</v>
      </c>
      <c r="E3131" s="1" t="s">
        <v>11</v>
      </c>
    </row>
    <row r="3132" spans="1:5" ht="15.75" customHeight="1">
      <c r="A3132" s="1">
        <v>701110</v>
      </c>
      <c r="B3132" s="1" t="s">
        <v>3163</v>
      </c>
      <c r="C3132" s="1" t="s">
        <v>11</v>
      </c>
      <c r="D3132" s="1" t="s">
        <v>11</v>
      </c>
      <c r="E3132" s="1" t="s">
        <v>11</v>
      </c>
    </row>
    <row r="3133" spans="1:5" ht="15.75" customHeight="1">
      <c r="A3133" s="1">
        <v>701120</v>
      </c>
      <c r="B3133" s="1" t="s">
        <v>3164</v>
      </c>
      <c r="C3133" s="1" t="s">
        <v>11</v>
      </c>
      <c r="D3133" s="1" t="s">
        <v>11</v>
      </c>
      <c r="E3133" s="1" t="s">
        <v>11</v>
      </c>
    </row>
    <row r="3134" spans="1:5" ht="15.75" customHeight="1">
      <c r="A3134" s="1">
        <v>701190</v>
      </c>
      <c r="B3134" s="1" t="s">
        <v>3165</v>
      </c>
      <c r="C3134" s="1" t="s">
        <v>11</v>
      </c>
      <c r="D3134" s="1" t="s">
        <v>11</v>
      </c>
      <c r="E3134" s="1" t="s">
        <v>11</v>
      </c>
    </row>
    <row r="3135" spans="1:5" ht="15.75" customHeight="1">
      <c r="A3135" s="1">
        <v>701310</v>
      </c>
      <c r="B3135" s="1" t="s">
        <v>3166</v>
      </c>
      <c r="C3135" s="1" t="s">
        <v>11</v>
      </c>
      <c r="D3135" s="1" t="s">
        <v>11</v>
      </c>
      <c r="E3135" s="1" t="s">
        <v>11</v>
      </c>
    </row>
    <row r="3136" spans="1:5" ht="15.75" customHeight="1">
      <c r="A3136" s="1">
        <v>701322</v>
      </c>
      <c r="B3136" s="1" t="s">
        <v>3167</v>
      </c>
      <c r="C3136" s="1" t="s">
        <v>11</v>
      </c>
      <c r="D3136" s="1" t="s">
        <v>11</v>
      </c>
      <c r="E3136" s="1" t="s">
        <v>11</v>
      </c>
    </row>
    <row r="3137" spans="1:5" ht="15.75" customHeight="1">
      <c r="A3137" s="1">
        <v>701328</v>
      </c>
      <c r="B3137" s="1" t="s">
        <v>3168</v>
      </c>
      <c r="C3137" s="1" t="s">
        <v>11</v>
      </c>
      <c r="D3137" s="1" t="s">
        <v>11</v>
      </c>
      <c r="E3137" s="1" t="s">
        <v>11</v>
      </c>
    </row>
    <row r="3138" spans="1:5" ht="15.75" customHeight="1">
      <c r="A3138" s="1">
        <v>701333</v>
      </c>
      <c r="B3138" s="1" t="s">
        <v>3169</v>
      </c>
      <c r="C3138" s="1" t="s">
        <v>11</v>
      </c>
      <c r="D3138" s="1" t="s">
        <v>11</v>
      </c>
      <c r="E3138" s="1" t="s">
        <v>11</v>
      </c>
    </row>
    <row r="3139" spans="1:5" ht="15.75" customHeight="1">
      <c r="A3139" s="1">
        <v>701337</v>
      </c>
      <c r="B3139" s="1" t="s">
        <v>3170</v>
      </c>
      <c r="C3139" s="1" t="s">
        <v>11</v>
      </c>
      <c r="D3139" s="1" t="s">
        <v>11</v>
      </c>
      <c r="E3139" s="1" t="s">
        <v>11</v>
      </c>
    </row>
    <row r="3140" spans="1:5" ht="15.75" customHeight="1">
      <c r="A3140" s="1">
        <v>701341</v>
      </c>
      <c r="B3140" s="1" t="s">
        <v>3171</v>
      </c>
      <c r="C3140" s="1" t="s">
        <v>11</v>
      </c>
      <c r="D3140" s="1" t="s">
        <v>11</v>
      </c>
      <c r="E3140" s="1" t="s">
        <v>11</v>
      </c>
    </row>
    <row r="3141" spans="1:5" ht="15.75" customHeight="1">
      <c r="A3141" s="1">
        <v>701342</v>
      </c>
      <c r="B3141" s="1" t="s">
        <v>3172</v>
      </c>
      <c r="C3141" s="1" t="s">
        <v>11</v>
      </c>
      <c r="D3141" s="1" t="s">
        <v>11</v>
      </c>
      <c r="E3141" s="1" t="s">
        <v>11</v>
      </c>
    </row>
    <row r="3142" spans="1:5" ht="15.75" customHeight="1">
      <c r="A3142" s="1">
        <v>701349</v>
      </c>
      <c r="B3142" s="1" t="s">
        <v>3173</v>
      </c>
      <c r="C3142" s="1" t="s">
        <v>11</v>
      </c>
      <c r="D3142" s="1" t="s">
        <v>11</v>
      </c>
      <c r="E3142" s="1" t="s">
        <v>11</v>
      </c>
    </row>
    <row r="3143" spans="1:5" ht="15.75" customHeight="1">
      <c r="A3143" s="1">
        <v>701391</v>
      </c>
      <c r="B3143" s="1" t="s">
        <v>3174</v>
      </c>
      <c r="C3143" s="1" t="s">
        <v>11</v>
      </c>
      <c r="D3143" s="1" t="s">
        <v>11</v>
      </c>
      <c r="E3143" s="1" t="s">
        <v>11</v>
      </c>
    </row>
    <row r="3144" spans="1:5" ht="15.75" customHeight="1">
      <c r="A3144" s="1">
        <v>701399</v>
      </c>
      <c r="B3144" s="1" t="s">
        <v>3175</v>
      </c>
      <c r="C3144" s="1" t="s">
        <v>11</v>
      </c>
      <c r="D3144" s="1" t="s">
        <v>11</v>
      </c>
      <c r="E3144" s="1" t="s">
        <v>11</v>
      </c>
    </row>
    <row r="3145" spans="1:5" ht="15.75" customHeight="1">
      <c r="A3145" s="1">
        <v>701400</v>
      </c>
      <c r="B3145" s="1" t="s">
        <v>3176</v>
      </c>
      <c r="C3145" s="1" t="s">
        <v>11</v>
      </c>
      <c r="D3145" s="1" t="s">
        <v>11</v>
      </c>
      <c r="E3145" s="1" t="s">
        <v>11</v>
      </c>
    </row>
    <row r="3146" spans="1:5" ht="15.75" customHeight="1">
      <c r="A3146" s="1">
        <v>701510</v>
      </c>
      <c r="B3146" s="1" t="s">
        <v>3177</v>
      </c>
      <c r="C3146" s="1" t="s">
        <v>11</v>
      </c>
      <c r="D3146" s="1" t="s">
        <v>11</v>
      </c>
      <c r="E3146" s="1" t="s">
        <v>11</v>
      </c>
    </row>
    <row r="3147" spans="1:5" ht="15.75" customHeight="1">
      <c r="A3147" s="1">
        <v>701590</v>
      </c>
      <c r="B3147" s="1" t="s">
        <v>3178</v>
      </c>
      <c r="C3147" s="1" t="s">
        <v>11</v>
      </c>
      <c r="D3147" s="1" t="s">
        <v>11</v>
      </c>
      <c r="E3147" s="1" t="s">
        <v>11</v>
      </c>
    </row>
    <row r="3148" spans="1:5" ht="15.75" customHeight="1">
      <c r="A3148" s="1">
        <v>701610</v>
      </c>
      <c r="B3148" s="1" t="s">
        <v>3179</v>
      </c>
      <c r="C3148" s="1" t="s">
        <v>11</v>
      </c>
      <c r="D3148" s="1" t="s">
        <v>11</v>
      </c>
      <c r="E3148" s="1" t="s">
        <v>11</v>
      </c>
    </row>
    <row r="3149" spans="1:5" ht="15.75" customHeight="1">
      <c r="A3149" s="1">
        <v>701690</v>
      </c>
      <c r="B3149" s="1" t="s">
        <v>3180</v>
      </c>
      <c r="C3149" s="1" t="s">
        <v>11</v>
      </c>
      <c r="D3149" s="1" t="s">
        <v>11</v>
      </c>
      <c r="E3149" s="1" t="s">
        <v>11</v>
      </c>
    </row>
    <row r="3150" spans="1:5" ht="15.75" customHeight="1">
      <c r="A3150" s="1">
        <v>701710</v>
      </c>
      <c r="B3150" s="1" t="s">
        <v>3181</v>
      </c>
      <c r="C3150" s="1" t="s">
        <v>11</v>
      </c>
      <c r="D3150" s="1" t="s">
        <v>11</v>
      </c>
      <c r="E3150" s="1" t="s">
        <v>11</v>
      </c>
    </row>
    <row r="3151" spans="1:5" ht="15.75" customHeight="1">
      <c r="A3151" s="1">
        <v>701720</v>
      </c>
      <c r="B3151" s="1" t="s">
        <v>3182</v>
      </c>
      <c r="C3151" s="1" t="s">
        <v>11</v>
      </c>
      <c r="D3151" s="1" t="s">
        <v>11</v>
      </c>
      <c r="E3151" s="1" t="s">
        <v>11</v>
      </c>
    </row>
    <row r="3152" spans="1:5" ht="15.75" customHeight="1">
      <c r="A3152" s="1">
        <v>701790</v>
      </c>
      <c r="B3152" s="1" t="s">
        <v>3183</v>
      </c>
      <c r="C3152" s="1" t="s">
        <v>11</v>
      </c>
      <c r="D3152" s="1" t="s">
        <v>11</v>
      </c>
      <c r="E3152" s="1" t="s">
        <v>11</v>
      </c>
    </row>
    <row r="3153" spans="1:5" ht="15.75" customHeight="1">
      <c r="A3153" s="1">
        <v>701810</v>
      </c>
      <c r="B3153" s="1" t="s">
        <v>3184</v>
      </c>
      <c r="C3153" s="1" t="s">
        <v>11</v>
      </c>
      <c r="D3153" s="1" t="s">
        <v>11</v>
      </c>
      <c r="E3153" s="1" t="s">
        <v>11</v>
      </c>
    </row>
    <row r="3154" spans="1:5" ht="15.75" customHeight="1">
      <c r="A3154" s="1">
        <v>701820</v>
      </c>
      <c r="B3154" s="1" t="s">
        <v>3185</v>
      </c>
      <c r="C3154" s="1" t="s">
        <v>11</v>
      </c>
      <c r="D3154" s="1" t="s">
        <v>11</v>
      </c>
      <c r="E3154" s="1" t="s">
        <v>11</v>
      </c>
    </row>
    <row r="3155" spans="1:5" ht="15.75" customHeight="1">
      <c r="A3155" s="1">
        <v>701890</v>
      </c>
      <c r="B3155" s="1" t="s">
        <v>3186</v>
      </c>
      <c r="C3155" s="1" t="s">
        <v>11</v>
      </c>
      <c r="D3155" s="1" t="s">
        <v>11</v>
      </c>
      <c r="E3155" s="1" t="s">
        <v>11</v>
      </c>
    </row>
    <row r="3156" spans="1:5" ht="15.75" customHeight="1">
      <c r="A3156" s="1">
        <v>701911</v>
      </c>
      <c r="B3156" s="1" t="s">
        <v>3187</v>
      </c>
      <c r="C3156" s="1" t="s">
        <v>11</v>
      </c>
      <c r="D3156" s="1" t="s">
        <v>11</v>
      </c>
      <c r="E3156" s="1" t="s">
        <v>11</v>
      </c>
    </row>
    <row r="3157" spans="1:5" ht="15.75" customHeight="1">
      <c r="A3157" s="1">
        <v>701912</v>
      </c>
      <c r="B3157" s="1" t="s">
        <v>3188</v>
      </c>
      <c r="C3157" s="1" t="s">
        <v>11</v>
      </c>
      <c r="D3157" s="1" t="s">
        <v>11</v>
      </c>
      <c r="E3157" s="1" t="s">
        <v>11</v>
      </c>
    </row>
    <row r="3158" spans="1:5" ht="15.75" customHeight="1">
      <c r="A3158" s="1">
        <v>701919</v>
      </c>
      <c r="B3158" s="1" t="s">
        <v>3189</v>
      </c>
      <c r="C3158" s="1" t="s">
        <v>11</v>
      </c>
      <c r="D3158" s="1" t="s">
        <v>11</v>
      </c>
      <c r="E3158" s="1" t="s">
        <v>11</v>
      </c>
    </row>
    <row r="3159" spans="1:5" ht="15.75" customHeight="1">
      <c r="A3159" s="1">
        <v>701931</v>
      </c>
      <c r="B3159" s="1" t="s">
        <v>3190</v>
      </c>
      <c r="C3159" s="1" t="s">
        <v>11</v>
      </c>
      <c r="D3159" s="1" t="s">
        <v>11</v>
      </c>
      <c r="E3159" s="1" t="s">
        <v>11</v>
      </c>
    </row>
    <row r="3160" spans="1:5" ht="15.75" customHeight="1">
      <c r="A3160" s="1">
        <v>701932</v>
      </c>
      <c r="B3160" s="1" t="s">
        <v>3191</v>
      </c>
      <c r="C3160" s="1" t="s">
        <v>11</v>
      </c>
      <c r="D3160" s="1" t="s">
        <v>11</v>
      </c>
      <c r="E3160" s="1" t="s">
        <v>11</v>
      </c>
    </row>
    <row r="3161" spans="1:5" ht="15.75" customHeight="1">
      <c r="A3161" s="1">
        <v>701939</v>
      </c>
      <c r="B3161" s="1" t="s">
        <v>3192</v>
      </c>
      <c r="C3161" s="1" t="s">
        <v>11</v>
      </c>
      <c r="D3161" s="1" t="s">
        <v>11</v>
      </c>
      <c r="E3161" s="1" t="s">
        <v>11</v>
      </c>
    </row>
    <row r="3162" spans="1:5" ht="15.75" customHeight="1">
      <c r="A3162" s="1">
        <v>701940</v>
      </c>
      <c r="B3162" s="1" t="s">
        <v>3193</v>
      </c>
      <c r="C3162" s="1" t="s">
        <v>11</v>
      </c>
      <c r="D3162" s="1" t="s">
        <v>11</v>
      </c>
      <c r="E3162" s="1" t="s">
        <v>11</v>
      </c>
    </row>
    <row r="3163" spans="1:5" ht="15.75" customHeight="1">
      <c r="A3163" s="1">
        <v>701951</v>
      </c>
      <c r="B3163" s="1" t="s">
        <v>3194</v>
      </c>
      <c r="C3163" s="1" t="s">
        <v>11</v>
      </c>
      <c r="D3163" s="1" t="s">
        <v>11</v>
      </c>
      <c r="E3163" s="1" t="s">
        <v>11</v>
      </c>
    </row>
    <row r="3164" spans="1:5" ht="15.75" customHeight="1">
      <c r="A3164" s="1">
        <v>701952</v>
      </c>
      <c r="B3164" s="1" t="s">
        <v>3195</v>
      </c>
      <c r="C3164" s="1" t="s">
        <v>11</v>
      </c>
      <c r="D3164" s="1" t="s">
        <v>11</v>
      </c>
      <c r="E3164" s="1" t="s">
        <v>11</v>
      </c>
    </row>
    <row r="3165" spans="1:5" ht="15.75" customHeight="1">
      <c r="A3165" s="1">
        <v>701959</v>
      </c>
      <c r="B3165" s="1" t="s">
        <v>3196</v>
      </c>
      <c r="C3165" s="1" t="s">
        <v>11</v>
      </c>
      <c r="D3165" s="1" t="s">
        <v>11</v>
      </c>
      <c r="E3165" s="1" t="s">
        <v>11</v>
      </c>
    </row>
    <row r="3166" spans="1:5" ht="15.75" customHeight="1">
      <c r="A3166" s="1">
        <v>701990</v>
      </c>
      <c r="B3166" s="1" t="s">
        <v>3197</v>
      </c>
      <c r="C3166" s="1" t="s">
        <v>11</v>
      </c>
      <c r="D3166" s="1" t="s">
        <v>11</v>
      </c>
      <c r="E3166" s="1" t="s">
        <v>11</v>
      </c>
    </row>
    <row r="3167" spans="1:5" ht="15.75" customHeight="1">
      <c r="A3167" s="1">
        <v>702000</v>
      </c>
      <c r="B3167" s="1" t="s">
        <v>3198</v>
      </c>
      <c r="C3167" s="1" t="s">
        <v>11</v>
      </c>
      <c r="D3167" s="1" t="s">
        <v>11</v>
      </c>
      <c r="E3167" s="1" t="s">
        <v>11</v>
      </c>
    </row>
    <row r="3168" spans="1:5" ht="15.75" customHeight="1">
      <c r="A3168" s="1">
        <v>710110</v>
      </c>
      <c r="B3168" s="1" t="s">
        <v>3199</v>
      </c>
      <c r="C3168" s="1" t="s">
        <v>11</v>
      </c>
      <c r="D3168" s="1" t="s">
        <v>11</v>
      </c>
      <c r="E3168" s="1" t="s">
        <v>11</v>
      </c>
    </row>
    <row r="3169" spans="1:5" ht="15.75" customHeight="1">
      <c r="A3169" s="1">
        <v>710121</v>
      </c>
      <c r="B3169" s="1" t="s">
        <v>3200</v>
      </c>
      <c r="C3169" s="1" t="s">
        <v>11</v>
      </c>
      <c r="D3169" s="1" t="s">
        <v>11</v>
      </c>
      <c r="E3169" s="1" t="s">
        <v>11</v>
      </c>
    </row>
    <row r="3170" spans="1:5" ht="15.75" customHeight="1">
      <c r="A3170" s="1">
        <v>710122</v>
      </c>
      <c r="B3170" s="1" t="s">
        <v>3201</v>
      </c>
      <c r="C3170" s="1" t="s">
        <v>11</v>
      </c>
      <c r="D3170" s="1" t="s">
        <v>11</v>
      </c>
      <c r="E3170" s="1" t="s">
        <v>11</v>
      </c>
    </row>
    <row r="3171" spans="1:5" ht="15.75" customHeight="1">
      <c r="A3171" s="1">
        <v>710210</v>
      </c>
      <c r="B3171" s="1" t="s">
        <v>3202</v>
      </c>
      <c r="C3171" s="1" t="s">
        <v>11</v>
      </c>
      <c r="D3171" s="1" t="s">
        <v>11</v>
      </c>
      <c r="E3171" s="1" t="s">
        <v>11</v>
      </c>
    </row>
    <row r="3172" spans="1:5" ht="15.75" customHeight="1">
      <c r="A3172" s="1">
        <v>710221</v>
      </c>
      <c r="B3172" s="1" t="s">
        <v>3203</v>
      </c>
      <c r="C3172" s="1" t="s">
        <v>11</v>
      </c>
      <c r="D3172" s="1" t="s">
        <v>11</v>
      </c>
      <c r="E3172" s="1" t="s">
        <v>11</v>
      </c>
    </row>
    <row r="3173" spans="1:5" ht="15.75" customHeight="1">
      <c r="A3173" s="1">
        <v>710229</v>
      </c>
      <c r="B3173" s="1" t="s">
        <v>3204</v>
      </c>
      <c r="C3173" s="1" t="s">
        <v>11</v>
      </c>
      <c r="D3173" s="1" t="s">
        <v>11</v>
      </c>
      <c r="E3173" s="1" t="s">
        <v>11</v>
      </c>
    </row>
    <row r="3174" spans="1:5" ht="15.75" customHeight="1">
      <c r="A3174" s="1">
        <v>710231</v>
      </c>
      <c r="B3174" s="1" t="s">
        <v>3205</v>
      </c>
      <c r="C3174" s="1" t="s">
        <v>11</v>
      </c>
      <c r="D3174" s="1" t="s">
        <v>11</v>
      </c>
      <c r="E3174" s="1" t="s">
        <v>11</v>
      </c>
    </row>
    <row r="3175" spans="1:5" ht="15.75" customHeight="1">
      <c r="A3175" s="1">
        <v>710239</v>
      </c>
      <c r="B3175" s="1" t="s">
        <v>3206</v>
      </c>
      <c r="C3175" s="1" t="s">
        <v>11</v>
      </c>
      <c r="D3175" s="1" t="s">
        <v>11</v>
      </c>
      <c r="E3175" s="1" t="s">
        <v>11</v>
      </c>
    </row>
    <row r="3176" spans="1:5" ht="15.75" customHeight="1">
      <c r="A3176" s="1">
        <v>710310</v>
      </c>
      <c r="B3176" s="1" t="s">
        <v>3207</v>
      </c>
      <c r="C3176" s="1" t="s">
        <v>11</v>
      </c>
      <c r="D3176" s="1" t="s">
        <v>11</v>
      </c>
      <c r="E3176" s="1" t="s">
        <v>11</v>
      </c>
    </row>
    <row r="3177" spans="1:5" ht="15.75" customHeight="1">
      <c r="A3177" s="1">
        <v>710391</v>
      </c>
      <c r="B3177" s="1" t="s">
        <v>3208</v>
      </c>
      <c r="C3177" s="1" t="s">
        <v>11</v>
      </c>
      <c r="D3177" s="1" t="s">
        <v>11</v>
      </c>
      <c r="E3177" s="1" t="s">
        <v>11</v>
      </c>
    </row>
    <row r="3178" spans="1:5" ht="15.75" customHeight="1">
      <c r="A3178" s="1">
        <v>710399</v>
      </c>
      <c r="B3178" s="1" t="s">
        <v>3209</v>
      </c>
      <c r="C3178" s="1" t="s">
        <v>11</v>
      </c>
      <c r="D3178" s="1" t="s">
        <v>11</v>
      </c>
      <c r="E3178" s="1" t="s">
        <v>11</v>
      </c>
    </row>
    <row r="3179" spans="1:5" ht="15.75" customHeight="1">
      <c r="A3179" s="1">
        <v>710410</v>
      </c>
      <c r="B3179" s="1" t="s">
        <v>3210</v>
      </c>
      <c r="C3179" s="1" t="s">
        <v>11</v>
      </c>
      <c r="D3179" s="1" t="s">
        <v>11</v>
      </c>
      <c r="E3179" s="1" t="s">
        <v>11</v>
      </c>
    </row>
    <row r="3180" spans="1:5" ht="15.75" customHeight="1">
      <c r="A3180" s="1">
        <v>710420</v>
      </c>
      <c r="B3180" s="1" t="s">
        <v>3211</v>
      </c>
      <c r="C3180" s="1" t="s">
        <v>11</v>
      </c>
      <c r="D3180" s="1" t="s">
        <v>11</v>
      </c>
      <c r="E3180" s="1" t="s">
        <v>11</v>
      </c>
    </row>
    <row r="3181" spans="1:5" ht="15.75" customHeight="1">
      <c r="A3181" s="1">
        <v>710490</v>
      </c>
      <c r="B3181" s="1" t="s">
        <v>3212</v>
      </c>
      <c r="C3181" s="1" t="s">
        <v>11</v>
      </c>
      <c r="D3181" s="1" t="s">
        <v>11</v>
      </c>
      <c r="E3181" s="1" t="s">
        <v>11</v>
      </c>
    </row>
    <row r="3182" spans="1:5" ht="15.75" customHeight="1">
      <c r="A3182" s="1">
        <v>710510</v>
      </c>
      <c r="B3182" s="1" t="s">
        <v>3213</v>
      </c>
      <c r="C3182" s="1" t="s">
        <v>11</v>
      </c>
      <c r="D3182" s="1" t="s">
        <v>11</v>
      </c>
      <c r="E3182" s="1" t="s">
        <v>11</v>
      </c>
    </row>
    <row r="3183" spans="1:5" ht="15.75" customHeight="1">
      <c r="A3183" s="1">
        <v>710590</v>
      </c>
      <c r="B3183" s="1" t="s">
        <v>3214</v>
      </c>
      <c r="C3183" s="1" t="s">
        <v>11</v>
      </c>
      <c r="D3183" s="1" t="s">
        <v>11</v>
      </c>
      <c r="E3183" s="1" t="s">
        <v>11</v>
      </c>
    </row>
    <row r="3184" spans="1:5" ht="15.75" customHeight="1">
      <c r="A3184" s="1">
        <v>710610</v>
      </c>
      <c r="B3184" s="1" t="s">
        <v>3215</v>
      </c>
      <c r="C3184" s="1" t="s">
        <v>11</v>
      </c>
      <c r="D3184" s="1" t="s">
        <v>11</v>
      </c>
      <c r="E3184" s="1" t="s">
        <v>11</v>
      </c>
    </row>
    <row r="3185" spans="1:5" ht="15.75" customHeight="1">
      <c r="A3185" s="1">
        <v>710691</v>
      </c>
      <c r="B3185" s="1" t="s">
        <v>3216</v>
      </c>
      <c r="C3185" s="1" t="s">
        <v>11</v>
      </c>
      <c r="D3185" s="1" t="s">
        <v>11</v>
      </c>
      <c r="E3185" s="1" t="s">
        <v>11</v>
      </c>
    </row>
    <row r="3186" spans="1:5" ht="15.75" customHeight="1">
      <c r="A3186" s="1">
        <v>710692</v>
      </c>
      <c r="B3186" s="1" t="s">
        <v>3217</v>
      </c>
      <c r="C3186" s="1" t="s">
        <v>11</v>
      </c>
      <c r="D3186" s="1" t="s">
        <v>11</v>
      </c>
      <c r="E3186" s="1" t="s">
        <v>11</v>
      </c>
    </row>
    <row r="3187" spans="1:5" ht="15.75" customHeight="1">
      <c r="A3187" s="1">
        <v>710700</v>
      </c>
      <c r="B3187" s="1" t="s">
        <v>3218</v>
      </c>
      <c r="C3187" s="1" t="s">
        <v>11</v>
      </c>
      <c r="D3187" s="1" t="s">
        <v>11</v>
      </c>
      <c r="E3187" s="1" t="s">
        <v>11</v>
      </c>
    </row>
    <row r="3188" spans="1:5" ht="15.75" customHeight="1">
      <c r="A3188" s="1">
        <v>710811</v>
      </c>
      <c r="B3188" s="1" t="s">
        <v>3219</v>
      </c>
      <c r="C3188" s="1" t="s">
        <v>11</v>
      </c>
      <c r="D3188" s="1" t="s">
        <v>11</v>
      </c>
      <c r="E3188" s="1" t="s">
        <v>11</v>
      </c>
    </row>
    <row r="3189" spans="1:5" ht="15.75" customHeight="1">
      <c r="A3189" s="1">
        <v>710812</v>
      </c>
      <c r="B3189" s="1" t="s">
        <v>3220</v>
      </c>
      <c r="C3189" s="1" t="s">
        <v>11</v>
      </c>
      <c r="D3189" s="1" t="s">
        <v>11</v>
      </c>
      <c r="E3189" s="1" t="s">
        <v>11</v>
      </c>
    </row>
    <row r="3190" spans="1:5" ht="15.75" customHeight="1">
      <c r="A3190" s="1">
        <v>710813</v>
      </c>
      <c r="B3190" s="1" t="s">
        <v>3221</v>
      </c>
      <c r="C3190" s="1" t="s">
        <v>11</v>
      </c>
      <c r="D3190" s="1" t="s">
        <v>11</v>
      </c>
      <c r="E3190" s="1" t="s">
        <v>11</v>
      </c>
    </row>
    <row r="3191" spans="1:5" ht="15.75" customHeight="1">
      <c r="A3191" s="1">
        <v>710820</v>
      </c>
      <c r="B3191" s="1" t="s">
        <v>3222</v>
      </c>
      <c r="C3191" s="1" t="s">
        <v>11</v>
      </c>
      <c r="D3191" s="1" t="s">
        <v>11</v>
      </c>
      <c r="E3191" s="1" t="s">
        <v>11</v>
      </c>
    </row>
    <row r="3192" spans="1:5" ht="15.75" customHeight="1">
      <c r="A3192" s="1">
        <v>710900</v>
      </c>
      <c r="B3192" s="1" t="s">
        <v>3223</v>
      </c>
      <c r="C3192" s="1" t="s">
        <v>11</v>
      </c>
      <c r="D3192" s="1" t="s">
        <v>11</v>
      </c>
      <c r="E3192" s="1" t="s">
        <v>11</v>
      </c>
    </row>
    <row r="3193" spans="1:5" ht="15.75" customHeight="1">
      <c r="A3193" s="1">
        <v>711011</v>
      </c>
      <c r="B3193" s="1" t="s">
        <v>3224</v>
      </c>
      <c r="C3193" s="1" t="s">
        <v>11</v>
      </c>
      <c r="D3193" s="1" t="s">
        <v>11</v>
      </c>
      <c r="E3193" s="1" t="s">
        <v>11</v>
      </c>
    </row>
    <row r="3194" spans="1:5" ht="15.75" customHeight="1">
      <c r="A3194" s="1">
        <v>711019</v>
      </c>
      <c r="B3194" s="1" t="s">
        <v>3225</v>
      </c>
      <c r="C3194" s="1" t="s">
        <v>11</v>
      </c>
      <c r="D3194" s="1" t="s">
        <v>11</v>
      </c>
      <c r="E3194" s="1" t="s">
        <v>11</v>
      </c>
    </row>
    <row r="3195" spans="1:5" ht="15.75" customHeight="1">
      <c r="A3195" s="1">
        <v>711021</v>
      </c>
      <c r="B3195" s="1" t="s">
        <v>3226</v>
      </c>
      <c r="C3195" s="1" t="s">
        <v>11</v>
      </c>
      <c r="D3195" s="1" t="s">
        <v>11</v>
      </c>
      <c r="E3195" s="1" t="s">
        <v>11</v>
      </c>
    </row>
    <row r="3196" spans="1:5" ht="15.75" customHeight="1">
      <c r="A3196" s="1">
        <v>711029</v>
      </c>
      <c r="B3196" s="1" t="s">
        <v>3227</v>
      </c>
      <c r="C3196" s="1" t="s">
        <v>11</v>
      </c>
      <c r="D3196" s="1" t="s">
        <v>11</v>
      </c>
      <c r="E3196" s="1" t="s">
        <v>11</v>
      </c>
    </row>
    <row r="3197" spans="1:5" ht="15.75" customHeight="1">
      <c r="A3197" s="1">
        <v>711031</v>
      </c>
      <c r="B3197" s="1" t="s">
        <v>3228</v>
      </c>
      <c r="C3197" s="1" t="s">
        <v>11</v>
      </c>
      <c r="D3197" s="1" t="s">
        <v>11</v>
      </c>
      <c r="E3197" s="1" t="s">
        <v>11</v>
      </c>
    </row>
    <row r="3198" spans="1:5" ht="15.75" customHeight="1">
      <c r="A3198" s="1">
        <v>711039</v>
      </c>
      <c r="B3198" s="1" t="s">
        <v>3229</v>
      </c>
      <c r="C3198" s="1" t="s">
        <v>11</v>
      </c>
      <c r="D3198" s="1" t="s">
        <v>11</v>
      </c>
      <c r="E3198" s="1" t="s">
        <v>11</v>
      </c>
    </row>
    <row r="3199" spans="1:5" ht="15.75" customHeight="1">
      <c r="A3199" s="1">
        <v>711041</v>
      </c>
      <c r="B3199" s="1" t="s">
        <v>3230</v>
      </c>
      <c r="C3199" s="1" t="s">
        <v>11</v>
      </c>
      <c r="D3199" s="1" t="s">
        <v>11</v>
      </c>
      <c r="E3199" s="1" t="s">
        <v>11</v>
      </c>
    </row>
    <row r="3200" spans="1:5" ht="15.75" customHeight="1">
      <c r="A3200" s="1">
        <v>711049</v>
      </c>
      <c r="B3200" s="1" t="s">
        <v>3231</v>
      </c>
      <c r="C3200" s="1" t="s">
        <v>11</v>
      </c>
      <c r="D3200" s="1" t="s">
        <v>11</v>
      </c>
      <c r="E3200" s="1" t="s">
        <v>11</v>
      </c>
    </row>
    <row r="3201" spans="1:5" ht="15.75" customHeight="1">
      <c r="A3201" s="1">
        <v>711100</v>
      </c>
      <c r="B3201" s="1" t="s">
        <v>3232</v>
      </c>
      <c r="C3201" s="1" t="s">
        <v>11</v>
      </c>
      <c r="D3201" s="1" t="s">
        <v>11</v>
      </c>
      <c r="E3201" s="1" t="s">
        <v>11</v>
      </c>
    </row>
    <row r="3202" spans="1:5" ht="15.75" customHeight="1">
      <c r="A3202" s="1">
        <v>711230</v>
      </c>
      <c r="B3202" s="1" t="s">
        <v>3233</v>
      </c>
      <c r="C3202" s="1" t="s">
        <v>11</v>
      </c>
      <c r="D3202" s="1" t="s">
        <v>11</v>
      </c>
      <c r="E3202" s="1" t="s">
        <v>11</v>
      </c>
    </row>
    <row r="3203" spans="1:5" ht="15.75" customHeight="1">
      <c r="A3203" s="1">
        <v>711291</v>
      </c>
      <c r="B3203" s="1" t="s">
        <v>3234</v>
      </c>
      <c r="C3203" s="1" t="s">
        <v>11</v>
      </c>
      <c r="D3203" s="1" t="s">
        <v>11</v>
      </c>
      <c r="E3203" s="1" t="s">
        <v>11</v>
      </c>
    </row>
    <row r="3204" spans="1:5" ht="15.75" customHeight="1">
      <c r="A3204" s="1">
        <v>711292</v>
      </c>
      <c r="B3204" s="1" t="s">
        <v>3235</v>
      </c>
      <c r="C3204" s="1" t="s">
        <v>11</v>
      </c>
      <c r="D3204" s="1" t="s">
        <v>11</v>
      </c>
      <c r="E3204" s="1" t="s">
        <v>11</v>
      </c>
    </row>
    <row r="3205" spans="1:5" ht="15.75" customHeight="1">
      <c r="A3205" s="1">
        <v>711299</v>
      </c>
      <c r="B3205" s="1" t="s">
        <v>3236</v>
      </c>
      <c r="C3205" s="1" t="s">
        <v>11</v>
      </c>
      <c r="D3205" s="1" t="s">
        <v>11</v>
      </c>
      <c r="E3205" s="1" t="s">
        <v>11</v>
      </c>
    </row>
    <row r="3206" spans="1:5" ht="15.75" customHeight="1">
      <c r="A3206" s="1">
        <v>711311</v>
      </c>
      <c r="B3206" s="1" t="s">
        <v>3237</v>
      </c>
      <c r="C3206" s="1" t="s">
        <v>11</v>
      </c>
      <c r="D3206" s="1" t="s">
        <v>11</v>
      </c>
      <c r="E3206" s="1" t="s">
        <v>11</v>
      </c>
    </row>
    <row r="3207" spans="1:5" ht="15.75" customHeight="1">
      <c r="A3207" s="1">
        <v>711319</v>
      </c>
      <c r="B3207" s="1" t="s">
        <v>3238</v>
      </c>
      <c r="C3207" s="1" t="s">
        <v>11</v>
      </c>
      <c r="D3207" s="1" t="s">
        <v>11</v>
      </c>
      <c r="E3207" s="1" t="s">
        <v>11</v>
      </c>
    </row>
    <row r="3208" spans="1:5" ht="15.75" customHeight="1">
      <c r="A3208" s="1">
        <v>711320</v>
      </c>
      <c r="B3208" s="1" t="s">
        <v>3239</v>
      </c>
      <c r="C3208" s="1" t="s">
        <v>11</v>
      </c>
      <c r="D3208" s="1" t="s">
        <v>11</v>
      </c>
      <c r="E3208" s="1" t="s">
        <v>11</v>
      </c>
    </row>
    <row r="3209" spans="1:5" ht="15.75" customHeight="1">
      <c r="A3209" s="1">
        <v>711411</v>
      </c>
      <c r="B3209" s="1" t="s">
        <v>3240</v>
      </c>
      <c r="C3209" s="1" t="s">
        <v>11</v>
      </c>
      <c r="D3209" s="1" t="s">
        <v>11</v>
      </c>
      <c r="E3209" s="1" t="s">
        <v>11</v>
      </c>
    </row>
    <row r="3210" spans="1:5" ht="15.75" customHeight="1">
      <c r="A3210" s="1">
        <v>711419</v>
      </c>
      <c r="B3210" s="1" t="s">
        <v>3241</v>
      </c>
      <c r="C3210" s="1" t="s">
        <v>11</v>
      </c>
      <c r="D3210" s="1" t="s">
        <v>11</v>
      </c>
      <c r="E3210" s="1" t="s">
        <v>11</v>
      </c>
    </row>
    <row r="3211" spans="1:5" ht="15.75" customHeight="1">
      <c r="A3211" s="1">
        <v>711420</v>
      </c>
      <c r="B3211" s="1" t="s">
        <v>3242</v>
      </c>
      <c r="C3211" s="1" t="s">
        <v>11</v>
      </c>
      <c r="D3211" s="1" t="s">
        <v>11</v>
      </c>
      <c r="E3211" s="1" t="s">
        <v>11</v>
      </c>
    </row>
    <row r="3212" spans="1:5" ht="15.75" customHeight="1">
      <c r="A3212" s="1">
        <v>711510</v>
      </c>
      <c r="B3212" s="1" t="s">
        <v>3243</v>
      </c>
      <c r="C3212" s="1" t="s">
        <v>11</v>
      </c>
      <c r="D3212" s="1" t="s">
        <v>11</v>
      </c>
      <c r="E3212" s="1" t="s">
        <v>11</v>
      </c>
    </row>
    <row r="3213" spans="1:5" ht="15.75" customHeight="1">
      <c r="A3213" s="1">
        <v>711590</v>
      </c>
      <c r="B3213" s="1" t="s">
        <v>3244</v>
      </c>
      <c r="C3213" s="1" t="s">
        <v>11</v>
      </c>
      <c r="D3213" s="1" t="s">
        <v>11</v>
      </c>
      <c r="E3213" s="1" t="s">
        <v>11</v>
      </c>
    </row>
    <row r="3214" spans="1:5" ht="15.75" customHeight="1">
      <c r="A3214" s="1">
        <v>711610</v>
      </c>
      <c r="B3214" s="1" t="s">
        <v>3245</v>
      </c>
      <c r="C3214" s="1" t="s">
        <v>11</v>
      </c>
      <c r="D3214" s="1" t="s">
        <v>11</v>
      </c>
      <c r="E3214" s="1" t="s">
        <v>11</v>
      </c>
    </row>
    <row r="3215" spans="1:5" ht="15.75" customHeight="1">
      <c r="A3215" s="1">
        <v>711620</v>
      </c>
      <c r="B3215" s="1" t="s">
        <v>3246</v>
      </c>
      <c r="C3215" s="1" t="s">
        <v>11</v>
      </c>
      <c r="D3215" s="1" t="s">
        <v>11</v>
      </c>
      <c r="E3215" s="1" t="s">
        <v>11</v>
      </c>
    </row>
    <row r="3216" spans="1:5" ht="15.75" customHeight="1">
      <c r="A3216" s="1">
        <v>711711</v>
      </c>
      <c r="B3216" s="1" t="s">
        <v>3247</v>
      </c>
      <c r="C3216" s="1" t="s">
        <v>11</v>
      </c>
      <c r="D3216" s="1" t="s">
        <v>11</v>
      </c>
      <c r="E3216" s="1" t="s">
        <v>11</v>
      </c>
    </row>
    <row r="3217" spans="1:5" ht="15.75" customHeight="1">
      <c r="A3217" s="1">
        <v>711719</v>
      </c>
      <c r="B3217" s="1" t="s">
        <v>3248</v>
      </c>
      <c r="C3217" s="1" t="s">
        <v>11</v>
      </c>
      <c r="D3217" s="1" t="s">
        <v>11</v>
      </c>
      <c r="E3217" s="1" t="s">
        <v>11</v>
      </c>
    </row>
    <row r="3218" spans="1:5" ht="15.75" customHeight="1">
      <c r="A3218" s="1">
        <v>711790</v>
      </c>
      <c r="B3218" s="1" t="s">
        <v>3249</v>
      </c>
      <c r="C3218" s="1" t="s">
        <v>11</v>
      </c>
      <c r="D3218" s="1" t="s">
        <v>11</v>
      </c>
      <c r="E3218" s="1" t="s">
        <v>11</v>
      </c>
    </row>
    <row r="3219" spans="1:5" ht="15.75" customHeight="1">
      <c r="A3219" s="1">
        <v>711810</v>
      </c>
      <c r="B3219" s="1" t="s">
        <v>3250</v>
      </c>
      <c r="C3219" s="1" t="s">
        <v>11</v>
      </c>
      <c r="D3219" s="1" t="s">
        <v>11</v>
      </c>
      <c r="E3219" s="1" t="s">
        <v>11</v>
      </c>
    </row>
    <row r="3220" spans="1:5" ht="15.75" customHeight="1">
      <c r="A3220" s="1">
        <v>711890</v>
      </c>
      <c r="B3220" s="1" t="s">
        <v>3251</v>
      </c>
      <c r="C3220" s="1" t="s">
        <v>11</v>
      </c>
      <c r="D3220" s="1" t="s">
        <v>11</v>
      </c>
      <c r="E3220" s="1" t="s">
        <v>11</v>
      </c>
    </row>
    <row r="3221" spans="1:5" ht="15.75" customHeight="1">
      <c r="A3221" s="1">
        <v>720110</v>
      </c>
      <c r="B3221" s="1" t="s">
        <v>3252</v>
      </c>
      <c r="C3221" s="1" t="s">
        <v>11</v>
      </c>
      <c r="D3221" s="1" t="s">
        <v>11</v>
      </c>
      <c r="E3221" s="1" t="s">
        <v>11</v>
      </c>
    </row>
    <row r="3222" spans="1:5" ht="15.75" customHeight="1">
      <c r="A3222" s="1">
        <v>720120</v>
      </c>
      <c r="B3222" s="1" t="s">
        <v>3253</v>
      </c>
      <c r="C3222" s="1" t="s">
        <v>11</v>
      </c>
      <c r="D3222" s="1" t="s">
        <v>11</v>
      </c>
      <c r="E3222" s="1" t="s">
        <v>11</v>
      </c>
    </row>
    <row r="3223" spans="1:5" ht="15.75" customHeight="1">
      <c r="A3223" s="1">
        <v>720150</v>
      </c>
      <c r="B3223" s="1" t="s">
        <v>3254</v>
      </c>
      <c r="C3223" s="1" t="s">
        <v>11</v>
      </c>
      <c r="D3223" s="1" t="s">
        <v>11</v>
      </c>
      <c r="E3223" s="1" t="s">
        <v>11</v>
      </c>
    </row>
    <row r="3224" spans="1:5" ht="15.75" customHeight="1">
      <c r="A3224" s="1">
        <v>720211</v>
      </c>
      <c r="B3224" s="1" t="s">
        <v>3255</v>
      </c>
      <c r="C3224" s="1" t="s">
        <v>11</v>
      </c>
      <c r="D3224" s="1" t="s">
        <v>11</v>
      </c>
      <c r="E3224" s="1" t="s">
        <v>11</v>
      </c>
    </row>
    <row r="3225" spans="1:5" ht="15.75" customHeight="1">
      <c r="A3225" s="1">
        <v>720219</v>
      </c>
      <c r="B3225" s="1" t="s">
        <v>3256</v>
      </c>
      <c r="C3225" s="1" t="s">
        <v>11</v>
      </c>
      <c r="D3225" s="1" t="s">
        <v>11</v>
      </c>
      <c r="E3225" s="1" t="s">
        <v>11</v>
      </c>
    </row>
    <row r="3226" spans="1:5" ht="15.75" customHeight="1">
      <c r="A3226" s="1">
        <v>720221</v>
      </c>
      <c r="B3226" s="1" t="s">
        <v>3257</v>
      </c>
      <c r="C3226" s="1" t="s">
        <v>11</v>
      </c>
      <c r="D3226" s="1" t="s">
        <v>11</v>
      </c>
      <c r="E3226" s="1" t="s">
        <v>11</v>
      </c>
    </row>
    <row r="3227" spans="1:5" ht="15.75" customHeight="1">
      <c r="A3227" s="1">
        <v>720229</v>
      </c>
      <c r="B3227" s="1" t="s">
        <v>3258</v>
      </c>
      <c r="C3227" s="1" t="s">
        <v>11</v>
      </c>
      <c r="D3227" s="1" t="s">
        <v>11</v>
      </c>
      <c r="E3227" s="1" t="s">
        <v>11</v>
      </c>
    </row>
    <row r="3228" spans="1:5" ht="15.75" customHeight="1">
      <c r="A3228" s="1">
        <v>720230</v>
      </c>
      <c r="B3228" s="1" t="s">
        <v>3259</v>
      </c>
      <c r="C3228" s="1" t="s">
        <v>11</v>
      </c>
      <c r="D3228" s="1" t="s">
        <v>11</v>
      </c>
      <c r="E3228" s="1" t="s">
        <v>11</v>
      </c>
    </row>
    <row r="3229" spans="1:5" ht="15.75" customHeight="1">
      <c r="A3229" s="1">
        <v>720241</v>
      </c>
      <c r="B3229" s="1" t="s">
        <v>3260</v>
      </c>
      <c r="C3229" s="1" t="s">
        <v>11</v>
      </c>
      <c r="D3229" s="1" t="s">
        <v>11</v>
      </c>
      <c r="E3229" s="1" t="s">
        <v>11</v>
      </c>
    </row>
    <row r="3230" spans="1:5" ht="15.75" customHeight="1">
      <c r="A3230" s="1">
        <v>720249</v>
      </c>
      <c r="B3230" s="1" t="s">
        <v>3261</v>
      </c>
      <c r="C3230" s="1" t="s">
        <v>11</v>
      </c>
      <c r="D3230" s="1" t="s">
        <v>11</v>
      </c>
      <c r="E3230" s="1" t="s">
        <v>11</v>
      </c>
    </row>
    <row r="3231" spans="1:5" ht="15.75" customHeight="1">
      <c r="A3231" s="1">
        <v>720250</v>
      </c>
      <c r="B3231" s="1" t="s">
        <v>3262</v>
      </c>
      <c r="C3231" s="1" t="s">
        <v>11</v>
      </c>
      <c r="D3231" s="1" t="s">
        <v>11</v>
      </c>
      <c r="E3231" s="1" t="s">
        <v>11</v>
      </c>
    </row>
    <row r="3232" spans="1:5" ht="15.75" customHeight="1">
      <c r="A3232" s="1">
        <v>720260</v>
      </c>
      <c r="B3232" s="1" t="s">
        <v>3263</v>
      </c>
      <c r="C3232" s="1" t="s">
        <v>11</v>
      </c>
      <c r="D3232" s="1" t="s">
        <v>11</v>
      </c>
      <c r="E3232" s="1" t="s">
        <v>11</v>
      </c>
    </row>
    <row r="3233" spans="1:5" ht="15.75" customHeight="1">
      <c r="A3233" s="1">
        <v>720270</v>
      </c>
      <c r="B3233" s="1" t="s">
        <v>3264</v>
      </c>
      <c r="C3233" s="1" t="s">
        <v>11</v>
      </c>
      <c r="D3233" s="1" t="s">
        <v>11</v>
      </c>
      <c r="E3233" s="1" t="s">
        <v>11</v>
      </c>
    </row>
    <row r="3234" spans="1:5" ht="15.75" customHeight="1">
      <c r="A3234" s="1">
        <v>720280</v>
      </c>
      <c r="B3234" s="1" t="s">
        <v>3265</v>
      </c>
      <c r="C3234" s="1" t="s">
        <v>11</v>
      </c>
      <c r="D3234" s="1" t="s">
        <v>11</v>
      </c>
      <c r="E3234" s="1" t="s">
        <v>11</v>
      </c>
    </row>
    <row r="3235" spans="1:5" ht="15.75" customHeight="1">
      <c r="A3235" s="1">
        <v>720291</v>
      </c>
      <c r="B3235" s="1" t="s">
        <v>3266</v>
      </c>
      <c r="C3235" s="1" t="s">
        <v>11</v>
      </c>
      <c r="D3235" s="1" t="s">
        <v>11</v>
      </c>
      <c r="E3235" s="1" t="s">
        <v>11</v>
      </c>
    </row>
    <row r="3236" spans="1:5" ht="15.75" customHeight="1">
      <c r="A3236" s="1">
        <v>720292</v>
      </c>
      <c r="B3236" s="1" t="s">
        <v>3267</v>
      </c>
      <c r="C3236" s="1" t="s">
        <v>11</v>
      </c>
      <c r="D3236" s="1" t="s">
        <v>11</v>
      </c>
      <c r="E3236" s="1" t="s">
        <v>11</v>
      </c>
    </row>
    <row r="3237" spans="1:5" ht="15.75" customHeight="1">
      <c r="A3237" s="1">
        <v>720293</v>
      </c>
      <c r="B3237" s="1" t="s">
        <v>3268</v>
      </c>
      <c r="C3237" s="1" t="s">
        <v>11</v>
      </c>
      <c r="D3237" s="1" t="s">
        <v>11</v>
      </c>
      <c r="E3237" s="1" t="s">
        <v>11</v>
      </c>
    </row>
    <row r="3238" spans="1:5" ht="15.75" customHeight="1">
      <c r="A3238" s="1">
        <v>720299</v>
      </c>
      <c r="B3238" s="1" t="s">
        <v>3269</v>
      </c>
      <c r="C3238" s="1" t="s">
        <v>11</v>
      </c>
      <c r="D3238" s="1" t="s">
        <v>11</v>
      </c>
      <c r="E3238" s="1" t="s">
        <v>11</v>
      </c>
    </row>
    <row r="3239" spans="1:5" ht="15.75" customHeight="1">
      <c r="A3239" s="1">
        <v>720310</v>
      </c>
      <c r="B3239" s="1" t="s">
        <v>3270</v>
      </c>
      <c r="C3239" s="1" t="s">
        <v>11</v>
      </c>
      <c r="D3239" s="1" t="s">
        <v>11</v>
      </c>
      <c r="E3239" s="1" t="s">
        <v>11</v>
      </c>
    </row>
    <row r="3240" spans="1:5" ht="15.75" customHeight="1">
      <c r="A3240" s="1">
        <v>720390</v>
      </c>
      <c r="B3240" s="1" t="s">
        <v>3271</v>
      </c>
      <c r="C3240" s="1" t="s">
        <v>11</v>
      </c>
      <c r="D3240" s="1" t="s">
        <v>11</v>
      </c>
      <c r="E3240" s="1" t="s">
        <v>11</v>
      </c>
    </row>
    <row r="3241" spans="1:5" ht="15.75" customHeight="1">
      <c r="A3241" s="1">
        <v>720410</v>
      </c>
      <c r="B3241" s="1" t="s">
        <v>3272</v>
      </c>
      <c r="C3241" s="1" t="s">
        <v>11</v>
      </c>
      <c r="D3241" s="1" t="s">
        <v>11</v>
      </c>
      <c r="E3241" s="1" t="s">
        <v>11</v>
      </c>
    </row>
    <row r="3242" spans="1:5" ht="15.75" customHeight="1">
      <c r="A3242" s="1">
        <v>720421</v>
      </c>
      <c r="B3242" s="1" t="s">
        <v>3273</v>
      </c>
      <c r="C3242" s="1" t="s">
        <v>11</v>
      </c>
      <c r="D3242" s="1" t="s">
        <v>11</v>
      </c>
      <c r="E3242" s="1" t="s">
        <v>11</v>
      </c>
    </row>
    <row r="3243" spans="1:5" ht="15.75" customHeight="1">
      <c r="A3243" s="1">
        <v>720429</v>
      </c>
      <c r="B3243" s="1" t="s">
        <v>3274</v>
      </c>
      <c r="C3243" s="1" t="s">
        <v>11</v>
      </c>
      <c r="D3243" s="1" t="s">
        <v>11</v>
      </c>
      <c r="E3243" s="1" t="s">
        <v>11</v>
      </c>
    </row>
    <row r="3244" spans="1:5" ht="15.75" customHeight="1">
      <c r="A3244" s="1">
        <v>720430</v>
      </c>
      <c r="B3244" s="1" t="s">
        <v>3275</v>
      </c>
      <c r="C3244" s="1" t="s">
        <v>11</v>
      </c>
      <c r="D3244" s="1" t="s">
        <v>11</v>
      </c>
      <c r="E3244" s="1" t="s">
        <v>11</v>
      </c>
    </row>
    <row r="3245" spans="1:5" ht="15.75" customHeight="1">
      <c r="A3245" s="1">
        <v>720441</v>
      </c>
      <c r="B3245" s="1" t="s">
        <v>3276</v>
      </c>
      <c r="C3245" s="1" t="s">
        <v>11</v>
      </c>
      <c r="D3245" s="1" t="s">
        <v>11</v>
      </c>
      <c r="E3245" s="1" t="s">
        <v>11</v>
      </c>
    </row>
    <row r="3246" spans="1:5" ht="15.75" customHeight="1">
      <c r="A3246" s="1">
        <v>720449</v>
      </c>
      <c r="B3246" s="1" t="s">
        <v>3277</v>
      </c>
      <c r="C3246" s="1" t="s">
        <v>11</v>
      </c>
      <c r="D3246" s="1" t="s">
        <v>11</v>
      </c>
      <c r="E3246" s="1" t="s">
        <v>11</v>
      </c>
    </row>
    <row r="3247" spans="1:5" ht="15.75" customHeight="1">
      <c r="A3247" s="1">
        <v>720450</v>
      </c>
      <c r="B3247" s="1" t="s">
        <v>3278</v>
      </c>
      <c r="C3247" s="1" t="s">
        <v>11</v>
      </c>
      <c r="D3247" s="1" t="s">
        <v>11</v>
      </c>
      <c r="E3247" s="1" t="s">
        <v>11</v>
      </c>
    </row>
    <row r="3248" spans="1:5" ht="15.75" customHeight="1">
      <c r="A3248" s="1">
        <v>720510</v>
      </c>
      <c r="B3248" s="1" t="s">
        <v>3279</v>
      </c>
      <c r="C3248" s="1" t="s">
        <v>11</v>
      </c>
      <c r="D3248" s="1" t="s">
        <v>11</v>
      </c>
      <c r="E3248" s="1" t="s">
        <v>11</v>
      </c>
    </row>
    <row r="3249" spans="1:5" ht="15.75" customHeight="1">
      <c r="A3249" s="1">
        <v>720521</v>
      </c>
      <c r="B3249" s="1" t="s">
        <v>3280</v>
      </c>
      <c r="C3249" s="1" t="s">
        <v>11</v>
      </c>
      <c r="D3249" s="1" t="s">
        <v>11</v>
      </c>
      <c r="E3249" s="1" t="s">
        <v>11</v>
      </c>
    </row>
    <row r="3250" spans="1:5" ht="15.75" customHeight="1">
      <c r="A3250" s="1">
        <v>720529</v>
      </c>
      <c r="B3250" s="1" t="s">
        <v>3281</v>
      </c>
      <c r="C3250" s="1" t="s">
        <v>11</v>
      </c>
      <c r="D3250" s="1" t="s">
        <v>11</v>
      </c>
      <c r="E3250" s="1" t="s">
        <v>11</v>
      </c>
    </row>
    <row r="3251" spans="1:5" ht="15.75" customHeight="1">
      <c r="A3251" s="1">
        <v>720610</v>
      </c>
      <c r="B3251" s="1" t="s">
        <v>3282</v>
      </c>
      <c r="C3251" s="1" t="s">
        <v>11</v>
      </c>
      <c r="D3251" s="1" t="s">
        <v>11</v>
      </c>
      <c r="E3251" s="1" t="s">
        <v>11</v>
      </c>
    </row>
    <row r="3252" spans="1:5" ht="15.75" customHeight="1">
      <c r="A3252" s="1">
        <v>720690</v>
      </c>
      <c r="B3252" s="1" t="s">
        <v>3283</v>
      </c>
      <c r="C3252" s="1" t="s">
        <v>11</v>
      </c>
      <c r="D3252" s="1" t="s">
        <v>11</v>
      </c>
      <c r="E3252" s="1" t="s">
        <v>11</v>
      </c>
    </row>
    <row r="3253" spans="1:5" ht="15.75" customHeight="1">
      <c r="A3253" s="1">
        <v>720711</v>
      </c>
      <c r="B3253" s="1" t="s">
        <v>3284</v>
      </c>
      <c r="C3253" s="1" t="s">
        <v>11</v>
      </c>
      <c r="D3253" s="1" t="s">
        <v>11</v>
      </c>
      <c r="E3253" s="1" t="s">
        <v>11</v>
      </c>
    </row>
    <row r="3254" spans="1:5" ht="15.75" customHeight="1">
      <c r="A3254" s="1">
        <v>720712</v>
      </c>
      <c r="B3254" s="1" t="s">
        <v>3285</v>
      </c>
      <c r="C3254" s="1" t="s">
        <v>11</v>
      </c>
      <c r="D3254" s="1" t="s">
        <v>11</v>
      </c>
      <c r="E3254" s="1" t="s">
        <v>11</v>
      </c>
    </row>
    <row r="3255" spans="1:5" ht="15.75" customHeight="1">
      <c r="A3255" s="1">
        <v>720719</v>
      </c>
      <c r="B3255" s="1" t="s">
        <v>3286</v>
      </c>
      <c r="C3255" s="1" t="s">
        <v>11</v>
      </c>
      <c r="D3255" s="1" t="s">
        <v>11</v>
      </c>
      <c r="E3255" s="1" t="s">
        <v>11</v>
      </c>
    </row>
    <row r="3256" spans="1:5" ht="15.75" customHeight="1">
      <c r="A3256" s="1">
        <v>720720</v>
      </c>
      <c r="B3256" s="1" t="s">
        <v>3287</v>
      </c>
      <c r="C3256" s="1" t="s">
        <v>11</v>
      </c>
      <c r="D3256" s="1" t="s">
        <v>11</v>
      </c>
      <c r="E3256" s="1" t="s">
        <v>11</v>
      </c>
    </row>
    <row r="3257" spans="1:5" ht="15.75" customHeight="1">
      <c r="A3257" s="1">
        <v>720810</v>
      </c>
      <c r="B3257" s="1" t="s">
        <v>3288</v>
      </c>
      <c r="C3257" s="1" t="s">
        <v>11</v>
      </c>
      <c r="D3257" s="1" t="s">
        <v>11</v>
      </c>
      <c r="E3257" s="1" t="s">
        <v>11</v>
      </c>
    </row>
    <row r="3258" spans="1:5" ht="15.75" customHeight="1">
      <c r="A3258" s="1">
        <v>720825</v>
      </c>
      <c r="B3258" s="1" t="s">
        <v>3289</v>
      </c>
      <c r="C3258" s="1" t="s">
        <v>11</v>
      </c>
      <c r="D3258" s="1" t="s">
        <v>11</v>
      </c>
      <c r="E3258" s="1" t="s">
        <v>11</v>
      </c>
    </row>
    <row r="3259" spans="1:5" ht="15.75" customHeight="1">
      <c r="A3259" s="1">
        <v>720826</v>
      </c>
      <c r="B3259" s="1" t="s">
        <v>3290</v>
      </c>
      <c r="C3259" s="1" t="s">
        <v>11</v>
      </c>
      <c r="D3259" s="1" t="s">
        <v>11</v>
      </c>
      <c r="E3259" s="1" t="s">
        <v>11</v>
      </c>
    </row>
    <row r="3260" spans="1:5" ht="15.75" customHeight="1">
      <c r="A3260" s="1">
        <v>720827</v>
      </c>
      <c r="B3260" s="1" t="s">
        <v>3291</v>
      </c>
      <c r="C3260" s="1" t="s">
        <v>11</v>
      </c>
      <c r="D3260" s="1" t="s">
        <v>11</v>
      </c>
      <c r="E3260" s="1" t="s">
        <v>11</v>
      </c>
    </row>
    <row r="3261" spans="1:5" ht="15.75" customHeight="1">
      <c r="A3261" s="1">
        <v>720836</v>
      </c>
      <c r="B3261" s="1" t="s">
        <v>3292</v>
      </c>
      <c r="C3261" s="1" t="s">
        <v>11</v>
      </c>
      <c r="D3261" s="1" t="s">
        <v>11</v>
      </c>
      <c r="E3261" s="1" t="s">
        <v>11</v>
      </c>
    </row>
    <row r="3262" spans="1:5" ht="15.75" customHeight="1">
      <c r="A3262" s="1">
        <v>720837</v>
      </c>
      <c r="B3262" s="1" t="s">
        <v>3293</v>
      </c>
      <c r="C3262" s="1" t="s">
        <v>11</v>
      </c>
      <c r="D3262" s="1" t="s">
        <v>11</v>
      </c>
      <c r="E3262" s="1" t="s">
        <v>11</v>
      </c>
    </row>
    <row r="3263" spans="1:5" ht="15.75" customHeight="1">
      <c r="A3263" s="1">
        <v>720838</v>
      </c>
      <c r="B3263" s="1" t="s">
        <v>3294</v>
      </c>
      <c r="C3263" s="1" t="s">
        <v>11</v>
      </c>
      <c r="D3263" s="1" t="s">
        <v>11</v>
      </c>
      <c r="E3263" s="1" t="s">
        <v>11</v>
      </c>
    </row>
    <row r="3264" spans="1:5" ht="15.75" customHeight="1">
      <c r="A3264" s="1">
        <v>720839</v>
      </c>
      <c r="B3264" s="1" t="s">
        <v>3295</v>
      </c>
      <c r="C3264" s="1" t="s">
        <v>11</v>
      </c>
      <c r="D3264" s="1" t="s">
        <v>11</v>
      </c>
      <c r="E3264" s="1" t="s">
        <v>11</v>
      </c>
    </row>
    <row r="3265" spans="1:5" ht="15.75" customHeight="1">
      <c r="A3265" s="1">
        <v>720840</v>
      </c>
      <c r="B3265" s="1" t="s">
        <v>3296</v>
      </c>
      <c r="C3265" s="1" t="s">
        <v>11</v>
      </c>
      <c r="D3265" s="1" t="s">
        <v>11</v>
      </c>
      <c r="E3265" s="1" t="s">
        <v>11</v>
      </c>
    </row>
    <row r="3266" spans="1:5" ht="15.75" customHeight="1">
      <c r="A3266" s="1">
        <v>720851</v>
      </c>
      <c r="B3266" s="1" t="s">
        <v>3297</v>
      </c>
      <c r="C3266" s="1" t="s">
        <v>11</v>
      </c>
      <c r="D3266" s="1" t="s">
        <v>11</v>
      </c>
      <c r="E3266" s="1" t="s">
        <v>11</v>
      </c>
    </row>
    <row r="3267" spans="1:5" ht="15.75" customHeight="1">
      <c r="A3267" s="1">
        <v>720852</v>
      </c>
      <c r="B3267" s="1" t="s">
        <v>3298</v>
      </c>
      <c r="C3267" s="1" t="s">
        <v>11</v>
      </c>
      <c r="D3267" s="1" t="s">
        <v>11</v>
      </c>
      <c r="E3267" s="1" t="s">
        <v>11</v>
      </c>
    </row>
    <row r="3268" spans="1:5" ht="15.75" customHeight="1">
      <c r="A3268" s="1">
        <v>720853</v>
      </c>
      <c r="B3268" s="1" t="s">
        <v>3299</v>
      </c>
      <c r="C3268" s="1" t="s">
        <v>11</v>
      </c>
      <c r="D3268" s="1" t="s">
        <v>11</v>
      </c>
      <c r="E3268" s="1" t="s">
        <v>11</v>
      </c>
    </row>
    <row r="3269" spans="1:5" ht="15.75" customHeight="1">
      <c r="A3269" s="1">
        <v>720854</v>
      </c>
      <c r="B3269" s="1" t="s">
        <v>3300</v>
      </c>
      <c r="C3269" s="1" t="s">
        <v>11</v>
      </c>
      <c r="D3269" s="1" t="s">
        <v>11</v>
      </c>
      <c r="E3269" s="1" t="s">
        <v>11</v>
      </c>
    </row>
    <row r="3270" spans="1:5" ht="15.75" customHeight="1">
      <c r="A3270" s="1">
        <v>720890</v>
      </c>
      <c r="B3270" s="1" t="s">
        <v>3301</v>
      </c>
      <c r="C3270" s="1" t="s">
        <v>11</v>
      </c>
      <c r="D3270" s="1" t="s">
        <v>11</v>
      </c>
      <c r="E3270" s="1" t="s">
        <v>11</v>
      </c>
    </row>
    <row r="3271" spans="1:5" ht="15.75" customHeight="1">
      <c r="A3271" s="1">
        <v>720915</v>
      </c>
      <c r="B3271" s="1" t="s">
        <v>3302</v>
      </c>
      <c r="C3271" s="1" t="s">
        <v>11</v>
      </c>
      <c r="D3271" s="1" t="s">
        <v>11</v>
      </c>
      <c r="E3271" s="1" t="s">
        <v>11</v>
      </c>
    </row>
    <row r="3272" spans="1:5" ht="15.75" customHeight="1">
      <c r="A3272" s="1">
        <v>720916</v>
      </c>
      <c r="B3272" s="1" t="s">
        <v>3303</v>
      </c>
      <c r="C3272" s="1" t="s">
        <v>11</v>
      </c>
      <c r="D3272" s="1" t="s">
        <v>11</v>
      </c>
      <c r="E3272" s="1" t="s">
        <v>11</v>
      </c>
    </row>
    <row r="3273" spans="1:5" ht="15.75" customHeight="1">
      <c r="A3273" s="1">
        <v>720917</v>
      </c>
      <c r="B3273" s="1" t="s">
        <v>3304</v>
      </c>
      <c r="C3273" s="1" t="s">
        <v>11</v>
      </c>
      <c r="D3273" s="1" t="s">
        <v>11</v>
      </c>
      <c r="E3273" s="1" t="s">
        <v>11</v>
      </c>
    </row>
    <row r="3274" spans="1:5" ht="15.75" customHeight="1">
      <c r="A3274" s="1">
        <v>720918</v>
      </c>
      <c r="B3274" s="1" t="s">
        <v>3305</v>
      </c>
      <c r="C3274" s="1" t="s">
        <v>11</v>
      </c>
      <c r="D3274" s="1" t="s">
        <v>11</v>
      </c>
      <c r="E3274" s="1" t="s">
        <v>11</v>
      </c>
    </row>
    <row r="3275" spans="1:5" ht="15.75" customHeight="1">
      <c r="A3275" s="1">
        <v>720925</v>
      </c>
      <c r="B3275" s="1" t="s">
        <v>3306</v>
      </c>
      <c r="C3275" s="1" t="s">
        <v>11</v>
      </c>
      <c r="D3275" s="1" t="s">
        <v>11</v>
      </c>
      <c r="E3275" s="1" t="s">
        <v>11</v>
      </c>
    </row>
    <row r="3276" spans="1:5" ht="15.75" customHeight="1">
      <c r="A3276" s="1">
        <v>720926</v>
      </c>
      <c r="B3276" s="1" t="s">
        <v>3307</v>
      </c>
      <c r="C3276" s="1" t="s">
        <v>11</v>
      </c>
      <c r="D3276" s="1" t="s">
        <v>11</v>
      </c>
      <c r="E3276" s="1" t="s">
        <v>11</v>
      </c>
    </row>
    <row r="3277" spans="1:5" ht="15.75" customHeight="1">
      <c r="A3277" s="1">
        <v>720927</v>
      </c>
      <c r="B3277" s="1" t="s">
        <v>3308</v>
      </c>
      <c r="C3277" s="1" t="s">
        <v>11</v>
      </c>
      <c r="D3277" s="1" t="s">
        <v>11</v>
      </c>
      <c r="E3277" s="1" t="s">
        <v>11</v>
      </c>
    </row>
    <row r="3278" spans="1:5" ht="15.75" customHeight="1">
      <c r="A3278" s="1">
        <v>720928</v>
      </c>
      <c r="B3278" s="1" t="s">
        <v>3309</v>
      </c>
      <c r="C3278" s="1" t="s">
        <v>11</v>
      </c>
      <c r="D3278" s="1" t="s">
        <v>11</v>
      </c>
      <c r="E3278" s="1" t="s">
        <v>11</v>
      </c>
    </row>
    <row r="3279" spans="1:5" ht="15.75" customHeight="1">
      <c r="A3279" s="1">
        <v>720990</v>
      </c>
      <c r="B3279" s="1" t="s">
        <v>3310</v>
      </c>
      <c r="C3279" s="1" t="s">
        <v>11</v>
      </c>
      <c r="D3279" s="1" t="s">
        <v>11</v>
      </c>
      <c r="E3279" s="1" t="s">
        <v>11</v>
      </c>
    </row>
    <row r="3280" spans="1:5" ht="15.75" customHeight="1">
      <c r="A3280" s="1">
        <v>721011</v>
      </c>
      <c r="B3280" s="1" t="s">
        <v>3311</v>
      </c>
      <c r="C3280" s="1" t="s">
        <v>11</v>
      </c>
      <c r="D3280" s="1" t="s">
        <v>11</v>
      </c>
      <c r="E3280" s="1" t="s">
        <v>11</v>
      </c>
    </row>
    <row r="3281" spans="1:5" ht="15.75" customHeight="1">
      <c r="A3281" s="1">
        <v>721012</v>
      </c>
      <c r="B3281" s="1" t="s">
        <v>3312</v>
      </c>
      <c r="C3281" s="1" t="s">
        <v>11</v>
      </c>
      <c r="D3281" s="1" t="s">
        <v>11</v>
      </c>
      <c r="E3281" s="1" t="s">
        <v>11</v>
      </c>
    </row>
    <row r="3282" spans="1:5" ht="15.75" customHeight="1">
      <c r="A3282" s="1">
        <v>721020</v>
      </c>
      <c r="B3282" s="1" t="s">
        <v>3313</v>
      </c>
      <c r="C3282" s="1" t="s">
        <v>11</v>
      </c>
      <c r="D3282" s="1" t="s">
        <v>11</v>
      </c>
      <c r="E3282" s="1" t="s">
        <v>11</v>
      </c>
    </row>
    <row r="3283" spans="1:5" ht="15.75" customHeight="1">
      <c r="A3283" s="1">
        <v>721030</v>
      </c>
      <c r="B3283" s="1" t="s">
        <v>3314</v>
      </c>
      <c r="C3283" s="1" t="s">
        <v>11</v>
      </c>
      <c r="D3283" s="1" t="s">
        <v>11</v>
      </c>
      <c r="E3283" s="1" t="s">
        <v>11</v>
      </c>
    </row>
    <row r="3284" spans="1:5" ht="15.75" customHeight="1">
      <c r="A3284" s="1">
        <v>721041</v>
      </c>
      <c r="B3284" s="1" t="s">
        <v>3315</v>
      </c>
      <c r="C3284" s="1" t="s">
        <v>11</v>
      </c>
      <c r="D3284" s="1" t="s">
        <v>11</v>
      </c>
      <c r="E3284" s="1" t="s">
        <v>11</v>
      </c>
    </row>
    <row r="3285" spans="1:5" ht="15.75" customHeight="1">
      <c r="A3285" s="1">
        <v>721049</v>
      </c>
      <c r="B3285" s="1" t="s">
        <v>3316</v>
      </c>
      <c r="C3285" s="1" t="s">
        <v>11</v>
      </c>
      <c r="D3285" s="1" t="s">
        <v>11</v>
      </c>
      <c r="E3285" s="1" t="s">
        <v>11</v>
      </c>
    </row>
    <row r="3286" spans="1:5" ht="15.75" customHeight="1">
      <c r="A3286" s="1">
        <v>721050</v>
      </c>
      <c r="B3286" s="1" t="s">
        <v>3317</v>
      </c>
      <c r="C3286" s="1" t="s">
        <v>11</v>
      </c>
      <c r="D3286" s="1" t="s">
        <v>11</v>
      </c>
      <c r="E3286" s="1" t="s">
        <v>11</v>
      </c>
    </row>
    <row r="3287" spans="1:5" ht="15.75" customHeight="1">
      <c r="A3287" s="1">
        <v>721061</v>
      </c>
      <c r="B3287" s="1" t="s">
        <v>3318</v>
      </c>
      <c r="C3287" s="1" t="s">
        <v>11</v>
      </c>
      <c r="D3287" s="1" t="s">
        <v>11</v>
      </c>
      <c r="E3287" s="1" t="s">
        <v>11</v>
      </c>
    </row>
    <row r="3288" spans="1:5" ht="15.75" customHeight="1">
      <c r="A3288" s="1">
        <v>721069</v>
      </c>
      <c r="B3288" s="1" t="s">
        <v>3319</v>
      </c>
      <c r="C3288" s="1" t="s">
        <v>11</v>
      </c>
      <c r="D3288" s="1" t="s">
        <v>11</v>
      </c>
      <c r="E3288" s="1" t="s">
        <v>11</v>
      </c>
    </row>
    <row r="3289" spans="1:5" ht="15.75" customHeight="1">
      <c r="A3289" s="1">
        <v>721070</v>
      </c>
      <c r="B3289" s="1" t="s">
        <v>3320</v>
      </c>
      <c r="C3289" s="1" t="s">
        <v>11</v>
      </c>
      <c r="D3289" s="1" t="s">
        <v>11</v>
      </c>
      <c r="E3289" s="1" t="s">
        <v>11</v>
      </c>
    </row>
    <row r="3290" spans="1:5" ht="15.75" customHeight="1">
      <c r="A3290" s="1">
        <v>721090</v>
      </c>
      <c r="B3290" s="1" t="s">
        <v>3321</v>
      </c>
      <c r="C3290" s="1" t="s">
        <v>11</v>
      </c>
      <c r="D3290" s="1" t="s">
        <v>11</v>
      </c>
      <c r="E3290" s="1" t="s">
        <v>11</v>
      </c>
    </row>
    <row r="3291" spans="1:5" ht="15.75" customHeight="1">
      <c r="A3291" s="1">
        <v>721113</v>
      </c>
      <c r="B3291" s="1" t="s">
        <v>3322</v>
      </c>
      <c r="C3291" s="1" t="s">
        <v>11</v>
      </c>
      <c r="D3291" s="1" t="s">
        <v>11</v>
      </c>
      <c r="E3291" s="1" t="s">
        <v>11</v>
      </c>
    </row>
    <row r="3292" spans="1:5" ht="15.75" customHeight="1">
      <c r="A3292" s="1">
        <v>721114</v>
      </c>
      <c r="B3292" s="1" t="s">
        <v>3323</v>
      </c>
      <c r="C3292" s="1" t="s">
        <v>11</v>
      </c>
      <c r="D3292" s="1" t="s">
        <v>11</v>
      </c>
      <c r="E3292" s="1" t="s">
        <v>11</v>
      </c>
    </row>
    <row r="3293" spans="1:5" ht="15.75" customHeight="1">
      <c r="A3293" s="1">
        <v>721119</v>
      </c>
      <c r="B3293" s="1" t="s">
        <v>3324</v>
      </c>
      <c r="C3293" s="1" t="s">
        <v>11</v>
      </c>
      <c r="D3293" s="1" t="s">
        <v>11</v>
      </c>
      <c r="E3293" s="1" t="s">
        <v>11</v>
      </c>
    </row>
    <row r="3294" spans="1:5" ht="15.75" customHeight="1">
      <c r="A3294" s="1">
        <v>721123</v>
      </c>
      <c r="B3294" s="1" t="s">
        <v>3325</v>
      </c>
      <c r="C3294" s="1" t="s">
        <v>11</v>
      </c>
      <c r="D3294" s="1" t="s">
        <v>11</v>
      </c>
      <c r="E3294" s="1" t="s">
        <v>11</v>
      </c>
    </row>
    <row r="3295" spans="1:5" ht="15.75" customHeight="1">
      <c r="A3295" s="1">
        <v>721129</v>
      </c>
      <c r="B3295" s="1" t="s">
        <v>3326</v>
      </c>
      <c r="C3295" s="1" t="s">
        <v>11</v>
      </c>
      <c r="D3295" s="1" t="s">
        <v>11</v>
      </c>
      <c r="E3295" s="1" t="s">
        <v>11</v>
      </c>
    </row>
    <row r="3296" spans="1:5" ht="15.75" customHeight="1">
      <c r="A3296" s="1">
        <v>721190</v>
      </c>
      <c r="B3296" s="1" t="s">
        <v>3327</v>
      </c>
      <c r="C3296" s="1" t="s">
        <v>11</v>
      </c>
      <c r="D3296" s="1" t="s">
        <v>11</v>
      </c>
      <c r="E3296" s="1" t="s">
        <v>11</v>
      </c>
    </row>
    <row r="3297" spans="1:5" ht="15.75" customHeight="1">
      <c r="A3297" s="1">
        <v>721210</v>
      </c>
      <c r="B3297" s="1" t="s">
        <v>3328</v>
      </c>
      <c r="C3297" s="1" t="s">
        <v>11</v>
      </c>
      <c r="D3297" s="1" t="s">
        <v>11</v>
      </c>
      <c r="E3297" s="1" t="s">
        <v>11</v>
      </c>
    </row>
    <row r="3298" spans="1:5" ht="15.75" customHeight="1">
      <c r="A3298" s="1">
        <v>721220</v>
      </c>
      <c r="B3298" s="1" t="s">
        <v>3329</v>
      </c>
      <c r="C3298" s="1" t="s">
        <v>11</v>
      </c>
      <c r="D3298" s="1" t="s">
        <v>11</v>
      </c>
      <c r="E3298" s="1" t="s">
        <v>11</v>
      </c>
    </row>
    <row r="3299" spans="1:5" ht="15.75" customHeight="1">
      <c r="A3299" s="1">
        <v>721230</v>
      </c>
      <c r="B3299" s="1" t="s">
        <v>3330</v>
      </c>
      <c r="C3299" s="1" t="s">
        <v>11</v>
      </c>
      <c r="D3299" s="1" t="s">
        <v>11</v>
      </c>
      <c r="E3299" s="1" t="s">
        <v>11</v>
      </c>
    </row>
    <row r="3300" spans="1:5" ht="15.75" customHeight="1">
      <c r="A3300" s="1">
        <v>721240</v>
      </c>
      <c r="B3300" s="1" t="s">
        <v>3331</v>
      </c>
      <c r="C3300" s="1" t="s">
        <v>11</v>
      </c>
      <c r="D3300" s="1" t="s">
        <v>11</v>
      </c>
      <c r="E3300" s="1" t="s">
        <v>11</v>
      </c>
    </row>
    <row r="3301" spans="1:5" ht="15.75" customHeight="1">
      <c r="A3301" s="1">
        <v>721250</v>
      </c>
      <c r="B3301" s="1" t="s">
        <v>3332</v>
      </c>
      <c r="C3301" s="1" t="s">
        <v>11</v>
      </c>
      <c r="D3301" s="1" t="s">
        <v>11</v>
      </c>
      <c r="E3301" s="1" t="s">
        <v>11</v>
      </c>
    </row>
    <row r="3302" spans="1:5" ht="15.75" customHeight="1">
      <c r="A3302" s="1">
        <v>721260</v>
      </c>
      <c r="B3302" s="1" t="s">
        <v>3333</v>
      </c>
      <c r="C3302" s="1" t="s">
        <v>11</v>
      </c>
      <c r="D3302" s="1" t="s">
        <v>11</v>
      </c>
      <c r="E3302" s="1" t="s">
        <v>11</v>
      </c>
    </row>
    <row r="3303" spans="1:5" ht="15.75" customHeight="1">
      <c r="A3303" s="1">
        <v>721310</v>
      </c>
      <c r="B3303" s="1" t="s">
        <v>3334</v>
      </c>
      <c r="C3303" s="1" t="s">
        <v>11</v>
      </c>
      <c r="D3303" s="1" t="s">
        <v>11</v>
      </c>
      <c r="E3303" s="1" t="s">
        <v>11</v>
      </c>
    </row>
    <row r="3304" spans="1:5" ht="15.75" customHeight="1">
      <c r="A3304" s="1">
        <v>721320</v>
      </c>
      <c r="B3304" s="1" t="s">
        <v>3335</v>
      </c>
      <c r="C3304" s="1" t="s">
        <v>11</v>
      </c>
      <c r="D3304" s="1" t="s">
        <v>11</v>
      </c>
      <c r="E3304" s="1" t="s">
        <v>11</v>
      </c>
    </row>
    <row r="3305" spans="1:5" ht="15.75" customHeight="1">
      <c r="A3305" s="1">
        <v>721391</v>
      </c>
      <c r="B3305" s="1" t="s">
        <v>3336</v>
      </c>
      <c r="C3305" s="1" t="s">
        <v>11</v>
      </c>
      <c r="D3305" s="1" t="s">
        <v>11</v>
      </c>
      <c r="E3305" s="1" t="s">
        <v>11</v>
      </c>
    </row>
    <row r="3306" spans="1:5" ht="15.75" customHeight="1">
      <c r="A3306" s="1">
        <v>721399</v>
      </c>
      <c r="B3306" s="1" t="s">
        <v>3337</v>
      </c>
      <c r="C3306" s="1" t="s">
        <v>11</v>
      </c>
      <c r="D3306" s="1" t="s">
        <v>11</v>
      </c>
      <c r="E3306" s="1" t="s">
        <v>11</v>
      </c>
    </row>
    <row r="3307" spans="1:5" ht="15.75" customHeight="1">
      <c r="A3307" s="1">
        <v>721410</v>
      </c>
      <c r="B3307" s="1" t="s">
        <v>3338</v>
      </c>
      <c r="C3307" s="1" t="s">
        <v>11</v>
      </c>
      <c r="D3307" s="1" t="s">
        <v>11</v>
      </c>
      <c r="E3307" s="1" t="s">
        <v>11</v>
      </c>
    </row>
    <row r="3308" spans="1:5" ht="15.75" customHeight="1">
      <c r="A3308" s="1">
        <v>721420</v>
      </c>
      <c r="B3308" s="1" t="s">
        <v>3339</v>
      </c>
      <c r="C3308" s="1" t="s">
        <v>11</v>
      </c>
      <c r="D3308" s="1" t="s">
        <v>11</v>
      </c>
      <c r="E3308" s="1" t="s">
        <v>11</v>
      </c>
    </row>
    <row r="3309" spans="1:5" ht="15.75" customHeight="1">
      <c r="A3309" s="1">
        <v>721430</v>
      </c>
      <c r="B3309" s="1" t="s">
        <v>3340</v>
      </c>
      <c r="C3309" s="1" t="s">
        <v>11</v>
      </c>
      <c r="D3309" s="1" t="s">
        <v>11</v>
      </c>
      <c r="E3309" s="1" t="s">
        <v>11</v>
      </c>
    </row>
    <row r="3310" spans="1:5" ht="15.75" customHeight="1">
      <c r="A3310" s="1">
        <v>721491</v>
      </c>
      <c r="B3310" s="1" t="s">
        <v>3341</v>
      </c>
      <c r="C3310" s="1" t="s">
        <v>11</v>
      </c>
      <c r="D3310" s="1" t="s">
        <v>11</v>
      </c>
      <c r="E3310" s="1" t="s">
        <v>11</v>
      </c>
    </row>
    <row r="3311" spans="1:5" ht="15.75" customHeight="1">
      <c r="A3311" s="1">
        <v>721499</v>
      </c>
      <c r="B3311" s="1" t="s">
        <v>3342</v>
      </c>
      <c r="C3311" s="1" t="s">
        <v>11</v>
      </c>
      <c r="D3311" s="1" t="s">
        <v>11</v>
      </c>
      <c r="E3311" s="1" t="s">
        <v>11</v>
      </c>
    </row>
    <row r="3312" spans="1:5" ht="15.75" customHeight="1">
      <c r="A3312" s="1">
        <v>721510</v>
      </c>
      <c r="B3312" s="1" t="s">
        <v>3343</v>
      </c>
      <c r="C3312" s="1" t="s">
        <v>11</v>
      </c>
      <c r="D3312" s="1" t="s">
        <v>11</v>
      </c>
      <c r="E3312" s="1" t="s">
        <v>11</v>
      </c>
    </row>
    <row r="3313" spans="1:5" ht="15.75" customHeight="1">
      <c r="A3313" s="1">
        <v>721550</v>
      </c>
      <c r="B3313" s="1" t="s">
        <v>3344</v>
      </c>
      <c r="C3313" s="1" t="s">
        <v>11</v>
      </c>
      <c r="D3313" s="1" t="s">
        <v>11</v>
      </c>
      <c r="E3313" s="1" t="s">
        <v>11</v>
      </c>
    </row>
    <row r="3314" spans="1:5" ht="15.75" customHeight="1">
      <c r="A3314" s="1">
        <v>721590</v>
      </c>
      <c r="B3314" s="1" t="s">
        <v>3345</v>
      </c>
      <c r="C3314" s="1" t="s">
        <v>11</v>
      </c>
      <c r="D3314" s="1" t="s">
        <v>11</v>
      </c>
      <c r="E3314" s="1" t="s">
        <v>11</v>
      </c>
    </row>
    <row r="3315" spans="1:5" ht="15.75" customHeight="1">
      <c r="A3315" s="1">
        <v>721610</v>
      </c>
      <c r="B3315" s="1" t="s">
        <v>3346</v>
      </c>
      <c r="C3315" s="1" t="s">
        <v>11</v>
      </c>
      <c r="D3315" s="1" t="s">
        <v>11</v>
      </c>
      <c r="E3315" s="1" t="s">
        <v>11</v>
      </c>
    </row>
    <row r="3316" spans="1:5" ht="15.75" customHeight="1">
      <c r="A3316" s="1">
        <v>721621</v>
      </c>
      <c r="B3316" s="1" t="s">
        <v>3347</v>
      </c>
      <c r="C3316" s="1" t="s">
        <v>11</v>
      </c>
      <c r="D3316" s="1" t="s">
        <v>11</v>
      </c>
      <c r="E3316" s="1" t="s">
        <v>11</v>
      </c>
    </row>
    <row r="3317" spans="1:5" ht="15.75" customHeight="1">
      <c r="A3317" s="1">
        <v>721622</v>
      </c>
      <c r="B3317" s="1" t="s">
        <v>3348</v>
      </c>
      <c r="C3317" s="1" t="s">
        <v>11</v>
      </c>
      <c r="D3317" s="1" t="s">
        <v>11</v>
      </c>
      <c r="E3317" s="1" t="s">
        <v>11</v>
      </c>
    </row>
    <row r="3318" spans="1:5" ht="15.75" customHeight="1">
      <c r="A3318" s="1">
        <v>721631</v>
      </c>
      <c r="B3318" s="1" t="s">
        <v>3349</v>
      </c>
      <c r="C3318" s="1" t="s">
        <v>11</v>
      </c>
      <c r="D3318" s="1" t="s">
        <v>11</v>
      </c>
      <c r="E3318" s="1" t="s">
        <v>11</v>
      </c>
    </row>
    <row r="3319" spans="1:5" ht="15.75" customHeight="1">
      <c r="A3319" s="1">
        <v>721632</v>
      </c>
      <c r="B3319" s="1" t="s">
        <v>3350</v>
      </c>
      <c r="C3319" s="1" t="s">
        <v>11</v>
      </c>
      <c r="D3319" s="1" t="s">
        <v>11</v>
      </c>
      <c r="E3319" s="1" t="s">
        <v>11</v>
      </c>
    </row>
    <row r="3320" spans="1:5" ht="15.75" customHeight="1">
      <c r="A3320" s="1">
        <v>721633</v>
      </c>
      <c r="B3320" s="1" t="s">
        <v>3351</v>
      </c>
      <c r="C3320" s="1" t="s">
        <v>11</v>
      </c>
      <c r="D3320" s="1" t="s">
        <v>11</v>
      </c>
      <c r="E3320" s="1" t="s">
        <v>11</v>
      </c>
    </row>
    <row r="3321" spans="1:5" ht="15.75" customHeight="1">
      <c r="A3321" s="1">
        <v>721640</v>
      </c>
      <c r="B3321" s="1" t="s">
        <v>3352</v>
      </c>
      <c r="C3321" s="1" t="s">
        <v>11</v>
      </c>
      <c r="D3321" s="1" t="s">
        <v>11</v>
      </c>
      <c r="E3321" s="1" t="s">
        <v>11</v>
      </c>
    </row>
    <row r="3322" spans="1:5" ht="15.75" customHeight="1">
      <c r="A3322" s="1">
        <v>721650</v>
      </c>
      <c r="B3322" s="1" t="s">
        <v>3353</v>
      </c>
      <c r="C3322" s="1" t="s">
        <v>11</v>
      </c>
      <c r="D3322" s="1" t="s">
        <v>11</v>
      </c>
      <c r="E3322" s="1" t="s">
        <v>11</v>
      </c>
    </row>
    <row r="3323" spans="1:5" ht="15.75" customHeight="1">
      <c r="A3323" s="1">
        <v>721661</v>
      </c>
      <c r="B3323" s="1" t="s">
        <v>3354</v>
      </c>
      <c r="C3323" s="1" t="s">
        <v>11</v>
      </c>
      <c r="D3323" s="1" t="s">
        <v>11</v>
      </c>
      <c r="E3323" s="1" t="s">
        <v>11</v>
      </c>
    </row>
    <row r="3324" spans="1:5" ht="15.75" customHeight="1">
      <c r="A3324" s="1">
        <v>721669</v>
      </c>
      <c r="B3324" s="1" t="s">
        <v>3355</v>
      </c>
      <c r="C3324" s="1" t="s">
        <v>11</v>
      </c>
      <c r="D3324" s="1" t="s">
        <v>11</v>
      </c>
      <c r="E3324" s="1" t="s">
        <v>11</v>
      </c>
    </row>
    <row r="3325" spans="1:5" ht="15.75" customHeight="1">
      <c r="A3325" s="1">
        <v>721691</v>
      </c>
      <c r="B3325" s="1" t="s">
        <v>3356</v>
      </c>
      <c r="C3325" s="1" t="s">
        <v>11</v>
      </c>
      <c r="D3325" s="1" t="s">
        <v>11</v>
      </c>
      <c r="E3325" s="1" t="s">
        <v>11</v>
      </c>
    </row>
    <row r="3326" spans="1:5" ht="15.75" customHeight="1">
      <c r="A3326" s="1">
        <v>721699</v>
      </c>
      <c r="B3326" s="1" t="s">
        <v>3357</v>
      </c>
      <c r="C3326" s="1" t="s">
        <v>11</v>
      </c>
      <c r="D3326" s="1" t="s">
        <v>11</v>
      </c>
      <c r="E3326" s="1" t="s">
        <v>11</v>
      </c>
    </row>
    <row r="3327" spans="1:5" ht="15.75" customHeight="1">
      <c r="A3327" s="1">
        <v>721710</v>
      </c>
      <c r="B3327" s="1" t="s">
        <v>3358</v>
      </c>
      <c r="C3327" s="1" t="s">
        <v>11</v>
      </c>
      <c r="D3327" s="1" t="s">
        <v>11</v>
      </c>
      <c r="E3327" s="1" t="s">
        <v>11</v>
      </c>
    </row>
    <row r="3328" spans="1:5" ht="15.75" customHeight="1">
      <c r="A3328" s="1">
        <v>721720</v>
      </c>
      <c r="B3328" s="1" t="s">
        <v>3359</v>
      </c>
      <c r="C3328" s="1" t="s">
        <v>11</v>
      </c>
      <c r="D3328" s="1" t="s">
        <v>11</v>
      </c>
      <c r="E3328" s="1" t="s">
        <v>11</v>
      </c>
    </row>
    <row r="3329" spans="1:5" ht="15.75" customHeight="1">
      <c r="A3329" s="1">
        <v>721730</v>
      </c>
      <c r="B3329" s="1" t="s">
        <v>3360</v>
      </c>
      <c r="C3329" s="1" t="s">
        <v>11</v>
      </c>
      <c r="D3329" s="1" t="s">
        <v>11</v>
      </c>
      <c r="E3329" s="1" t="s">
        <v>11</v>
      </c>
    </row>
    <row r="3330" spans="1:5" ht="15.75" customHeight="1">
      <c r="A3330" s="1">
        <v>721790</v>
      </c>
      <c r="B3330" s="1" t="s">
        <v>3361</v>
      </c>
      <c r="C3330" s="1" t="s">
        <v>11</v>
      </c>
      <c r="D3330" s="1" t="s">
        <v>11</v>
      </c>
      <c r="E3330" s="1" t="s">
        <v>11</v>
      </c>
    </row>
    <row r="3331" spans="1:5" ht="15.75" customHeight="1">
      <c r="A3331" s="1">
        <v>721810</v>
      </c>
      <c r="B3331" s="1" t="s">
        <v>3362</v>
      </c>
      <c r="C3331" s="1" t="s">
        <v>11</v>
      </c>
      <c r="D3331" s="1" t="s">
        <v>11</v>
      </c>
      <c r="E3331" s="1" t="s">
        <v>11</v>
      </c>
    </row>
    <row r="3332" spans="1:5" ht="15.75" customHeight="1">
      <c r="A3332" s="1">
        <v>721891</v>
      </c>
      <c r="B3332" s="1" t="s">
        <v>3363</v>
      </c>
      <c r="C3332" s="1" t="s">
        <v>11</v>
      </c>
      <c r="D3332" s="1" t="s">
        <v>11</v>
      </c>
      <c r="E3332" s="1" t="s">
        <v>11</v>
      </c>
    </row>
    <row r="3333" spans="1:5" ht="15.75" customHeight="1">
      <c r="A3333" s="1">
        <v>721899</v>
      </c>
      <c r="B3333" s="1" t="s">
        <v>3364</v>
      </c>
      <c r="C3333" s="1" t="s">
        <v>11</v>
      </c>
      <c r="D3333" s="1" t="s">
        <v>11</v>
      </c>
      <c r="E3333" s="1" t="s">
        <v>11</v>
      </c>
    </row>
    <row r="3334" spans="1:5" ht="15.75" customHeight="1">
      <c r="A3334" s="1">
        <v>721911</v>
      </c>
      <c r="B3334" s="1" t="s">
        <v>3365</v>
      </c>
      <c r="C3334" s="1" t="s">
        <v>11</v>
      </c>
      <c r="D3334" s="1" t="s">
        <v>11</v>
      </c>
      <c r="E3334" s="1" t="s">
        <v>11</v>
      </c>
    </row>
    <row r="3335" spans="1:5" ht="15.75" customHeight="1">
      <c r="A3335" s="1">
        <v>721912</v>
      </c>
      <c r="B3335" s="1" t="s">
        <v>3366</v>
      </c>
      <c r="C3335" s="1" t="s">
        <v>11</v>
      </c>
      <c r="D3335" s="1" t="s">
        <v>11</v>
      </c>
      <c r="E3335" s="1" t="s">
        <v>11</v>
      </c>
    </row>
    <row r="3336" spans="1:5" ht="15.75" customHeight="1">
      <c r="A3336" s="1">
        <v>721913</v>
      </c>
      <c r="B3336" s="1" t="s">
        <v>3367</v>
      </c>
      <c r="C3336" s="1" t="s">
        <v>11</v>
      </c>
      <c r="D3336" s="1" t="s">
        <v>11</v>
      </c>
      <c r="E3336" s="1" t="s">
        <v>11</v>
      </c>
    </row>
    <row r="3337" spans="1:5" ht="15.75" customHeight="1">
      <c r="A3337" s="1">
        <v>721914</v>
      </c>
      <c r="B3337" s="1" t="s">
        <v>3368</v>
      </c>
      <c r="C3337" s="1" t="s">
        <v>11</v>
      </c>
      <c r="D3337" s="1" t="s">
        <v>11</v>
      </c>
      <c r="E3337" s="1" t="s">
        <v>11</v>
      </c>
    </row>
    <row r="3338" spans="1:5" ht="15.75" customHeight="1">
      <c r="A3338" s="1">
        <v>721921</v>
      </c>
      <c r="B3338" s="1" t="s">
        <v>3369</v>
      </c>
      <c r="C3338" s="1" t="s">
        <v>11</v>
      </c>
      <c r="D3338" s="1" t="s">
        <v>11</v>
      </c>
      <c r="E3338" s="1" t="s">
        <v>11</v>
      </c>
    </row>
    <row r="3339" spans="1:5" ht="15.75" customHeight="1">
      <c r="A3339" s="1">
        <v>721922</v>
      </c>
      <c r="B3339" s="1" t="s">
        <v>3370</v>
      </c>
      <c r="C3339" s="1" t="s">
        <v>11</v>
      </c>
      <c r="D3339" s="1" t="s">
        <v>11</v>
      </c>
      <c r="E3339" s="1" t="s">
        <v>11</v>
      </c>
    </row>
    <row r="3340" spans="1:5" ht="15.75" customHeight="1">
      <c r="A3340" s="1">
        <v>721923</v>
      </c>
      <c r="B3340" s="1" t="s">
        <v>3371</v>
      </c>
      <c r="C3340" s="1" t="s">
        <v>11</v>
      </c>
      <c r="D3340" s="1" t="s">
        <v>11</v>
      </c>
      <c r="E3340" s="1" t="s">
        <v>11</v>
      </c>
    </row>
    <row r="3341" spans="1:5" ht="15.75" customHeight="1">
      <c r="A3341" s="1">
        <v>721924</v>
      </c>
      <c r="B3341" s="1" t="s">
        <v>3372</v>
      </c>
      <c r="C3341" s="1" t="s">
        <v>11</v>
      </c>
      <c r="D3341" s="1" t="s">
        <v>11</v>
      </c>
      <c r="E3341" s="1" t="s">
        <v>11</v>
      </c>
    </row>
    <row r="3342" spans="1:5" ht="15.75" customHeight="1">
      <c r="A3342" s="1">
        <v>721931</v>
      </c>
      <c r="B3342" s="1" t="s">
        <v>3373</v>
      </c>
      <c r="C3342" s="1" t="s">
        <v>11</v>
      </c>
      <c r="D3342" s="1" t="s">
        <v>11</v>
      </c>
      <c r="E3342" s="1" t="s">
        <v>11</v>
      </c>
    </row>
    <row r="3343" spans="1:5" ht="15.75" customHeight="1">
      <c r="A3343" s="1">
        <v>721932</v>
      </c>
      <c r="B3343" s="1" t="s">
        <v>3374</v>
      </c>
      <c r="C3343" s="1" t="s">
        <v>11</v>
      </c>
      <c r="D3343" s="1" t="s">
        <v>11</v>
      </c>
      <c r="E3343" s="1" t="s">
        <v>11</v>
      </c>
    </row>
    <row r="3344" spans="1:5" ht="15.75" customHeight="1">
      <c r="A3344" s="1">
        <v>721933</v>
      </c>
      <c r="B3344" s="1" t="s">
        <v>3375</v>
      </c>
      <c r="C3344" s="1" t="s">
        <v>11</v>
      </c>
      <c r="D3344" s="1" t="s">
        <v>11</v>
      </c>
      <c r="E3344" s="1" t="s">
        <v>11</v>
      </c>
    </row>
    <row r="3345" spans="1:5" ht="15.75" customHeight="1">
      <c r="A3345" s="1">
        <v>721934</v>
      </c>
      <c r="B3345" s="1" t="s">
        <v>3376</v>
      </c>
      <c r="C3345" s="1" t="s">
        <v>11</v>
      </c>
      <c r="D3345" s="1" t="s">
        <v>11</v>
      </c>
      <c r="E3345" s="1" t="s">
        <v>11</v>
      </c>
    </row>
    <row r="3346" spans="1:5" ht="15.75" customHeight="1">
      <c r="A3346" s="1">
        <v>721935</v>
      </c>
      <c r="B3346" s="1" t="s">
        <v>3377</v>
      </c>
      <c r="C3346" s="1" t="s">
        <v>11</v>
      </c>
      <c r="D3346" s="1" t="s">
        <v>11</v>
      </c>
      <c r="E3346" s="1" t="s">
        <v>11</v>
      </c>
    </row>
    <row r="3347" spans="1:5" ht="15.75" customHeight="1">
      <c r="A3347" s="1">
        <v>721990</v>
      </c>
      <c r="B3347" s="1" t="s">
        <v>3378</v>
      </c>
      <c r="C3347" s="1" t="s">
        <v>11</v>
      </c>
      <c r="D3347" s="1" t="s">
        <v>11</v>
      </c>
      <c r="E3347" s="1" t="s">
        <v>11</v>
      </c>
    </row>
    <row r="3348" spans="1:5" ht="15.75" customHeight="1">
      <c r="A3348" s="1">
        <v>722011</v>
      </c>
      <c r="B3348" s="1" t="s">
        <v>3379</v>
      </c>
      <c r="C3348" s="1" t="s">
        <v>11</v>
      </c>
      <c r="D3348" s="1" t="s">
        <v>11</v>
      </c>
      <c r="E3348" s="1" t="s">
        <v>11</v>
      </c>
    </row>
    <row r="3349" spans="1:5" ht="15.75" customHeight="1">
      <c r="A3349" s="1">
        <v>722012</v>
      </c>
      <c r="B3349" s="1" t="s">
        <v>3380</v>
      </c>
      <c r="C3349" s="1" t="s">
        <v>11</v>
      </c>
      <c r="D3349" s="1" t="s">
        <v>11</v>
      </c>
      <c r="E3349" s="1" t="s">
        <v>11</v>
      </c>
    </row>
    <row r="3350" spans="1:5" ht="15.75" customHeight="1">
      <c r="A3350" s="1">
        <v>722020</v>
      </c>
      <c r="B3350" s="1" t="s">
        <v>3381</v>
      </c>
      <c r="C3350" s="1" t="s">
        <v>11</v>
      </c>
      <c r="D3350" s="1" t="s">
        <v>11</v>
      </c>
      <c r="E3350" s="1" t="s">
        <v>11</v>
      </c>
    </row>
    <row r="3351" spans="1:5" ht="15.75" customHeight="1">
      <c r="A3351" s="1">
        <v>722090</v>
      </c>
      <c r="B3351" s="1" t="s">
        <v>3382</v>
      </c>
      <c r="C3351" s="1" t="s">
        <v>11</v>
      </c>
      <c r="D3351" s="1" t="s">
        <v>11</v>
      </c>
      <c r="E3351" s="1" t="s">
        <v>11</v>
      </c>
    </row>
    <row r="3352" spans="1:5" ht="15.75" customHeight="1">
      <c r="A3352" s="1">
        <v>722100</v>
      </c>
      <c r="B3352" s="1" t="s">
        <v>3383</v>
      </c>
      <c r="C3352" s="1" t="s">
        <v>11</v>
      </c>
      <c r="D3352" s="1" t="s">
        <v>11</v>
      </c>
      <c r="E3352" s="1" t="s">
        <v>11</v>
      </c>
    </row>
    <row r="3353" spans="1:5" ht="15.75" customHeight="1">
      <c r="A3353" s="1">
        <v>722211</v>
      </c>
      <c r="B3353" s="1" t="s">
        <v>3384</v>
      </c>
      <c r="C3353" s="1" t="s">
        <v>11</v>
      </c>
      <c r="D3353" s="1" t="s">
        <v>11</v>
      </c>
      <c r="E3353" s="1" t="s">
        <v>11</v>
      </c>
    </row>
    <row r="3354" spans="1:5" ht="15.75" customHeight="1">
      <c r="A3354" s="1">
        <v>722219</v>
      </c>
      <c r="B3354" s="1" t="s">
        <v>3385</v>
      </c>
      <c r="C3354" s="1" t="s">
        <v>11</v>
      </c>
      <c r="D3354" s="1" t="s">
        <v>11</v>
      </c>
      <c r="E3354" s="1" t="s">
        <v>11</v>
      </c>
    </row>
    <row r="3355" spans="1:5" ht="15.75" customHeight="1">
      <c r="A3355" s="1">
        <v>722220</v>
      </c>
      <c r="B3355" s="1" t="s">
        <v>3386</v>
      </c>
      <c r="C3355" s="1" t="s">
        <v>11</v>
      </c>
      <c r="D3355" s="1" t="s">
        <v>11</v>
      </c>
      <c r="E3355" s="1" t="s">
        <v>11</v>
      </c>
    </row>
    <row r="3356" spans="1:5" ht="15.75" customHeight="1">
      <c r="A3356" s="1">
        <v>722230</v>
      </c>
      <c r="B3356" s="1" t="s">
        <v>3387</v>
      </c>
      <c r="C3356" s="1" t="s">
        <v>11</v>
      </c>
      <c r="D3356" s="1" t="s">
        <v>11</v>
      </c>
      <c r="E3356" s="1" t="s">
        <v>11</v>
      </c>
    </row>
    <row r="3357" spans="1:5" ht="15.75" customHeight="1">
      <c r="A3357" s="1">
        <v>722240</v>
      </c>
      <c r="B3357" s="1" t="s">
        <v>3388</v>
      </c>
      <c r="C3357" s="1" t="s">
        <v>11</v>
      </c>
      <c r="D3357" s="1" t="s">
        <v>11</v>
      </c>
      <c r="E3357" s="1" t="s">
        <v>11</v>
      </c>
    </row>
    <row r="3358" spans="1:5" ht="15.75" customHeight="1">
      <c r="A3358" s="1">
        <v>722300</v>
      </c>
      <c r="B3358" s="1" t="s">
        <v>3389</v>
      </c>
      <c r="C3358" s="1" t="s">
        <v>11</v>
      </c>
      <c r="D3358" s="1" t="s">
        <v>11</v>
      </c>
      <c r="E3358" s="1" t="s">
        <v>11</v>
      </c>
    </row>
    <row r="3359" spans="1:5" ht="15.75" customHeight="1">
      <c r="A3359" s="1">
        <v>722410</v>
      </c>
      <c r="B3359" s="1" t="s">
        <v>3390</v>
      </c>
      <c r="C3359" s="1" t="s">
        <v>11</v>
      </c>
      <c r="D3359" s="1" t="s">
        <v>11</v>
      </c>
      <c r="E3359" s="1" t="s">
        <v>11</v>
      </c>
    </row>
    <row r="3360" spans="1:5" ht="15.75" customHeight="1">
      <c r="A3360" s="1">
        <v>722490</v>
      </c>
      <c r="B3360" s="1" t="s">
        <v>3391</v>
      </c>
      <c r="C3360" s="1" t="s">
        <v>11</v>
      </c>
      <c r="D3360" s="1" t="s">
        <v>11</v>
      </c>
      <c r="E3360" s="1" t="s">
        <v>11</v>
      </c>
    </row>
    <row r="3361" spans="1:5" ht="15.75" customHeight="1">
      <c r="A3361" s="1">
        <v>722511</v>
      </c>
      <c r="B3361" s="1" t="s">
        <v>3392</v>
      </c>
      <c r="C3361" s="1" t="s">
        <v>11</v>
      </c>
      <c r="D3361" s="1" t="s">
        <v>11</v>
      </c>
      <c r="E3361" s="1" t="s">
        <v>11</v>
      </c>
    </row>
    <row r="3362" spans="1:5" ht="15.75" customHeight="1">
      <c r="A3362" s="1">
        <v>722519</v>
      </c>
      <c r="B3362" s="1" t="s">
        <v>3393</v>
      </c>
      <c r="C3362" s="1" t="s">
        <v>11</v>
      </c>
      <c r="D3362" s="1" t="s">
        <v>11</v>
      </c>
      <c r="E3362" s="1" t="s">
        <v>11</v>
      </c>
    </row>
    <row r="3363" spans="1:5" ht="15.75" customHeight="1">
      <c r="A3363" s="1">
        <v>722530</v>
      </c>
      <c r="B3363" s="1" t="s">
        <v>3394</v>
      </c>
      <c r="C3363" s="1" t="s">
        <v>11</v>
      </c>
      <c r="D3363" s="1" t="s">
        <v>11</v>
      </c>
      <c r="E3363" s="1" t="s">
        <v>11</v>
      </c>
    </row>
    <row r="3364" spans="1:5" ht="15.75" customHeight="1">
      <c r="A3364" s="1">
        <v>722540</v>
      </c>
      <c r="B3364" s="1" t="s">
        <v>3395</v>
      </c>
      <c r="C3364" s="1" t="s">
        <v>11</v>
      </c>
      <c r="D3364" s="1" t="s">
        <v>11</v>
      </c>
      <c r="E3364" s="1" t="s">
        <v>11</v>
      </c>
    </row>
    <row r="3365" spans="1:5" ht="15.75" customHeight="1">
      <c r="A3365" s="1">
        <v>722550</v>
      </c>
      <c r="B3365" s="1" t="s">
        <v>3396</v>
      </c>
      <c r="C3365" s="1" t="s">
        <v>11</v>
      </c>
      <c r="D3365" s="1" t="s">
        <v>11</v>
      </c>
      <c r="E3365" s="1" t="s">
        <v>11</v>
      </c>
    </row>
    <row r="3366" spans="1:5" ht="15.75" customHeight="1">
      <c r="A3366" s="1">
        <v>722591</v>
      </c>
      <c r="B3366" s="1" t="s">
        <v>3397</v>
      </c>
      <c r="C3366" s="1" t="s">
        <v>11</v>
      </c>
      <c r="D3366" s="1" t="s">
        <v>11</v>
      </c>
      <c r="E3366" s="1" t="s">
        <v>11</v>
      </c>
    </row>
    <row r="3367" spans="1:5" ht="15.75" customHeight="1">
      <c r="A3367" s="1">
        <v>722592</v>
      </c>
      <c r="B3367" s="1" t="s">
        <v>3398</v>
      </c>
      <c r="C3367" s="1" t="s">
        <v>11</v>
      </c>
      <c r="D3367" s="1" t="s">
        <v>11</v>
      </c>
      <c r="E3367" s="1" t="s">
        <v>11</v>
      </c>
    </row>
    <row r="3368" spans="1:5" ht="15.75" customHeight="1">
      <c r="A3368" s="1">
        <v>722599</v>
      </c>
      <c r="B3368" s="1" t="s">
        <v>3399</v>
      </c>
      <c r="C3368" s="1" t="s">
        <v>11</v>
      </c>
      <c r="D3368" s="1" t="s">
        <v>11</v>
      </c>
      <c r="E3368" s="1" t="s">
        <v>11</v>
      </c>
    </row>
    <row r="3369" spans="1:5" ht="15.75" customHeight="1">
      <c r="A3369" s="1">
        <v>722611</v>
      </c>
      <c r="B3369" s="1" t="s">
        <v>3400</v>
      </c>
      <c r="C3369" s="1" t="s">
        <v>11</v>
      </c>
      <c r="D3369" s="1" t="s">
        <v>11</v>
      </c>
      <c r="E3369" s="1" t="s">
        <v>11</v>
      </c>
    </row>
    <row r="3370" spans="1:5" ht="15.75" customHeight="1">
      <c r="A3370" s="1">
        <v>722619</v>
      </c>
      <c r="B3370" s="1" t="s">
        <v>3401</v>
      </c>
      <c r="C3370" s="1" t="s">
        <v>11</v>
      </c>
      <c r="D3370" s="1" t="s">
        <v>11</v>
      </c>
      <c r="E3370" s="1" t="s">
        <v>11</v>
      </c>
    </row>
    <row r="3371" spans="1:5" ht="15.75" customHeight="1">
      <c r="A3371" s="1">
        <v>722620</v>
      </c>
      <c r="B3371" s="1" t="s">
        <v>3402</v>
      </c>
      <c r="C3371" s="1" t="s">
        <v>11</v>
      </c>
      <c r="D3371" s="1" t="s">
        <v>11</v>
      </c>
      <c r="E3371" s="1" t="s">
        <v>11</v>
      </c>
    </row>
    <row r="3372" spans="1:5" ht="15.75" customHeight="1">
      <c r="A3372" s="1">
        <v>722691</v>
      </c>
      <c r="B3372" s="1" t="s">
        <v>3403</v>
      </c>
      <c r="C3372" s="1" t="s">
        <v>11</v>
      </c>
      <c r="D3372" s="1" t="s">
        <v>11</v>
      </c>
      <c r="E3372" s="1" t="s">
        <v>11</v>
      </c>
    </row>
    <row r="3373" spans="1:5" ht="15.75" customHeight="1">
      <c r="A3373" s="1">
        <v>722692</v>
      </c>
      <c r="B3373" s="1" t="s">
        <v>3404</v>
      </c>
      <c r="C3373" s="1" t="s">
        <v>11</v>
      </c>
      <c r="D3373" s="1" t="s">
        <v>11</v>
      </c>
      <c r="E3373" s="1" t="s">
        <v>11</v>
      </c>
    </row>
    <row r="3374" spans="1:5" ht="15.75" customHeight="1">
      <c r="A3374" s="1">
        <v>722699</v>
      </c>
      <c r="B3374" s="1" t="s">
        <v>3405</v>
      </c>
      <c r="C3374" s="1" t="s">
        <v>11</v>
      </c>
      <c r="D3374" s="1" t="s">
        <v>11</v>
      </c>
      <c r="E3374" s="1" t="s">
        <v>11</v>
      </c>
    </row>
    <row r="3375" spans="1:5" ht="15.75" customHeight="1">
      <c r="A3375" s="1">
        <v>722710</v>
      </c>
      <c r="B3375" s="1" t="s">
        <v>3406</v>
      </c>
      <c r="C3375" s="1" t="s">
        <v>11</v>
      </c>
      <c r="D3375" s="1" t="s">
        <v>11</v>
      </c>
      <c r="E3375" s="1" t="s">
        <v>11</v>
      </c>
    </row>
    <row r="3376" spans="1:5" ht="15.75" customHeight="1">
      <c r="A3376" s="1">
        <v>722720</v>
      </c>
      <c r="B3376" s="1" t="s">
        <v>3407</v>
      </c>
      <c r="C3376" s="1" t="s">
        <v>11</v>
      </c>
      <c r="D3376" s="1" t="s">
        <v>11</v>
      </c>
      <c r="E3376" s="1" t="s">
        <v>11</v>
      </c>
    </row>
    <row r="3377" spans="1:5" ht="15.75" customHeight="1">
      <c r="A3377" s="1">
        <v>722790</v>
      </c>
      <c r="B3377" s="1" t="s">
        <v>3408</v>
      </c>
      <c r="C3377" s="1" t="s">
        <v>11</v>
      </c>
      <c r="D3377" s="1" t="s">
        <v>11</v>
      </c>
      <c r="E3377" s="1" t="s">
        <v>11</v>
      </c>
    </row>
    <row r="3378" spans="1:5" ht="15.75" customHeight="1">
      <c r="A3378" s="1">
        <v>722810</v>
      </c>
      <c r="B3378" s="1" t="s">
        <v>3409</v>
      </c>
      <c r="C3378" s="1" t="s">
        <v>11</v>
      </c>
      <c r="D3378" s="1" t="s">
        <v>11</v>
      </c>
      <c r="E3378" s="1" t="s">
        <v>11</v>
      </c>
    </row>
    <row r="3379" spans="1:5" ht="15.75" customHeight="1">
      <c r="A3379" s="1">
        <v>722820</v>
      </c>
      <c r="B3379" s="1" t="s">
        <v>3410</v>
      </c>
      <c r="C3379" s="1" t="s">
        <v>11</v>
      </c>
      <c r="D3379" s="1" t="s">
        <v>11</v>
      </c>
      <c r="E3379" s="1" t="s">
        <v>11</v>
      </c>
    </row>
    <row r="3380" spans="1:5" ht="15.75" customHeight="1">
      <c r="A3380" s="1">
        <v>722830</v>
      </c>
      <c r="B3380" s="1" t="s">
        <v>3411</v>
      </c>
      <c r="C3380" s="1" t="s">
        <v>11</v>
      </c>
      <c r="D3380" s="1" t="s">
        <v>11</v>
      </c>
      <c r="E3380" s="1" t="s">
        <v>11</v>
      </c>
    </row>
    <row r="3381" spans="1:5" ht="15.75" customHeight="1">
      <c r="A3381" s="1">
        <v>722840</v>
      </c>
      <c r="B3381" s="1" t="s">
        <v>3412</v>
      </c>
      <c r="C3381" s="1" t="s">
        <v>11</v>
      </c>
      <c r="D3381" s="1" t="s">
        <v>11</v>
      </c>
      <c r="E3381" s="1" t="s">
        <v>11</v>
      </c>
    </row>
    <row r="3382" spans="1:5" ht="15.75" customHeight="1">
      <c r="A3382" s="1">
        <v>722850</v>
      </c>
      <c r="B3382" s="1" t="s">
        <v>3413</v>
      </c>
      <c r="C3382" s="1" t="s">
        <v>11</v>
      </c>
      <c r="D3382" s="1" t="s">
        <v>11</v>
      </c>
      <c r="E3382" s="1" t="s">
        <v>11</v>
      </c>
    </row>
    <row r="3383" spans="1:5" ht="15.75" customHeight="1">
      <c r="A3383" s="1">
        <v>722860</v>
      </c>
      <c r="B3383" s="1" t="s">
        <v>3414</v>
      </c>
      <c r="C3383" s="1" t="s">
        <v>11</v>
      </c>
      <c r="D3383" s="1" t="s">
        <v>11</v>
      </c>
      <c r="E3383" s="1" t="s">
        <v>11</v>
      </c>
    </row>
    <row r="3384" spans="1:5" ht="15.75" customHeight="1">
      <c r="A3384" s="1">
        <v>722870</v>
      </c>
      <c r="B3384" s="1" t="s">
        <v>3415</v>
      </c>
      <c r="C3384" s="1" t="s">
        <v>11</v>
      </c>
      <c r="D3384" s="1" t="s">
        <v>11</v>
      </c>
      <c r="E3384" s="1" t="s">
        <v>11</v>
      </c>
    </row>
    <row r="3385" spans="1:5" ht="15.75" customHeight="1">
      <c r="A3385" s="1">
        <v>722880</v>
      </c>
      <c r="B3385" s="1" t="s">
        <v>3416</v>
      </c>
      <c r="C3385" s="1" t="s">
        <v>11</v>
      </c>
      <c r="D3385" s="1" t="s">
        <v>11</v>
      </c>
      <c r="E3385" s="1" t="s">
        <v>11</v>
      </c>
    </row>
    <row r="3386" spans="1:5" ht="15.75" customHeight="1">
      <c r="A3386" s="1">
        <v>722920</v>
      </c>
      <c r="B3386" s="1" t="s">
        <v>3417</v>
      </c>
      <c r="C3386" s="1" t="s">
        <v>11</v>
      </c>
      <c r="D3386" s="1" t="s">
        <v>11</v>
      </c>
      <c r="E3386" s="1" t="s">
        <v>11</v>
      </c>
    </row>
    <row r="3387" spans="1:5" ht="15.75" customHeight="1">
      <c r="A3387" s="1">
        <v>722990</v>
      </c>
      <c r="B3387" s="1" t="s">
        <v>3418</v>
      </c>
      <c r="C3387" s="1" t="s">
        <v>11</v>
      </c>
      <c r="D3387" s="1" t="s">
        <v>11</v>
      </c>
      <c r="E3387" s="1" t="s">
        <v>11</v>
      </c>
    </row>
    <row r="3388" spans="1:5" ht="15.75" customHeight="1">
      <c r="A3388" s="1">
        <v>730110</v>
      </c>
      <c r="B3388" s="1" t="s">
        <v>3419</v>
      </c>
      <c r="C3388" s="1" t="s">
        <v>11</v>
      </c>
      <c r="D3388" s="1" t="s">
        <v>11</v>
      </c>
      <c r="E3388" s="1" t="s">
        <v>11</v>
      </c>
    </row>
    <row r="3389" spans="1:5" ht="15.75" customHeight="1">
      <c r="A3389" s="1">
        <v>730120</v>
      </c>
      <c r="B3389" s="1" t="s">
        <v>3420</v>
      </c>
      <c r="C3389" s="1" t="s">
        <v>11</v>
      </c>
      <c r="D3389" s="1" t="s">
        <v>11</v>
      </c>
      <c r="E3389" s="1" t="s">
        <v>11</v>
      </c>
    </row>
    <row r="3390" spans="1:5" ht="15.75" customHeight="1">
      <c r="A3390" s="1">
        <v>730210</v>
      </c>
      <c r="B3390" s="1" t="s">
        <v>3421</v>
      </c>
      <c r="C3390" s="1" t="s">
        <v>11</v>
      </c>
      <c r="D3390" s="1" t="s">
        <v>11</v>
      </c>
      <c r="E3390" s="1" t="s">
        <v>11</v>
      </c>
    </row>
    <row r="3391" spans="1:5" ht="15.75" customHeight="1">
      <c r="A3391" s="1">
        <v>730230</v>
      </c>
      <c r="B3391" s="1" t="s">
        <v>3422</v>
      </c>
      <c r="C3391" s="1" t="s">
        <v>11</v>
      </c>
      <c r="D3391" s="1" t="s">
        <v>11</v>
      </c>
      <c r="E3391" s="1" t="s">
        <v>11</v>
      </c>
    </row>
    <row r="3392" spans="1:5" ht="15.75" customHeight="1">
      <c r="A3392" s="1">
        <v>730240</v>
      </c>
      <c r="B3392" s="1" t="s">
        <v>3423</v>
      </c>
      <c r="C3392" s="1" t="s">
        <v>11</v>
      </c>
      <c r="D3392" s="1" t="s">
        <v>11</v>
      </c>
      <c r="E3392" s="1" t="s">
        <v>11</v>
      </c>
    </row>
    <row r="3393" spans="1:5" ht="15.75" customHeight="1">
      <c r="A3393" s="1">
        <v>730290</v>
      </c>
      <c r="B3393" s="1" t="s">
        <v>3424</v>
      </c>
      <c r="C3393" s="1" t="s">
        <v>11</v>
      </c>
      <c r="D3393" s="1" t="s">
        <v>11</v>
      </c>
      <c r="E3393" s="1" t="s">
        <v>11</v>
      </c>
    </row>
    <row r="3394" spans="1:5" ht="15.75" customHeight="1">
      <c r="A3394" s="1">
        <v>730300</v>
      </c>
      <c r="B3394" s="1" t="s">
        <v>3425</v>
      </c>
      <c r="C3394" s="1" t="s">
        <v>11</v>
      </c>
      <c r="D3394" s="1" t="s">
        <v>11</v>
      </c>
      <c r="E3394" s="1" t="s">
        <v>11</v>
      </c>
    </row>
    <row r="3395" spans="1:5" ht="15.75" customHeight="1">
      <c r="A3395" s="1">
        <v>730411</v>
      </c>
      <c r="B3395" s="1" t="s">
        <v>3426</v>
      </c>
      <c r="C3395" s="1" t="s">
        <v>11</v>
      </c>
      <c r="D3395" s="1" t="s">
        <v>11</v>
      </c>
      <c r="E3395" s="1" t="s">
        <v>11</v>
      </c>
    </row>
    <row r="3396" spans="1:5" ht="15.75" customHeight="1">
      <c r="A3396" s="1">
        <v>730419</v>
      </c>
      <c r="B3396" s="1" t="s">
        <v>3427</v>
      </c>
      <c r="C3396" s="1" t="s">
        <v>11</v>
      </c>
      <c r="D3396" s="1" t="s">
        <v>11</v>
      </c>
      <c r="E3396" s="1" t="s">
        <v>11</v>
      </c>
    </row>
    <row r="3397" spans="1:5" ht="15.75" customHeight="1">
      <c r="A3397" s="1">
        <v>730422</v>
      </c>
      <c r="B3397" s="1" t="s">
        <v>3428</v>
      </c>
      <c r="C3397" s="1" t="s">
        <v>11</v>
      </c>
      <c r="D3397" s="1" t="s">
        <v>11</v>
      </c>
      <c r="E3397" s="1" t="s">
        <v>11</v>
      </c>
    </row>
    <row r="3398" spans="1:5" ht="15.75" customHeight="1">
      <c r="A3398" s="1">
        <v>730423</v>
      </c>
      <c r="B3398" s="1" t="s">
        <v>3429</v>
      </c>
      <c r="C3398" s="1" t="s">
        <v>11</v>
      </c>
      <c r="D3398" s="1" t="s">
        <v>11</v>
      </c>
      <c r="E3398" s="1" t="s">
        <v>11</v>
      </c>
    </row>
    <row r="3399" spans="1:5" ht="15.75" customHeight="1">
      <c r="A3399" s="1">
        <v>730424</v>
      </c>
      <c r="B3399" s="1" t="s">
        <v>3430</v>
      </c>
      <c r="C3399" s="1" t="s">
        <v>11</v>
      </c>
      <c r="D3399" s="1" t="s">
        <v>11</v>
      </c>
      <c r="E3399" s="1" t="s">
        <v>11</v>
      </c>
    </row>
    <row r="3400" spans="1:5" ht="15.75" customHeight="1">
      <c r="A3400" s="1">
        <v>730429</v>
      </c>
      <c r="B3400" s="1" t="s">
        <v>3431</v>
      </c>
      <c r="C3400" s="1" t="s">
        <v>11</v>
      </c>
      <c r="D3400" s="1" t="s">
        <v>11</v>
      </c>
      <c r="E3400" s="1" t="s">
        <v>11</v>
      </c>
    </row>
    <row r="3401" spans="1:5" ht="15.75" customHeight="1">
      <c r="A3401" s="1">
        <v>730431</v>
      </c>
      <c r="B3401" s="1" t="s">
        <v>3432</v>
      </c>
      <c r="C3401" s="1" t="s">
        <v>11</v>
      </c>
      <c r="D3401" s="1" t="s">
        <v>11</v>
      </c>
      <c r="E3401" s="1" t="s">
        <v>11</v>
      </c>
    </row>
    <row r="3402" spans="1:5" ht="15.75" customHeight="1">
      <c r="A3402" s="1">
        <v>730439</v>
      </c>
      <c r="B3402" s="1" t="s">
        <v>3433</v>
      </c>
      <c r="C3402" s="1" t="s">
        <v>11</v>
      </c>
      <c r="D3402" s="1" t="s">
        <v>11</v>
      </c>
      <c r="E3402" s="1" t="s">
        <v>11</v>
      </c>
    </row>
    <row r="3403" spans="1:5" ht="15.75" customHeight="1">
      <c r="A3403" s="1">
        <v>730441</v>
      </c>
      <c r="B3403" s="1" t="s">
        <v>3434</v>
      </c>
      <c r="C3403" s="1" t="s">
        <v>11</v>
      </c>
      <c r="D3403" s="1" t="s">
        <v>11</v>
      </c>
      <c r="E3403" s="1" t="s">
        <v>11</v>
      </c>
    </row>
    <row r="3404" spans="1:5" ht="15.75" customHeight="1">
      <c r="A3404" s="1">
        <v>730449</v>
      </c>
      <c r="B3404" s="1" t="s">
        <v>3435</v>
      </c>
      <c r="C3404" s="1" t="s">
        <v>11</v>
      </c>
      <c r="D3404" s="1" t="s">
        <v>11</v>
      </c>
      <c r="E3404" s="1" t="s">
        <v>11</v>
      </c>
    </row>
    <row r="3405" spans="1:5" ht="15.75" customHeight="1">
      <c r="A3405" s="1">
        <v>730451</v>
      </c>
      <c r="B3405" s="1" t="s">
        <v>3436</v>
      </c>
      <c r="C3405" s="1" t="s">
        <v>11</v>
      </c>
      <c r="D3405" s="1" t="s">
        <v>11</v>
      </c>
      <c r="E3405" s="1" t="s">
        <v>11</v>
      </c>
    </row>
    <row r="3406" spans="1:5" ht="15.75" customHeight="1">
      <c r="A3406" s="1">
        <v>730459</v>
      </c>
      <c r="B3406" s="1" t="s">
        <v>3437</v>
      </c>
      <c r="C3406" s="1" t="s">
        <v>11</v>
      </c>
      <c r="D3406" s="1" t="s">
        <v>11</v>
      </c>
      <c r="E3406" s="1" t="s">
        <v>11</v>
      </c>
    </row>
    <row r="3407" spans="1:5" ht="15.75" customHeight="1">
      <c r="A3407" s="1">
        <v>730490</v>
      </c>
      <c r="B3407" s="1" t="s">
        <v>3438</v>
      </c>
      <c r="C3407" s="1" t="s">
        <v>11</v>
      </c>
      <c r="D3407" s="1" t="s">
        <v>11</v>
      </c>
      <c r="E3407" s="1" t="s">
        <v>11</v>
      </c>
    </row>
    <row r="3408" spans="1:5" ht="15.75" customHeight="1">
      <c r="A3408" s="1">
        <v>730511</v>
      </c>
      <c r="B3408" s="1" t="s">
        <v>3439</v>
      </c>
      <c r="C3408" s="1" t="s">
        <v>11</v>
      </c>
      <c r="D3408" s="1" t="s">
        <v>11</v>
      </c>
      <c r="E3408" s="1" t="s">
        <v>11</v>
      </c>
    </row>
    <row r="3409" spans="1:5" ht="15.75" customHeight="1">
      <c r="A3409" s="1">
        <v>730512</v>
      </c>
      <c r="B3409" s="1" t="s">
        <v>3440</v>
      </c>
      <c r="C3409" s="1" t="s">
        <v>11</v>
      </c>
      <c r="D3409" s="1" t="s">
        <v>11</v>
      </c>
      <c r="E3409" s="1" t="s">
        <v>11</v>
      </c>
    </row>
    <row r="3410" spans="1:5" ht="15.75" customHeight="1">
      <c r="A3410" s="1">
        <v>730519</v>
      </c>
      <c r="B3410" s="1" t="s">
        <v>3441</v>
      </c>
      <c r="C3410" s="1" t="s">
        <v>11</v>
      </c>
      <c r="D3410" s="1" t="s">
        <v>11</v>
      </c>
      <c r="E3410" s="1" t="s">
        <v>11</v>
      </c>
    </row>
    <row r="3411" spans="1:5" ht="15.75" customHeight="1">
      <c r="A3411" s="1">
        <v>730520</v>
      </c>
      <c r="B3411" s="1" t="s">
        <v>3442</v>
      </c>
      <c r="C3411" s="1" t="s">
        <v>11</v>
      </c>
      <c r="D3411" s="1" t="s">
        <v>11</v>
      </c>
      <c r="E3411" s="1" t="s">
        <v>11</v>
      </c>
    </row>
    <row r="3412" spans="1:5" ht="15.75" customHeight="1">
      <c r="A3412" s="1">
        <v>730531</v>
      </c>
      <c r="B3412" s="1" t="s">
        <v>3443</v>
      </c>
      <c r="C3412" s="1" t="s">
        <v>11</v>
      </c>
      <c r="D3412" s="1" t="s">
        <v>11</v>
      </c>
      <c r="E3412" s="1" t="s">
        <v>11</v>
      </c>
    </row>
    <row r="3413" spans="1:5" ht="15.75" customHeight="1">
      <c r="A3413" s="1">
        <v>730539</v>
      </c>
      <c r="B3413" s="1" t="s">
        <v>3444</v>
      </c>
      <c r="C3413" s="1" t="s">
        <v>11</v>
      </c>
      <c r="D3413" s="1" t="s">
        <v>11</v>
      </c>
      <c r="E3413" s="1" t="s">
        <v>11</v>
      </c>
    </row>
    <row r="3414" spans="1:5" ht="15.75" customHeight="1">
      <c r="A3414" s="1">
        <v>730590</v>
      </c>
      <c r="B3414" s="1" t="s">
        <v>3445</v>
      </c>
      <c r="C3414" s="1" t="s">
        <v>11</v>
      </c>
      <c r="D3414" s="1" t="s">
        <v>11</v>
      </c>
      <c r="E3414" s="1" t="s">
        <v>11</v>
      </c>
    </row>
    <row r="3415" spans="1:5" ht="15.75" customHeight="1">
      <c r="A3415" s="1">
        <v>730611</v>
      </c>
      <c r="B3415" s="1" t="s">
        <v>3446</v>
      </c>
      <c r="C3415" s="1" t="s">
        <v>11</v>
      </c>
      <c r="D3415" s="1" t="s">
        <v>11</v>
      </c>
      <c r="E3415" s="1" t="s">
        <v>11</v>
      </c>
    </row>
    <row r="3416" spans="1:5" ht="15.75" customHeight="1">
      <c r="A3416" s="1">
        <v>730619</v>
      </c>
      <c r="B3416" s="1" t="s">
        <v>3447</v>
      </c>
      <c r="C3416" s="1" t="s">
        <v>11</v>
      </c>
      <c r="D3416" s="1" t="s">
        <v>11</v>
      </c>
      <c r="E3416" s="1" t="s">
        <v>11</v>
      </c>
    </row>
    <row r="3417" spans="1:5" ht="15.75" customHeight="1">
      <c r="A3417" s="1">
        <v>730621</v>
      </c>
      <c r="B3417" s="1" t="s">
        <v>3448</v>
      </c>
      <c r="C3417" s="1" t="s">
        <v>11</v>
      </c>
      <c r="D3417" s="1" t="s">
        <v>11</v>
      </c>
      <c r="E3417" s="1" t="s">
        <v>11</v>
      </c>
    </row>
    <row r="3418" spans="1:5" ht="15.75" customHeight="1">
      <c r="A3418" s="1">
        <v>730629</v>
      </c>
      <c r="B3418" s="1" t="s">
        <v>3449</v>
      </c>
      <c r="C3418" s="1" t="s">
        <v>11</v>
      </c>
      <c r="D3418" s="1" t="s">
        <v>11</v>
      </c>
      <c r="E3418" s="1" t="s">
        <v>11</v>
      </c>
    </row>
    <row r="3419" spans="1:5" ht="15.75" customHeight="1">
      <c r="A3419" s="1">
        <v>730630</v>
      </c>
      <c r="B3419" s="1" t="s">
        <v>3450</v>
      </c>
      <c r="C3419" s="1" t="s">
        <v>11</v>
      </c>
      <c r="D3419" s="1" t="s">
        <v>11</v>
      </c>
      <c r="E3419" s="1" t="s">
        <v>11</v>
      </c>
    </row>
    <row r="3420" spans="1:5" ht="15.75" customHeight="1">
      <c r="A3420" s="1">
        <v>730640</v>
      </c>
      <c r="B3420" s="1" t="s">
        <v>3451</v>
      </c>
      <c r="C3420" s="1" t="s">
        <v>11</v>
      </c>
      <c r="D3420" s="1" t="s">
        <v>11</v>
      </c>
      <c r="E3420" s="1" t="s">
        <v>11</v>
      </c>
    </row>
    <row r="3421" spans="1:5" ht="15.75" customHeight="1">
      <c r="A3421" s="1">
        <v>730650</v>
      </c>
      <c r="B3421" s="1" t="s">
        <v>3452</v>
      </c>
      <c r="C3421" s="1" t="s">
        <v>11</v>
      </c>
      <c r="D3421" s="1" t="s">
        <v>11</v>
      </c>
      <c r="E3421" s="1" t="s">
        <v>11</v>
      </c>
    </row>
    <row r="3422" spans="1:5" ht="15.75" customHeight="1">
      <c r="A3422" s="1">
        <v>730661</v>
      </c>
      <c r="B3422" s="1" t="s">
        <v>3453</v>
      </c>
      <c r="C3422" s="1" t="s">
        <v>11</v>
      </c>
      <c r="D3422" s="1" t="s">
        <v>11</v>
      </c>
      <c r="E3422" s="1" t="s">
        <v>11</v>
      </c>
    </row>
    <row r="3423" spans="1:5" ht="15.75" customHeight="1">
      <c r="A3423" s="1">
        <v>730669</v>
      </c>
      <c r="B3423" s="1" t="s">
        <v>3454</v>
      </c>
      <c r="C3423" s="1" t="s">
        <v>11</v>
      </c>
      <c r="D3423" s="1" t="s">
        <v>11</v>
      </c>
      <c r="E3423" s="1" t="s">
        <v>11</v>
      </c>
    </row>
    <row r="3424" spans="1:5" ht="15.75" customHeight="1">
      <c r="A3424" s="1">
        <v>730690</v>
      </c>
      <c r="B3424" s="1" t="s">
        <v>3455</v>
      </c>
      <c r="C3424" s="1" t="s">
        <v>11</v>
      </c>
      <c r="D3424" s="1" t="s">
        <v>11</v>
      </c>
      <c r="E3424" s="1" t="s">
        <v>11</v>
      </c>
    </row>
    <row r="3425" spans="1:5" ht="15.75" customHeight="1">
      <c r="A3425" s="1">
        <v>730711</v>
      </c>
      <c r="B3425" s="1" t="s">
        <v>3456</v>
      </c>
      <c r="C3425" s="1" t="s">
        <v>11</v>
      </c>
      <c r="D3425" s="1" t="s">
        <v>11</v>
      </c>
      <c r="E3425" s="1" t="s">
        <v>11</v>
      </c>
    </row>
    <row r="3426" spans="1:5" ht="15.75" customHeight="1">
      <c r="A3426" s="1">
        <v>730719</v>
      </c>
      <c r="B3426" s="1" t="s">
        <v>3457</v>
      </c>
      <c r="C3426" s="1" t="s">
        <v>11</v>
      </c>
      <c r="D3426" s="1" t="s">
        <v>11</v>
      </c>
      <c r="E3426" s="1" t="s">
        <v>11</v>
      </c>
    </row>
    <row r="3427" spans="1:5" ht="15.75" customHeight="1">
      <c r="A3427" s="1">
        <v>730721</v>
      </c>
      <c r="B3427" s="1" t="s">
        <v>3458</v>
      </c>
      <c r="C3427" s="1" t="s">
        <v>11</v>
      </c>
      <c r="D3427" s="1" t="s">
        <v>11</v>
      </c>
      <c r="E3427" s="1" t="s">
        <v>11</v>
      </c>
    </row>
    <row r="3428" spans="1:5" ht="15.75" customHeight="1">
      <c r="A3428" s="1">
        <v>730722</v>
      </c>
      <c r="B3428" s="1" t="s">
        <v>3459</v>
      </c>
      <c r="C3428" s="1" t="s">
        <v>11</v>
      </c>
      <c r="D3428" s="1" t="s">
        <v>11</v>
      </c>
      <c r="E3428" s="1" t="s">
        <v>11</v>
      </c>
    </row>
    <row r="3429" spans="1:5" ht="15.75" customHeight="1">
      <c r="A3429" s="1">
        <v>730723</v>
      </c>
      <c r="B3429" s="1" t="s">
        <v>3460</v>
      </c>
      <c r="C3429" s="1" t="s">
        <v>11</v>
      </c>
      <c r="D3429" s="1" t="s">
        <v>11</v>
      </c>
      <c r="E3429" s="1" t="s">
        <v>11</v>
      </c>
    </row>
    <row r="3430" spans="1:5" ht="15.75" customHeight="1">
      <c r="A3430" s="1">
        <v>730729</v>
      </c>
      <c r="B3430" s="1" t="s">
        <v>3461</v>
      </c>
      <c r="C3430" s="1" t="s">
        <v>11</v>
      </c>
      <c r="D3430" s="1" t="s">
        <v>11</v>
      </c>
      <c r="E3430" s="1" t="s">
        <v>11</v>
      </c>
    </row>
    <row r="3431" spans="1:5" ht="15.75" customHeight="1">
      <c r="A3431" s="1">
        <v>730791</v>
      </c>
      <c r="B3431" s="1" t="s">
        <v>3462</v>
      </c>
      <c r="C3431" s="1" t="s">
        <v>11</v>
      </c>
      <c r="D3431" s="1" t="s">
        <v>11</v>
      </c>
      <c r="E3431" s="1" t="s">
        <v>11</v>
      </c>
    </row>
    <row r="3432" spans="1:5" ht="15.75" customHeight="1">
      <c r="A3432" s="1">
        <v>730792</v>
      </c>
      <c r="B3432" s="1" t="s">
        <v>3463</v>
      </c>
      <c r="C3432" s="1" t="s">
        <v>11</v>
      </c>
      <c r="D3432" s="1" t="s">
        <v>11</v>
      </c>
      <c r="E3432" s="1" t="s">
        <v>11</v>
      </c>
    </row>
    <row r="3433" spans="1:5" ht="15.75" customHeight="1">
      <c r="A3433" s="1">
        <v>730793</v>
      </c>
      <c r="B3433" s="1" t="s">
        <v>3464</v>
      </c>
      <c r="C3433" s="1" t="s">
        <v>11</v>
      </c>
      <c r="D3433" s="1" t="s">
        <v>11</v>
      </c>
      <c r="E3433" s="1" t="s">
        <v>11</v>
      </c>
    </row>
    <row r="3434" spans="1:5" ht="15.75" customHeight="1">
      <c r="A3434" s="1">
        <v>730799</v>
      </c>
      <c r="B3434" s="1" t="s">
        <v>3465</v>
      </c>
      <c r="C3434" s="1" t="s">
        <v>11</v>
      </c>
      <c r="D3434" s="1" t="s">
        <v>11</v>
      </c>
      <c r="E3434" s="1" t="s">
        <v>11</v>
      </c>
    </row>
    <row r="3435" spans="1:5" ht="15.75" customHeight="1">
      <c r="A3435" s="1">
        <v>730810</v>
      </c>
      <c r="B3435" s="1" t="s">
        <v>3466</v>
      </c>
      <c r="C3435" s="1" t="s">
        <v>11</v>
      </c>
      <c r="D3435" s="1" t="s">
        <v>11</v>
      </c>
      <c r="E3435" s="1" t="s">
        <v>11</v>
      </c>
    </row>
    <row r="3436" spans="1:5" ht="15.75" customHeight="1">
      <c r="A3436" s="1">
        <v>730820</v>
      </c>
      <c r="B3436" s="1" t="s">
        <v>3467</v>
      </c>
      <c r="C3436" s="1" t="s">
        <v>11</v>
      </c>
      <c r="D3436" s="1" t="s">
        <v>11</v>
      </c>
      <c r="E3436" s="1" t="s">
        <v>11</v>
      </c>
    </row>
    <row r="3437" spans="1:5" ht="15.75" customHeight="1">
      <c r="A3437" s="1">
        <v>730830</v>
      </c>
      <c r="B3437" s="1" t="s">
        <v>3468</v>
      </c>
      <c r="C3437" s="1" t="s">
        <v>11</v>
      </c>
      <c r="D3437" s="1" t="s">
        <v>11</v>
      </c>
      <c r="E3437" s="1" t="s">
        <v>11</v>
      </c>
    </row>
    <row r="3438" spans="1:5" ht="15.75" customHeight="1">
      <c r="A3438" s="1">
        <v>730840</v>
      </c>
      <c r="B3438" s="1" t="s">
        <v>3469</v>
      </c>
      <c r="C3438" s="1" t="s">
        <v>11</v>
      </c>
      <c r="D3438" s="1" t="s">
        <v>11</v>
      </c>
      <c r="E3438" s="1" t="s">
        <v>11</v>
      </c>
    </row>
    <row r="3439" spans="1:5" ht="15.75" customHeight="1">
      <c r="A3439" s="1">
        <v>730890</v>
      </c>
      <c r="B3439" s="1" t="s">
        <v>3470</v>
      </c>
      <c r="C3439" s="1" t="s">
        <v>11</v>
      </c>
      <c r="D3439" s="1" t="s">
        <v>11</v>
      </c>
      <c r="E3439" s="1" t="s">
        <v>11</v>
      </c>
    </row>
    <row r="3440" spans="1:5" ht="15.75" customHeight="1">
      <c r="A3440" s="1">
        <v>730900</v>
      </c>
      <c r="B3440" s="1" t="s">
        <v>3471</v>
      </c>
      <c r="C3440" s="1" t="s">
        <v>11</v>
      </c>
      <c r="D3440" s="1" t="s">
        <v>11</v>
      </c>
      <c r="E3440" s="1" t="s">
        <v>11</v>
      </c>
    </row>
    <row r="3441" spans="1:5" ht="15.75" customHeight="1">
      <c r="A3441" s="1">
        <v>731010</v>
      </c>
      <c r="B3441" s="1" t="s">
        <v>3472</v>
      </c>
      <c r="C3441" s="1" t="s">
        <v>11</v>
      </c>
      <c r="D3441" s="1" t="s">
        <v>11</v>
      </c>
      <c r="E3441" s="1" t="s">
        <v>11</v>
      </c>
    </row>
    <row r="3442" spans="1:5" ht="15.75" customHeight="1">
      <c r="A3442" s="1">
        <v>731021</v>
      </c>
      <c r="B3442" s="1" t="s">
        <v>3473</v>
      </c>
      <c r="C3442" s="1" t="s">
        <v>11</v>
      </c>
      <c r="D3442" s="1" t="s">
        <v>11</v>
      </c>
      <c r="E3442" s="1" t="s">
        <v>11</v>
      </c>
    </row>
    <row r="3443" spans="1:5" ht="15.75" customHeight="1">
      <c r="A3443" s="1">
        <v>731029</v>
      </c>
      <c r="B3443" s="1" t="s">
        <v>3474</v>
      </c>
      <c r="C3443" s="1" t="s">
        <v>11</v>
      </c>
      <c r="D3443" s="1" t="s">
        <v>11</v>
      </c>
      <c r="E3443" s="1" t="s">
        <v>11</v>
      </c>
    </row>
    <row r="3444" spans="1:5" ht="15.75" customHeight="1">
      <c r="A3444" s="1">
        <v>731100</v>
      </c>
      <c r="B3444" s="1" t="s">
        <v>3475</v>
      </c>
      <c r="C3444" s="1" t="s">
        <v>11</v>
      </c>
      <c r="D3444" s="1" t="s">
        <v>11</v>
      </c>
      <c r="E3444" s="1" t="s">
        <v>11</v>
      </c>
    </row>
    <row r="3445" spans="1:5" ht="15.75" customHeight="1">
      <c r="A3445" s="1">
        <v>731210</v>
      </c>
      <c r="B3445" s="1" t="s">
        <v>3476</v>
      </c>
      <c r="C3445" s="1" t="s">
        <v>11</v>
      </c>
      <c r="D3445" s="1" t="s">
        <v>11</v>
      </c>
      <c r="E3445" s="1" t="s">
        <v>11</v>
      </c>
    </row>
    <row r="3446" spans="1:5" ht="15.75" customHeight="1">
      <c r="A3446" s="1">
        <v>731290</v>
      </c>
      <c r="B3446" s="1" t="s">
        <v>3477</v>
      </c>
      <c r="C3446" s="1" t="s">
        <v>11</v>
      </c>
      <c r="D3446" s="1" t="s">
        <v>11</v>
      </c>
      <c r="E3446" s="1" t="s">
        <v>11</v>
      </c>
    </row>
    <row r="3447" spans="1:5" ht="15.75" customHeight="1">
      <c r="A3447" s="1">
        <v>731300</v>
      </c>
      <c r="B3447" s="1" t="s">
        <v>3478</v>
      </c>
      <c r="C3447" s="1" t="s">
        <v>11</v>
      </c>
      <c r="D3447" s="1" t="s">
        <v>11</v>
      </c>
      <c r="E3447" s="1" t="s">
        <v>11</v>
      </c>
    </row>
    <row r="3448" spans="1:5" ht="15.75" customHeight="1">
      <c r="A3448" s="1">
        <v>731412</v>
      </c>
      <c r="B3448" s="1" t="s">
        <v>3479</v>
      </c>
      <c r="C3448" s="1" t="s">
        <v>11</v>
      </c>
      <c r="D3448" s="1" t="s">
        <v>11</v>
      </c>
      <c r="E3448" s="1" t="s">
        <v>11</v>
      </c>
    </row>
    <row r="3449" spans="1:5" ht="15.75" customHeight="1">
      <c r="A3449" s="1">
        <v>731414</v>
      </c>
      <c r="B3449" s="1" t="s">
        <v>3480</v>
      </c>
      <c r="C3449" s="1" t="s">
        <v>11</v>
      </c>
      <c r="D3449" s="1" t="s">
        <v>11</v>
      </c>
      <c r="E3449" s="1" t="s">
        <v>11</v>
      </c>
    </row>
    <row r="3450" spans="1:5" ht="15.75" customHeight="1">
      <c r="A3450" s="1">
        <v>731419</v>
      </c>
      <c r="B3450" s="1" t="s">
        <v>3481</v>
      </c>
      <c r="C3450" s="1" t="s">
        <v>11</v>
      </c>
      <c r="D3450" s="1" t="s">
        <v>11</v>
      </c>
      <c r="E3450" s="1" t="s">
        <v>11</v>
      </c>
    </row>
    <row r="3451" spans="1:5" ht="15.75" customHeight="1">
      <c r="A3451" s="1">
        <v>731420</v>
      </c>
      <c r="B3451" s="1" t="s">
        <v>3482</v>
      </c>
      <c r="C3451" s="1" t="s">
        <v>11</v>
      </c>
      <c r="D3451" s="1" t="s">
        <v>11</v>
      </c>
      <c r="E3451" s="1" t="s">
        <v>11</v>
      </c>
    </row>
    <row r="3452" spans="1:5" ht="15.75" customHeight="1">
      <c r="A3452" s="1">
        <v>731431</v>
      </c>
      <c r="B3452" s="1" t="s">
        <v>3483</v>
      </c>
      <c r="C3452" s="1" t="s">
        <v>11</v>
      </c>
      <c r="D3452" s="1" t="s">
        <v>11</v>
      </c>
      <c r="E3452" s="1" t="s">
        <v>11</v>
      </c>
    </row>
    <row r="3453" spans="1:5" ht="15.75" customHeight="1">
      <c r="A3453" s="1">
        <v>731439</v>
      </c>
      <c r="B3453" s="1" t="s">
        <v>3484</v>
      </c>
      <c r="C3453" s="1" t="s">
        <v>11</v>
      </c>
      <c r="D3453" s="1" t="s">
        <v>11</v>
      </c>
      <c r="E3453" s="1" t="s">
        <v>11</v>
      </c>
    </row>
    <row r="3454" spans="1:5" ht="15.75" customHeight="1">
      <c r="A3454" s="1">
        <v>731441</v>
      </c>
      <c r="B3454" s="1" t="s">
        <v>3485</v>
      </c>
      <c r="C3454" s="1" t="s">
        <v>11</v>
      </c>
      <c r="D3454" s="1" t="s">
        <v>11</v>
      </c>
      <c r="E3454" s="1" t="s">
        <v>11</v>
      </c>
    </row>
    <row r="3455" spans="1:5" ht="15.75" customHeight="1">
      <c r="A3455" s="1">
        <v>731442</v>
      </c>
      <c r="B3455" s="1" t="s">
        <v>3486</v>
      </c>
      <c r="C3455" s="1" t="s">
        <v>11</v>
      </c>
      <c r="D3455" s="1" t="s">
        <v>11</v>
      </c>
      <c r="E3455" s="1" t="s">
        <v>11</v>
      </c>
    </row>
    <row r="3456" spans="1:5" ht="15.75" customHeight="1">
      <c r="A3456" s="1">
        <v>731449</v>
      </c>
      <c r="B3456" s="1" t="s">
        <v>3487</v>
      </c>
      <c r="C3456" s="1" t="s">
        <v>11</v>
      </c>
      <c r="D3456" s="1" t="s">
        <v>11</v>
      </c>
      <c r="E3456" s="1" t="s">
        <v>11</v>
      </c>
    </row>
    <row r="3457" spans="1:5" ht="15.75" customHeight="1">
      <c r="A3457" s="1">
        <v>731450</v>
      </c>
      <c r="B3457" s="1" t="s">
        <v>3488</v>
      </c>
      <c r="C3457" s="1" t="s">
        <v>11</v>
      </c>
      <c r="D3457" s="1" t="s">
        <v>11</v>
      </c>
      <c r="E3457" s="1" t="s">
        <v>11</v>
      </c>
    </row>
    <row r="3458" spans="1:5" ht="15.75" customHeight="1">
      <c r="A3458" s="1">
        <v>731511</v>
      </c>
      <c r="B3458" s="1" t="s">
        <v>3489</v>
      </c>
      <c r="C3458" s="1" t="s">
        <v>11</v>
      </c>
      <c r="D3458" s="1" t="s">
        <v>11</v>
      </c>
      <c r="E3458" s="1" t="s">
        <v>11</v>
      </c>
    </row>
    <row r="3459" spans="1:5" ht="15.75" customHeight="1">
      <c r="A3459" s="1">
        <v>731512</v>
      </c>
      <c r="B3459" s="1" t="s">
        <v>3490</v>
      </c>
      <c r="C3459" s="1" t="s">
        <v>11</v>
      </c>
      <c r="D3459" s="1" t="s">
        <v>11</v>
      </c>
      <c r="E3459" s="1" t="s">
        <v>11</v>
      </c>
    </row>
    <row r="3460" spans="1:5" ht="15.75" customHeight="1">
      <c r="A3460" s="1">
        <v>731519</v>
      </c>
      <c r="B3460" s="1" t="s">
        <v>3491</v>
      </c>
      <c r="C3460" s="1" t="s">
        <v>11</v>
      </c>
      <c r="D3460" s="1" t="s">
        <v>11</v>
      </c>
      <c r="E3460" s="1" t="s">
        <v>11</v>
      </c>
    </row>
    <row r="3461" spans="1:5" ht="15.75" customHeight="1">
      <c r="A3461" s="1">
        <v>731520</v>
      </c>
      <c r="B3461" s="1" t="s">
        <v>3492</v>
      </c>
      <c r="C3461" s="1" t="s">
        <v>11</v>
      </c>
      <c r="D3461" s="1" t="s">
        <v>11</v>
      </c>
      <c r="E3461" s="1" t="s">
        <v>11</v>
      </c>
    </row>
    <row r="3462" spans="1:5" ht="15.75" customHeight="1">
      <c r="A3462" s="1">
        <v>731581</v>
      </c>
      <c r="B3462" s="1" t="s">
        <v>3493</v>
      </c>
      <c r="C3462" s="1" t="s">
        <v>11</v>
      </c>
      <c r="D3462" s="1" t="s">
        <v>11</v>
      </c>
      <c r="E3462" s="1" t="s">
        <v>11</v>
      </c>
    </row>
    <row r="3463" spans="1:5" ht="15.75" customHeight="1">
      <c r="A3463" s="1">
        <v>731582</v>
      </c>
      <c r="B3463" s="1" t="s">
        <v>3494</v>
      </c>
      <c r="C3463" s="1" t="s">
        <v>11</v>
      </c>
      <c r="D3463" s="1" t="s">
        <v>11</v>
      </c>
      <c r="E3463" s="1" t="s">
        <v>11</v>
      </c>
    </row>
    <row r="3464" spans="1:5" ht="15.75" customHeight="1">
      <c r="A3464" s="1">
        <v>731589</v>
      </c>
      <c r="B3464" s="1" t="s">
        <v>3495</v>
      </c>
      <c r="C3464" s="1" t="s">
        <v>11</v>
      </c>
      <c r="D3464" s="1" t="s">
        <v>11</v>
      </c>
      <c r="E3464" s="1" t="s">
        <v>11</v>
      </c>
    </row>
    <row r="3465" spans="1:5" ht="15.75" customHeight="1">
      <c r="A3465" s="1">
        <v>731590</v>
      </c>
      <c r="B3465" s="1" t="s">
        <v>3496</v>
      </c>
      <c r="C3465" s="1" t="s">
        <v>11</v>
      </c>
      <c r="D3465" s="1" t="s">
        <v>11</v>
      </c>
      <c r="E3465" s="1" t="s">
        <v>11</v>
      </c>
    </row>
    <row r="3466" spans="1:5" ht="15.75" customHeight="1">
      <c r="A3466" s="1">
        <v>731600</v>
      </c>
      <c r="B3466" s="1" t="s">
        <v>3497</v>
      </c>
      <c r="C3466" s="1" t="s">
        <v>11</v>
      </c>
      <c r="D3466" s="1" t="s">
        <v>11</v>
      </c>
      <c r="E3466" s="1" t="s">
        <v>11</v>
      </c>
    </row>
    <row r="3467" spans="1:5" ht="15.75" customHeight="1">
      <c r="A3467" s="1">
        <v>731700</v>
      </c>
      <c r="B3467" s="1" t="s">
        <v>3498</v>
      </c>
      <c r="C3467" s="1" t="s">
        <v>11</v>
      </c>
      <c r="D3467" s="1" t="s">
        <v>11</v>
      </c>
      <c r="E3467" s="1" t="s">
        <v>11</v>
      </c>
    </row>
    <row r="3468" spans="1:5" ht="15.75" customHeight="1">
      <c r="A3468" s="1">
        <v>731811</v>
      </c>
      <c r="B3468" s="1" t="s">
        <v>3499</v>
      </c>
      <c r="C3468" s="1" t="s">
        <v>11</v>
      </c>
      <c r="D3468" s="1" t="s">
        <v>11</v>
      </c>
      <c r="E3468" s="1" t="s">
        <v>11</v>
      </c>
    </row>
    <row r="3469" spans="1:5" ht="15.75" customHeight="1">
      <c r="A3469" s="1">
        <v>731812</v>
      </c>
      <c r="B3469" s="1" t="s">
        <v>3500</v>
      </c>
      <c r="C3469" s="1" t="s">
        <v>11</v>
      </c>
      <c r="D3469" s="1" t="s">
        <v>11</v>
      </c>
      <c r="E3469" s="1" t="s">
        <v>11</v>
      </c>
    </row>
    <row r="3470" spans="1:5" ht="15.75" customHeight="1">
      <c r="A3470" s="1">
        <v>731813</v>
      </c>
      <c r="B3470" s="1" t="s">
        <v>3501</v>
      </c>
      <c r="C3470" s="1" t="s">
        <v>11</v>
      </c>
      <c r="D3470" s="1" t="s">
        <v>11</v>
      </c>
      <c r="E3470" s="1" t="s">
        <v>11</v>
      </c>
    </row>
    <row r="3471" spans="1:5" ht="15.75" customHeight="1">
      <c r="A3471" s="1">
        <v>731814</v>
      </c>
      <c r="B3471" s="1" t="s">
        <v>3502</v>
      </c>
      <c r="C3471" s="1" t="s">
        <v>11</v>
      </c>
      <c r="D3471" s="1" t="s">
        <v>11</v>
      </c>
      <c r="E3471" s="1" t="s">
        <v>11</v>
      </c>
    </row>
    <row r="3472" spans="1:5" ht="15.75" customHeight="1">
      <c r="A3472" s="1">
        <v>731815</v>
      </c>
      <c r="B3472" s="1" t="s">
        <v>3503</v>
      </c>
      <c r="C3472" s="1" t="s">
        <v>11</v>
      </c>
      <c r="D3472" s="1" t="s">
        <v>11</v>
      </c>
      <c r="E3472" s="1" t="s">
        <v>11</v>
      </c>
    </row>
    <row r="3473" spans="1:5" ht="15.75" customHeight="1">
      <c r="A3473" s="1">
        <v>731816</v>
      </c>
      <c r="B3473" s="1" t="s">
        <v>3504</v>
      </c>
      <c r="C3473" s="1" t="s">
        <v>11</v>
      </c>
      <c r="D3473" s="1" t="s">
        <v>11</v>
      </c>
      <c r="E3473" s="1" t="s">
        <v>11</v>
      </c>
    </row>
    <row r="3474" spans="1:5" ht="15.75" customHeight="1">
      <c r="A3474" s="1">
        <v>731819</v>
      </c>
      <c r="B3474" s="1" t="s">
        <v>3505</v>
      </c>
      <c r="C3474" s="1" t="s">
        <v>11</v>
      </c>
      <c r="D3474" s="1" t="s">
        <v>11</v>
      </c>
      <c r="E3474" s="1" t="s">
        <v>11</v>
      </c>
    </row>
    <row r="3475" spans="1:5" ht="15.75" customHeight="1">
      <c r="A3475" s="1">
        <v>731821</v>
      </c>
      <c r="B3475" s="1" t="s">
        <v>3506</v>
      </c>
      <c r="C3475" s="1" t="s">
        <v>11</v>
      </c>
      <c r="D3475" s="1" t="s">
        <v>11</v>
      </c>
      <c r="E3475" s="1" t="s">
        <v>11</v>
      </c>
    </row>
    <row r="3476" spans="1:5" ht="15.75" customHeight="1">
      <c r="A3476" s="1">
        <v>731822</v>
      </c>
      <c r="B3476" s="1" t="s">
        <v>3507</v>
      </c>
      <c r="C3476" s="1" t="s">
        <v>11</v>
      </c>
      <c r="D3476" s="1" t="s">
        <v>11</v>
      </c>
      <c r="E3476" s="1" t="s">
        <v>11</v>
      </c>
    </row>
    <row r="3477" spans="1:5" ht="15.75" customHeight="1">
      <c r="A3477" s="1">
        <v>731823</v>
      </c>
      <c r="B3477" s="1" t="s">
        <v>3508</v>
      </c>
      <c r="C3477" s="1" t="s">
        <v>11</v>
      </c>
      <c r="D3477" s="1" t="s">
        <v>11</v>
      </c>
      <c r="E3477" s="1" t="s">
        <v>11</v>
      </c>
    </row>
    <row r="3478" spans="1:5" ht="15.75" customHeight="1">
      <c r="A3478" s="1">
        <v>731824</v>
      </c>
      <c r="B3478" s="1" t="s">
        <v>3509</v>
      </c>
      <c r="C3478" s="1" t="s">
        <v>11</v>
      </c>
      <c r="D3478" s="1" t="s">
        <v>11</v>
      </c>
      <c r="E3478" s="1" t="s">
        <v>11</v>
      </c>
    </row>
    <row r="3479" spans="1:5" ht="15.75" customHeight="1">
      <c r="A3479" s="1">
        <v>731829</v>
      </c>
      <c r="B3479" s="1" t="s">
        <v>3510</v>
      </c>
      <c r="C3479" s="1" t="s">
        <v>11</v>
      </c>
      <c r="D3479" s="1" t="s">
        <v>11</v>
      </c>
      <c r="E3479" s="1" t="s">
        <v>11</v>
      </c>
    </row>
    <row r="3480" spans="1:5" ht="15.75" customHeight="1">
      <c r="A3480" s="1">
        <v>731920</v>
      </c>
      <c r="B3480" s="1" t="s">
        <v>3511</v>
      </c>
      <c r="C3480" s="1" t="s">
        <v>11</v>
      </c>
      <c r="D3480" s="1" t="s">
        <v>11</v>
      </c>
      <c r="E3480" s="1" t="s">
        <v>11</v>
      </c>
    </row>
    <row r="3481" spans="1:5" ht="15.75" customHeight="1">
      <c r="A3481" s="1">
        <v>731930</v>
      </c>
      <c r="B3481" s="1" t="s">
        <v>3512</v>
      </c>
      <c r="C3481" s="1" t="s">
        <v>11</v>
      </c>
      <c r="D3481" s="1" t="s">
        <v>11</v>
      </c>
      <c r="E3481" s="1" t="s">
        <v>11</v>
      </c>
    </row>
    <row r="3482" spans="1:5" ht="15.75" customHeight="1">
      <c r="A3482" s="1">
        <v>731990</v>
      </c>
      <c r="B3482" s="1" t="s">
        <v>3513</v>
      </c>
      <c r="C3482" s="1" t="s">
        <v>11</v>
      </c>
      <c r="D3482" s="1" t="s">
        <v>11</v>
      </c>
      <c r="E3482" s="1" t="s">
        <v>11</v>
      </c>
    </row>
    <row r="3483" spans="1:5" ht="15.75" customHeight="1">
      <c r="A3483" s="1">
        <v>732010</v>
      </c>
      <c r="B3483" s="1" t="s">
        <v>3514</v>
      </c>
      <c r="C3483" s="1" t="s">
        <v>11</v>
      </c>
      <c r="D3483" s="1" t="s">
        <v>11</v>
      </c>
      <c r="E3483" s="1" t="s">
        <v>11</v>
      </c>
    </row>
    <row r="3484" spans="1:5" ht="15.75" customHeight="1">
      <c r="A3484" s="1">
        <v>732020</v>
      </c>
      <c r="B3484" s="1" t="s">
        <v>3515</v>
      </c>
      <c r="C3484" s="1" t="s">
        <v>11</v>
      </c>
      <c r="D3484" s="1" t="s">
        <v>11</v>
      </c>
      <c r="E3484" s="1" t="s">
        <v>11</v>
      </c>
    </row>
    <row r="3485" spans="1:5" ht="15.75" customHeight="1">
      <c r="A3485" s="1">
        <v>732090</v>
      </c>
      <c r="B3485" s="1" t="s">
        <v>3516</v>
      </c>
      <c r="C3485" s="1" t="s">
        <v>11</v>
      </c>
      <c r="D3485" s="1" t="s">
        <v>11</v>
      </c>
      <c r="E3485" s="1" t="s">
        <v>11</v>
      </c>
    </row>
    <row r="3486" spans="1:5" ht="15.75" customHeight="1">
      <c r="A3486" s="1">
        <v>732111</v>
      </c>
      <c r="B3486" s="1" t="s">
        <v>3517</v>
      </c>
      <c r="C3486" s="1" t="s">
        <v>11</v>
      </c>
      <c r="D3486" s="1" t="s">
        <v>11</v>
      </c>
      <c r="E3486" s="1" t="s">
        <v>11</v>
      </c>
    </row>
    <row r="3487" spans="1:5" ht="15.75" customHeight="1">
      <c r="A3487" s="1">
        <v>732112</v>
      </c>
      <c r="B3487" s="1" t="s">
        <v>3518</v>
      </c>
      <c r="C3487" s="1" t="s">
        <v>11</v>
      </c>
      <c r="D3487" s="1" t="s">
        <v>11</v>
      </c>
      <c r="E3487" s="1" t="s">
        <v>11</v>
      </c>
    </row>
    <row r="3488" spans="1:5" ht="15.75" customHeight="1">
      <c r="A3488" s="1">
        <v>732119</v>
      </c>
      <c r="B3488" s="1" t="s">
        <v>3519</v>
      </c>
      <c r="C3488" s="1" t="s">
        <v>11</v>
      </c>
      <c r="D3488" s="1" t="s">
        <v>11</v>
      </c>
      <c r="E3488" s="1" t="s">
        <v>11</v>
      </c>
    </row>
    <row r="3489" spans="1:5" ht="15.75" customHeight="1">
      <c r="A3489" s="1">
        <v>732181</v>
      </c>
      <c r="B3489" s="1" t="s">
        <v>3520</v>
      </c>
      <c r="C3489" s="1" t="s">
        <v>11</v>
      </c>
      <c r="D3489" s="1" t="s">
        <v>11</v>
      </c>
      <c r="E3489" s="1" t="s">
        <v>11</v>
      </c>
    </row>
    <row r="3490" spans="1:5" ht="15.75" customHeight="1">
      <c r="A3490" s="1">
        <v>732182</v>
      </c>
      <c r="B3490" s="1" t="s">
        <v>3521</v>
      </c>
      <c r="C3490" s="1" t="s">
        <v>11</v>
      </c>
      <c r="D3490" s="1" t="s">
        <v>11</v>
      </c>
      <c r="E3490" s="1" t="s">
        <v>11</v>
      </c>
    </row>
    <row r="3491" spans="1:5" ht="15.75" customHeight="1">
      <c r="A3491" s="1">
        <v>732189</v>
      </c>
      <c r="B3491" s="1" t="s">
        <v>3522</v>
      </c>
      <c r="C3491" s="1" t="s">
        <v>11</v>
      </c>
      <c r="D3491" s="1" t="s">
        <v>11</v>
      </c>
      <c r="E3491" s="1" t="s">
        <v>11</v>
      </c>
    </row>
    <row r="3492" spans="1:5" ht="15.75" customHeight="1">
      <c r="A3492" s="1">
        <v>732190</v>
      </c>
      <c r="B3492" s="1" t="s">
        <v>3523</v>
      </c>
      <c r="C3492" s="1" t="s">
        <v>11</v>
      </c>
      <c r="D3492" s="1" t="s">
        <v>11</v>
      </c>
      <c r="E3492" s="1" t="s">
        <v>11</v>
      </c>
    </row>
    <row r="3493" spans="1:5" ht="15.75" customHeight="1">
      <c r="A3493" s="1">
        <v>732211</v>
      </c>
      <c r="B3493" s="1" t="s">
        <v>3524</v>
      </c>
      <c r="C3493" s="1" t="s">
        <v>11</v>
      </c>
      <c r="D3493" s="1" t="s">
        <v>11</v>
      </c>
      <c r="E3493" s="1" t="s">
        <v>11</v>
      </c>
    </row>
    <row r="3494" spans="1:5" ht="15.75" customHeight="1">
      <c r="A3494" s="1">
        <v>732219</v>
      </c>
      <c r="B3494" s="1" t="s">
        <v>3525</v>
      </c>
      <c r="C3494" s="1" t="s">
        <v>11</v>
      </c>
      <c r="D3494" s="1" t="s">
        <v>11</v>
      </c>
      <c r="E3494" s="1" t="s">
        <v>11</v>
      </c>
    </row>
    <row r="3495" spans="1:5" ht="15.75" customHeight="1">
      <c r="A3495" s="1">
        <v>732290</v>
      </c>
      <c r="B3495" s="1" t="s">
        <v>3526</v>
      </c>
      <c r="C3495" s="1" t="s">
        <v>11</v>
      </c>
      <c r="D3495" s="1" t="s">
        <v>11</v>
      </c>
      <c r="E3495" s="1" t="s">
        <v>11</v>
      </c>
    </row>
    <row r="3496" spans="1:5" ht="15.75" customHeight="1">
      <c r="A3496" s="1">
        <v>732310</v>
      </c>
      <c r="B3496" s="1" t="s">
        <v>3527</v>
      </c>
      <c r="C3496" s="1" t="s">
        <v>11</v>
      </c>
      <c r="D3496" s="1" t="s">
        <v>11</v>
      </c>
      <c r="E3496" s="1" t="s">
        <v>11</v>
      </c>
    </row>
    <row r="3497" spans="1:5" ht="15.75" customHeight="1">
      <c r="A3497" s="1">
        <v>732391</v>
      </c>
      <c r="B3497" s="1" t="s">
        <v>3528</v>
      </c>
      <c r="C3497" s="1" t="s">
        <v>11</v>
      </c>
      <c r="D3497" s="1" t="s">
        <v>11</v>
      </c>
      <c r="E3497" s="1" t="s">
        <v>11</v>
      </c>
    </row>
    <row r="3498" spans="1:5" ht="15.75" customHeight="1">
      <c r="A3498" s="1">
        <v>732392</v>
      </c>
      <c r="B3498" s="1" t="s">
        <v>3529</v>
      </c>
      <c r="C3498" s="1" t="s">
        <v>11</v>
      </c>
      <c r="D3498" s="1" t="s">
        <v>11</v>
      </c>
      <c r="E3498" s="1" t="s">
        <v>11</v>
      </c>
    </row>
    <row r="3499" spans="1:5" ht="15.75" customHeight="1">
      <c r="A3499" s="1">
        <v>732393</v>
      </c>
      <c r="B3499" s="1" t="s">
        <v>3530</v>
      </c>
      <c r="C3499" s="1" t="s">
        <v>11</v>
      </c>
      <c r="D3499" s="1" t="s">
        <v>11</v>
      </c>
      <c r="E3499" s="1" t="s">
        <v>11</v>
      </c>
    </row>
    <row r="3500" spans="1:5" ht="15.75" customHeight="1">
      <c r="A3500" s="1">
        <v>732394</v>
      </c>
      <c r="B3500" s="1" t="s">
        <v>3531</v>
      </c>
      <c r="C3500" s="1" t="s">
        <v>11</v>
      </c>
      <c r="D3500" s="1" t="s">
        <v>11</v>
      </c>
      <c r="E3500" s="1" t="s">
        <v>11</v>
      </c>
    </row>
    <row r="3501" spans="1:5" ht="15.75" customHeight="1">
      <c r="A3501" s="1">
        <v>732399</v>
      </c>
      <c r="B3501" s="1" t="s">
        <v>3532</v>
      </c>
      <c r="C3501" s="1" t="s">
        <v>11</v>
      </c>
      <c r="D3501" s="1" t="s">
        <v>11</v>
      </c>
      <c r="E3501" s="1" t="s">
        <v>11</v>
      </c>
    </row>
    <row r="3502" spans="1:5" ht="15.75" customHeight="1">
      <c r="A3502" s="1">
        <v>732410</v>
      </c>
      <c r="B3502" s="1" t="s">
        <v>3533</v>
      </c>
      <c r="C3502" s="1" t="s">
        <v>11</v>
      </c>
      <c r="D3502" s="1" t="s">
        <v>11</v>
      </c>
      <c r="E3502" s="1" t="s">
        <v>11</v>
      </c>
    </row>
    <row r="3503" spans="1:5" ht="15.75" customHeight="1">
      <c r="A3503" s="1">
        <v>732421</v>
      </c>
      <c r="B3503" s="1" t="s">
        <v>3534</v>
      </c>
      <c r="C3503" s="1" t="s">
        <v>11</v>
      </c>
      <c r="D3503" s="1" t="s">
        <v>11</v>
      </c>
      <c r="E3503" s="1" t="s">
        <v>11</v>
      </c>
    </row>
    <row r="3504" spans="1:5" ht="15.75" customHeight="1">
      <c r="A3504" s="1">
        <v>732429</v>
      </c>
      <c r="B3504" s="1" t="s">
        <v>3535</v>
      </c>
      <c r="C3504" s="1" t="s">
        <v>11</v>
      </c>
      <c r="D3504" s="1" t="s">
        <v>11</v>
      </c>
      <c r="E3504" s="1" t="s">
        <v>11</v>
      </c>
    </row>
    <row r="3505" spans="1:5" ht="15.75" customHeight="1">
      <c r="A3505" s="1">
        <v>732490</v>
      </c>
      <c r="B3505" s="1" t="s">
        <v>3536</v>
      </c>
      <c r="C3505" s="1" t="s">
        <v>11</v>
      </c>
      <c r="D3505" s="1" t="s">
        <v>11</v>
      </c>
      <c r="E3505" s="1" t="s">
        <v>11</v>
      </c>
    </row>
    <row r="3506" spans="1:5" ht="15.75" customHeight="1">
      <c r="A3506" s="1">
        <v>732510</v>
      </c>
      <c r="B3506" s="1" t="s">
        <v>3537</v>
      </c>
      <c r="C3506" s="1" t="s">
        <v>11</v>
      </c>
      <c r="D3506" s="1" t="s">
        <v>11</v>
      </c>
      <c r="E3506" s="1" t="s">
        <v>11</v>
      </c>
    </row>
    <row r="3507" spans="1:5" ht="15.75" customHeight="1">
      <c r="A3507" s="1">
        <v>732591</v>
      </c>
      <c r="B3507" s="1" t="s">
        <v>3538</v>
      </c>
      <c r="C3507" s="1" t="s">
        <v>11</v>
      </c>
      <c r="D3507" s="1" t="s">
        <v>11</v>
      </c>
      <c r="E3507" s="1" t="s">
        <v>11</v>
      </c>
    </row>
    <row r="3508" spans="1:5" ht="15.75" customHeight="1">
      <c r="A3508" s="1">
        <v>732599</v>
      </c>
      <c r="B3508" s="1" t="s">
        <v>3539</v>
      </c>
      <c r="C3508" s="1" t="s">
        <v>11</v>
      </c>
      <c r="D3508" s="1" t="s">
        <v>11</v>
      </c>
      <c r="E3508" s="1" t="s">
        <v>11</v>
      </c>
    </row>
    <row r="3509" spans="1:5" ht="15.75" customHeight="1">
      <c r="A3509" s="1">
        <v>732611</v>
      </c>
      <c r="B3509" s="1" t="s">
        <v>3540</v>
      </c>
      <c r="C3509" s="1" t="s">
        <v>11</v>
      </c>
      <c r="D3509" s="1" t="s">
        <v>11</v>
      </c>
      <c r="E3509" s="1" t="s">
        <v>11</v>
      </c>
    </row>
    <row r="3510" spans="1:5" ht="15.75" customHeight="1">
      <c r="A3510" s="1">
        <v>732619</v>
      </c>
      <c r="B3510" s="1" t="s">
        <v>3541</v>
      </c>
      <c r="C3510" s="1" t="s">
        <v>11</v>
      </c>
      <c r="D3510" s="1" t="s">
        <v>11</v>
      </c>
      <c r="E3510" s="1" t="s">
        <v>11</v>
      </c>
    </row>
    <row r="3511" spans="1:5" ht="15.75" customHeight="1">
      <c r="A3511" s="1">
        <v>732620</v>
      </c>
      <c r="B3511" s="1" t="s">
        <v>3542</v>
      </c>
      <c r="C3511" s="1" t="s">
        <v>11</v>
      </c>
      <c r="D3511" s="1" t="s">
        <v>11</v>
      </c>
      <c r="E3511" s="1" t="s">
        <v>11</v>
      </c>
    </row>
    <row r="3512" spans="1:5" ht="15.75" customHeight="1">
      <c r="A3512" s="1">
        <v>732690</v>
      </c>
      <c r="B3512" s="1" t="s">
        <v>3543</v>
      </c>
      <c r="C3512" s="1" t="s">
        <v>11</v>
      </c>
      <c r="D3512" s="1" t="s">
        <v>11</v>
      </c>
      <c r="E3512" s="1" t="s">
        <v>11</v>
      </c>
    </row>
    <row r="3513" spans="1:5" ht="15.75" customHeight="1">
      <c r="A3513" s="1">
        <v>740100</v>
      </c>
      <c r="B3513" s="1" t="s">
        <v>3544</v>
      </c>
      <c r="C3513" s="1" t="s">
        <v>11</v>
      </c>
      <c r="D3513" s="1" t="s">
        <v>11</v>
      </c>
      <c r="E3513" s="1" t="s">
        <v>11</v>
      </c>
    </row>
    <row r="3514" spans="1:5" ht="15.75" customHeight="1">
      <c r="A3514" s="1">
        <v>740200</v>
      </c>
      <c r="B3514" s="1" t="s">
        <v>3545</v>
      </c>
      <c r="C3514" s="1" t="s">
        <v>11</v>
      </c>
      <c r="D3514" s="1" t="s">
        <v>11</v>
      </c>
      <c r="E3514" s="1" t="s">
        <v>11</v>
      </c>
    </row>
    <row r="3515" spans="1:5" ht="15.75" customHeight="1">
      <c r="A3515" s="1">
        <v>740311</v>
      </c>
      <c r="B3515" s="1" t="s">
        <v>3546</v>
      </c>
      <c r="C3515" s="1" t="s">
        <v>11</v>
      </c>
      <c r="D3515" s="1" t="s">
        <v>11</v>
      </c>
      <c r="E3515" s="1" t="s">
        <v>11</v>
      </c>
    </row>
    <row r="3516" spans="1:5" ht="15.75" customHeight="1">
      <c r="A3516" s="1">
        <v>740312</v>
      </c>
      <c r="B3516" s="1" t="s">
        <v>3547</v>
      </c>
      <c r="C3516" s="1" t="s">
        <v>11</v>
      </c>
      <c r="D3516" s="1" t="s">
        <v>11</v>
      </c>
      <c r="E3516" s="1" t="s">
        <v>11</v>
      </c>
    </row>
    <row r="3517" spans="1:5" ht="15.75" customHeight="1">
      <c r="A3517" s="1">
        <v>740313</v>
      </c>
      <c r="B3517" s="1" t="s">
        <v>3548</v>
      </c>
      <c r="C3517" s="1" t="s">
        <v>11</v>
      </c>
      <c r="D3517" s="1" t="s">
        <v>11</v>
      </c>
      <c r="E3517" s="1" t="s">
        <v>11</v>
      </c>
    </row>
    <row r="3518" spans="1:5" ht="15.75" customHeight="1">
      <c r="A3518" s="1">
        <v>740319</v>
      </c>
      <c r="B3518" s="1" t="s">
        <v>3549</v>
      </c>
      <c r="C3518" s="1" t="s">
        <v>11</v>
      </c>
      <c r="D3518" s="1" t="s">
        <v>11</v>
      </c>
      <c r="E3518" s="1" t="s">
        <v>11</v>
      </c>
    </row>
    <row r="3519" spans="1:5" ht="15.75" customHeight="1">
      <c r="A3519" s="1">
        <v>740321</v>
      </c>
      <c r="B3519" s="1" t="s">
        <v>3550</v>
      </c>
      <c r="C3519" s="1" t="s">
        <v>11</v>
      </c>
      <c r="D3519" s="1" t="s">
        <v>11</v>
      </c>
      <c r="E3519" s="1" t="s">
        <v>11</v>
      </c>
    </row>
    <row r="3520" spans="1:5" ht="15.75" customHeight="1">
      <c r="A3520" s="1">
        <v>740322</v>
      </c>
      <c r="B3520" s="1" t="s">
        <v>3551</v>
      </c>
      <c r="C3520" s="1" t="s">
        <v>11</v>
      </c>
      <c r="D3520" s="1" t="s">
        <v>11</v>
      </c>
      <c r="E3520" s="1" t="s">
        <v>11</v>
      </c>
    </row>
    <row r="3521" spans="1:5" ht="15.75" customHeight="1">
      <c r="A3521" s="1">
        <v>740329</v>
      </c>
      <c r="B3521" s="1" t="s">
        <v>3552</v>
      </c>
      <c r="C3521" s="1" t="s">
        <v>11</v>
      </c>
      <c r="D3521" s="1" t="s">
        <v>11</v>
      </c>
      <c r="E3521" s="1" t="s">
        <v>11</v>
      </c>
    </row>
    <row r="3522" spans="1:5" ht="15.75" customHeight="1">
      <c r="A3522" s="1">
        <v>740400</v>
      </c>
      <c r="B3522" s="1" t="s">
        <v>3553</v>
      </c>
      <c r="C3522" s="1" t="s">
        <v>11</v>
      </c>
      <c r="D3522" s="1" t="s">
        <v>11</v>
      </c>
      <c r="E3522" s="1" t="s">
        <v>11</v>
      </c>
    </row>
    <row r="3523" spans="1:5" ht="15.75" customHeight="1">
      <c r="A3523" s="1">
        <v>740500</v>
      </c>
      <c r="B3523" s="1" t="s">
        <v>3554</v>
      </c>
      <c r="C3523" s="1" t="s">
        <v>11</v>
      </c>
      <c r="D3523" s="1" t="s">
        <v>11</v>
      </c>
      <c r="E3523" s="1" t="s">
        <v>11</v>
      </c>
    </row>
    <row r="3524" spans="1:5" ht="15.75" customHeight="1">
      <c r="A3524" s="1">
        <v>740610</v>
      </c>
      <c r="B3524" s="1" t="s">
        <v>3555</v>
      </c>
      <c r="C3524" s="1" t="s">
        <v>11</v>
      </c>
      <c r="D3524" s="1" t="s">
        <v>11</v>
      </c>
      <c r="E3524" s="1" t="s">
        <v>11</v>
      </c>
    </row>
    <row r="3525" spans="1:5" ht="15.75" customHeight="1">
      <c r="A3525" s="1">
        <v>740620</v>
      </c>
      <c r="B3525" s="1" t="s">
        <v>3556</v>
      </c>
      <c r="C3525" s="1" t="s">
        <v>11</v>
      </c>
      <c r="D3525" s="1" t="s">
        <v>11</v>
      </c>
      <c r="E3525" s="1" t="s">
        <v>11</v>
      </c>
    </row>
    <row r="3526" spans="1:5" ht="15.75" customHeight="1">
      <c r="A3526" s="1">
        <v>740710</v>
      </c>
      <c r="B3526" s="1" t="s">
        <v>3557</v>
      </c>
      <c r="C3526" s="1" t="s">
        <v>11</v>
      </c>
      <c r="D3526" s="1" t="s">
        <v>11</v>
      </c>
      <c r="E3526" s="1" t="s">
        <v>11</v>
      </c>
    </row>
    <row r="3527" spans="1:5" ht="15.75" customHeight="1">
      <c r="A3527" s="1">
        <v>740721</v>
      </c>
      <c r="B3527" s="1" t="s">
        <v>3558</v>
      </c>
      <c r="C3527" s="1" t="s">
        <v>11</v>
      </c>
      <c r="D3527" s="1" t="s">
        <v>11</v>
      </c>
      <c r="E3527" s="1" t="s">
        <v>11</v>
      </c>
    </row>
    <row r="3528" spans="1:5" ht="15.75" customHeight="1">
      <c r="A3528" s="1">
        <v>740729</v>
      </c>
      <c r="B3528" s="1" t="s">
        <v>3559</v>
      </c>
      <c r="C3528" s="1" t="s">
        <v>11</v>
      </c>
      <c r="D3528" s="1" t="s">
        <v>11</v>
      </c>
      <c r="E3528" s="1" t="s">
        <v>11</v>
      </c>
    </row>
    <row r="3529" spans="1:5" ht="15.75" customHeight="1">
      <c r="A3529" s="1">
        <v>740811</v>
      </c>
      <c r="B3529" s="1" t="s">
        <v>3560</v>
      </c>
      <c r="C3529" s="1" t="s">
        <v>11</v>
      </c>
      <c r="D3529" s="1" t="s">
        <v>11</v>
      </c>
      <c r="E3529" s="1" t="s">
        <v>11</v>
      </c>
    </row>
    <row r="3530" spans="1:5" ht="15.75" customHeight="1">
      <c r="A3530" s="1">
        <v>740819</v>
      </c>
      <c r="B3530" s="1" t="s">
        <v>3561</v>
      </c>
      <c r="C3530" s="1" t="s">
        <v>11</v>
      </c>
      <c r="D3530" s="1" t="s">
        <v>11</v>
      </c>
      <c r="E3530" s="1" t="s">
        <v>11</v>
      </c>
    </row>
    <row r="3531" spans="1:5" ht="15.75" customHeight="1">
      <c r="A3531" s="1">
        <v>740821</v>
      </c>
      <c r="B3531" s="1" t="s">
        <v>3562</v>
      </c>
      <c r="C3531" s="1" t="s">
        <v>11</v>
      </c>
      <c r="D3531" s="1" t="s">
        <v>11</v>
      </c>
      <c r="E3531" s="1" t="s">
        <v>11</v>
      </c>
    </row>
    <row r="3532" spans="1:5" ht="15.75" customHeight="1">
      <c r="A3532" s="1">
        <v>740822</v>
      </c>
      <c r="B3532" s="1" t="s">
        <v>3563</v>
      </c>
      <c r="C3532" s="1" t="s">
        <v>11</v>
      </c>
      <c r="D3532" s="1" t="s">
        <v>11</v>
      </c>
      <c r="E3532" s="1" t="s">
        <v>11</v>
      </c>
    </row>
    <row r="3533" spans="1:5" ht="15.75" customHeight="1">
      <c r="A3533" s="1">
        <v>740829</v>
      </c>
      <c r="B3533" s="1" t="s">
        <v>3564</v>
      </c>
      <c r="C3533" s="1" t="s">
        <v>11</v>
      </c>
      <c r="D3533" s="1" t="s">
        <v>11</v>
      </c>
      <c r="E3533" s="1" t="s">
        <v>11</v>
      </c>
    </row>
    <row r="3534" spans="1:5" ht="15.75" customHeight="1">
      <c r="A3534" s="1">
        <v>740911</v>
      </c>
      <c r="B3534" s="1" t="s">
        <v>3565</v>
      </c>
      <c r="C3534" s="1" t="s">
        <v>11</v>
      </c>
      <c r="D3534" s="1" t="s">
        <v>11</v>
      </c>
      <c r="E3534" s="1" t="s">
        <v>11</v>
      </c>
    </row>
    <row r="3535" spans="1:5" ht="15.75" customHeight="1">
      <c r="A3535" s="1">
        <v>740919</v>
      </c>
      <c r="B3535" s="1" t="s">
        <v>3566</v>
      </c>
      <c r="C3535" s="1" t="s">
        <v>11</v>
      </c>
      <c r="D3535" s="1" t="s">
        <v>11</v>
      </c>
      <c r="E3535" s="1" t="s">
        <v>11</v>
      </c>
    </row>
    <row r="3536" spans="1:5" ht="15.75" customHeight="1">
      <c r="A3536" s="1">
        <v>740921</v>
      </c>
      <c r="B3536" s="1" t="s">
        <v>3567</v>
      </c>
      <c r="C3536" s="1" t="s">
        <v>11</v>
      </c>
      <c r="D3536" s="1" t="s">
        <v>11</v>
      </c>
      <c r="E3536" s="1" t="s">
        <v>11</v>
      </c>
    </row>
    <row r="3537" spans="1:5" ht="15.75" customHeight="1">
      <c r="A3537" s="1">
        <v>740929</v>
      </c>
      <c r="B3537" s="1" t="s">
        <v>3568</v>
      </c>
      <c r="C3537" s="1" t="s">
        <v>11</v>
      </c>
      <c r="D3537" s="1" t="s">
        <v>11</v>
      </c>
      <c r="E3537" s="1" t="s">
        <v>11</v>
      </c>
    </row>
    <row r="3538" spans="1:5" ht="15.75" customHeight="1">
      <c r="A3538" s="1">
        <v>740931</v>
      </c>
      <c r="B3538" s="1" t="s">
        <v>3569</v>
      </c>
      <c r="C3538" s="1" t="s">
        <v>11</v>
      </c>
      <c r="D3538" s="1" t="s">
        <v>11</v>
      </c>
      <c r="E3538" s="1" t="s">
        <v>11</v>
      </c>
    </row>
    <row r="3539" spans="1:5" ht="15.75" customHeight="1">
      <c r="A3539" s="1">
        <v>740939</v>
      </c>
      <c r="B3539" s="1" t="s">
        <v>3570</v>
      </c>
      <c r="C3539" s="1" t="s">
        <v>11</v>
      </c>
      <c r="D3539" s="1" t="s">
        <v>11</v>
      </c>
      <c r="E3539" s="1" t="s">
        <v>11</v>
      </c>
    </row>
    <row r="3540" spans="1:5" ht="15.75" customHeight="1">
      <c r="A3540" s="1">
        <v>740940</v>
      </c>
      <c r="B3540" s="1" t="s">
        <v>3571</v>
      </c>
      <c r="C3540" s="1" t="s">
        <v>11</v>
      </c>
      <c r="D3540" s="1" t="s">
        <v>11</v>
      </c>
      <c r="E3540" s="1" t="s">
        <v>11</v>
      </c>
    </row>
    <row r="3541" spans="1:5" ht="15.75" customHeight="1">
      <c r="A3541" s="1">
        <v>740990</v>
      </c>
      <c r="B3541" s="1" t="s">
        <v>3572</v>
      </c>
      <c r="C3541" s="1" t="s">
        <v>11</v>
      </c>
      <c r="D3541" s="1" t="s">
        <v>11</v>
      </c>
      <c r="E3541" s="1" t="s">
        <v>11</v>
      </c>
    </row>
    <row r="3542" spans="1:5" ht="15.75" customHeight="1">
      <c r="A3542" s="1">
        <v>741011</v>
      </c>
      <c r="B3542" s="1" t="s">
        <v>3573</v>
      </c>
      <c r="C3542" s="1" t="s">
        <v>11</v>
      </c>
      <c r="D3542" s="1" t="s">
        <v>11</v>
      </c>
      <c r="E3542" s="1" t="s">
        <v>11</v>
      </c>
    </row>
    <row r="3543" spans="1:5" ht="15.75" customHeight="1">
      <c r="A3543" s="1">
        <v>741012</v>
      </c>
      <c r="B3543" s="1" t="s">
        <v>3574</v>
      </c>
      <c r="C3543" s="1" t="s">
        <v>11</v>
      </c>
      <c r="D3543" s="1" t="s">
        <v>11</v>
      </c>
      <c r="E3543" s="1" t="s">
        <v>11</v>
      </c>
    </row>
    <row r="3544" spans="1:5" ht="15.75" customHeight="1">
      <c r="A3544" s="1">
        <v>741021</v>
      </c>
      <c r="B3544" s="1" t="s">
        <v>3575</v>
      </c>
      <c r="C3544" s="1" t="s">
        <v>11</v>
      </c>
      <c r="D3544" s="1" t="s">
        <v>11</v>
      </c>
      <c r="E3544" s="1" t="s">
        <v>11</v>
      </c>
    </row>
    <row r="3545" spans="1:5" ht="15.75" customHeight="1">
      <c r="A3545" s="1">
        <v>741022</v>
      </c>
      <c r="B3545" s="1" t="s">
        <v>3576</v>
      </c>
      <c r="C3545" s="1" t="s">
        <v>11</v>
      </c>
      <c r="D3545" s="1" t="s">
        <v>11</v>
      </c>
      <c r="E3545" s="1" t="s">
        <v>11</v>
      </c>
    </row>
    <row r="3546" spans="1:5" ht="15.75" customHeight="1">
      <c r="A3546" s="1">
        <v>741110</v>
      </c>
      <c r="B3546" s="1" t="s">
        <v>3577</v>
      </c>
      <c r="C3546" s="1" t="s">
        <v>11</v>
      </c>
      <c r="D3546" s="1" t="s">
        <v>11</v>
      </c>
      <c r="E3546" s="1" t="s">
        <v>11</v>
      </c>
    </row>
    <row r="3547" spans="1:5" ht="15.75" customHeight="1">
      <c r="A3547" s="1">
        <v>741121</v>
      </c>
      <c r="B3547" s="1" t="s">
        <v>3578</v>
      </c>
      <c r="C3547" s="1" t="s">
        <v>11</v>
      </c>
      <c r="D3547" s="1" t="s">
        <v>11</v>
      </c>
      <c r="E3547" s="1" t="s">
        <v>11</v>
      </c>
    </row>
    <row r="3548" spans="1:5" ht="15.75" customHeight="1">
      <c r="A3548" s="1">
        <v>741122</v>
      </c>
      <c r="B3548" s="1" t="s">
        <v>3579</v>
      </c>
      <c r="C3548" s="1" t="s">
        <v>11</v>
      </c>
      <c r="D3548" s="1" t="s">
        <v>11</v>
      </c>
      <c r="E3548" s="1" t="s">
        <v>11</v>
      </c>
    </row>
    <row r="3549" spans="1:5" ht="15.75" customHeight="1">
      <c r="A3549" s="1">
        <v>741129</v>
      </c>
      <c r="B3549" s="1" t="s">
        <v>3580</v>
      </c>
      <c r="C3549" s="1" t="s">
        <v>11</v>
      </c>
      <c r="D3549" s="1" t="s">
        <v>11</v>
      </c>
      <c r="E3549" s="1" t="s">
        <v>11</v>
      </c>
    </row>
    <row r="3550" spans="1:5" ht="15.75" customHeight="1">
      <c r="A3550" s="1">
        <v>741210</v>
      </c>
      <c r="B3550" s="1" t="s">
        <v>3581</v>
      </c>
      <c r="C3550" s="1" t="s">
        <v>11</v>
      </c>
      <c r="D3550" s="1" t="s">
        <v>11</v>
      </c>
      <c r="E3550" s="1" t="s">
        <v>11</v>
      </c>
    </row>
    <row r="3551" spans="1:5" ht="15.75" customHeight="1">
      <c r="A3551" s="1">
        <v>741220</v>
      </c>
      <c r="B3551" s="1" t="s">
        <v>3582</v>
      </c>
      <c r="C3551" s="1" t="s">
        <v>11</v>
      </c>
      <c r="D3551" s="1" t="s">
        <v>11</v>
      </c>
      <c r="E3551" s="1" t="s">
        <v>11</v>
      </c>
    </row>
    <row r="3552" spans="1:5" ht="15.75" customHeight="1">
      <c r="A3552" s="1">
        <v>741300</v>
      </c>
      <c r="B3552" s="1" t="s">
        <v>3583</v>
      </c>
      <c r="C3552" s="1" t="s">
        <v>11</v>
      </c>
      <c r="D3552" s="1" t="s">
        <v>11</v>
      </c>
      <c r="E3552" s="1" t="s">
        <v>11</v>
      </c>
    </row>
    <row r="3553" spans="1:5" ht="15.75" customHeight="1">
      <c r="A3553" s="1">
        <v>741510</v>
      </c>
      <c r="B3553" s="1" t="s">
        <v>3584</v>
      </c>
      <c r="C3553" s="1" t="s">
        <v>11</v>
      </c>
      <c r="D3553" s="1" t="s">
        <v>11</v>
      </c>
      <c r="E3553" s="1" t="s">
        <v>11</v>
      </c>
    </row>
    <row r="3554" spans="1:5" ht="15.75" customHeight="1">
      <c r="A3554" s="1">
        <v>741521</v>
      </c>
      <c r="B3554" s="1" t="s">
        <v>3585</v>
      </c>
      <c r="C3554" s="1" t="s">
        <v>11</v>
      </c>
      <c r="D3554" s="1" t="s">
        <v>11</v>
      </c>
      <c r="E3554" s="1" t="s">
        <v>11</v>
      </c>
    </row>
    <row r="3555" spans="1:5" ht="15.75" customHeight="1">
      <c r="A3555" s="1">
        <v>741529</v>
      </c>
      <c r="B3555" s="1" t="s">
        <v>3586</v>
      </c>
      <c r="C3555" s="1" t="s">
        <v>11</v>
      </c>
      <c r="D3555" s="1" t="s">
        <v>11</v>
      </c>
      <c r="E3555" s="1" t="s">
        <v>11</v>
      </c>
    </row>
    <row r="3556" spans="1:5" ht="15.75" customHeight="1">
      <c r="A3556" s="1">
        <v>741533</v>
      </c>
      <c r="B3556" s="1" t="s">
        <v>3587</v>
      </c>
      <c r="C3556" s="1" t="s">
        <v>11</v>
      </c>
      <c r="D3556" s="1" t="s">
        <v>11</v>
      </c>
      <c r="E3556" s="1" t="s">
        <v>11</v>
      </c>
    </row>
    <row r="3557" spans="1:5" ht="15.75" customHeight="1">
      <c r="A3557" s="1">
        <v>741539</v>
      </c>
      <c r="B3557" s="1" t="s">
        <v>3588</v>
      </c>
      <c r="C3557" s="1" t="s">
        <v>11</v>
      </c>
      <c r="D3557" s="1" t="s">
        <v>11</v>
      </c>
      <c r="E3557" s="1" t="s">
        <v>11</v>
      </c>
    </row>
    <row r="3558" spans="1:5" ht="15.75" customHeight="1">
      <c r="A3558" s="1">
        <v>741811</v>
      </c>
      <c r="B3558" s="1" t="s">
        <v>3589</v>
      </c>
      <c r="C3558" s="1" t="s">
        <v>11</v>
      </c>
      <c r="D3558" s="1" t="s">
        <v>11</v>
      </c>
      <c r="E3558" s="1" t="s">
        <v>11</v>
      </c>
    </row>
    <row r="3559" spans="1:5" ht="15.75" customHeight="1">
      <c r="A3559" s="1">
        <v>741819</v>
      </c>
      <c r="B3559" s="1" t="s">
        <v>3590</v>
      </c>
      <c r="C3559" s="1" t="s">
        <v>11</v>
      </c>
      <c r="D3559" s="1" t="s">
        <v>11</v>
      </c>
      <c r="E3559" s="1" t="s">
        <v>11</v>
      </c>
    </row>
    <row r="3560" spans="1:5" ht="15.75" customHeight="1">
      <c r="A3560" s="1">
        <v>741820</v>
      </c>
      <c r="B3560" s="1" t="s">
        <v>3591</v>
      </c>
      <c r="C3560" s="1" t="s">
        <v>11</v>
      </c>
      <c r="D3560" s="1" t="s">
        <v>11</v>
      </c>
      <c r="E3560" s="1" t="s">
        <v>11</v>
      </c>
    </row>
    <row r="3561" spans="1:5" ht="15.75" customHeight="1">
      <c r="A3561" s="1">
        <v>741910</v>
      </c>
      <c r="B3561" s="1" t="s">
        <v>3592</v>
      </c>
      <c r="C3561" s="1" t="s">
        <v>11</v>
      </c>
      <c r="D3561" s="1" t="s">
        <v>11</v>
      </c>
      <c r="E3561" s="1" t="s">
        <v>11</v>
      </c>
    </row>
    <row r="3562" spans="1:5" ht="15.75" customHeight="1">
      <c r="A3562" s="1">
        <v>741991</v>
      </c>
      <c r="B3562" s="1" t="s">
        <v>3593</v>
      </c>
      <c r="C3562" s="1" t="s">
        <v>11</v>
      </c>
      <c r="D3562" s="1" t="s">
        <v>11</v>
      </c>
      <c r="E3562" s="1" t="s">
        <v>11</v>
      </c>
    </row>
    <row r="3563" spans="1:5" ht="15.75" customHeight="1">
      <c r="A3563" s="1">
        <v>741999</v>
      </c>
      <c r="B3563" s="1" t="s">
        <v>3594</v>
      </c>
      <c r="C3563" s="1" t="s">
        <v>11</v>
      </c>
      <c r="D3563" s="1" t="s">
        <v>11</v>
      </c>
      <c r="E3563" s="1" t="s">
        <v>11</v>
      </c>
    </row>
    <row r="3564" spans="1:5" ht="15.75" customHeight="1">
      <c r="A3564" s="1">
        <v>750110</v>
      </c>
      <c r="B3564" s="1" t="s">
        <v>3595</v>
      </c>
      <c r="C3564" s="1" t="s">
        <v>11</v>
      </c>
      <c r="D3564" s="1" t="s">
        <v>11</v>
      </c>
      <c r="E3564" s="1" t="s">
        <v>11</v>
      </c>
    </row>
    <row r="3565" spans="1:5" ht="15.75" customHeight="1">
      <c r="A3565" s="1">
        <v>750120</v>
      </c>
      <c r="B3565" s="1" t="s">
        <v>3596</v>
      </c>
      <c r="C3565" s="1" t="s">
        <v>11</v>
      </c>
      <c r="D3565" s="1" t="s">
        <v>11</v>
      </c>
      <c r="E3565" s="1" t="s">
        <v>11</v>
      </c>
    </row>
    <row r="3566" spans="1:5" ht="15.75" customHeight="1">
      <c r="A3566" s="1">
        <v>750210</v>
      </c>
      <c r="B3566" s="1" t="s">
        <v>3597</v>
      </c>
      <c r="C3566" s="1" t="s">
        <v>11</v>
      </c>
      <c r="D3566" s="1" t="s">
        <v>11</v>
      </c>
      <c r="E3566" s="1" t="s">
        <v>11</v>
      </c>
    </row>
    <row r="3567" spans="1:5" ht="15.75" customHeight="1">
      <c r="A3567" s="1">
        <v>750220</v>
      </c>
      <c r="B3567" s="1" t="s">
        <v>3598</v>
      </c>
      <c r="C3567" s="1" t="s">
        <v>11</v>
      </c>
      <c r="D3567" s="1" t="s">
        <v>11</v>
      </c>
      <c r="E3567" s="1" t="s">
        <v>11</v>
      </c>
    </row>
    <row r="3568" spans="1:5" ht="15.75" customHeight="1">
      <c r="A3568" s="1">
        <v>750300</v>
      </c>
      <c r="B3568" s="1" t="s">
        <v>3599</v>
      </c>
      <c r="C3568" s="1" t="s">
        <v>11</v>
      </c>
      <c r="D3568" s="1" t="s">
        <v>11</v>
      </c>
      <c r="E3568" s="1" t="s">
        <v>11</v>
      </c>
    </row>
    <row r="3569" spans="1:5" ht="15.75" customHeight="1">
      <c r="A3569" s="1">
        <v>750400</v>
      </c>
      <c r="B3569" s="1" t="s">
        <v>3600</v>
      </c>
      <c r="C3569" s="1" t="s">
        <v>11</v>
      </c>
      <c r="D3569" s="1" t="s">
        <v>11</v>
      </c>
      <c r="E3569" s="1" t="s">
        <v>11</v>
      </c>
    </row>
    <row r="3570" spans="1:5" ht="15.75" customHeight="1">
      <c r="A3570" s="1">
        <v>750511</v>
      </c>
      <c r="B3570" s="1" t="s">
        <v>3601</v>
      </c>
      <c r="C3570" s="1" t="s">
        <v>11</v>
      </c>
      <c r="D3570" s="1" t="s">
        <v>11</v>
      </c>
      <c r="E3570" s="1" t="s">
        <v>11</v>
      </c>
    </row>
    <row r="3571" spans="1:5" ht="15.75" customHeight="1">
      <c r="A3571" s="1">
        <v>750512</v>
      </c>
      <c r="B3571" s="1" t="s">
        <v>3602</v>
      </c>
      <c r="C3571" s="1" t="s">
        <v>11</v>
      </c>
      <c r="D3571" s="1" t="s">
        <v>11</v>
      </c>
      <c r="E3571" s="1" t="s">
        <v>11</v>
      </c>
    </row>
    <row r="3572" spans="1:5" ht="15.75" customHeight="1">
      <c r="A3572" s="1">
        <v>750521</v>
      </c>
      <c r="B3572" s="1" t="s">
        <v>3603</v>
      </c>
      <c r="C3572" s="1" t="s">
        <v>11</v>
      </c>
      <c r="D3572" s="1" t="s">
        <v>11</v>
      </c>
      <c r="E3572" s="1" t="s">
        <v>11</v>
      </c>
    </row>
    <row r="3573" spans="1:5" ht="15.75" customHeight="1">
      <c r="A3573" s="1">
        <v>750522</v>
      </c>
      <c r="B3573" s="1" t="s">
        <v>3604</v>
      </c>
      <c r="C3573" s="1" t="s">
        <v>11</v>
      </c>
      <c r="D3573" s="1" t="s">
        <v>11</v>
      </c>
      <c r="E3573" s="1" t="s">
        <v>11</v>
      </c>
    </row>
    <row r="3574" spans="1:5" ht="15.75" customHeight="1">
      <c r="A3574" s="1">
        <v>750610</v>
      </c>
      <c r="B3574" s="1" t="s">
        <v>3605</v>
      </c>
      <c r="C3574" s="1" t="s">
        <v>11</v>
      </c>
      <c r="D3574" s="1" t="s">
        <v>11</v>
      </c>
      <c r="E3574" s="1" t="s">
        <v>11</v>
      </c>
    </row>
    <row r="3575" spans="1:5" ht="15.75" customHeight="1">
      <c r="A3575" s="1">
        <v>750620</v>
      </c>
      <c r="B3575" s="1" t="s">
        <v>3606</v>
      </c>
      <c r="C3575" s="1" t="s">
        <v>11</v>
      </c>
      <c r="D3575" s="1" t="s">
        <v>11</v>
      </c>
      <c r="E3575" s="1" t="s">
        <v>11</v>
      </c>
    </row>
    <row r="3576" spans="1:5" ht="15.75" customHeight="1">
      <c r="A3576" s="1">
        <v>750711</v>
      </c>
      <c r="B3576" s="1" t="s">
        <v>3607</v>
      </c>
      <c r="C3576" s="1" t="s">
        <v>11</v>
      </c>
      <c r="D3576" s="1" t="s">
        <v>11</v>
      </c>
      <c r="E3576" s="1" t="s">
        <v>11</v>
      </c>
    </row>
    <row r="3577" spans="1:5" ht="15.75" customHeight="1">
      <c r="A3577" s="1">
        <v>750712</v>
      </c>
      <c r="B3577" s="1" t="s">
        <v>3608</v>
      </c>
      <c r="C3577" s="1" t="s">
        <v>11</v>
      </c>
      <c r="D3577" s="1" t="s">
        <v>11</v>
      </c>
      <c r="E3577" s="1" t="s">
        <v>11</v>
      </c>
    </row>
    <row r="3578" spans="1:5" ht="15.75" customHeight="1">
      <c r="A3578" s="1">
        <v>750720</v>
      </c>
      <c r="B3578" s="1" t="s">
        <v>3609</v>
      </c>
      <c r="C3578" s="1" t="s">
        <v>11</v>
      </c>
      <c r="D3578" s="1" t="s">
        <v>11</v>
      </c>
      <c r="E3578" s="1" t="s">
        <v>11</v>
      </c>
    </row>
    <row r="3579" spans="1:5" ht="15.75" customHeight="1">
      <c r="A3579" s="1">
        <v>750810</v>
      </c>
      <c r="B3579" s="1" t="s">
        <v>3610</v>
      </c>
      <c r="C3579" s="1" t="s">
        <v>11</v>
      </c>
      <c r="D3579" s="1" t="s">
        <v>11</v>
      </c>
      <c r="E3579" s="1" t="s">
        <v>11</v>
      </c>
    </row>
    <row r="3580" spans="1:5" ht="15.75" customHeight="1">
      <c r="A3580" s="1">
        <v>750890</v>
      </c>
      <c r="B3580" s="1" t="s">
        <v>3611</v>
      </c>
      <c r="C3580" s="1" t="s">
        <v>11</v>
      </c>
      <c r="D3580" s="1" t="s">
        <v>11</v>
      </c>
      <c r="E3580" s="1" t="s">
        <v>11</v>
      </c>
    </row>
    <row r="3581" spans="1:5" ht="15.75" customHeight="1">
      <c r="A3581" s="1">
        <v>760110</v>
      </c>
      <c r="B3581" s="1" t="s">
        <v>3612</v>
      </c>
      <c r="C3581" s="1" t="s">
        <v>11</v>
      </c>
      <c r="D3581" s="1" t="s">
        <v>11</v>
      </c>
      <c r="E3581" s="1" t="s">
        <v>11</v>
      </c>
    </row>
    <row r="3582" spans="1:5" ht="15.75" customHeight="1">
      <c r="A3582" s="1">
        <v>760120</v>
      </c>
      <c r="B3582" s="1" t="s">
        <v>3613</v>
      </c>
      <c r="C3582" s="1" t="s">
        <v>11</v>
      </c>
      <c r="D3582" s="1" t="s">
        <v>11</v>
      </c>
      <c r="E3582" s="1" t="s">
        <v>11</v>
      </c>
    </row>
    <row r="3583" spans="1:5" ht="15.75" customHeight="1">
      <c r="A3583" s="1">
        <v>760200</v>
      </c>
      <c r="B3583" s="1" t="s">
        <v>3614</v>
      </c>
      <c r="C3583" s="1" t="s">
        <v>11</v>
      </c>
      <c r="D3583" s="1" t="s">
        <v>11</v>
      </c>
      <c r="E3583" s="1" t="s">
        <v>11</v>
      </c>
    </row>
    <row r="3584" spans="1:5" ht="15.75" customHeight="1">
      <c r="A3584" s="1">
        <v>760310</v>
      </c>
      <c r="B3584" s="1" t="s">
        <v>3615</v>
      </c>
      <c r="C3584" s="1" t="s">
        <v>11</v>
      </c>
      <c r="D3584" s="1" t="s">
        <v>11</v>
      </c>
      <c r="E3584" s="1" t="s">
        <v>11</v>
      </c>
    </row>
    <row r="3585" spans="1:5" ht="15.75" customHeight="1">
      <c r="A3585" s="1">
        <v>760320</v>
      </c>
      <c r="B3585" s="1" t="s">
        <v>3616</v>
      </c>
      <c r="C3585" s="1" t="s">
        <v>11</v>
      </c>
      <c r="D3585" s="1" t="s">
        <v>11</v>
      </c>
      <c r="E3585" s="1" t="s">
        <v>11</v>
      </c>
    </row>
    <row r="3586" spans="1:5" ht="15.75" customHeight="1">
      <c r="A3586" s="1">
        <v>760410</v>
      </c>
      <c r="B3586" s="1" t="s">
        <v>3617</v>
      </c>
      <c r="C3586" s="1" t="s">
        <v>11</v>
      </c>
      <c r="D3586" s="1" t="s">
        <v>11</v>
      </c>
      <c r="E3586" s="1" t="s">
        <v>11</v>
      </c>
    </row>
    <row r="3587" spans="1:5" ht="15.75" customHeight="1">
      <c r="A3587" s="1">
        <v>760421</v>
      </c>
      <c r="B3587" s="1" t="s">
        <v>3618</v>
      </c>
      <c r="C3587" s="1" t="s">
        <v>11</v>
      </c>
      <c r="D3587" s="1" t="s">
        <v>11</v>
      </c>
      <c r="E3587" s="1" t="s">
        <v>11</v>
      </c>
    </row>
    <row r="3588" spans="1:5" ht="15.75" customHeight="1">
      <c r="A3588" s="1">
        <v>760429</v>
      </c>
      <c r="B3588" s="1" t="s">
        <v>3619</v>
      </c>
      <c r="C3588" s="1" t="s">
        <v>11</v>
      </c>
      <c r="D3588" s="1" t="s">
        <v>11</v>
      </c>
      <c r="E3588" s="1" t="s">
        <v>11</v>
      </c>
    </row>
    <row r="3589" spans="1:5" ht="15.75" customHeight="1">
      <c r="A3589" s="1">
        <v>760511</v>
      </c>
      <c r="B3589" s="1" t="s">
        <v>3620</v>
      </c>
      <c r="C3589" s="1" t="s">
        <v>11</v>
      </c>
      <c r="D3589" s="1" t="s">
        <v>11</v>
      </c>
      <c r="E3589" s="1" t="s">
        <v>11</v>
      </c>
    </row>
    <row r="3590" spans="1:5" ht="15.75" customHeight="1">
      <c r="A3590" s="1">
        <v>760519</v>
      </c>
      <c r="B3590" s="1" t="s">
        <v>3621</v>
      </c>
      <c r="C3590" s="1" t="s">
        <v>11</v>
      </c>
      <c r="D3590" s="1" t="s">
        <v>11</v>
      </c>
      <c r="E3590" s="1" t="s">
        <v>11</v>
      </c>
    </row>
    <row r="3591" spans="1:5" ht="15.75" customHeight="1">
      <c r="A3591" s="1">
        <v>760521</v>
      </c>
      <c r="B3591" s="1" t="s">
        <v>3622</v>
      </c>
      <c r="C3591" s="1" t="s">
        <v>11</v>
      </c>
      <c r="D3591" s="1" t="s">
        <v>11</v>
      </c>
      <c r="E3591" s="1" t="s">
        <v>11</v>
      </c>
    </row>
    <row r="3592" spans="1:5" ht="15.75" customHeight="1">
      <c r="A3592" s="1">
        <v>760529</v>
      </c>
      <c r="B3592" s="1" t="s">
        <v>3623</v>
      </c>
      <c r="C3592" s="1" t="s">
        <v>11</v>
      </c>
      <c r="D3592" s="1" t="s">
        <v>11</v>
      </c>
      <c r="E3592" s="1" t="s">
        <v>11</v>
      </c>
    </row>
    <row r="3593" spans="1:5" ht="15.75" customHeight="1">
      <c r="A3593" s="1">
        <v>760611</v>
      </c>
      <c r="B3593" s="1" t="s">
        <v>3624</v>
      </c>
      <c r="C3593" s="1" t="s">
        <v>11</v>
      </c>
      <c r="D3593" s="1" t="s">
        <v>11</v>
      </c>
      <c r="E3593" s="1" t="s">
        <v>11</v>
      </c>
    </row>
    <row r="3594" spans="1:5" ht="15.75" customHeight="1">
      <c r="A3594" s="1">
        <v>760612</v>
      </c>
      <c r="B3594" s="1" t="s">
        <v>3625</v>
      </c>
      <c r="C3594" s="1" t="s">
        <v>11</v>
      </c>
      <c r="D3594" s="1" t="s">
        <v>11</v>
      </c>
      <c r="E3594" s="1" t="s">
        <v>11</v>
      </c>
    </row>
    <row r="3595" spans="1:5" ht="15.75" customHeight="1">
      <c r="A3595" s="1">
        <v>760691</v>
      </c>
      <c r="B3595" s="1" t="s">
        <v>3626</v>
      </c>
      <c r="C3595" s="1" t="s">
        <v>11</v>
      </c>
      <c r="D3595" s="1" t="s">
        <v>11</v>
      </c>
      <c r="E3595" s="1" t="s">
        <v>11</v>
      </c>
    </row>
    <row r="3596" spans="1:5" ht="15.75" customHeight="1">
      <c r="A3596" s="1">
        <v>760692</v>
      </c>
      <c r="B3596" s="1" t="s">
        <v>3627</v>
      </c>
      <c r="C3596" s="1" t="s">
        <v>11</v>
      </c>
      <c r="D3596" s="1" t="s">
        <v>11</v>
      </c>
      <c r="E3596" s="1" t="s">
        <v>11</v>
      </c>
    </row>
    <row r="3597" spans="1:5" ht="15.75" customHeight="1">
      <c r="A3597" s="1">
        <v>760711</v>
      </c>
      <c r="B3597" s="1" t="s">
        <v>3628</v>
      </c>
      <c r="C3597" s="1" t="s">
        <v>11</v>
      </c>
      <c r="D3597" s="1" t="s">
        <v>11</v>
      </c>
      <c r="E3597" s="1" t="s">
        <v>11</v>
      </c>
    </row>
    <row r="3598" spans="1:5" ht="15.75" customHeight="1">
      <c r="A3598" s="1">
        <v>760719</v>
      </c>
      <c r="B3598" s="1" t="s">
        <v>3629</v>
      </c>
      <c r="C3598" s="1" t="s">
        <v>11</v>
      </c>
      <c r="D3598" s="1" t="s">
        <v>11</v>
      </c>
      <c r="E3598" s="1" t="s">
        <v>11</v>
      </c>
    </row>
    <row r="3599" spans="1:5" ht="15.75" customHeight="1">
      <c r="A3599" s="1">
        <v>760720</v>
      </c>
      <c r="B3599" s="1" t="s">
        <v>3630</v>
      </c>
      <c r="C3599" s="1" t="s">
        <v>11</v>
      </c>
      <c r="D3599" s="1" t="s">
        <v>11</v>
      </c>
      <c r="E3599" s="1" t="s">
        <v>11</v>
      </c>
    </row>
    <row r="3600" spans="1:5" ht="15.75" customHeight="1">
      <c r="A3600" s="1">
        <v>760810</v>
      </c>
      <c r="B3600" s="1" t="s">
        <v>3631</v>
      </c>
      <c r="C3600" s="1" t="s">
        <v>11</v>
      </c>
      <c r="D3600" s="1" t="s">
        <v>11</v>
      </c>
      <c r="E3600" s="1" t="s">
        <v>11</v>
      </c>
    </row>
    <row r="3601" spans="1:5" ht="15.75" customHeight="1">
      <c r="A3601" s="1">
        <v>760820</v>
      </c>
      <c r="B3601" s="1" t="s">
        <v>3632</v>
      </c>
      <c r="C3601" s="1" t="s">
        <v>11</v>
      </c>
      <c r="D3601" s="1" t="s">
        <v>11</v>
      </c>
      <c r="E3601" s="1" t="s">
        <v>11</v>
      </c>
    </row>
    <row r="3602" spans="1:5" ht="15.75" customHeight="1">
      <c r="A3602" s="1">
        <v>760900</v>
      </c>
      <c r="B3602" s="1" t="s">
        <v>3633</v>
      </c>
      <c r="C3602" s="1" t="s">
        <v>11</v>
      </c>
      <c r="D3602" s="1" t="s">
        <v>11</v>
      </c>
      <c r="E3602" s="1" t="s">
        <v>11</v>
      </c>
    </row>
    <row r="3603" spans="1:5" ht="15.75" customHeight="1">
      <c r="A3603" s="1">
        <v>761010</v>
      </c>
      <c r="B3603" s="1" t="s">
        <v>3634</v>
      </c>
      <c r="C3603" s="1" t="s">
        <v>11</v>
      </c>
      <c r="D3603" s="1" t="s">
        <v>11</v>
      </c>
      <c r="E3603" s="1" t="s">
        <v>11</v>
      </c>
    </row>
    <row r="3604" spans="1:5" ht="15.75" customHeight="1">
      <c r="A3604" s="1">
        <v>761090</v>
      </c>
      <c r="B3604" s="1" t="s">
        <v>3635</v>
      </c>
      <c r="C3604" s="1" t="s">
        <v>11</v>
      </c>
      <c r="D3604" s="1" t="s">
        <v>11</v>
      </c>
      <c r="E3604" s="1" t="s">
        <v>11</v>
      </c>
    </row>
    <row r="3605" spans="1:5" ht="15.75" customHeight="1">
      <c r="A3605" s="1">
        <v>761100</v>
      </c>
      <c r="B3605" s="1" t="s">
        <v>3636</v>
      </c>
      <c r="C3605" s="1" t="s">
        <v>11</v>
      </c>
      <c r="D3605" s="1" t="s">
        <v>11</v>
      </c>
      <c r="E3605" s="1" t="s">
        <v>11</v>
      </c>
    </row>
    <row r="3606" spans="1:5" ht="15.75" customHeight="1">
      <c r="A3606" s="1">
        <v>761210</v>
      </c>
      <c r="B3606" s="1" t="s">
        <v>3637</v>
      </c>
      <c r="C3606" s="1" t="s">
        <v>11</v>
      </c>
      <c r="D3606" s="1" t="s">
        <v>11</v>
      </c>
      <c r="E3606" s="1" t="s">
        <v>11</v>
      </c>
    </row>
    <row r="3607" spans="1:5" ht="15.75" customHeight="1">
      <c r="A3607" s="1">
        <v>761290</v>
      </c>
      <c r="B3607" s="1" t="s">
        <v>3638</v>
      </c>
      <c r="C3607" s="1" t="s">
        <v>11</v>
      </c>
      <c r="D3607" s="1" t="s">
        <v>11</v>
      </c>
      <c r="E3607" s="1" t="s">
        <v>11</v>
      </c>
    </row>
    <row r="3608" spans="1:5" ht="15.75" customHeight="1">
      <c r="A3608" s="1">
        <v>761300</v>
      </c>
      <c r="B3608" s="1" t="s">
        <v>3639</v>
      </c>
      <c r="C3608" s="1" t="s">
        <v>11</v>
      </c>
      <c r="D3608" s="1" t="s">
        <v>11</v>
      </c>
      <c r="E3608" s="1" t="s">
        <v>11</v>
      </c>
    </row>
    <row r="3609" spans="1:5" ht="15.75" customHeight="1">
      <c r="A3609" s="1">
        <v>761410</v>
      </c>
      <c r="B3609" s="1" t="s">
        <v>3640</v>
      </c>
      <c r="C3609" s="1" t="s">
        <v>11</v>
      </c>
      <c r="D3609" s="1" t="s">
        <v>11</v>
      </c>
      <c r="E3609" s="1" t="s">
        <v>11</v>
      </c>
    </row>
    <row r="3610" spans="1:5" ht="15.75" customHeight="1">
      <c r="A3610" s="1">
        <v>761490</v>
      </c>
      <c r="B3610" s="1" t="s">
        <v>3641</v>
      </c>
      <c r="C3610" s="1" t="s">
        <v>11</v>
      </c>
      <c r="D3610" s="1" t="s">
        <v>11</v>
      </c>
      <c r="E3610" s="1" t="s">
        <v>11</v>
      </c>
    </row>
    <row r="3611" spans="1:5" ht="15.75" customHeight="1">
      <c r="A3611" s="1">
        <v>761511</v>
      </c>
      <c r="B3611" s="1" t="s">
        <v>3642</v>
      </c>
      <c r="C3611" s="1" t="s">
        <v>11</v>
      </c>
      <c r="D3611" s="1" t="s">
        <v>11</v>
      </c>
      <c r="E3611" s="1" t="s">
        <v>11</v>
      </c>
    </row>
    <row r="3612" spans="1:5" ht="15.75" customHeight="1">
      <c r="A3612" s="1">
        <v>761519</v>
      </c>
      <c r="B3612" s="1" t="s">
        <v>3643</v>
      </c>
      <c r="C3612" s="1" t="s">
        <v>11</v>
      </c>
      <c r="D3612" s="1" t="s">
        <v>11</v>
      </c>
      <c r="E3612" s="1" t="s">
        <v>11</v>
      </c>
    </row>
    <row r="3613" spans="1:5" ht="15.75" customHeight="1">
      <c r="A3613" s="1">
        <v>761520</v>
      </c>
      <c r="B3613" s="1" t="s">
        <v>3644</v>
      </c>
      <c r="C3613" s="1" t="s">
        <v>11</v>
      </c>
      <c r="D3613" s="1" t="s">
        <v>11</v>
      </c>
      <c r="E3613" s="1" t="s">
        <v>11</v>
      </c>
    </row>
    <row r="3614" spans="1:5" ht="15.75" customHeight="1">
      <c r="A3614" s="1">
        <v>761610</v>
      </c>
      <c r="B3614" s="1" t="s">
        <v>3645</v>
      </c>
      <c r="C3614" s="1" t="s">
        <v>11</v>
      </c>
      <c r="D3614" s="1" t="s">
        <v>11</v>
      </c>
      <c r="E3614" s="1" t="s">
        <v>11</v>
      </c>
    </row>
    <row r="3615" spans="1:5" ht="15.75" customHeight="1">
      <c r="A3615" s="1">
        <v>761691</v>
      </c>
      <c r="B3615" s="1" t="s">
        <v>3646</v>
      </c>
      <c r="C3615" s="1" t="s">
        <v>11</v>
      </c>
      <c r="D3615" s="1" t="s">
        <v>11</v>
      </c>
      <c r="E3615" s="1" t="s">
        <v>11</v>
      </c>
    </row>
    <row r="3616" spans="1:5" ht="15.75" customHeight="1">
      <c r="A3616" s="1">
        <v>761699</v>
      </c>
      <c r="B3616" s="1" t="s">
        <v>3647</v>
      </c>
      <c r="C3616" s="1" t="s">
        <v>11</v>
      </c>
      <c r="D3616" s="1" t="s">
        <v>11</v>
      </c>
      <c r="E3616" s="1" t="s">
        <v>11</v>
      </c>
    </row>
    <row r="3617" spans="1:5" ht="15.75" customHeight="1">
      <c r="A3617" s="1">
        <v>780110</v>
      </c>
      <c r="B3617" s="1" t="s">
        <v>3648</v>
      </c>
      <c r="C3617" s="1" t="s">
        <v>11</v>
      </c>
      <c r="D3617" s="1" t="s">
        <v>11</v>
      </c>
      <c r="E3617" s="1" t="s">
        <v>11</v>
      </c>
    </row>
    <row r="3618" spans="1:5" ht="15.75" customHeight="1">
      <c r="A3618" s="1">
        <v>780191</v>
      </c>
      <c r="B3618" s="1" t="s">
        <v>3649</v>
      </c>
      <c r="C3618" s="1" t="s">
        <v>11</v>
      </c>
      <c r="D3618" s="1" t="s">
        <v>11</v>
      </c>
      <c r="E3618" s="1" t="s">
        <v>11</v>
      </c>
    </row>
    <row r="3619" spans="1:5" ht="15.75" customHeight="1">
      <c r="A3619" s="1">
        <v>780199</v>
      </c>
      <c r="B3619" s="1" t="s">
        <v>3650</v>
      </c>
      <c r="C3619" s="1" t="s">
        <v>11</v>
      </c>
      <c r="D3619" s="1" t="s">
        <v>11</v>
      </c>
      <c r="E3619" s="1" t="s">
        <v>11</v>
      </c>
    </row>
    <row r="3620" spans="1:5" ht="15.75" customHeight="1">
      <c r="A3620" s="1">
        <v>780200</v>
      </c>
      <c r="B3620" s="1" t="s">
        <v>3651</v>
      </c>
      <c r="C3620" s="1" t="s">
        <v>11</v>
      </c>
      <c r="D3620" s="1" t="s">
        <v>11</v>
      </c>
      <c r="E3620" s="1" t="s">
        <v>11</v>
      </c>
    </row>
    <row r="3621" spans="1:5" ht="15.75" customHeight="1">
      <c r="A3621" s="1">
        <v>780411</v>
      </c>
      <c r="B3621" s="1" t="s">
        <v>3652</v>
      </c>
      <c r="C3621" s="1" t="s">
        <v>11</v>
      </c>
      <c r="D3621" s="1" t="s">
        <v>11</v>
      </c>
      <c r="E3621" s="1" t="s">
        <v>11</v>
      </c>
    </row>
    <row r="3622" spans="1:5" ht="15.75" customHeight="1">
      <c r="A3622" s="1">
        <v>780419</v>
      </c>
      <c r="B3622" s="1" t="s">
        <v>3653</v>
      </c>
      <c r="C3622" s="1" t="s">
        <v>11</v>
      </c>
      <c r="D3622" s="1" t="s">
        <v>11</v>
      </c>
      <c r="E3622" s="1" t="s">
        <v>11</v>
      </c>
    </row>
    <row r="3623" spans="1:5" ht="15.75" customHeight="1">
      <c r="A3623" s="1">
        <v>780420</v>
      </c>
      <c r="B3623" s="1" t="s">
        <v>3654</v>
      </c>
      <c r="C3623" s="1" t="s">
        <v>11</v>
      </c>
      <c r="D3623" s="1" t="s">
        <v>11</v>
      </c>
      <c r="E3623" s="1" t="s">
        <v>11</v>
      </c>
    </row>
    <row r="3624" spans="1:5" ht="15.75" customHeight="1">
      <c r="A3624" s="1">
        <v>780600</v>
      </c>
      <c r="B3624" s="1" t="s">
        <v>3655</v>
      </c>
      <c r="C3624" s="1" t="s">
        <v>11</v>
      </c>
      <c r="D3624" s="1" t="s">
        <v>11</v>
      </c>
      <c r="E3624" s="1" t="s">
        <v>11</v>
      </c>
    </row>
    <row r="3625" spans="1:5" ht="15.75" customHeight="1">
      <c r="A3625" s="1">
        <v>790111</v>
      </c>
      <c r="B3625" s="1" t="s">
        <v>3656</v>
      </c>
      <c r="C3625" s="1" t="s">
        <v>11</v>
      </c>
      <c r="D3625" s="1" t="s">
        <v>11</v>
      </c>
      <c r="E3625" s="1" t="s">
        <v>11</v>
      </c>
    </row>
    <row r="3626" spans="1:5" ht="15.75" customHeight="1">
      <c r="A3626" s="1">
        <v>790112</v>
      </c>
      <c r="B3626" s="1" t="s">
        <v>3657</v>
      </c>
      <c r="C3626" s="1" t="s">
        <v>11</v>
      </c>
      <c r="D3626" s="1" t="s">
        <v>11</v>
      </c>
      <c r="E3626" s="1" t="s">
        <v>11</v>
      </c>
    </row>
    <row r="3627" spans="1:5" ht="15.75" customHeight="1">
      <c r="A3627" s="1">
        <v>790120</v>
      </c>
      <c r="B3627" s="1" t="s">
        <v>3658</v>
      </c>
      <c r="C3627" s="1" t="s">
        <v>11</v>
      </c>
      <c r="D3627" s="1" t="s">
        <v>11</v>
      </c>
      <c r="E3627" s="1" t="s">
        <v>11</v>
      </c>
    </row>
    <row r="3628" spans="1:5" ht="15.75" customHeight="1">
      <c r="A3628" s="1">
        <v>790200</v>
      </c>
      <c r="B3628" s="1" t="s">
        <v>3659</v>
      </c>
      <c r="C3628" s="1" t="s">
        <v>11</v>
      </c>
      <c r="D3628" s="1" t="s">
        <v>11</v>
      </c>
      <c r="E3628" s="1" t="s">
        <v>11</v>
      </c>
    </row>
    <row r="3629" spans="1:5" ht="15.75" customHeight="1">
      <c r="A3629" s="1">
        <v>790310</v>
      </c>
      <c r="B3629" s="1" t="s">
        <v>3660</v>
      </c>
      <c r="C3629" s="1" t="s">
        <v>11</v>
      </c>
      <c r="D3629" s="1" t="s">
        <v>11</v>
      </c>
      <c r="E3629" s="1" t="s">
        <v>11</v>
      </c>
    </row>
    <row r="3630" spans="1:5" ht="15.75" customHeight="1">
      <c r="A3630" s="1">
        <v>790390</v>
      </c>
      <c r="B3630" s="1" t="s">
        <v>3661</v>
      </c>
      <c r="C3630" s="1" t="s">
        <v>11</v>
      </c>
      <c r="D3630" s="1" t="s">
        <v>11</v>
      </c>
      <c r="E3630" s="1" t="s">
        <v>11</v>
      </c>
    </row>
    <row r="3631" spans="1:5" ht="15.75" customHeight="1">
      <c r="A3631" s="1">
        <v>790400</v>
      </c>
      <c r="B3631" s="1" t="s">
        <v>3662</v>
      </c>
      <c r="C3631" s="1" t="s">
        <v>11</v>
      </c>
      <c r="D3631" s="1" t="s">
        <v>11</v>
      </c>
      <c r="E3631" s="1" t="s">
        <v>11</v>
      </c>
    </row>
    <row r="3632" spans="1:5" ht="15.75" customHeight="1">
      <c r="A3632" s="1">
        <v>790500</v>
      </c>
      <c r="B3632" s="1" t="s">
        <v>3663</v>
      </c>
      <c r="C3632" s="1" t="s">
        <v>11</v>
      </c>
      <c r="D3632" s="1" t="s">
        <v>11</v>
      </c>
      <c r="E3632" s="1" t="s">
        <v>11</v>
      </c>
    </row>
    <row r="3633" spans="1:5" ht="15.75" customHeight="1">
      <c r="A3633" s="1">
        <v>790700</v>
      </c>
      <c r="B3633" s="1" t="s">
        <v>3664</v>
      </c>
      <c r="C3633" s="1" t="s">
        <v>11</v>
      </c>
      <c r="D3633" s="1" t="s">
        <v>11</v>
      </c>
      <c r="E3633" s="1" t="s">
        <v>11</v>
      </c>
    </row>
    <row r="3634" spans="1:5" ht="15.75" customHeight="1">
      <c r="A3634" s="1">
        <v>800110</v>
      </c>
      <c r="B3634" s="1" t="s">
        <v>3665</v>
      </c>
      <c r="C3634" s="1" t="s">
        <v>11</v>
      </c>
      <c r="D3634" s="1" t="s">
        <v>11</v>
      </c>
      <c r="E3634" s="1" t="s">
        <v>11</v>
      </c>
    </row>
    <row r="3635" spans="1:5" ht="15.75" customHeight="1">
      <c r="A3635" s="1">
        <v>800120</v>
      </c>
      <c r="B3635" s="1" t="s">
        <v>3666</v>
      </c>
      <c r="C3635" s="1" t="s">
        <v>11</v>
      </c>
      <c r="D3635" s="1" t="s">
        <v>11</v>
      </c>
      <c r="E3635" s="1" t="s">
        <v>11</v>
      </c>
    </row>
    <row r="3636" spans="1:5" ht="15.75" customHeight="1">
      <c r="A3636" s="1">
        <v>800200</v>
      </c>
      <c r="B3636" s="1" t="s">
        <v>3667</v>
      </c>
      <c r="C3636" s="1" t="s">
        <v>11</v>
      </c>
      <c r="D3636" s="1" t="s">
        <v>11</v>
      </c>
      <c r="E3636" s="1" t="s">
        <v>11</v>
      </c>
    </row>
    <row r="3637" spans="1:5" ht="15.75" customHeight="1">
      <c r="A3637" s="1">
        <v>800300</v>
      </c>
      <c r="B3637" s="1" t="s">
        <v>3668</v>
      </c>
      <c r="C3637" s="1" t="s">
        <v>11</v>
      </c>
      <c r="D3637" s="1" t="s">
        <v>11</v>
      </c>
      <c r="E3637" s="1" t="s">
        <v>11</v>
      </c>
    </row>
    <row r="3638" spans="1:5" ht="15.75" customHeight="1">
      <c r="A3638" s="1">
        <v>800700</v>
      </c>
      <c r="B3638" s="1" t="s">
        <v>3669</v>
      </c>
      <c r="C3638" s="1" t="s">
        <v>11</v>
      </c>
      <c r="D3638" s="1" t="s">
        <v>11</v>
      </c>
      <c r="E3638" s="1" t="s">
        <v>11</v>
      </c>
    </row>
    <row r="3639" spans="1:5" ht="15.75" customHeight="1">
      <c r="A3639" s="1">
        <v>810110</v>
      </c>
      <c r="B3639" s="1" t="s">
        <v>3670</v>
      </c>
      <c r="C3639" s="1" t="s">
        <v>11</v>
      </c>
      <c r="D3639" s="1" t="s">
        <v>11</v>
      </c>
      <c r="E3639" s="1" t="s">
        <v>11</v>
      </c>
    </row>
    <row r="3640" spans="1:5" ht="15.75" customHeight="1">
      <c r="A3640" s="1">
        <v>810194</v>
      </c>
      <c r="B3640" s="1" t="s">
        <v>3671</v>
      </c>
      <c r="C3640" s="1" t="s">
        <v>11</v>
      </c>
      <c r="D3640" s="1" t="s">
        <v>11</v>
      </c>
      <c r="E3640" s="1" t="s">
        <v>11</v>
      </c>
    </row>
    <row r="3641" spans="1:5" ht="15.75" customHeight="1">
      <c r="A3641" s="1">
        <v>810196</v>
      </c>
      <c r="B3641" s="1" t="s">
        <v>3672</v>
      </c>
      <c r="C3641" s="1" t="s">
        <v>11</v>
      </c>
      <c r="D3641" s="1" t="s">
        <v>11</v>
      </c>
      <c r="E3641" s="1" t="s">
        <v>11</v>
      </c>
    </row>
    <row r="3642" spans="1:5" ht="15.75" customHeight="1">
      <c r="A3642" s="1">
        <v>810197</v>
      </c>
      <c r="B3642" s="1" t="s">
        <v>3673</v>
      </c>
      <c r="C3642" s="1" t="s">
        <v>11</v>
      </c>
      <c r="D3642" s="1" t="s">
        <v>11</v>
      </c>
      <c r="E3642" s="1" t="s">
        <v>11</v>
      </c>
    </row>
    <row r="3643" spans="1:5" ht="15.75" customHeight="1">
      <c r="A3643" s="1">
        <v>810199</v>
      </c>
      <c r="B3643" s="1" t="s">
        <v>3674</v>
      </c>
      <c r="C3643" s="1" t="s">
        <v>11</v>
      </c>
      <c r="D3643" s="1" t="s">
        <v>11</v>
      </c>
      <c r="E3643" s="1" t="s">
        <v>11</v>
      </c>
    </row>
    <row r="3644" spans="1:5" ht="15.75" customHeight="1">
      <c r="A3644" s="1">
        <v>810210</v>
      </c>
      <c r="B3644" s="1" t="s">
        <v>3675</v>
      </c>
      <c r="C3644" s="1" t="s">
        <v>11</v>
      </c>
      <c r="D3644" s="1" t="s">
        <v>11</v>
      </c>
      <c r="E3644" s="1" t="s">
        <v>11</v>
      </c>
    </row>
    <row r="3645" spans="1:5" ht="15.75" customHeight="1">
      <c r="A3645" s="1">
        <v>810294</v>
      </c>
      <c r="B3645" s="1" t="s">
        <v>3676</v>
      </c>
      <c r="C3645" s="1" t="s">
        <v>11</v>
      </c>
      <c r="D3645" s="1" t="s">
        <v>11</v>
      </c>
      <c r="E3645" s="1" t="s">
        <v>11</v>
      </c>
    </row>
    <row r="3646" spans="1:5" ht="15.75" customHeight="1">
      <c r="A3646" s="1">
        <v>810295</v>
      </c>
      <c r="B3646" s="1" t="s">
        <v>3677</v>
      </c>
      <c r="C3646" s="1" t="s">
        <v>11</v>
      </c>
      <c r="D3646" s="1" t="s">
        <v>11</v>
      </c>
      <c r="E3646" s="1" t="s">
        <v>11</v>
      </c>
    </row>
    <row r="3647" spans="1:5" ht="15.75" customHeight="1">
      <c r="A3647" s="1">
        <v>810296</v>
      </c>
      <c r="B3647" s="1" t="s">
        <v>3678</v>
      </c>
      <c r="C3647" s="1" t="s">
        <v>11</v>
      </c>
      <c r="D3647" s="1" t="s">
        <v>11</v>
      </c>
      <c r="E3647" s="1" t="s">
        <v>11</v>
      </c>
    </row>
    <row r="3648" spans="1:5" ht="15.75" customHeight="1">
      <c r="A3648" s="1">
        <v>810297</v>
      </c>
      <c r="B3648" s="1" t="s">
        <v>3679</v>
      </c>
      <c r="C3648" s="1" t="s">
        <v>11</v>
      </c>
      <c r="D3648" s="1" t="s">
        <v>11</v>
      </c>
      <c r="E3648" s="1" t="s">
        <v>11</v>
      </c>
    </row>
    <row r="3649" spans="1:5" ht="15.75" customHeight="1">
      <c r="A3649" s="1">
        <v>810299</v>
      </c>
      <c r="B3649" s="1" t="s">
        <v>3680</v>
      </c>
      <c r="C3649" s="1" t="s">
        <v>11</v>
      </c>
      <c r="D3649" s="1" t="s">
        <v>11</v>
      </c>
      <c r="E3649" s="1" t="s">
        <v>11</v>
      </c>
    </row>
    <row r="3650" spans="1:5" ht="15.75" customHeight="1">
      <c r="A3650" s="1">
        <v>810320</v>
      </c>
      <c r="B3650" s="1" t="s">
        <v>3681</v>
      </c>
      <c r="C3650" s="1" t="s">
        <v>11</v>
      </c>
      <c r="D3650" s="1" t="s">
        <v>11</v>
      </c>
      <c r="E3650" s="1" t="s">
        <v>11</v>
      </c>
    </row>
    <row r="3651" spans="1:5" ht="15.75" customHeight="1">
      <c r="A3651" s="1">
        <v>810330</v>
      </c>
      <c r="B3651" s="1" t="s">
        <v>3682</v>
      </c>
      <c r="C3651" s="1" t="s">
        <v>11</v>
      </c>
      <c r="D3651" s="1" t="s">
        <v>11</v>
      </c>
      <c r="E3651" s="1" t="s">
        <v>11</v>
      </c>
    </row>
    <row r="3652" spans="1:5" ht="15.75" customHeight="1">
      <c r="A3652" s="1">
        <v>810390</v>
      </c>
      <c r="B3652" s="1" t="s">
        <v>3683</v>
      </c>
      <c r="C3652" s="1" t="s">
        <v>11</v>
      </c>
      <c r="D3652" s="1" t="s">
        <v>11</v>
      </c>
      <c r="E3652" s="1" t="s">
        <v>11</v>
      </c>
    </row>
    <row r="3653" spans="1:5" ht="15.75" customHeight="1">
      <c r="A3653" s="1">
        <v>810411</v>
      </c>
      <c r="B3653" s="1" t="s">
        <v>3684</v>
      </c>
      <c r="C3653" s="1" t="s">
        <v>11</v>
      </c>
      <c r="D3653" s="1" t="s">
        <v>11</v>
      </c>
      <c r="E3653" s="1" t="s">
        <v>11</v>
      </c>
    </row>
    <row r="3654" spans="1:5" ht="15.75" customHeight="1">
      <c r="A3654" s="1">
        <v>810419</v>
      </c>
      <c r="B3654" s="1" t="s">
        <v>3685</v>
      </c>
      <c r="C3654" s="1" t="s">
        <v>11</v>
      </c>
      <c r="D3654" s="1" t="s">
        <v>11</v>
      </c>
      <c r="E3654" s="1" t="s">
        <v>11</v>
      </c>
    </row>
    <row r="3655" spans="1:5" ht="15.75" customHeight="1">
      <c r="A3655" s="1">
        <v>810420</v>
      </c>
      <c r="B3655" s="1" t="s">
        <v>3686</v>
      </c>
      <c r="C3655" s="1" t="s">
        <v>11</v>
      </c>
      <c r="D3655" s="1" t="s">
        <v>11</v>
      </c>
      <c r="E3655" s="1" t="s">
        <v>11</v>
      </c>
    </row>
    <row r="3656" spans="1:5" ht="15.75" customHeight="1">
      <c r="A3656" s="1">
        <v>810430</v>
      </c>
      <c r="B3656" s="1" t="s">
        <v>3687</v>
      </c>
      <c r="C3656" s="1" t="s">
        <v>11</v>
      </c>
      <c r="D3656" s="1" t="s">
        <v>11</v>
      </c>
      <c r="E3656" s="1" t="s">
        <v>11</v>
      </c>
    </row>
    <row r="3657" spans="1:5" ht="15.75" customHeight="1">
      <c r="A3657" s="1">
        <v>810490</v>
      </c>
      <c r="B3657" s="1" t="s">
        <v>3688</v>
      </c>
      <c r="C3657" s="1" t="s">
        <v>11</v>
      </c>
      <c r="D3657" s="1" t="s">
        <v>11</v>
      </c>
      <c r="E3657" s="1" t="s">
        <v>11</v>
      </c>
    </row>
    <row r="3658" spans="1:5" ht="15.75" customHeight="1">
      <c r="A3658" s="1">
        <v>810520</v>
      </c>
      <c r="B3658" s="1" t="s">
        <v>3689</v>
      </c>
      <c r="C3658" s="1" t="s">
        <v>11</v>
      </c>
      <c r="D3658" s="1" t="s">
        <v>11</v>
      </c>
      <c r="E3658" s="1" t="s">
        <v>11</v>
      </c>
    </row>
    <row r="3659" spans="1:5" ht="15.75" customHeight="1">
      <c r="A3659" s="1">
        <v>810530</v>
      </c>
      <c r="B3659" s="1" t="s">
        <v>3690</v>
      </c>
      <c r="C3659" s="1" t="s">
        <v>11</v>
      </c>
      <c r="D3659" s="1" t="s">
        <v>11</v>
      </c>
      <c r="E3659" s="1" t="s">
        <v>11</v>
      </c>
    </row>
    <row r="3660" spans="1:5" ht="15.75" customHeight="1">
      <c r="A3660" s="1">
        <v>810590</v>
      </c>
      <c r="B3660" s="1" t="s">
        <v>3691</v>
      </c>
      <c r="C3660" s="1" t="s">
        <v>11</v>
      </c>
      <c r="D3660" s="1" t="s">
        <v>11</v>
      </c>
      <c r="E3660" s="1" t="s">
        <v>11</v>
      </c>
    </row>
    <row r="3661" spans="1:5" ht="15.75" customHeight="1">
      <c r="A3661" s="1">
        <v>810600</v>
      </c>
      <c r="B3661" s="1" t="s">
        <v>3692</v>
      </c>
      <c r="C3661" s="1" t="s">
        <v>11</v>
      </c>
      <c r="D3661" s="1" t="s">
        <v>11</v>
      </c>
      <c r="E3661" s="1" t="s">
        <v>11</v>
      </c>
    </row>
    <row r="3662" spans="1:5" ht="15.75" customHeight="1">
      <c r="A3662" s="1">
        <v>810720</v>
      </c>
      <c r="B3662" s="1" t="s">
        <v>3693</v>
      </c>
      <c r="C3662" s="1" t="s">
        <v>11</v>
      </c>
      <c r="D3662" s="1" t="s">
        <v>11</v>
      </c>
      <c r="E3662" s="1" t="s">
        <v>11</v>
      </c>
    </row>
    <row r="3663" spans="1:5" ht="15.75" customHeight="1">
      <c r="A3663" s="1">
        <v>810730</v>
      </c>
      <c r="B3663" s="1" t="s">
        <v>3694</v>
      </c>
      <c r="C3663" s="1" t="s">
        <v>11</v>
      </c>
      <c r="D3663" s="1" t="s">
        <v>11</v>
      </c>
      <c r="E3663" s="1" t="s">
        <v>11</v>
      </c>
    </row>
    <row r="3664" spans="1:5" ht="15.75" customHeight="1">
      <c r="A3664" s="1">
        <v>810790</v>
      </c>
      <c r="B3664" s="1" t="s">
        <v>3695</v>
      </c>
      <c r="C3664" s="1" t="s">
        <v>11</v>
      </c>
      <c r="D3664" s="1" t="s">
        <v>11</v>
      </c>
      <c r="E3664" s="1" t="s">
        <v>11</v>
      </c>
    </row>
    <row r="3665" spans="1:5" ht="15.75" customHeight="1">
      <c r="A3665" s="1">
        <v>810820</v>
      </c>
      <c r="B3665" s="1" t="s">
        <v>3696</v>
      </c>
      <c r="C3665" s="1" t="s">
        <v>11</v>
      </c>
      <c r="D3665" s="1" t="s">
        <v>11</v>
      </c>
      <c r="E3665" s="1" t="s">
        <v>11</v>
      </c>
    </row>
    <row r="3666" spans="1:5" ht="15.75" customHeight="1">
      <c r="A3666" s="1">
        <v>810830</v>
      </c>
      <c r="B3666" s="1" t="s">
        <v>3697</v>
      </c>
      <c r="C3666" s="1" t="s">
        <v>11</v>
      </c>
      <c r="D3666" s="1" t="s">
        <v>11</v>
      </c>
      <c r="E3666" s="1" t="s">
        <v>11</v>
      </c>
    </row>
    <row r="3667" spans="1:5" ht="15.75" customHeight="1">
      <c r="A3667" s="1">
        <v>810890</v>
      </c>
      <c r="B3667" s="1" t="s">
        <v>3698</v>
      </c>
      <c r="C3667" s="1" t="s">
        <v>11</v>
      </c>
      <c r="D3667" s="1" t="s">
        <v>11</v>
      </c>
      <c r="E3667" s="1" t="s">
        <v>11</v>
      </c>
    </row>
    <row r="3668" spans="1:5" ht="15.75" customHeight="1">
      <c r="A3668" s="1">
        <v>810920</v>
      </c>
      <c r="B3668" s="1" t="s">
        <v>3699</v>
      </c>
      <c r="C3668" s="1" t="s">
        <v>11</v>
      </c>
      <c r="D3668" s="1" t="s">
        <v>11</v>
      </c>
      <c r="E3668" s="1" t="s">
        <v>11</v>
      </c>
    </row>
    <row r="3669" spans="1:5" ht="15.75" customHeight="1">
      <c r="A3669" s="1">
        <v>810930</v>
      </c>
      <c r="B3669" s="1" t="s">
        <v>3700</v>
      </c>
      <c r="C3669" s="1" t="s">
        <v>11</v>
      </c>
      <c r="D3669" s="1" t="s">
        <v>11</v>
      </c>
      <c r="E3669" s="1" t="s">
        <v>11</v>
      </c>
    </row>
    <row r="3670" spans="1:5" ht="15.75" customHeight="1">
      <c r="A3670" s="1">
        <v>810990</v>
      </c>
      <c r="B3670" s="1" t="s">
        <v>3701</v>
      </c>
      <c r="C3670" s="1" t="s">
        <v>11</v>
      </c>
      <c r="D3670" s="1" t="s">
        <v>11</v>
      </c>
      <c r="E3670" s="1" t="s">
        <v>11</v>
      </c>
    </row>
    <row r="3671" spans="1:5" ht="15.75" customHeight="1">
      <c r="A3671" s="1">
        <v>811010</v>
      </c>
      <c r="B3671" s="1" t="s">
        <v>3702</v>
      </c>
      <c r="C3671" s="1" t="s">
        <v>11</v>
      </c>
      <c r="D3671" s="1" t="s">
        <v>11</v>
      </c>
      <c r="E3671" s="1" t="s">
        <v>11</v>
      </c>
    </row>
    <row r="3672" spans="1:5" ht="15.75" customHeight="1">
      <c r="A3672" s="1">
        <v>811020</v>
      </c>
      <c r="B3672" s="1" t="s">
        <v>3703</v>
      </c>
      <c r="C3672" s="1" t="s">
        <v>11</v>
      </c>
      <c r="D3672" s="1" t="s">
        <v>11</v>
      </c>
      <c r="E3672" s="1" t="s">
        <v>11</v>
      </c>
    </row>
    <row r="3673" spans="1:5" ht="15.75" customHeight="1">
      <c r="A3673" s="1">
        <v>811090</v>
      </c>
      <c r="B3673" s="1" t="s">
        <v>3704</v>
      </c>
      <c r="C3673" s="1" t="s">
        <v>11</v>
      </c>
      <c r="D3673" s="1" t="s">
        <v>11</v>
      </c>
      <c r="E3673" s="1" t="s">
        <v>11</v>
      </c>
    </row>
    <row r="3674" spans="1:5" ht="15.75" customHeight="1">
      <c r="A3674" s="1">
        <v>811100</v>
      </c>
      <c r="B3674" s="1" t="s">
        <v>3705</v>
      </c>
      <c r="C3674" s="1" t="s">
        <v>11</v>
      </c>
      <c r="D3674" s="1" t="s">
        <v>11</v>
      </c>
      <c r="E3674" s="1" t="s">
        <v>11</v>
      </c>
    </row>
    <row r="3675" spans="1:5" ht="15.75" customHeight="1">
      <c r="A3675" s="1">
        <v>811212</v>
      </c>
      <c r="B3675" s="1" t="s">
        <v>3706</v>
      </c>
      <c r="C3675" s="1" t="s">
        <v>11</v>
      </c>
      <c r="D3675" s="1" t="s">
        <v>11</v>
      </c>
      <c r="E3675" s="1" t="s">
        <v>11</v>
      </c>
    </row>
    <row r="3676" spans="1:5" ht="15.75" customHeight="1">
      <c r="A3676" s="1">
        <v>811213</v>
      </c>
      <c r="B3676" s="1" t="s">
        <v>3707</v>
      </c>
      <c r="C3676" s="1" t="s">
        <v>11</v>
      </c>
      <c r="D3676" s="1" t="s">
        <v>11</v>
      </c>
      <c r="E3676" s="1" t="s">
        <v>11</v>
      </c>
    </row>
    <row r="3677" spans="1:5" ht="15.75" customHeight="1">
      <c r="A3677" s="1">
        <v>811219</v>
      </c>
      <c r="B3677" s="1" t="s">
        <v>3708</v>
      </c>
      <c r="C3677" s="1" t="s">
        <v>11</v>
      </c>
      <c r="D3677" s="1" t="s">
        <v>11</v>
      </c>
      <c r="E3677" s="1" t="s">
        <v>11</v>
      </c>
    </row>
    <row r="3678" spans="1:5" ht="15.75" customHeight="1">
      <c r="A3678" s="1">
        <v>811221</v>
      </c>
      <c r="B3678" s="1" t="s">
        <v>3709</v>
      </c>
      <c r="C3678" s="1" t="s">
        <v>11</v>
      </c>
      <c r="D3678" s="1" t="s">
        <v>11</v>
      </c>
      <c r="E3678" s="1" t="s">
        <v>11</v>
      </c>
    </row>
    <row r="3679" spans="1:5" ht="15.75" customHeight="1">
      <c r="A3679" s="1">
        <v>811222</v>
      </c>
      <c r="B3679" s="1" t="s">
        <v>3710</v>
      </c>
      <c r="C3679" s="1" t="s">
        <v>11</v>
      </c>
      <c r="D3679" s="1" t="s">
        <v>11</v>
      </c>
      <c r="E3679" s="1" t="s">
        <v>11</v>
      </c>
    </row>
    <row r="3680" spans="1:5" ht="15.75" customHeight="1">
      <c r="A3680" s="1">
        <v>811229</v>
      </c>
      <c r="B3680" s="1" t="s">
        <v>3711</v>
      </c>
      <c r="C3680" s="1" t="s">
        <v>11</v>
      </c>
      <c r="D3680" s="1" t="s">
        <v>11</v>
      </c>
      <c r="E3680" s="1" t="s">
        <v>11</v>
      </c>
    </row>
    <row r="3681" spans="1:5" ht="15.75" customHeight="1">
      <c r="A3681" s="1">
        <v>811251</v>
      </c>
      <c r="B3681" s="1" t="s">
        <v>3712</v>
      </c>
      <c r="C3681" s="1" t="s">
        <v>11</v>
      </c>
      <c r="D3681" s="1" t="s">
        <v>11</v>
      </c>
      <c r="E3681" s="1" t="s">
        <v>11</v>
      </c>
    </row>
    <row r="3682" spans="1:5" ht="15.75" customHeight="1">
      <c r="A3682" s="1">
        <v>811252</v>
      </c>
      <c r="B3682" s="1" t="s">
        <v>3713</v>
      </c>
      <c r="C3682" s="1" t="s">
        <v>11</v>
      </c>
      <c r="D3682" s="1" t="s">
        <v>11</v>
      </c>
      <c r="E3682" s="1" t="s">
        <v>11</v>
      </c>
    </row>
    <row r="3683" spans="1:5" ht="15.75" customHeight="1">
      <c r="A3683" s="1">
        <v>811259</v>
      </c>
      <c r="B3683" s="1" t="s">
        <v>3714</v>
      </c>
      <c r="C3683" s="1" t="s">
        <v>11</v>
      </c>
      <c r="D3683" s="1" t="s">
        <v>11</v>
      </c>
      <c r="E3683" s="1" t="s">
        <v>11</v>
      </c>
    </row>
    <row r="3684" spans="1:5" ht="15.75" customHeight="1">
      <c r="A3684" s="1">
        <v>811292</v>
      </c>
      <c r="B3684" s="1" t="s">
        <v>3715</v>
      </c>
      <c r="C3684" s="1" t="s">
        <v>11</v>
      </c>
      <c r="D3684" s="1" t="s">
        <v>11</v>
      </c>
      <c r="E3684" s="1" t="s">
        <v>11</v>
      </c>
    </row>
    <row r="3685" spans="1:5" ht="15.75" customHeight="1">
      <c r="A3685" s="1">
        <v>811299</v>
      </c>
      <c r="B3685" s="1" t="s">
        <v>3716</v>
      </c>
      <c r="C3685" s="1" t="s">
        <v>11</v>
      </c>
      <c r="D3685" s="1" t="s">
        <v>11</v>
      </c>
      <c r="E3685" s="1" t="s">
        <v>11</v>
      </c>
    </row>
    <row r="3686" spans="1:5" ht="15.75" customHeight="1">
      <c r="A3686" s="1">
        <v>811300</v>
      </c>
      <c r="B3686" s="1" t="s">
        <v>3717</v>
      </c>
      <c r="C3686" s="1" t="s">
        <v>11</v>
      </c>
      <c r="D3686" s="1" t="s">
        <v>11</v>
      </c>
      <c r="E3686" s="1" t="s">
        <v>11</v>
      </c>
    </row>
    <row r="3687" spans="1:5" ht="15.75" customHeight="1">
      <c r="A3687" s="1">
        <v>820110</v>
      </c>
      <c r="B3687" s="1" t="s">
        <v>3718</v>
      </c>
      <c r="C3687" s="1" t="s">
        <v>11</v>
      </c>
      <c r="D3687" s="1" t="s">
        <v>11</v>
      </c>
      <c r="E3687" s="1" t="s">
        <v>11</v>
      </c>
    </row>
    <row r="3688" spans="1:5" ht="15.75" customHeight="1">
      <c r="A3688" s="1">
        <v>820120</v>
      </c>
      <c r="B3688" s="1" t="s">
        <v>3719</v>
      </c>
      <c r="C3688" s="1" t="s">
        <v>11</v>
      </c>
      <c r="D3688" s="1" t="s">
        <v>11</v>
      </c>
      <c r="E3688" s="1" t="s">
        <v>11</v>
      </c>
    </row>
    <row r="3689" spans="1:5" ht="15.75" customHeight="1">
      <c r="A3689" s="1">
        <v>820130</v>
      </c>
      <c r="B3689" s="1" t="s">
        <v>3720</v>
      </c>
      <c r="C3689" s="1" t="s">
        <v>11</v>
      </c>
      <c r="D3689" s="1" t="s">
        <v>11</v>
      </c>
      <c r="E3689" s="1" t="s">
        <v>11</v>
      </c>
    </row>
    <row r="3690" spans="1:5" ht="15.75" customHeight="1">
      <c r="A3690" s="1">
        <v>820140</v>
      </c>
      <c r="B3690" s="1" t="s">
        <v>3721</v>
      </c>
      <c r="C3690" s="1" t="s">
        <v>11</v>
      </c>
      <c r="D3690" s="1" t="s">
        <v>11</v>
      </c>
      <c r="E3690" s="1" t="s">
        <v>11</v>
      </c>
    </row>
    <row r="3691" spans="1:5" ht="15.75" customHeight="1">
      <c r="A3691" s="1">
        <v>820150</v>
      </c>
      <c r="B3691" s="1" t="s">
        <v>3722</v>
      </c>
      <c r="C3691" s="1" t="s">
        <v>11</v>
      </c>
      <c r="D3691" s="1" t="s">
        <v>11</v>
      </c>
      <c r="E3691" s="1" t="s">
        <v>11</v>
      </c>
    </row>
    <row r="3692" spans="1:5" ht="15.75" customHeight="1">
      <c r="A3692" s="1">
        <v>820160</v>
      </c>
      <c r="B3692" s="1" t="s">
        <v>3723</v>
      </c>
      <c r="C3692" s="1" t="s">
        <v>11</v>
      </c>
      <c r="D3692" s="1" t="s">
        <v>11</v>
      </c>
      <c r="E3692" s="1" t="s">
        <v>11</v>
      </c>
    </row>
    <row r="3693" spans="1:5" ht="15.75" customHeight="1">
      <c r="A3693" s="1">
        <v>820190</v>
      </c>
      <c r="B3693" s="1" t="s">
        <v>3724</v>
      </c>
      <c r="C3693" s="1" t="s">
        <v>11</v>
      </c>
      <c r="D3693" s="1" t="s">
        <v>11</v>
      </c>
      <c r="E3693" s="1" t="s">
        <v>11</v>
      </c>
    </row>
    <row r="3694" spans="1:5" ht="15.75" customHeight="1">
      <c r="A3694" s="1">
        <v>820210</v>
      </c>
      <c r="B3694" s="1" t="s">
        <v>3725</v>
      </c>
      <c r="C3694" s="1" t="s">
        <v>11</v>
      </c>
      <c r="D3694" s="1" t="s">
        <v>11</v>
      </c>
      <c r="E3694" s="1" t="s">
        <v>11</v>
      </c>
    </row>
    <row r="3695" spans="1:5" ht="15.75" customHeight="1">
      <c r="A3695" s="1">
        <v>820220</v>
      </c>
      <c r="B3695" s="1" t="s">
        <v>3726</v>
      </c>
      <c r="C3695" s="1" t="s">
        <v>11</v>
      </c>
      <c r="D3695" s="1" t="s">
        <v>11</v>
      </c>
      <c r="E3695" s="1" t="s">
        <v>11</v>
      </c>
    </row>
    <row r="3696" spans="1:5" ht="15.75" customHeight="1">
      <c r="A3696" s="1">
        <v>820231</v>
      </c>
      <c r="B3696" s="1" t="s">
        <v>3727</v>
      </c>
      <c r="C3696" s="1" t="s">
        <v>11</v>
      </c>
      <c r="D3696" s="1" t="s">
        <v>11</v>
      </c>
      <c r="E3696" s="1" t="s">
        <v>11</v>
      </c>
    </row>
    <row r="3697" spans="1:5" ht="15.75" customHeight="1">
      <c r="A3697" s="1">
        <v>820239</v>
      </c>
      <c r="B3697" s="1" t="s">
        <v>3728</v>
      </c>
      <c r="C3697" s="1" t="s">
        <v>11</v>
      </c>
      <c r="D3697" s="1" t="s">
        <v>11</v>
      </c>
      <c r="E3697" s="1" t="s">
        <v>11</v>
      </c>
    </row>
    <row r="3698" spans="1:5" ht="15.75" customHeight="1">
      <c r="A3698" s="1">
        <v>820240</v>
      </c>
      <c r="B3698" s="1" t="s">
        <v>3729</v>
      </c>
      <c r="C3698" s="1" t="s">
        <v>11</v>
      </c>
      <c r="D3698" s="1" t="s">
        <v>11</v>
      </c>
      <c r="E3698" s="1" t="s">
        <v>11</v>
      </c>
    </row>
    <row r="3699" spans="1:5" ht="15.75" customHeight="1">
      <c r="A3699" s="1">
        <v>820291</v>
      </c>
      <c r="B3699" s="1" t="s">
        <v>3730</v>
      </c>
      <c r="C3699" s="1" t="s">
        <v>11</v>
      </c>
      <c r="D3699" s="1" t="s">
        <v>11</v>
      </c>
      <c r="E3699" s="1" t="s">
        <v>11</v>
      </c>
    </row>
    <row r="3700" spans="1:5" ht="15.75" customHeight="1">
      <c r="A3700" s="1">
        <v>820299</v>
      </c>
      <c r="B3700" s="1" t="s">
        <v>3731</v>
      </c>
      <c r="C3700" s="1" t="s">
        <v>11</v>
      </c>
      <c r="D3700" s="1" t="s">
        <v>11</v>
      </c>
      <c r="E3700" s="1" t="s">
        <v>11</v>
      </c>
    </row>
    <row r="3701" spans="1:5" ht="15.75" customHeight="1">
      <c r="A3701" s="1">
        <v>820310</v>
      </c>
      <c r="B3701" s="1" t="s">
        <v>3732</v>
      </c>
      <c r="C3701" s="1" t="s">
        <v>11</v>
      </c>
      <c r="D3701" s="1" t="s">
        <v>11</v>
      </c>
      <c r="E3701" s="1" t="s">
        <v>11</v>
      </c>
    </row>
    <row r="3702" spans="1:5" ht="15.75" customHeight="1">
      <c r="A3702" s="1">
        <v>820320</v>
      </c>
      <c r="B3702" s="1" t="s">
        <v>3733</v>
      </c>
      <c r="C3702" s="1" t="s">
        <v>11</v>
      </c>
      <c r="D3702" s="1" t="s">
        <v>11</v>
      </c>
      <c r="E3702" s="1" t="s">
        <v>11</v>
      </c>
    </row>
    <row r="3703" spans="1:5" ht="15.75" customHeight="1">
      <c r="A3703" s="1">
        <v>820330</v>
      </c>
      <c r="B3703" s="1" t="s">
        <v>3734</v>
      </c>
      <c r="C3703" s="1" t="s">
        <v>11</v>
      </c>
      <c r="D3703" s="1" t="s">
        <v>11</v>
      </c>
      <c r="E3703" s="1" t="s">
        <v>11</v>
      </c>
    </row>
    <row r="3704" spans="1:5" ht="15.75" customHeight="1">
      <c r="A3704" s="1">
        <v>820340</v>
      </c>
      <c r="B3704" s="1" t="s">
        <v>3735</v>
      </c>
      <c r="C3704" s="1" t="s">
        <v>11</v>
      </c>
      <c r="D3704" s="1" t="s">
        <v>11</v>
      </c>
      <c r="E3704" s="1" t="s">
        <v>11</v>
      </c>
    </row>
    <row r="3705" spans="1:5" ht="15.75" customHeight="1">
      <c r="A3705" s="1">
        <v>820411</v>
      </c>
      <c r="B3705" s="1" t="s">
        <v>3736</v>
      </c>
      <c r="C3705" s="1" t="s">
        <v>11</v>
      </c>
      <c r="D3705" s="1" t="s">
        <v>11</v>
      </c>
      <c r="E3705" s="1" t="s">
        <v>11</v>
      </c>
    </row>
    <row r="3706" spans="1:5" ht="15.75" customHeight="1">
      <c r="A3706" s="1">
        <v>820412</v>
      </c>
      <c r="B3706" s="1" t="s">
        <v>3737</v>
      </c>
      <c r="C3706" s="1" t="s">
        <v>11</v>
      </c>
      <c r="D3706" s="1" t="s">
        <v>11</v>
      </c>
      <c r="E3706" s="1" t="s">
        <v>11</v>
      </c>
    </row>
    <row r="3707" spans="1:5" ht="15.75" customHeight="1">
      <c r="A3707" s="1">
        <v>820420</v>
      </c>
      <c r="B3707" s="1" t="s">
        <v>3738</v>
      </c>
      <c r="C3707" s="1" t="s">
        <v>11</v>
      </c>
      <c r="D3707" s="1" t="s">
        <v>11</v>
      </c>
      <c r="E3707" s="1" t="s">
        <v>11</v>
      </c>
    </row>
    <row r="3708" spans="1:5" ht="15.75" customHeight="1">
      <c r="A3708" s="1">
        <v>820510</v>
      </c>
      <c r="B3708" s="1" t="s">
        <v>3739</v>
      </c>
      <c r="C3708" s="1" t="s">
        <v>11</v>
      </c>
      <c r="D3708" s="1" t="s">
        <v>11</v>
      </c>
      <c r="E3708" s="1" t="s">
        <v>11</v>
      </c>
    </row>
    <row r="3709" spans="1:5" ht="15.75" customHeight="1">
      <c r="A3709" s="1">
        <v>820520</v>
      </c>
      <c r="B3709" s="1" t="s">
        <v>3740</v>
      </c>
      <c r="C3709" s="1" t="s">
        <v>11</v>
      </c>
      <c r="D3709" s="1" t="s">
        <v>11</v>
      </c>
      <c r="E3709" s="1" t="s">
        <v>11</v>
      </c>
    </row>
    <row r="3710" spans="1:5" ht="15.75" customHeight="1">
      <c r="A3710" s="1">
        <v>820530</v>
      </c>
      <c r="B3710" s="1" t="s">
        <v>3741</v>
      </c>
      <c r="C3710" s="1" t="s">
        <v>11</v>
      </c>
      <c r="D3710" s="1" t="s">
        <v>11</v>
      </c>
      <c r="E3710" s="1" t="s">
        <v>11</v>
      </c>
    </row>
    <row r="3711" spans="1:5" ht="15.75" customHeight="1">
      <c r="A3711" s="1">
        <v>820540</v>
      </c>
      <c r="B3711" s="1" t="s">
        <v>3742</v>
      </c>
      <c r="C3711" s="1" t="s">
        <v>11</v>
      </c>
      <c r="D3711" s="1" t="s">
        <v>11</v>
      </c>
      <c r="E3711" s="1" t="s">
        <v>11</v>
      </c>
    </row>
    <row r="3712" spans="1:5" ht="15.75" customHeight="1">
      <c r="A3712" s="1">
        <v>820551</v>
      </c>
      <c r="B3712" s="1" t="s">
        <v>3743</v>
      </c>
      <c r="C3712" s="1" t="s">
        <v>11</v>
      </c>
      <c r="D3712" s="1" t="s">
        <v>11</v>
      </c>
      <c r="E3712" s="1" t="s">
        <v>11</v>
      </c>
    </row>
    <row r="3713" spans="1:5" ht="15.75" customHeight="1">
      <c r="A3713" s="1">
        <v>820559</v>
      </c>
      <c r="B3713" s="1" t="s">
        <v>3744</v>
      </c>
      <c r="C3713" s="1" t="s">
        <v>11</v>
      </c>
      <c r="D3713" s="1" t="s">
        <v>11</v>
      </c>
      <c r="E3713" s="1" t="s">
        <v>11</v>
      </c>
    </row>
    <row r="3714" spans="1:5" ht="15.75" customHeight="1">
      <c r="A3714" s="1">
        <v>820560</v>
      </c>
      <c r="B3714" s="1" t="s">
        <v>3745</v>
      </c>
      <c r="C3714" s="1" t="s">
        <v>11</v>
      </c>
      <c r="D3714" s="1" t="s">
        <v>11</v>
      </c>
      <c r="E3714" s="1" t="s">
        <v>11</v>
      </c>
    </row>
    <row r="3715" spans="1:5" ht="15.75" customHeight="1">
      <c r="A3715" s="1">
        <v>820570</v>
      </c>
      <c r="B3715" s="1" t="s">
        <v>3746</v>
      </c>
      <c r="C3715" s="1" t="s">
        <v>11</v>
      </c>
      <c r="D3715" s="1" t="s">
        <v>11</v>
      </c>
      <c r="E3715" s="1" t="s">
        <v>11</v>
      </c>
    </row>
    <row r="3716" spans="1:5" ht="15.75" customHeight="1">
      <c r="A3716" s="1">
        <v>820580</v>
      </c>
      <c r="B3716" s="1" t="s">
        <v>3747</v>
      </c>
      <c r="C3716" s="1" t="s">
        <v>11</v>
      </c>
      <c r="D3716" s="1" t="s">
        <v>11</v>
      </c>
      <c r="E3716" s="1" t="s">
        <v>11</v>
      </c>
    </row>
    <row r="3717" spans="1:5" ht="15.75" customHeight="1">
      <c r="A3717" s="1">
        <v>820590</v>
      </c>
      <c r="B3717" s="1" t="s">
        <v>3748</v>
      </c>
      <c r="C3717" s="1" t="s">
        <v>11</v>
      </c>
      <c r="D3717" s="1" t="s">
        <v>11</v>
      </c>
      <c r="E3717" s="1" t="s">
        <v>11</v>
      </c>
    </row>
    <row r="3718" spans="1:5" ht="15.75" customHeight="1">
      <c r="A3718" s="1">
        <v>820600</v>
      </c>
      <c r="B3718" s="1" t="s">
        <v>3749</v>
      </c>
      <c r="C3718" s="1" t="s">
        <v>11</v>
      </c>
      <c r="D3718" s="1" t="s">
        <v>11</v>
      </c>
      <c r="E3718" s="1" t="s">
        <v>11</v>
      </c>
    </row>
    <row r="3719" spans="1:5" ht="15.75" customHeight="1">
      <c r="A3719" s="1">
        <v>820713</v>
      </c>
      <c r="B3719" s="1" t="s">
        <v>3750</v>
      </c>
      <c r="C3719" s="1" t="s">
        <v>11</v>
      </c>
      <c r="D3719" s="1" t="s">
        <v>11</v>
      </c>
      <c r="E3719" s="1" t="s">
        <v>11</v>
      </c>
    </row>
    <row r="3720" spans="1:5" ht="15.75" customHeight="1">
      <c r="A3720" s="1">
        <v>820719</v>
      </c>
      <c r="B3720" s="1" t="s">
        <v>3751</v>
      </c>
      <c r="C3720" s="1" t="s">
        <v>11</v>
      </c>
      <c r="D3720" s="1" t="s">
        <v>11</v>
      </c>
      <c r="E3720" s="1" t="s">
        <v>11</v>
      </c>
    </row>
    <row r="3721" spans="1:5" ht="15.75" customHeight="1">
      <c r="A3721" s="1">
        <v>820720</v>
      </c>
      <c r="B3721" s="1" t="s">
        <v>3752</v>
      </c>
      <c r="C3721" s="1" t="s">
        <v>11</v>
      </c>
      <c r="D3721" s="1" t="s">
        <v>11</v>
      </c>
      <c r="E3721" s="1" t="s">
        <v>11</v>
      </c>
    </row>
    <row r="3722" spans="1:5" ht="15.75" customHeight="1">
      <c r="A3722" s="1">
        <v>820730</v>
      </c>
      <c r="B3722" s="1" t="s">
        <v>3753</v>
      </c>
      <c r="C3722" s="1" t="s">
        <v>11</v>
      </c>
      <c r="D3722" s="1" t="s">
        <v>11</v>
      </c>
      <c r="E3722" s="1" t="s">
        <v>11</v>
      </c>
    </row>
    <row r="3723" spans="1:5" ht="15.75" customHeight="1">
      <c r="A3723" s="1">
        <v>820740</v>
      </c>
      <c r="B3723" s="1" t="s">
        <v>3754</v>
      </c>
      <c r="C3723" s="1" t="s">
        <v>11</v>
      </c>
      <c r="D3723" s="1" t="s">
        <v>11</v>
      </c>
      <c r="E3723" s="1" t="s">
        <v>11</v>
      </c>
    </row>
    <row r="3724" spans="1:5" ht="15.75" customHeight="1">
      <c r="A3724" s="1">
        <v>820750</v>
      </c>
      <c r="B3724" s="1" t="s">
        <v>3755</v>
      </c>
      <c r="C3724" s="1" t="s">
        <v>11</v>
      </c>
      <c r="D3724" s="1" t="s">
        <v>11</v>
      </c>
      <c r="E3724" s="1" t="s">
        <v>11</v>
      </c>
    </row>
    <row r="3725" spans="1:5" ht="15.75" customHeight="1">
      <c r="A3725" s="1">
        <v>820760</v>
      </c>
      <c r="B3725" s="1" t="s">
        <v>3756</v>
      </c>
      <c r="C3725" s="1" t="s">
        <v>11</v>
      </c>
      <c r="D3725" s="1" t="s">
        <v>11</v>
      </c>
      <c r="E3725" s="1" t="s">
        <v>11</v>
      </c>
    </row>
    <row r="3726" spans="1:5" ht="15.75" customHeight="1">
      <c r="A3726" s="1">
        <v>820770</v>
      </c>
      <c r="B3726" s="1" t="s">
        <v>3757</v>
      </c>
      <c r="C3726" s="1" t="s">
        <v>11</v>
      </c>
      <c r="D3726" s="1" t="s">
        <v>11</v>
      </c>
      <c r="E3726" s="1" t="s">
        <v>11</v>
      </c>
    </row>
    <row r="3727" spans="1:5" ht="15.75" customHeight="1">
      <c r="A3727" s="1">
        <v>820780</v>
      </c>
      <c r="B3727" s="1" t="s">
        <v>3758</v>
      </c>
      <c r="C3727" s="1" t="s">
        <v>11</v>
      </c>
      <c r="D3727" s="1" t="s">
        <v>11</v>
      </c>
      <c r="E3727" s="1" t="s">
        <v>11</v>
      </c>
    </row>
    <row r="3728" spans="1:5" ht="15.75" customHeight="1">
      <c r="A3728" s="1">
        <v>820790</v>
      </c>
      <c r="B3728" s="1" t="s">
        <v>3759</v>
      </c>
      <c r="C3728" s="1" t="s">
        <v>11</v>
      </c>
      <c r="D3728" s="1" t="s">
        <v>11</v>
      </c>
      <c r="E3728" s="1" t="s">
        <v>11</v>
      </c>
    </row>
    <row r="3729" spans="1:5" ht="15.75" customHeight="1">
      <c r="A3729" s="1">
        <v>820810</v>
      </c>
      <c r="B3729" s="1" t="s">
        <v>3760</v>
      </c>
      <c r="C3729" s="1" t="s">
        <v>11</v>
      </c>
      <c r="D3729" s="1" t="s">
        <v>11</v>
      </c>
      <c r="E3729" s="1" t="s">
        <v>11</v>
      </c>
    </row>
    <row r="3730" spans="1:5" ht="15.75" customHeight="1">
      <c r="A3730" s="1">
        <v>820820</v>
      </c>
      <c r="B3730" s="1" t="s">
        <v>3761</v>
      </c>
      <c r="C3730" s="1" t="s">
        <v>11</v>
      </c>
      <c r="D3730" s="1" t="s">
        <v>11</v>
      </c>
      <c r="E3730" s="1" t="s">
        <v>11</v>
      </c>
    </row>
    <row r="3731" spans="1:5" ht="15.75" customHeight="1">
      <c r="A3731" s="1">
        <v>820830</v>
      </c>
      <c r="B3731" s="1" t="s">
        <v>3762</v>
      </c>
      <c r="C3731" s="1" t="s">
        <v>11</v>
      </c>
      <c r="D3731" s="1" t="s">
        <v>11</v>
      </c>
      <c r="E3731" s="1" t="s">
        <v>11</v>
      </c>
    </row>
    <row r="3732" spans="1:5" ht="15.75" customHeight="1">
      <c r="A3732" s="1">
        <v>820840</v>
      </c>
      <c r="B3732" s="1" t="s">
        <v>3763</v>
      </c>
      <c r="C3732" s="1" t="s">
        <v>11</v>
      </c>
      <c r="D3732" s="1" t="s">
        <v>11</v>
      </c>
      <c r="E3732" s="1" t="s">
        <v>11</v>
      </c>
    </row>
    <row r="3733" spans="1:5" ht="15.75" customHeight="1">
      <c r="A3733" s="1">
        <v>820890</v>
      </c>
      <c r="B3733" s="1" t="s">
        <v>3764</v>
      </c>
      <c r="C3733" s="1" t="s">
        <v>11</v>
      </c>
      <c r="D3733" s="1" t="s">
        <v>11</v>
      </c>
      <c r="E3733" s="1" t="s">
        <v>11</v>
      </c>
    </row>
    <row r="3734" spans="1:5" ht="15.75" customHeight="1">
      <c r="A3734" s="1">
        <v>820900</v>
      </c>
      <c r="B3734" s="1" t="s">
        <v>3765</v>
      </c>
      <c r="C3734" s="1" t="s">
        <v>11</v>
      </c>
      <c r="D3734" s="1" t="s">
        <v>11</v>
      </c>
      <c r="E3734" s="1" t="s">
        <v>11</v>
      </c>
    </row>
    <row r="3735" spans="1:5" ht="15.75" customHeight="1">
      <c r="A3735" s="1">
        <v>821000</v>
      </c>
      <c r="B3735" s="1" t="s">
        <v>3766</v>
      </c>
      <c r="C3735" s="1" t="s">
        <v>11</v>
      </c>
      <c r="D3735" s="1" t="s">
        <v>11</v>
      </c>
      <c r="E3735" s="1" t="s">
        <v>11</v>
      </c>
    </row>
    <row r="3736" spans="1:5" ht="15.75" customHeight="1">
      <c r="A3736" s="1">
        <v>821110</v>
      </c>
      <c r="B3736" s="1" t="s">
        <v>3767</v>
      </c>
      <c r="C3736" s="1" t="s">
        <v>11</v>
      </c>
      <c r="D3736" s="1" t="s">
        <v>11</v>
      </c>
      <c r="E3736" s="1" t="s">
        <v>11</v>
      </c>
    </row>
    <row r="3737" spans="1:5" ht="15.75" customHeight="1">
      <c r="A3737" s="1">
        <v>821191</v>
      </c>
      <c r="B3737" s="1" t="s">
        <v>3768</v>
      </c>
      <c r="C3737" s="1" t="s">
        <v>11</v>
      </c>
      <c r="D3737" s="1" t="s">
        <v>11</v>
      </c>
      <c r="E3737" s="1" t="s">
        <v>11</v>
      </c>
    </row>
    <row r="3738" spans="1:5" ht="15.75" customHeight="1">
      <c r="A3738" s="1">
        <v>821192</v>
      </c>
      <c r="B3738" s="1" t="s">
        <v>3769</v>
      </c>
      <c r="C3738" s="1" t="s">
        <v>11</v>
      </c>
      <c r="D3738" s="1" t="s">
        <v>11</v>
      </c>
      <c r="E3738" s="1" t="s">
        <v>11</v>
      </c>
    </row>
    <row r="3739" spans="1:5" ht="15.75" customHeight="1">
      <c r="A3739" s="1">
        <v>821193</v>
      </c>
      <c r="B3739" s="1" t="s">
        <v>3770</v>
      </c>
      <c r="C3739" s="1" t="s">
        <v>11</v>
      </c>
      <c r="D3739" s="1" t="s">
        <v>11</v>
      </c>
      <c r="E3739" s="1" t="s">
        <v>11</v>
      </c>
    </row>
    <row r="3740" spans="1:5" ht="15.75" customHeight="1">
      <c r="A3740" s="1">
        <v>821194</v>
      </c>
      <c r="B3740" s="1" t="s">
        <v>3771</v>
      </c>
      <c r="C3740" s="1" t="s">
        <v>11</v>
      </c>
      <c r="D3740" s="1" t="s">
        <v>11</v>
      </c>
      <c r="E3740" s="1" t="s">
        <v>11</v>
      </c>
    </row>
    <row r="3741" spans="1:5" ht="15.75" customHeight="1">
      <c r="A3741" s="1">
        <v>821195</v>
      </c>
      <c r="B3741" s="1" t="s">
        <v>3772</v>
      </c>
      <c r="C3741" s="1" t="s">
        <v>11</v>
      </c>
      <c r="D3741" s="1" t="s">
        <v>11</v>
      </c>
      <c r="E3741" s="1" t="s">
        <v>11</v>
      </c>
    </row>
    <row r="3742" spans="1:5" ht="15.75" customHeight="1">
      <c r="A3742" s="1">
        <v>821210</v>
      </c>
      <c r="B3742" s="1" t="s">
        <v>3773</v>
      </c>
      <c r="C3742" s="1" t="s">
        <v>11</v>
      </c>
      <c r="D3742" s="1" t="s">
        <v>11</v>
      </c>
      <c r="E3742" s="1" t="s">
        <v>11</v>
      </c>
    </row>
    <row r="3743" spans="1:5" ht="15.75" customHeight="1">
      <c r="A3743" s="1">
        <v>821220</v>
      </c>
      <c r="B3743" s="1" t="s">
        <v>3774</v>
      </c>
      <c r="C3743" s="1" t="s">
        <v>11</v>
      </c>
      <c r="D3743" s="1" t="s">
        <v>11</v>
      </c>
      <c r="E3743" s="1" t="s">
        <v>11</v>
      </c>
    </row>
    <row r="3744" spans="1:5" ht="15.75" customHeight="1">
      <c r="A3744" s="1">
        <v>821290</v>
      </c>
      <c r="B3744" s="1" t="s">
        <v>3775</v>
      </c>
      <c r="C3744" s="1" t="s">
        <v>11</v>
      </c>
      <c r="D3744" s="1" t="s">
        <v>11</v>
      </c>
      <c r="E3744" s="1" t="s">
        <v>11</v>
      </c>
    </row>
    <row r="3745" spans="1:5" ht="15.75" customHeight="1">
      <c r="A3745" s="1">
        <v>821300</v>
      </c>
      <c r="B3745" s="1" t="s">
        <v>3776</v>
      </c>
      <c r="C3745" s="1" t="s">
        <v>11</v>
      </c>
      <c r="D3745" s="1" t="s">
        <v>11</v>
      </c>
      <c r="E3745" s="1" t="s">
        <v>11</v>
      </c>
    </row>
    <row r="3746" spans="1:5" ht="15.75" customHeight="1">
      <c r="A3746" s="1">
        <v>821410</v>
      </c>
      <c r="B3746" s="1" t="s">
        <v>3777</v>
      </c>
      <c r="C3746" s="1" t="s">
        <v>11</v>
      </c>
      <c r="D3746" s="1" t="s">
        <v>11</v>
      </c>
      <c r="E3746" s="1" t="s">
        <v>11</v>
      </c>
    </row>
    <row r="3747" spans="1:5" ht="15.75" customHeight="1">
      <c r="A3747" s="1">
        <v>821420</v>
      </c>
      <c r="B3747" s="1" t="s">
        <v>3778</v>
      </c>
      <c r="C3747" s="1" t="s">
        <v>11</v>
      </c>
      <c r="D3747" s="1" t="s">
        <v>11</v>
      </c>
      <c r="E3747" s="1" t="s">
        <v>11</v>
      </c>
    </row>
    <row r="3748" spans="1:5" ht="15.75" customHeight="1">
      <c r="A3748" s="1">
        <v>821490</v>
      </c>
      <c r="B3748" s="1" t="s">
        <v>3779</v>
      </c>
      <c r="C3748" s="1" t="s">
        <v>11</v>
      </c>
      <c r="D3748" s="1" t="s">
        <v>11</v>
      </c>
      <c r="E3748" s="1" t="s">
        <v>11</v>
      </c>
    </row>
    <row r="3749" spans="1:5" ht="15.75" customHeight="1">
      <c r="A3749" s="1">
        <v>821510</v>
      </c>
      <c r="B3749" s="1" t="s">
        <v>3780</v>
      </c>
      <c r="C3749" s="1" t="s">
        <v>11</v>
      </c>
      <c r="D3749" s="1" t="s">
        <v>11</v>
      </c>
      <c r="E3749" s="1" t="s">
        <v>11</v>
      </c>
    </row>
    <row r="3750" spans="1:5" ht="15.75" customHeight="1">
      <c r="A3750" s="1">
        <v>821520</v>
      </c>
      <c r="B3750" s="1" t="s">
        <v>3781</v>
      </c>
      <c r="C3750" s="1" t="s">
        <v>11</v>
      </c>
      <c r="D3750" s="1" t="s">
        <v>11</v>
      </c>
      <c r="E3750" s="1" t="s">
        <v>11</v>
      </c>
    </row>
    <row r="3751" spans="1:5" ht="15.75" customHeight="1">
      <c r="A3751" s="1">
        <v>821591</v>
      </c>
      <c r="B3751" s="1" t="s">
        <v>3782</v>
      </c>
      <c r="C3751" s="1" t="s">
        <v>11</v>
      </c>
      <c r="D3751" s="1" t="s">
        <v>11</v>
      </c>
      <c r="E3751" s="1" t="s">
        <v>11</v>
      </c>
    </row>
    <row r="3752" spans="1:5" ht="15.75" customHeight="1">
      <c r="A3752" s="1">
        <v>821599</v>
      </c>
      <c r="B3752" s="1" t="s">
        <v>3783</v>
      </c>
      <c r="C3752" s="1" t="s">
        <v>11</v>
      </c>
      <c r="D3752" s="1" t="s">
        <v>11</v>
      </c>
      <c r="E3752" s="1" t="s">
        <v>11</v>
      </c>
    </row>
    <row r="3753" spans="1:5" ht="15.75" customHeight="1">
      <c r="A3753" s="1">
        <v>830110</v>
      </c>
      <c r="B3753" s="1" t="s">
        <v>3784</v>
      </c>
      <c r="C3753" s="1" t="s">
        <v>11</v>
      </c>
      <c r="D3753" s="1" t="s">
        <v>11</v>
      </c>
      <c r="E3753" s="1" t="s">
        <v>11</v>
      </c>
    </row>
    <row r="3754" spans="1:5" ht="15.75" customHeight="1">
      <c r="A3754" s="1">
        <v>830120</v>
      </c>
      <c r="B3754" s="1" t="s">
        <v>3785</v>
      </c>
      <c r="C3754" s="1" t="s">
        <v>11</v>
      </c>
      <c r="D3754" s="1" t="s">
        <v>11</v>
      </c>
      <c r="E3754" s="1" t="s">
        <v>11</v>
      </c>
    </row>
    <row r="3755" spans="1:5" ht="15.75" customHeight="1">
      <c r="A3755" s="1">
        <v>830130</v>
      </c>
      <c r="B3755" s="1" t="s">
        <v>3786</v>
      </c>
      <c r="C3755" s="1" t="s">
        <v>11</v>
      </c>
      <c r="D3755" s="1" t="s">
        <v>11</v>
      </c>
      <c r="E3755" s="1" t="s">
        <v>11</v>
      </c>
    </row>
    <row r="3756" spans="1:5" ht="15.75" customHeight="1">
      <c r="A3756" s="1">
        <v>830140</v>
      </c>
      <c r="B3756" s="1" t="s">
        <v>3787</v>
      </c>
      <c r="C3756" s="1" t="s">
        <v>11</v>
      </c>
      <c r="D3756" s="1" t="s">
        <v>11</v>
      </c>
      <c r="E3756" s="1" t="s">
        <v>11</v>
      </c>
    </row>
    <row r="3757" spans="1:5" ht="15.75" customHeight="1">
      <c r="A3757" s="1">
        <v>830150</v>
      </c>
      <c r="B3757" s="1" t="s">
        <v>3788</v>
      </c>
      <c r="C3757" s="1" t="s">
        <v>11</v>
      </c>
      <c r="D3757" s="1" t="s">
        <v>11</v>
      </c>
      <c r="E3757" s="1" t="s">
        <v>11</v>
      </c>
    </row>
    <row r="3758" spans="1:5" ht="15.75" customHeight="1">
      <c r="A3758" s="1">
        <v>830160</v>
      </c>
      <c r="B3758" s="1" t="s">
        <v>3789</v>
      </c>
      <c r="C3758" s="1" t="s">
        <v>11</v>
      </c>
      <c r="D3758" s="1" t="s">
        <v>11</v>
      </c>
      <c r="E3758" s="1" t="s">
        <v>11</v>
      </c>
    </row>
    <row r="3759" spans="1:5" ht="15.75" customHeight="1">
      <c r="A3759" s="1">
        <v>830170</v>
      </c>
      <c r="B3759" s="1" t="s">
        <v>3790</v>
      </c>
      <c r="C3759" s="1" t="s">
        <v>11</v>
      </c>
      <c r="D3759" s="1" t="s">
        <v>11</v>
      </c>
      <c r="E3759" s="1" t="s">
        <v>11</v>
      </c>
    </row>
    <row r="3760" spans="1:5" ht="15.75" customHeight="1">
      <c r="A3760" s="1">
        <v>830210</v>
      </c>
      <c r="B3760" s="1" t="s">
        <v>3791</v>
      </c>
      <c r="C3760" s="1" t="s">
        <v>11</v>
      </c>
      <c r="D3760" s="1" t="s">
        <v>11</v>
      </c>
      <c r="E3760" s="1" t="s">
        <v>11</v>
      </c>
    </row>
    <row r="3761" spans="1:5" ht="15.75" customHeight="1">
      <c r="A3761" s="1">
        <v>830220</v>
      </c>
      <c r="B3761" s="1" t="s">
        <v>3792</v>
      </c>
      <c r="C3761" s="1" t="s">
        <v>11</v>
      </c>
      <c r="D3761" s="1" t="s">
        <v>11</v>
      </c>
      <c r="E3761" s="1" t="s">
        <v>11</v>
      </c>
    </row>
    <row r="3762" spans="1:5" ht="15.75" customHeight="1">
      <c r="A3762" s="1">
        <v>830230</v>
      </c>
      <c r="B3762" s="1" t="s">
        <v>3793</v>
      </c>
      <c r="C3762" s="1" t="s">
        <v>11</v>
      </c>
      <c r="D3762" s="1" t="s">
        <v>11</v>
      </c>
      <c r="E3762" s="1" t="s">
        <v>11</v>
      </c>
    </row>
    <row r="3763" spans="1:5" ht="15.75" customHeight="1">
      <c r="A3763" s="1">
        <v>830241</v>
      </c>
      <c r="B3763" s="1" t="s">
        <v>3794</v>
      </c>
      <c r="C3763" s="1" t="s">
        <v>11</v>
      </c>
      <c r="D3763" s="1" t="s">
        <v>11</v>
      </c>
      <c r="E3763" s="1" t="s">
        <v>11</v>
      </c>
    </row>
    <row r="3764" spans="1:5" ht="15.75" customHeight="1">
      <c r="A3764" s="1">
        <v>830242</v>
      </c>
      <c r="B3764" s="1" t="s">
        <v>3795</v>
      </c>
      <c r="C3764" s="1" t="s">
        <v>11</v>
      </c>
      <c r="D3764" s="1" t="s">
        <v>11</v>
      </c>
      <c r="E3764" s="1" t="s">
        <v>11</v>
      </c>
    </row>
    <row r="3765" spans="1:5" ht="15.75" customHeight="1">
      <c r="A3765" s="1">
        <v>830249</v>
      </c>
      <c r="B3765" s="1" t="s">
        <v>3796</v>
      </c>
      <c r="C3765" s="1" t="s">
        <v>11</v>
      </c>
      <c r="D3765" s="1" t="s">
        <v>11</v>
      </c>
      <c r="E3765" s="1" t="s">
        <v>11</v>
      </c>
    </row>
    <row r="3766" spans="1:5" ht="15.75" customHeight="1">
      <c r="A3766" s="1">
        <v>830250</v>
      </c>
      <c r="B3766" s="1" t="s">
        <v>3797</v>
      </c>
      <c r="C3766" s="1" t="s">
        <v>11</v>
      </c>
      <c r="D3766" s="1" t="s">
        <v>11</v>
      </c>
      <c r="E3766" s="1" t="s">
        <v>11</v>
      </c>
    </row>
    <row r="3767" spans="1:5" ht="15.75" customHeight="1">
      <c r="A3767" s="1">
        <v>830260</v>
      </c>
      <c r="B3767" s="1" t="s">
        <v>3798</v>
      </c>
      <c r="C3767" s="1" t="s">
        <v>11</v>
      </c>
      <c r="D3767" s="1" t="s">
        <v>11</v>
      </c>
      <c r="E3767" s="1" t="s">
        <v>11</v>
      </c>
    </row>
    <row r="3768" spans="1:5" ht="15.75" customHeight="1">
      <c r="A3768" s="1">
        <v>830300</v>
      </c>
      <c r="B3768" s="1" t="s">
        <v>3799</v>
      </c>
      <c r="C3768" s="1" t="s">
        <v>11</v>
      </c>
      <c r="D3768" s="1" t="s">
        <v>11</v>
      </c>
      <c r="E3768" s="1" t="s">
        <v>11</v>
      </c>
    </row>
    <row r="3769" spans="1:5" ht="15.75" customHeight="1">
      <c r="A3769" s="1">
        <v>830400</v>
      </c>
      <c r="B3769" s="1" t="s">
        <v>3800</v>
      </c>
      <c r="C3769" s="1" t="s">
        <v>11</v>
      </c>
      <c r="D3769" s="1" t="s">
        <v>11</v>
      </c>
      <c r="E3769" s="1" t="s">
        <v>11</v>
      </c>
    </row>
    <row r="3770" spans="1:5" ht="15.75" customHeight="1">
      <c r="A3770" s="1">
        <v>830510</v>
      </c>
      <c r="B3770" s="1" t="s">
        <v>3801</v>
      </c>
      <c r="C3770" s="1" t="s">
        <v>11</v>
      </c>
      <c r="D3770" s="1" t="s">
        <v>11</v>
      </c>
      <c r="E3770" s="1" t="s">
        <v>11</v>
      </c>
    </row>
    <row r="3771" spans="1:5" ht="15.75" customHeight="1">
      <c r="A3771" s="1">
        <v>830520</v>
      </c>
      <c r="B3771" s="1" t="s">
        <v>3802</v>
      </c>
      <c r="C3771" s="1" t="s">
        <v>11</v>
      </c>
      <c r="D3771" s="1" t="s">
        <v>11</v>
      </c>
      <c r="E3771" s="1" t="s">
        <v>11</v>
      </c>
    </row>
    <row r="3772" spans="1:5" ht="15.75" customHeight="1">
      <c r="A3772" s="1">
        <v>830590</v>
      </c>
      <c r="B3772" s="1" t="s">
        <v>3803</v>
      </c>
      <c r="C3772" s="1" t="s">
        <v>11</v>
      </c>
      <c r="D3772" s="1" t="s">
        <v>11</v>
      </c>
      <c r="E3772" s="1" t="s">
        <v>11</v>
      </c>
    </row>
    <row r="3773" spans="1:5" ht="15.75" customHeight="1">
      <c r="A3773" s="1">
        <v>830610</v>
      </c>
      <c r="B3773" s="1" t="s">
        <v>3804</v>
      </c>
      <c r="C3773" s="1" t="s">
        <v>11</v>
      </c>
      <c r="D3773" s="1" t="s">
        <v>11</v>
      </c>
      <c r="E3773" s="1" t="s">
        <v>11</v>
      </c>
    </row>
    <row r="3774" spans="1:5" ht="15.75" customHeight="1">
      <c r="A3774" s="1">
        <v>830621</v>
      </c>
      <c r="B3774" s="1" t="s">
        <v>3805</v>
      </c>
      <c r="C3774" s="1" t="s">
        <v>11</v>
      </c>
      <c r="D3774" s="1" t="s">
        <v>11</v>
      </c>
      <c r="E3774" s="1" t="s">
        <v>11</v>
      </c>
    </row>
    <row r="3775" spans="1:5" ht="15.75" customHeight="1">
      <c r="A3775" s="1">
        <v>830629</v>
      </c>
      <c r="B3775" s="1" t="s">
        <v>3806</v>
      </c>
      <c r="C3775" s="1" t="s">
        <v>11</v>
      </c>
      <c r="D3775" s="1" t="s">
        <v>11</v>
      </c>
      <c r="E3775" s="1" t="s">
        <v>11</v>
      </c>
    </row>
    <row r="3776" spans="1:5" ht="15.75" customHeight="1">
      <c r="A3776" s="1">
        <v>830630</v>
      </c>
      <c r="B3776" s="1" t="s">
        <v>3807</v>
      </c>
      <c r="C3776" s="1" t="s">
        <v>11</v>
      </c>
      <c r="D3776" s="1" t="s">
        <v>11</v>
      </c>
      <c r="E3776" s="1" t="s">
        <v>11</v>
      </c>
    </row>
    <row r="3777" spans="1:5" ht="15.75" customHeight="1">
      <c r="A3777" s="1">
        <v>830710</v>
      </c>
      <c r="B3777" s="1" t="s">
        <v>3808</v>
      </c>
      <c r="C3777" s="1" t="s">
        <v>11</v>
      </c>
      <c r="D3777" s="1" t="s">
        <v>11</v>
      </c>
      <c r="E3777" s="1" t="s">
        <v>11</v>
      </c>
    </row>
    <row r="3778" spans="1:5" ht="15.75" customHeight="1">
      <c r="A3778" s="1">
        <v>830790</v>
      </c>
      <c r="B3778" s="1" t="s">
        <v>3809</v>
      </c>
      <c r="C3778" s="1" t="s">
        <v>11</v>
      </c>
      <c r="D3778" s="1" t="s">
        <v>11</v>
      </c>
      <c r="E3778" s="1" t="s">
        <v>11</v>
      </c>
    </row>
    <row r="3779" spans="1:5" ht="15.75" customHeight="1">
      <c r="A3779" s="1">
        <v>830810</v>
      </c>
      <c r="B3779" s="1" t="s">
        <v>3810</v>
      </c>
      <c r="C3779" s="1" t="s">
        <v>11</v>
      </c>
      <c r="D3779" s="1" t="s">
        <v>11</v>
      </c>
      <c r="E3779" s="1" t="s">
        <v>11</v>
      </c>
    </row>
    <row r="3780" spans="1:5" ht="15.75" customHeight="1">
      <c r="A3780" s="1">
        <v>830820</v>
      </c>
      <c r="B3780" s="1" t="s">
        <v>3811</v>
      </c>
      <c r="C3780" s="1" t="s">
        <v>11</v>
      </c>
      <c r="D3780" s="1" t="s">
        <v>11</v>
      </c>
      <c r="E3780" s="1" t="s">
        <v>11</v>
      </c>
    </row>
    <row r="3781" spans="1:5" ht="15.75" customHeight="1">
      <c r="A3781" s="1">
        <v>830890</v>
      </c>
      <c r="B3781" s="1" t="s">
        <v>3812</v>
      </c>
      <c r="C3781" s="1" t="s">
        <v>11</v>
      </c>
      <c r="D3781" s="1" t="s">
        <v>11</v>
      </c>
      <c r="E3781" s="1" t="s">
        <v>11</v>
      </c>
    </row>
    <row r="3782" spans="1:5" ht="15.75" customHeight="1">
      <c r="A3782" s="1">
        <v>830910</v>
      </c>
      <c r="B3782" s="1" t="s">
        <v>3813</v>
      </c>
      <c r="C3782" s="1" t="s">
        <v>11</v>
      </c>
      <c r="D3782" s="1" t="s">
        <v>11</v>
      </c>
      <c r="E3782" s="1" t="s">
        <v>11</v>
      </c>
    </row>
    <row r="3783" spans="1:5" ht="15.75" customHeight="1">
      <c r="A3783" s="1">
        <v>830990</v>
      </c>
      <c r="B3783" s="1" t="s">
        <v>3814</v>
      </c>
      <c r="C3783" s="1" t="s">
        <v>11</v>
      </c>
      <c r="D3783" s="1" t="s">
        <v>11</v>
      </c>
      <c r="E3783" s="1" t="s">
        <v>11</v>
      </c>
    </row>
    <row r="3784" spans="1:5" ht="15.75" customHeight="1">
      <c r="A3784" s="1">
        <v>831000</v>
      </c>
      <c r="B3784" s="1" t="s">
        <v>3815</v>
      </c>
      <c r="C3784" s="1" t="s">
        <v>11</v>
      </c>
      <c r="D3784" s="1" t="s">
        <v>11</v>
      </c>
      <c r="E3784" s="1" t="s">
        <v>11</v>
      </c>
    </row>
    <row r="3785" spans="1:5" ht="15.75" customHeight="1">
      <c r="A3785" s="1">
        <v>831110</v>
      </c>
      <c r="B3785" s="1" t="s">
        <v>3816</v>
      </c>
      <c r="C3785" s="1" t="s">
        <v>11</v>
      </c>
      <c r="D3785" s="1" t="s">
        <v>11</v>
      </c>
      <c r="E3785" s="1" t="s">
        <v>11</v>
      </c>
    </row>
    <row r="3786" spans="1:5" ht="15.75" customHeight="1">
      <c r="A3786" s="1">
        <v>831120</v>
      </c>
      <c r="B3786" s="1" t="s">
        <v>3817</v>
      </c>
      <c r="C3786" s="1" t="s">
        <v>11</v>
      </c>
      <c r="D3786" s="1" t="s">
        <v>11</v>
      </c>
      <c r="E3786" s="1" t="s">
        <v>11</v>
      </c>
    </row>
    <row r="3787" spans="1:5" ht="15.75" customHeight="1">
      <c r="A3787" s="1">
        <v>831130</v>
      </c>
      <c r="B3787" s="1" t="s">
        <v>3818</v>
      </c>
      <c r="C3787" s="1" t="s">
        <v>11</v>
      </c>
      <c r="D3787" s="1" t="s">
        <v>11</v>
      </c>
      <c r="E3787" s="1" t="s">
        <v>11</v>
      </c>
    </row>
    <row r="3788" spans="1:5" ht="15.75" customHeight="1">
      <c r="A3788" s="1">
        <v>831190</v>
      </c>
      <c r="B3788" s="1" t="s">
        <v>3819</v>
      </c>
      <c r="C3788" s="1" t="s">
        <v>11</v>
      </c>
      <c r="D3788" s="1" t="s">
        <v>11</v>
      </c>
      <c r="E3788" s="1" t="s">
        <v>11</v>
      </c>
    </row>
    <row r="3789" spans="1:5" ht="15.75" customHeight="1">
      <c r="A3789" s="1">
        <v>840110</v>
      </c>
      <c r="B3789" s="1" t="s">
        <v>3820</v>
      </c>
      <c r="C3789" s="1" t="s">
        <v>11</v>
      </c>
      <c r="D3789" s="1" t="s">
        <v>11</v>
      </c>
      <c r="E3789" s="1" t="s">
        <v>11</v>
      </c>
    </row>
    <row r="3790" spans="1:5" ht="15.75" customHeight="1">
      <c r="A3790" s="1">
        <v>840120</v>
      </c>
      <c r="B3790" s="1" t="s">
        <v>3821</v>
      </c>
      <c r="C3790" s="1" t="s">
        <v>11</v>
      </c>
      <c r="D3790" s="1" t="s">
        <v>11</v>
      </c>
      <c r="E3790" s="1" t="s">
        <v>11</v>
      </c>
    </row>
    <row r="3791" spans="1:5" ht="15.75" customHeight="1">
      <c r="A3791" s="1">
        <v>840130</v>
      </c>
      <c r="B3791" s="1" t="s">
        <v>3822</v>
      </c>
      <c r="C3791" s="1" t="s">
        <v>11</v>
      </c>
      <c r="D3791" s="1" t="s">
        <v>11</v>
      </c>
      <c r="E3791" s="1" t="s">
        <v>11</v>
      </c>
    </row>
    <row r="3792" spans="1:5" ht="15.75" customHeight="1">
      <c r="A3792" s="1">
        <v>840140</v>
      </c>
      <c r="B3792" s="1" t="s">
        <v>3823</v>
      </c>
      <c r="C3792" s="1" t="s">
        <v>11</v>
      </c>
      <c r="D3792" s="1" t="s">
        <v>11</v>
      </c>
      <c r="E3792" s="1" t="s">
        <v>11</v>
      </c>
    </row>
    <row r="3793" spans="1:5" ht="15.75" customHeight="1">
      <c r="A3793" s="1">
        <v>840211</v>
      </c>
      <c r="B3793" s="1" t="s">
        <v>3824</v>
      </c>
      <c r="C3793" s="1" t="s">
        <v>11</v>
      </c>
      <c r="D3793" s="1" t="s">
        <v>11</v>
      </c>
      <c r="E3793" s="1" t="s">
        <v>11</v>
      </c>
    </row>
    <row r="3794" spans="1:5" ht="15.75" customHeight="1">
      <c r="A3794" s="1">
        <v>840212</v>
      </c>
      <c r="B3794" s="1" t="s">
        <v>3825</v>
      </c>
      <c r="C3794" s="1" t="s">
        <v>11</v>
      </c>
      <c r="D3794" s="1" t="s">
        <v>11</v>
      </c>
      <c r="E3794" s="1" t="s">
        <v>11</v>
      </c>
    </row>
    <row r="3795" spans="1:5" ht="15.75" customHeight="1">
      <c r="A3795" s="1">
        <v>840219</v>
      </c>
      <c r="B3795" s="1" t="s">
        <v>3826</v>
      </c>
      <c r="C3795" s="1" t="s">
        <v>11</v>
      </c>
      <c r="D3795" s="1" t="s">
        <v>11</v>
      </c>
      <c r="E3795" s="1" t="s">
        <v>11</v>
      </c>
    </row>
    <row r="3796" spans="1:5" ht="15.75" customHeight="1">
      <c r="A3796" s="1">
        <v>840220</v>
      </c>
      <c r="B3796" s="1" t="s">
        <v>3827</v>
      </c>
      <c r="C3796" s="1" t="s">
        <v>11</v>
      </c>
      <c r="D3796" s="1" t="s">
        <v>11</v>
      </c>
      <c r="E3796" s="1" t="s">
        <v>11</v>
      </c>
    </row>
    <row r="3797" spans="1:5" ht="15.75" customHeight="1">
      <c r="A3797" s="1">
        <v>840290</v>
      </c>
      <c r="B3797" s="1" t="s">
        <v>3828</v>
      </c>
      <c r="C3797" s="1" t="s">
        <v>11</v>
      </c>
      <c r="D3797" s="1" t="s">
        <v>11</v>
      </c>
      <c r="E3797" s="1" t="s">
        <v>11</v>
      </c>
    </row>
    <row r="3798" spans="1:5" ht="15.75" customHeight="1">
      <c r="A3798" s="1">
        <v>840310</v>
      </c>
      <c r="B3798" s="1" t="s">
        <v>3829</v>
      </c>
      <c r="C3798" s="1" t="s">
        <v>11</v>
      </c>
      <c r="D3798" s="1" t="s">
        <v>11</v>
      </c>
      <c r="E3798" s="1" t="s">
        <v>11</v>
      </c>
    </row>
    <row r="3799" spans="1:5" ht="15.75" customHeight="1">
      <c r="A3799" s="1">
        <v>840390</v>
      </c>
      <c r="B3799" s="1" t="s">
        <v>3830</v>
      </c>
      <c r="C3799" s="1" t="s">
        <v>11</v>
      </c>
      <c r="D3799" s="1" t="s">
        <v>11</v>
      </c>
      <c r="E3799" s="1" t="s">
        <v>11</v>
      </c>
    </row>
    <row r="3800" spans="1:5" ht="15.75" customHeight="1">
      <c r="A3800" s="1">
        <v>840410</v>
      </c>
      <c r="B3800" s="1" t="s">
        <v>3831</v>
      </c>
      <c r="C3800" s="1" t="s">
        <v>11</v>
      </c>
      <c r="D3800" s="1" t="s">
        <v>11</v>
      </c>
      <c r="E3800" s="1" t="s">
        <v>11</v>
      </c>
    </row>
    <row r="3801" spans="1:5" ht="15.75" customHeight="1">
      <c r="A3801" s="1">
        <v>840420</v>
      </c>
      <c r="B3801" s="1" t="s">
        <v>3832</v>
      </c>
      <c r="C3801" s="1" t="s">
        <v>11</v>
      </c>
      <c r="D3801" s="1" t="s">
        <v>11</v>
      </c>
      <c r="E3801" s="1" t="s">
        <v>11</v>
      </c>
    </row>
    <row r="3802" spans="1:5" ht="15.75" customHeight="1">
      <c r="A3802" s="1">
        <v>840490</v>
      </c>
      <c r="B3802" s="1" t="s">
        <v>3833</v>
      </c>
      <c r="C3802" s="1" t="s">
        <v>11</v>
      </c>
      <c r="D3802" s="1" t="s">
        <v>11</v>
      </c>
      <c r="E3802" s="1" t="s">
        <v>11</v>
      </c>
    </row>
    <row r="3803" spans="1:5" ht="15.75" customHeight="1">
      <c r="A3803" s="1">
        <v>840510</v>
      </c>
      <c r="B3803" s="1" t="s">
        <v>3834</v>
      </c>
      <c r="C3803" s="1" t="s">
        <v>11</v>
      </c>
      <c r="D3803" s="1" t="s">
        <v>11</v>
      </c>
      <c r="E3803" s="1" t="s">
        <v>11</v>
      </c>
    </row>
    <row r="3804" spans="1:5" ht="15.75" customHeight="1">
      <c r="A3804" s="1">
        <v>840590</v>
      </c>
      <c r="B3804" s="1" t="s">
        <v>3835</v>
      </c>
      <c r="C3804" s="1" t="s">
        <v>11</v>
      </c>
      <c r="D3804" s="1" t="s">
        <v>11</v>
      </c>
      <c r="E3804" s="1" t="s">
        <v>11</v>
      </c>
    </row>
    <row r="3805" spans="1:5" ht="15.75" customHeight="1">
      <c r="A3805" s="1">
        <v>840610</v>
      </c>
      <c r="B3805" s="1" t="s">
        <v>3836</v>
      </c>
      <c r="C3805" s="1" t="s">
        <v>11</v>
      </c>
      <c r="D3805" s="1" t="s">
        <v>11</v>
      </c>
      <c r="E3805" s="1" t="s">
        <v>11</v>
      </c>
    </row>
    <row r="3806" spans="1:5" ht="15.75" customHeight="1">
      <c r="A3806" s="1">
        <v>840681</v>
      </c>
      <c r="B3806" s="1" t="s">
        <v>3837</v>
      </c>
      <c r="C3806" s="1" t="s">
        <v>11</v>
      </c>
      <c r="D3806" s="1" t="s">
        <v>11</v>
      </c>
      <c r="E3806" s="1" t="s">
        <v>11</v>
      </c>
    </row>
    <row r="3807" spans="1:5" ht="15.75" customHeight="1">
      <c r="A3807" s="1">
        <v>840682</v>
      </c>
      <c r="B3807" s="1" t="s">
        <v>3838</v>
      </c>
      <c r="C3807" s="1" t="s">
        <v>11</v>
      </c>
      <c r="D3807" s="1" t="s">
        <v>11</v>
      </c>
      <c r="E3807" s="1" t="s">
        <v>11</v>
      </c>
    </row>
    <row r="3808" spans="1:5" ht="15.75" customHeight="1">
      <c r="A3808" s="1">
        <v>840690</v>
      </c>
      <c r="B3808" s="1" t="s">
        <v>3839</v>
      </c>
      <c r="C3808" s="1" t="s">
        <v>11</v>
      </c>
      <c r="D3808" s="1" t="s">
        <v>11</v>
      </c>
      <c r="E3808" s="1" t="s">
        <v>11</v>
      </c>
    </row>
    <row r="3809" spans="1:5" ht="15.75" customHeight="1">
      <c r="A3809" s="1">
        <v>840710</v>
      </c>
      <c r="B3809" s="1" t="s">
        <v>3840</v>
      </c>
      <c r="C3809" s="1" t="s">
        <v>11</v>
      </c>
      <c r="D3809" s="1" t="s">
        <v>11</v>
      </c>
      <c r="E3809" s="1" t="s">
        <v>11</v>
      </c>
    </row>
    <row r="3810" spans="1:5" ht="15.75" customHeight="1">
      <c r="A3810" s="1">
        <v>840721</v>
      </c>
      <c r="B3810" s="1" t="s">
        <v>3841</v>
      </c>
      <c r="C3810" s="1" t="s">
        <v>11</v>
      </c>
      <c r="D3810" s="1" t="s">
        <v>11</v>
      </c>
      <c r="E3810" s="1" t="s">
        <v>11</v>
      </c>
    </row>
    <row r="3811" spans="1:5" ht="15.75" customHeight="1">
      <c r="A3811" s="1">
        <v>840729</v>
      </c>
      <c r="B3811" s="1" t="s">
        <v>3842</v>
      </c>
      <c r="C3811" s="1" t="s">
        <v>11</v>
      </c>
      <c r="D3811" s="1" t="s">
        <v>11</v>
      </c>
      <c r="E3811" s="1" t="s">
        <v>11</v>
      </c>
    </row>
    <row r="3812" spans="1:5" ht="15.75" customHeight="1">
      <c r="A3812" s="1">
        <v>840731</v>
      </c>
      <c r="B3812" s="1" t="s">
        <v>3843</v>
      </c>
      <c r="C3812" s="1" t="s">
        <v>11</v>
      </c>
      <c r="D3812" s="1" t="s">
        <v>11</v>
      </c>
      <c r="E3812" s="1" t="s">
        <v>11</v>
      </c>
    </row>
    <row r="3813" spans="1:5" ht="15.75" customHeight="1">
      <c r="A3813" s="1">
        <v>840732</v>
      </c>
      <c r="B3813" s="1" t="s">
        <v>3844</v>
      </c>
      <c r="C3813" s="1" t="s">
        <v>11</v>
      </c>
      <c r="D3813" s="1" t="s">
        <v>11</v>
      </c>
      <c r="E3813" s="1" t="s">
        <v>11</v>
      </c>
    </row>
    <row r="3814" spans="1:5" ht="15.75" customHeight="1">
      <c r="A3814" s="1">
        <v>840733</v>
      </c>
      <c r="B3814" s="1" t="s">
        <v>3845</v>
      </c>
      <c r="C3814" s="1" t="s">
        <v>11</v>
      </c>
      <c r="D3814" s="1" t="s">
        <v>11</v>
      </c>
      <c r="E3814" s="1" t="s">
        <v>11</v>
      </c>
    </row>
    <row r="3815" spans="1:5" ht="15.75" customHeight="1">
      <c r="A3815" s="1">
        <v>840734</v>
      </c>
      <c r="B3815" s="1" t="s">
        <v>3846</v>
      </c>
      <c r="C3815" s="1" t="s">
        <v>11</v>
      </c>
      <c r="D3815" s="1" t="s">
        <v>11</v>
      </c>
      <c r="E3815" s="1" t="s">
        <v>11</v>
      </c>
    </row>
    <row r="3816" spans="1:5" ht="15.75" customHeight="1">
      <c r="A3816" s="1">
        <v>840790</v>
      </c>
      <c r="B3816" s="1" t="s">
        <v>3847</v>
      </c>
      <c r="C3816" s="1" t="s">
        <v>11</v>
      </c>
      <c r="D3816" s="1" t="s">
        <v>11</v>
      </c>
      <c r="E3816" s="1" t="s">
        <v>11</v>
      </c>
    </row>
    <row r="3817" spans="1:5" ht="15.75" customHeight="1">
      <c r="A3817" s="1">
        <v>840810</v>
      </c>
      <c r="B3817" s="1" t="s">
        <v>3848</v>
      </c>
      <c r="C3817" s="1" t="s">
        <v>11</v>
      </c>
      <c r="D3817" s="1" t="s">
        <v>11</v>
      </c>
      <c r="E3817" s="1" t="s">
        <v>11</v>
      </c>
    </row>
    <row r="3818" spans="1:5" ht="15.75" customHeight="1">
      <c r="A3818" s="1">
        <v>840820</v>
      </c>
      <c r="B3818" s="1" t="s">
        <v>3849</v>
      </c>
      <c r="C3818" s="1" t="s">
        <v>11</v>
      </c>
      <c r="D3818" s="1" t="s">
        <v>11</v>
      </c>
      <c r="E3818" s="1" t="s">
        <v>11</v>
      </c>
    </row>
    <row r="3819" spans="1:5" ht="15.75" customHeight="1">
      <c r="A3819" s="1">
        <v>840890</v>
      </c>
      <c r="B3819" s="1" t="s">
        <v>3850</v>
      </c>
      <c r="C3819" s="1" t="s">
        <v>11</v>
      </c>
      <c r="D3819" s="1" t="s">
        <v>11</v>
      </c>
      <c r="E3819" s="1" t="s">
        <v>11</v>
      </c>
    </row>
    <row r="3820" spans="1:5" ht="15.75" customHeight="1">
      <c r="A3820" s="1">
        <v>840910</v>
      </c>
      <c r="B3820" s="1" t="s">
        <v>3851</v>
      </c>
      <c r="C3820" s="1" t="s">
        <v>11</v>
      </c>
      <c r="D3820" s="1" t="s">
        <v>11</v>
      </c>
      <c r="E3820" s="1" t="s">
        <v>11</v>
      </c>
    </row>
    <row r="3821" spans="1:5" ht="15.75" customHeight="1">
      <c r="A3821" s="1">
        <v>840991</v>
      </c>
      <c r="B3821" s="1" t="s">
        <v>3852</v>
      </c>
      <c r="C3821" s="1" t="s">
        <v>11</v>
      </c>
      <c r="D3821" s="1" t="s">
        <v>11</v>
      </c>
      <c r="E3821" s="1" t="s">
        <v>11</v>
      </c>
    </row>
    <row r="3822" spans="1:5" ht="15.75" customHeight="1">
      <c r="A3822" s="1">
        <v>840999</v>
      </c>
      <c r="B3822" s="1" t="s">
        <v>3853</v>
      </c>
      <c r="C3822" s="1" t="s">
        <v>11</v>
      </c>
      <c r="D3822" s="1" t="s">
        <v>11</v>
      </c>
      <c r="E3822" s="1" t="s">
        <v>11</v>
      </c>
    </row>
    <row r="3823" spans="1:5" ht="15.75" customHeight="1">
      <c r="A3823" s="1">
        <v>841011</v>
      </c>
      <c r="B3823" s="1" t="s">
        <v>3854</v>
      </c>
      <c r="C3823" s="1" t="s">
        <v>11</v>
      </c>
      <c r="D3823" s="1" t="s">
        <v>11</v>
      </c>
      <c r="E3823" s="1" t="s">
        <v>11</v>
      </c>
    </row>
    <row r="3824" spans="1:5" ht="15.75" customHeight="1">
      <c r="A3824" s="1">
        <v>841012</v>
      </c>
      <c r="B3824" s="1" t="s">
        <v>3855</v>
      </c>
      <c r="C3824" s="1" t="s">
        <v>11</v>
      </c>
      <c r="D3824" s="1" t="s">
        <v>11</v>
      </c>
      <c r="E3824" s="1" t="s">
        <v>11</v>
      </c>
    </row>
    <row r="3825" spans="1:5" ht="15.75" customHeight="1">
      <c r="A3825" s="1">
        <v>841013</v>
      </c>
      <c r="B3825" s="1" t="s">
        <v>3856</v>
      </c>
      <c r="C3825" s="1" t="s">
        <v>11</v>
      </c>
      <c r="D3825" s="1" t="s">
        <v>11</v>
      </c>
      <c r="E3825" s="1" t="s">
        <v>11</v>
      </c>
    </row>
    <row r="3826" spans="1:5" ht="15.75" customHeight="1">
      <c r="A3826" s="1">
        <v>841090</v>
      </c>
      <c r="B3826" s="1" t="s">
        <v>3857</v>
      </c>
      <c r="C3826" s="1" t="s">
        <v>11</v>
      </c>
      <c r="D3826" s="1" t="s">
        <v>11</v>
      </c>
      <c r="E3826" s="1" t="s">
        <v>11</v>
      </c>
    </row>
    <row r="3827" spans="1:5" ht="15.75" customHeight="1">
      <c r="A3827" s="1">
        <v>841111</v>
      </c>
      <c r="B3827" s="1" t="s">
        <v>3858</v>
      </c>
      <c r="C3827" s="1" t="s">
        <v>11</v>
      </c>
      <c r="D3827" s="1" t="s">
        <v>11</v>
      </c>
      <c r="E3827" s="1" t="s">
        <v>11</v>
      </c>
    </row>
    <row r="3828" spans="1:5" ht="15.75" customHeight="1">
      <c r="A3828" s="1">
        <v>841112</v>
      </c>
      <c r="B3828" s="1" t="s">
        <v>3859</v>
      </c>
      <c r="C3828" s="1" t="s">
        <v>11</v>
      </c>
      <c r="D3828" s="1" t="s">
        <v>11</v>
      </c>
      <c r="E3828" s="1" t="s">
        <v>11</v>
      </c>
    </row>
    <row r="3829" spans="1:5" ht="15.75" customHeight="1">
      <c r="A3829" s="1">
        <v>841121</v>
      </c>
      <c r="B3829" s="1" t="s">
        <v>3860</v>
      </c>
      <c r="C3829" s="1" t="s">
        <v>11</v>
      </c>
      <c r="D3829" s="1" t="s">
        <v>11</v>
      </c>
      <c r="E3829" s="1" t="s">
        <v>11</v>
      </c>
    </row>
    <row r="3830" spans="1:5" ht="15.75" customHeight="1">
      <c r="A3830" s="1">
        <v>841122</v>
      </c>
      <c r="B3830" s="1" t="s">
        <v>3861</v>
      </c>
      <c r="C3830" s="1" t="s">
        <v>11</v>
      </c>
      <c r="D3830" s="1" t="s">
        <v>11</v>
      </c>
      <c r="E3830" s="1" t="s">
        <v>11</v>
      </c>
    </row>
    <row r="3831" spans="1:5" ht="15.75" customHeight="1">
      <c r="A3831" s="1">
        <v>841181</v>
      </c>
      <c r="B3831" s="1" t="s">
        <v>3862</v>
      </c>
      <c r="C3831" s="1" t="s">
        <v>11</v>
      </c>
      <c r="D3831" s="1" t="s">
        <v>11</v>
      </c>
      <c r="E3831" s="1" t="s">
        <v>11</v>
      </c>
    </row>
    <row r="3832" spans="1:5" ht="15.75" customHeight="1">
      <c r="A3832" s="1">
        <v>841182</v>
      </c>
      <c r="B3832" s="1" t="s">
        <v>3863</v>
      </c>
      <c r="C3832" s="1" t="s">
        <v>11</v>
      </c>
      <c r="D3832" s="1" t="s">
        <v>11</v>
      </c>
      <c r="E3832" s="1" t="s">
        <v>11</v>
      </c>
    </row>
    <row r="3833" spans="1:5" ht="15.75" customHeight="1">
      <c r="A3833" s="1">
        <v>841191</v>
      </c>
      <c r="B3833" s="1" t="s">
        <v>3864</v>
      </c>
      <c r="C3833" s="1" t="s">
        <v>11</v>
      </c>
      <c r="D3833" s="1" t="s">
        <v>11</v>
      </c>
      <c r="E3833" s="1" t="s">
        <v>11</v>
      </c>
    </row>
    <row r="3834" spans="1:5" ht="15.75" customHeight="1">
      <c r="A3834" s="1">
        <v>841199</v>
      </c>
      <c r="B3834" s="1" t="s">
        <v>3865</v>
      </c>
      <c r="C3834" s="1" t="s">
        <v>11</v>
      </c>
      <c r="D3834" s="1" t="s">
        <v>11</v>
      </c>
      <c r="E3834" s="1" t="s">
        <v>11</v>
      </c>
    </row>
    <row r="3835" spans="1:5" ht="15.75" customHeight="1">
      <c r="A3835" s="1">
        <v>841210</v>
      </c>
      <c r="B3835" s="1" t="s">
        <v>3866</v>
      </c>
      <c r="C3835" s="1" t="s">
        <v>11</v>
      </c>
      <c r="D3835" s="1" t="s">
        <v>11</v>
      </c>
      <c r="E3835" s="1" t="s">
        <v>11</v>
      </c>
    </row>
    <row r="3836" spans="1:5" ht="15.75" customHeight="1">
      <c r="A3836" s="1">
        <v>841221</v>
      </c>
      <c r="B3836" s="1" t="s">
        <v>3867</v>
      </c>
      <c r="C3836" s="1" t="s">
        <v>11</v>
      </c>
      <c r="D3836" s="1" t="s">
        <v>11</v>
      </c>
      <c r="E3836" s="1" t="s">
        <v>11</v>
      </c>
    </row>
    <row r="3837" spans="1:5" ht="15.75" customHeight="1">
      <c r="A3837" s="1">
        <v>841229</v>
      </c>
      <c r="B3837" s="1" t="s">
        <v>3868</v>
      </c>
      <c r="C3837" s="1" t="s">
        <v>11</v>
      </c>
      <c r="D3837" s="1" t="s">
        <v>11</v>
      </c>
      <c r="E3837" s="1" t="s">
        <v>11</v>
      </c>
    </row>
    <row r="3838" spans="1:5" ht="15.75" customHeight="1">
      <c r="A3838" s="1">
        <v>841231</v>
      </c>
      <c r="B3838" s="1" t="s">
        <v>3869</v>
      </c>
      <c r="C3838" s="1" t="s">
        <v>11</v>
      </c>
      <c r="D3838" s="1" t="s">
        <v>11</v>
      </c>
      <c r="E3838" s="1" t="s">
        <v>11</v>
      </c>
    </row>
    <row r="3839" spans="1:5" ht="15.75" customHeight="1">
      <c r="A3839" s="1">
        <v>841239</v>
      </c>
      <c r="B3839" s="1" t="s">
        <v>3870</v>
      </c>
      <c r="C3839" s="1" t="s">
        <v>11</v>
      </c>
      <c r="D3839" s="1" t="s">
        <v>11</v>
      </c>
      <c r="E3839" s="1" t="s">
        <v>11</v>
      </c>
    </row>
    <row r="3840" spans="1:5" ht="15.75" customHeight="1">
      <c r="A3840" s="1">
        <v>841280</v>
      </c>
      <c r="B3840" s="1" t="s">
        <v>3871</v>
      </c>
      <c r="C3840" s="1" t="s">
        <v>11</v>
      </c>
      <c r="D3840" s="1" t="s">
        <v>11</v>
      </c>
      <c r="E3840" s="1" t="s">
        <v>11</v>
      </c>
    </row>
    <row r="3841" spans="1:5" ht="15.75" customHeight="1">
      <c r="A3841" s="1">
        <v>841290</v>
      </c>
      <c r="B3841" s="1" t="s">
        <v>3872</v>
      </c>
      <c r="C3841" s="1" t="s">
        <v>11</v>
      </c>
      <c r="D3841" s="1" t="s">
        <v>11</v>
      </c>
      <c r="E3841" s="1" t="s">
        <v>11</v>
      </c>
    </row>
    <row r="3842" spans="1:5" ht="15.75" customHeight="1">
      <c r="A3842" s="1">
        <v>841311</v>
      </c>
      <c r="B3842" s="1" t="s">
        <v>3873</v>
      </c>
      <c r="C3842" s="1" t="s">
        <v>11</v>
      </c>
      <c r="D3842" s="1" t="s">
        <v>11</v>
      </c>
      <c r="E3842" s="1" t="s">
        <v>11</v>
      </c>
    </row>
    <row r="3843" spans="1:5" ht="15.75" customHeight="1">
      <c r="A3843" s="1">
        <v>841319</v>
      </c>
      <c r="B3843" s="1" t="s">
        <v>3874</v>
      </c>
      <c r="C3843" s="1" t="s">
        <v>11</v>
      </c>
      <c r="D3843" s="1" t="s">
        <v>11</v>
      </c>
      <c r="E3843" s="1" t="s">
        <v>11</v>
      </c>
    </row>
    <row r="3844" spans="1:5" ht="15.75" customHeight="1">
      <c r="A3844" s="1">
        <v>841320</v>
      </c>
      <c r="B3844" s="1" t="s">
        <v>3875</v>
      </c>
      <c r="C3844" s="1" t="s">
        <v>11</v>
      </c>
      <c r="D3844" s="1" t="s">
        <v>11</v>
      </c>
      <c r="E3844" s="1" t="s">
        <v>11</v>
      </c>
    </row>
    <row r="3845" spans="1:5" ht="15.75" customHeight="1">
      <c r="A3845" s="1">
        <v>841330</v>
      </c>
      <c r="B3845" s="1" t="s">
        <v>3876</v>
      </c>
      <c r="C3845" s="1" t="s">
        <v>11</v>
      </c>
      <c r="D3845" s="1" t="s">
        <v>11</v>
      </c>
      <c r="E3845" s="1" t="s">
        <v>11</v>
      </c>
    </row>
    <row r="3846" spans="1:5" ht="15.75" customHeight="1">
      <c r="A3846" s="1">
        <v>841340</v>
      </c>
      <c r="B3846" s="1" t="s">
        <v>3877</v>
      </c>
      <c r="C3846" s="1" t="s">
        <v>11</v>
      </c>
      <c r="D3846" s="1" t="s">
        <v>11</v>
      </c>
      <c r="E3846" s="1" t="s">
        <v>11</v>
      </c>
    </row>
    <row r="3847" spans="1:5" ht="15.75" customHeight="1">
      <c r="A3847" s="1">
        <v>841350</v>
      </c>
      <c r="B3847" s="1" t="s">
        <v>3878</v>
      </c>
      <c r="C3847" s="1" t="s">
        <v>11</v>
      </c>
      <c r="D3847" s="1" t="s">
        <v>11</v>
      </c>
      <c r="E3847" s="1" t="s">
        <v>11</v>
      </c>
    </row>
    <row r="3848" spans="1:5" ht="15.75" customHeight="1">
      <c r="A3848" s="1">
        <v>841360</v>
      </c>
      <c r="B3848" s="1" t="s">
        <v>3879</v>
      </c>
      <c r="C3848" s="1" t="s">
        <v>11</v>
      </c>
      <c r="D3848" s="1" t="s">
        <v>11</v>
      </c>
      <c r="E3848" s="1" t="s">
        <v>11</v>
      </c>
    </row>
    <row r="3849" spans="1:5" ht="15.75" customHeight="1">
      <c r="A3849" s="1">
        <v>841370</v>
      </c>
      <c r="B3849" s="1" t="s">
        <v>3880</v>
      </c>
      <c r="C3849" s="1" t="s">
        <v>11</v>
      </c>
      <c r="D3849" s="1" t="s">
        <v>11</v>
      </c>
      <c r="E3849" s="1" t="s">
        <v>11</v>
      </c>
    </row>
    <row r="3850" spans="1:5" ht="15.75" customHeight="1">
      <c r="A3850" s="1">
        <v>841381</v>
      </c>
      <c r="B3850" s="1" t="s">
        <v>3881</v>
      </c>
      <c r="C3850" s="1" t="s">
        <v>11</v>
      </c>
      <c r="D3850" s="1" t="s">
        <v>11</v>
      </c>
      <c r="E3850" s="1" t="s">
        <v>11</v>
      </c>
    </row>
    <row r="3851" spans="1:5" ht="15.75" customHeight="1">
      <c r="A3851" s="1">
        <v>841382</v>
      </c>
      <c r="B3851" s="1" t="s">
        <v>3882</v>
      </c>
      <c r="C3851" s="1" t="s">
        <v>11</v>
      </c>
      <c r="D3851" s="1" t="s">
        <v>11</v>
      </c>
      <c r="E3851" s="1" t="s">
        <v>11</v>
      </c>
    </row>
    <row r="3852" spans="1:5" ht="15.75" customHeight="1">
      <c r="A3852" s="1">
        <v>841391</v>
      </c>
      <c r="B3852" s="1" t="s">
        <v>3883</v>
      </c>
      <c r="C3852" s="1" t="s">
        <v>11</v>
      </c>
      <c r="D3852" s="1" t="s">
        <v>11</v>
      </c>
      <c r="E3852" s="1" t="s">
        <v>11</v>
      </c>
    </row>
    <row r="3853" spans="1:5" ht="15.75" customHeight="1">
      <c r="A3853" s="1">
        <v>841392</v>
      </c>
      <c r="B3853" s="1" t="s">
        <v>3884</v>
      </c>
      <c r="C3853" s="1" t="s">
        <v>11</v>
      </c>
      <c r="D3853" s="1" t="s">
        <v>11</v>
      </c>
      <c r="E3853" s="1" t="s">
        <v>11</v>
      </c>
    </row>
    <row r="3854" spans="1:5" ht="15.75" customHeight="1">
      <c r="A3854" s="1">
        <v>841410</v>
      </c>
      <c r="B3854" s="1" t="s">
        <v>3885</v>
      </c>
      <c r="C3854" s="1" t="s">
        <v>11</v>
      </c>
      <c r="D3854" s="1" t="s">
        <v>11</v>
      </c>
      <c r="E3854" s="1" t="s">
        <v>11</v>
      </c>
    </row>
    <row r="3855" spans="1:5" ht="15.75" customHeight="1">
      <c r="A3855" s="1">
        <v>841420</v>
      </c>
      <c r="B3855" s="1" t="s">
        <v>3886</v>
      </c>
      <c r="C3855" s="1" t="s">
        <v>11</v>
      </c>
      <c r="D3855" s="1" t="s">
        <v>11</v>
      </c>
      <c r="E3855" s="1" t="s">
        <v>11</v>
      </c>
    </row>
    <row r="3856" spans="1:5" ht="15.75" customHeight="1">
      <c r="A3856" s="1">
        <v>841430</v>
      </c>
      <c r="B3856" s="1" t="s">
        <v>3887</v>
      </c>
      <c r="C3856" s="1" t="s">
        <v>11</v>
      </c>
      <c r="D3856" s="1" t="s">
        <v>11</v>
      </c>
      <c r="E3856" s="1" t="s">
        <v>11</v>
      </c>
    </row>
    <row r="3857" spans="1:5" ht="15.75" customHeight="1">
      <c r="A3857" s="1">
        <v>841440</v>
      </c>
      <c r="B3857" s="1" t="s">
        <v>3888</v>
      </c>
      <c r="C3857" s="1" t="s">
        <v>11</v>
      </c>
      <c r="D3857" s="1" t="s">
        <v>11</v>
      </c>
      <c r="E3857" s="1" t="s">
        <v>11</v>
      </c>
    </row>
    <row r="3858" spans="1:5" ht="15.75" customHeight="1">
      <c r="A3858" s="1">
        <v>841451</v>
      </c>
      <c r="B3858" s="1" t="s">
        <v>3889</v>
      </c>
      <c r="C3858" s="1" t="s">
        <v>11</v>
      </c>
      <c r="D3858" s="1" t="s">
        <v>11</v>
      </c>
      <c r="E3858" s="1" t="s">
        <v>11</v>
      </c>
    </row>
    <row r="3859" spans="1:5" ht="15.75" customHeight="1">
      <c r="A3859" s="1">
        <v>841459</v>
      </c>
      <c r="B3859" s="1" t="s">
        <v>3890</v>
      </c>
      <c r="C3859" s="1" t="s">
        <v>11</v>
      </c>
      <c r="D3859" s="1" t="s">
        <v>11</v>
      </c>
      <c r="E3859" s="1" t="s">
        <v>11</v>
      </c>
    </row>
    <row r="3860" spans="1:5" ht="15.75" customHeight="1">
      <c r="A3860" s="1">
        <v>841460</v>
      </c>
      <c r="B3860" s="1" t="s">
        <v>3891</v>
      </c>
      <c r="C3860" s="1" t="s">
        <v>11</v>
      </c>
      <c r="D3860" s="1" t="s">
        <v>11</v>
      </c>
      <c r="E3860" s="1" t="s">
        <v>11</v>
      </c>
    </row>
    <row r="3861" spans="1:5" ht="15.75" customHeight="1">
      <c r="A3861" s="1">
        <v>841480</v>
      </c>
      <c r="B3861" s="1" t="s">
        <v>3892</v>
      </c>
      <c r="C3861" s="1" t="s">
        <v>11</v>
      </c>
      <c r="D3861" s="1" t="s">
        <v>11</v>
      </c>
      <c r="E3861" s="1" t="s">
        <v>11</v>
      </c>
    </row>
    <row r="3862" spans="1:5" ht="15.75" customHeight="1">
      <c r="A3862" s="1">
        <v>841490</v>
      </c>
      <c r="B3862" s="1" t="s">
        <v>3893</v>
      </c>
      <c r="C3862" s="1" t="s">
        <v>11</v>
      </c>
      <c r="D3862" s="1" t="s">
        <v>11</v>
      </c>
      <c r="E3862" s="1" t="s">
        <v>11</v>
      </c>
    </row>
    <row r="3863" spans="1:5" ht="15.75" customHeight="1">
      <c r="A3863" s="1">
        <v>841510</v>
      </c>
      <c r="B3863" s="1" t="s">
        <v>3894</v>
      </c>
      <c r="C3863" s="1" t="s">
        <v>11</v>
      </c>
      <c r="D3863" s="1" t="s">
        <v>11</v>
      </c>
      <c r="E3863" s="1" t="s">
        <v>11</v>
      </c>
    </row>
    <row r="3864" spans="1:5" ht="15.75" customHeight="1">
      <c r="A3864" s="1">
        <v>841520</v>
      </c>
      <c r="B3864" s="1" t="s">
        <v>3895</v>
      </c>
      <c r="C3864" s="1" t="s">
        <v>11</v>
      </c>
      <c r="D3864" s="1" t="s">
        <v>11</v>
      </c>
      <c r="E3864" s="1" t="s">
        <v>11</v>
      </c>
    </row>
    <row r="3865" spans="1:5" ht="15.75" customHeight="1">
      <c r="A3865" s="1">
        <v>841581</v>
      </c>
      <c r="B3865" s="1" t="s">
        <v>3896</v>
      </c>
      <c r="C3865" s="1" t="s">
        <v>11</v>
      </c>
      <c r="D3865" s="1" t="s">
        <v>11</v>
      </c>
      <c r="E3865" s="1" t="s">
        <v>11</v>
      </c>
    </row>
    <row r="3866" spans="1:5" ht="15.75" customHeight="1">
      <c r="A3866" s="1">
        <v>841582</v>
      </c>
      <c r="B3866" s="1" t="s">
        <v>3897</v>
      </c>
      <c r="C3866" s="1" t="s">
        <v>11</v>
      </c>
      <c r="D3866" s="1" t="s">
        <v>11</v>
      </c>
      <c r="E3866" s="1" t="s">
        <v>11</v>
      </c>
    </row>
    <row r="3867" spans="1:5" ht="15.75" customHeight="1">
      <c r="A3867" s="1">
        <v>841583</v>
      </c>
      <c r="B3867" s="1" t="s">
        <v>3898</v>
      </c>
      <c r="C3867" s="1" t="s">
        <v>11</v>
      </c>
      <c r="D3867" s="1" t="s">
        <v>11</v>
      </c>
      <c r="E3867" s="1" t="s">
        <v>11</v>
      </c>
    </row>
    <row r="3868" spans="1:5" ht="15.75" customHeight="1">
      <c r="A3868" s="1">
        <v>841590</v>
      </c>
      <c r="B3868" s="1" t="s">
        <v>3899</v>
      </c>
      <c r="C3868" s="1" t="s">
        <v>11</v>
      </c>
      <c r="D3868" s="1" t="s">
        <v>11</v>
      </c>
      <c r="E3868" s="1" t="s">
        <v>11</v>
      </c>
    </row>
    <row r="3869" spans="1:5" ht="15.75" customHeight="1">
      <c r="A3869" s="1">
        <v>841610</v>
      </c>
      <c r="B3869" s="1" t="s">
        <v>3900</v>
      </c>
      <c r="C3869" s="1" t="s">
        <v>11</v>
      </c>
      <c r="D3869" s="1" t="s">
        <v>11</v>
      </c>
      <c r="E3869" s="1" t="s">
        <v>11</v>
      </c>
    </row>
    <row r="3870" spans="1:5" ht="15.75" customHeight="1">
      <c r="A3870" s="1">
        <v>841620</v>
      </c>
      <c r="B3870" s="1" t="s">
        <v>3901</v>
      </c>
      <c r="C3870" s="1" t="s">
        <v>11</v>
      </c>
      <c r="D3870" s="1" t="s">
        <v>11</v>
      </c>
      <c r="E3870" s="1" t="s">
        <v>11</v>
      </c>
    </row>
    <row r="3871" spans="1:5" ht="15.75" customHeight="1">
      <c r="A3871" s="1">
        <v>841630</v>
      </c>
      <c r="B3871" s="1" t="s">
        <v>3902</v>
      </c>
      <c r="C3871" s="1" t="s">
        <v>11</v>
      </c>
      <c r="D3871" s="1" t="s">
        <v>11</v>
      </c>
      <c r="E3871" s="1" t="s">
        <v>11</v>
      </c>
    </row>
    <row r="3872" spans="1:5" ht="15.75" customHeight="1">
      <c r="A3872" s="1">
        <v>841690</v>
      </c>
      <c r="B3872" s="1" t="s">
        <v>3903</v>
      </c>
      <c r="C3872" s="1" t="s">
        <v>11</v>
      </c>
      <c r="D3872" s="1" t="s">
        <v>11</v>
      </c>
      <c r="E3872" s="1" t="s">
        <v>11</v>
      </c>
    </row>
    <row r="3873" spans="1:5" ht="15.75" customHeight="1">
      <c r="A3873" s="1">
        <v>841710</v>
      </c>
      <c r="B3873" s="1" t="s">
        <v>3904</v>
      </c>
      <c r="C3873" s="1" t="s">
        <v>11</v>
      </c>
      <c r="D3873" s="1" t="s">
        <v>11</v>
      </c>
      <c r="E3873" s="1" t="s">
        <v>11</v>
      </c>
    </row>
    <row r="3874" spans="1:5" ht="15.75" customHeight="1">
      <c r="A3874" s="1">
        <v>841720</v>
      </c>
      <c r="B3874" s="1" t="s">
        <v>3905</v>
      </c>
      <c r="C3874" s="1" t="s">
        <v>11</v>
      </c>
      <c r="D3874" s="1" t="s">
        <v>11</v>
      </c>
      <c r="E3874" s="1" t="s">
        <v>11</v>
      </c>
    </row>
    <row r="3875" spans="1:5" ht="15.75" customHeight="1">
      <c r="A3875" s="1">
        <v>841780</v>
      </c>
      <c r="B3875" s="1" t="s">
        <v>3906</v>
      </c>
      <c r="C3875" s="1" t="s">
        <v>11</v>
      </c>
      <c r="D3875" s="1" t="s">
        <v>11</v>
      </c>
      <c r="E3875" s="1" t="s">
        <v>11</v>
      </c>
    </row>
    <row r="3876" spans="1:5" ht="15.75" customHeight="1">
      <c r="A3876" s="1">
        <v>841790</v>
      </c>
      <c r="B3876" s="1" t="s">
        <v>3907</v>
      </c>
      <c r="C3876" s="1" t="s">
        <v>11</v>
      </c>
      <c r="D3876" s="1" t="s">
        <v>11</v>
      </c>
      <c r="E3876" s="1" t="s">
        <v>11</v>
      </c>
    </row>
    <row r="3877" spans="1:5" ht="15.75" customHeight="1">
      <c r="A3877" s="1">
        <v>841810</v>
      </c>
      <c r="B3877" s="1" t="s">
        <v>3908</v>
      </c>
      <c r="C3877" s="1" t="s">
        <v>11</v>
      </c>
      <c r="D3877" s="1" t="s">
        <v>11</v>
      </c>
      <c r="E3877" s="1" t="s">
        <v>11</v>
      </c>
    </row>
    <row r="3878" spans="1:5" ht="15.75" customHeight="1">
      <c r="A3878" s="1">
        <v>841821</v>
      </c>
      <c r="B3878" s="1" t="s">
        <v>3909</v>
      </c>
      <c r="C3878" s="1" t="s">
        <v>11</v>
      </c>
      <c r="D3878" s="1" t="s">
        <v>11</v>
      </c>
      <c r="E3878" s="1" t="s">
        <v>11</v>
      </c>
    </row>
    <row r="3879" spans="1:5" ht="15.75" customHeight="1">
      <c r="A3879" s="1">
        <v>841829</v>
      </c>
      <c r="B3879" s="1" t="s">
        <v>3910</v>
      </c>
      <c r="C3879" s="1" t="s">
        <v>11</v>
      </c>
      <c r="D3879" s="1" t="s">
        <v>11</v>
      </c>
      <c r="E3879" s="1" t="s">
        <v>11</v>
      </c>
    </row>
    <row r="3880" spans="1:5" ht="15.75" customHeight="1">
      <c r="A3880" s="1">
        <v>841830</v>
      </c>
      <c r="B3880" s="1" t="s">
        <v>3911</v>
      </c>
      <c r="C3880" s="1" t="s">
        <v>11</v>
      </c>
      <c r="D3880" s="1" t="s">
        <v>11</v>
      </c>
      <c r="E3880" s="1" t="s">
        <v>11</v>
      </c>
    </row>
    <row r="3881" spans="1:5" ht="15.75" customHeight="1">
      <c r="A3881" s="1">
        <v>841840</v>
      </c>
      <c r="B3881" s="1" t="s">
        <v>3912</v>
      </c>
      <c r="C3881" s="1" t="s">
        <v>11</v>
      </c>
      <c r="D3881" s="1" t="s">
        <v>11</v>
      </c>
      <c r="E3881" s="1" t="s">
        <v>11</v>
      </c>
    </row>
    <row r="3882" spans="1:5" ht="15.75" customHeight="1">
      <c r="A3882" s="1">
        <v>841850</v>
      </c>
      <c r="B3882" s="1" t="s">
        <v>3913</v>
      </c>
      <c r="C3882" s="1" t="s">
        <v>11</v>
      </c>
      <c r="D3882" s="1" t="s">
        <v>11</v>
      </c>
      <c r="E3882" s="1" t="s">
        <v>11</v>
      </c>
    </row>
    <row r="3883" spans="1:5" ht="15.75" customHeight="1">
      <c r="A3883" s="1">
        <v>841861</v>
      </c>
      <c r="B3883" s="1" t="s">
        <v>3914</v>
      </c>
      <c r="C3883" s="1" t="s">
        <v>11</v>
      </c>
      <c r="D3883" s="1" t="s">
        <v>11</v>
      </c>
      <c r="E3883" s="1" t="s">
        <v>11</v>
      </c>
    </row>
    <row r="3884" spans="1:5" ht="15.75" customHeight="1">
      <c r="A3884" s="1">
        <v>841869</v>
      </c>
      <c r="B3884" s="1" t="s">
        <v>3915</v>
      </c>
      <c r="C3884" s="1" t="s">
        <v>11</v>
      </c>
      <c r="D3884" s="1" t="s">
        <v>11</v>
      </c>
      <c r="E3884" s="1" t="s">
        <v>11</v>
      </c>
    </row>
    <row r="3885" spans="1:5" ht="15.75" customHeight="1">
      <c r="A3885" s="1">
        <v>841891</v>
      </c>
      <c r="B3885" s="1" t="s">
        <v>3916</v>
      </c>
      <c r="C3885" s="1" t="s">
        <v>11</v>
      </c>
      <c r="D3885" s="1" t="s">
        <v>11</v>
      </c>
      <c r="E3885" s="1" t="s">
        <v>11</v>
      </c>
    </row>
    <row r="3886" spans="1:5" ht="15.75" customHeight="1">
      <c r="A3886" s="1">
        <v>841899</v>
      </c>
      <c r="B3886" s="1" t="s">
        <v>3917</v>
      </c>
      <c r="C3886" s="1" t="s">
        <v>11</v>
      </c>
      <c r="D3886" s="1" t="s">
        <v>11</v>
      </c>
      <c r="E3886" s="1" t="s">
        <v>11</v>
      </c>
    </row>
    <row r="3887" spans="1:5" ht="15.75" customHeight="1">
      <c r="A3887" s="1">
        <v>841911</v>
      </c>
      <c r="B3887" s="1" t="s">
        <v>3918</v>
      </c>
      <c r="C3887" s="1" t="s">
        <v>11</v>
      </c>
      <c r="D3887" s="1" t="s">
        <v>11</v>
      </c>
      <c r="E3887" s="1" t="s">
        <v>11</v>
      </c>
    </row>
    <row r="3888" spans="1:5" ht="15.75" customHeight="1">
      <c r="A3888" s="1">
        <v>841919</v>
      </c>
      <c r="B3888" s="1" t="s">
        <v>3919</v>
      </c>
      <c r="C3888" s="1" t="s">
        <v>11</v>
      </c>
      <c r="D3888" s="1" t="s">
        <v>11</v>
      </c>
      <c r="E3888" s="1" t="s">
        <v>11</v>
      </c>
    </row>
    <row r="3889" spans="1:6" ht="15.75" customHeight="1">
      <c r="A3889" s="1">
        <v>841920</v>
      </c>
      <c r="B3889" s="1" t="s">
        <v>3920</v>
      </c>
      <c r="C3889" s="1">
        <v>1</v>
      </c>
      <c r="D3889" s="1" t="s">
        <v>1418</v>
      </c>
      <c r="E3889" s="1" t="s">
        <v>1418</v>
      </c>
      <c r="F3889" s="2" t="s">
        <v>1419</v>
      </c>
    </row>
    <row r="3890" spans="1:6" ht="15.75" customHeight="1">
      <c r="A3890" s="1">
        <v>841931</v>
      </c>
      <c r="B3890" s="1" t="s">
        <v>3921</v>
      </c>
      <c r="C3890" s="1" t="s">
        <v>11</v>
      </c>
      <c r="D3890" s="1" t="s">
        <v>11</v>
      </c>
      <c r="E3890" s="1" t="s">
        <v>11</v>
      </c>
    </row>
    <row r="3891" spans="1:6" ht="15.75" customHeight="1">
      <c r="A3891" s="1">
        <v>841932</v>
      </c>
      <c r="B3891" s="1" t="s">
        <v>3922</v>
      </c>
      <c r="C3891" s="1" t="s">
        <v>11</v>
      </c>
      <c r="D3891" s="1" t="s">
        <v>11</v>
      </c>
      <c r="E3891" s="1" t="s">
        <v>11</v>
      </c>
    </row>
    <row r="3892" spans="1:6" ht="15.75" customHeight="1">
      <c r="A3892" s="1">
        <v>841939</v>
      </c>
      <c r="B3892" s="1" t="s">
        <v>3923</v>
      </c>
      <c r="C3892" s="1" t="s">
        <v>11</v>
      </c>
      <c r="D3892" s="1" t="s">
        <v>11</v>
      </c>
      <c r="E3892" s="1" t="s">
        <v>11</v>
      </c>
    </row>
    <row r="3893" spans="1:6" ht="15.75" customHeight="1">
      <c r="A3893" s="1">
        <v>841940</v>
      </c>
      <c r="B3893" s="1" t="s">
        <v>3924</v>
      </c>
      <c r="C3893" s="1" t="s">
        <v>11</v>
      </c>
      <c r="D3893" s="1" t="s">
        <v>11</v>
      </c>
      <c r="E3893" s="1" t="s">
        <v>11</v>
      </c>
    </row>
    <row r="3894" spans="1:6" ht="15.75" customHeight="1">
      <c r="A3894" s="1">
        <v>841950</v>
      </c>
      <c r="B3894" s="1" t="s">
        <v>3925</v>
      </c>
      <c r="C3894" s="1" t="s">
        <v>11</v>
      </c>
      <c r="D3894" s="1" t="s">
        <v>11</v>
      </c>
      <c r="E3894" s="1" t="s">
        <v>11</v>
      </c>
    </row>
    <row r="3895" spans="1:6" ht="15.75" customHeight="1">
      <c r="A3895" s="1">
        <v>841960</v>
      </c>
      <c r="B3895" s="1" t="s">
        <v>3926</v>
      </c>
      <c r="C3895" s="1" t="s">
        <v>11</v>
      </c>
      <c r="D3895" s="1" t="s">
        <v>11</v>
      </c>
      <c r="E3895" s="1" t="s">
        <v>11</v>
      </c>
    </row>
    <row r="3896" spans="1:6" ht="15.75" customHeight="1">
      <c r="A3896" s="1">
        <v>841981</v>
      </c>
      <c r="B3896" s="1" t="s">
        <v>3927</v>
      </c>
      <c r="C3896" s="1" t="s">
        <v>11</v>
      </c>
      <c r="D3896" s="1" t="s">
        <v>11</v>
      </c>
      <c r="E3896" s="1" t="s">
        <v>11</v>
      </c>
    </row>
    <row r="3897" spans="1:6" ht="15.75" customHeight="1">
      <c r="A3897" s="1">
        <v>841989</v>
      </c>
      <c r="B3897" s="1" t="s">
        <v>3928</v>
      </c>
      <c r="C3897" s="1" t="s">
        <v>11</v>
      </c>
      <c r="D3897" s="1" t="s">
        <v>11</v>
      </c>
      <c r="E3897" s="1" t="s">
        <v>11</v>
      </c>
    </row>
    <row r="3898" spans="1:6" ht="15.75" customHeight="1">
      <c r="A3898" s="1">
        <v>841990</v>
      </c>
      <c r="B3898" s="1" t="s">
        <v>3929</v>
      </c>
      <c r="C3898" s="1" t="s">
        <v>11</v>
      </c>
      <c r="D3898" s="1" t="s">
        <v>11</v>
      </c>
      <c r="E3898" s="1" t="s">
        <v>11</v>
      </c>
    </row>
    <row r="3899" spans="1:6" ht="15.75" customHeight="1">
      <c r="A3899" s="1">
        <v>842010</v>
      </c>
      <c r="B3899" s="1" t="s">
        <v>3930</v>
      </c>
      <c r="C3899" s="1" t="s">
        <v>11</v>
      </c>
      <c r="D3899" s="1" t="s">
        <v>11</v>
      </c>
      <c r="E3899" s="1" t="s">
        <v>11</v>
      </c>
    </row>
    <row r="3900" spans="1:6" ht="15.75" customHeight="1">
      <c r="A3900" s="1">
        <v>842091</v>
      </c>
      <c r="B3900" s="1" t="s">
        <v>3931</v>
      </c>
      <c r="C3900" s="1" t="s">
        <v>11</v>
      </c>
      <c r="D3900" s="1" t="s">
        <v>11</v>
      </c>
      <c r="E3900" s="1" t="s">
        <v>11</v>
      </c>
    </row>
    <row r="3901" spans="1:6" ht="15.75" customHeight="1">
      <c r="A3901" s="1">
        <v>842099</v>
      </c>
      <c r="B3901" s="1" t="s">
        <v>3932</v>
      </c>
      <c r="C3901" s="1" t="s">
        <v>11</v>
      </c>
      <c r="D3901" s="1" t="s">
        <v>11</v>
      </c>
      <c r="E3901" s="1" t="s">
        <v>11</v>
      </c>
    </row>
    <row r="3902" spans="1:6" ht="15.75" customHeight="1">
      <c r="A3902" s="1">
        <v>842111</v>
      </c>
      <c r="B3902" s="1" t="s">
        <v>3933</v>
      </c>
      <c r="C3902" s="1" t="s">
        <v>11</v>
      </c>
      <c r="D3902" s="1" t="s">
        <v>11</v>
      </c>
      <c r="E3902" s="1" t="s">
        <v>11</v>
      </c>
    </row>
    <row r="3903" spans="1:6" ht="15.75" customHeight="1">
      <c r="A3903" s="1">
        <v>842112</v>
      </c>
      <c r="B3903" s="1" t="s">
        <v>3934</v>
      </c>
      <c r="C3903" s="1" t="s">
        <v>11</v>
      </c>
      <c r="D3903" s="1" t="s">
        <v>11</v>
      </c>
      <c r="E3903" s="1" t="s">
        <v>11</v>
      </c>
    </row>
    <row r="3904" spans="1:6" ht="15.75" customHeight="1">
      <c r="A3904" s="1">
        <v>842119</v>
      </c>
      <c r="B3904" s="1" t="s">
        <v>3935</v>
      </c>
      <c r="C3904" s="1" t="s">
        <v>11</v>
      </c>
      <c r="D3904" s="1" t="s">
        <v>11</v>
      </c>
      <c r="E3904" s="1" t="s">
        <v>11</v>
      </c>
    </row>
    <row r="3905" spans="1:5" ht="15.75" customHeight="1">
      <c r="A3905" s="1">
        <v>842121</v>
      </c>
      <c r="B3905" s="1" t="s">
        <v>3936</v>
      </c>
      <c r="C3905" s="1" t="s">
        <v>11</v>
      </c>
      <c r="D3905" s="1" t="s">
        <v>11</v>
      </c>
      <c r="E3905" s="1" t="s">
        <v>11</v>
      </c>
    </row>
    <row r="3906" spans="1:5" ht="15.75" customHeight="1">
      <c r="A3906" s="1">
        <v>842122</v>
      </c>
      <c r="B3906" s="1" t="s">
        <v>3937</v>
      </c>
      <c r="C3906" s="1" t="s">
        <v>11</v>
      </c>
      <c r="D3906" s="1" t="s">
        <v>11</v>
      </c>
      <c r="E3906" s="1" t="s">
        <v>11</v>
      </c>
    </row>
    <row r="3907" spans="1:5" ht="15.75" customHeight="1">
      <c r="A3907" s="1">
        <v>842123</v>
      </c>
      <c r="B3907" s="1" t="s">
        <v>3938</v>
      </c>
      <c r="C3907" s="1" t="s">
        <v>11</v>
      </c>
      <c r="D3907" s="1" t="s">
        <v>11</v>
      </c>
      <c r="E3907" s="1" t="s">
        <v>11</v>
      </c>
    </row>
    <row r="3908" spans="1:5" ht="15.75" customHeight="1">
      <c r="A3908" s="1">
        <v>842129</v>
      </c>
      <c r="B3908" s="1" t="s">
        <v>3939</v>
      </c>
      <c r="C3908" s="1" t="s">
        <v>11</v>
      </c>
      <c r="D3908" s="1" t="s">
        <v>11</v>
      </c>
      <c r="E3908" s="1" t="s">
        <v>11</v>
      </c>
    </row>
    <row r="3909" spans="1:5" ht="15.75" customHeight="1">
      <c r="A3909" s="1">
        <v>842131</v>
      </c>
      <c r="B3909" s="1" t="s">
        <v>3940</v>
      </c>
      <c r="C3909" s="1" t="s">
        <v>11</v>
      </c>
      <c r="D3909" s="1" t="s">
        <v>11</v>
      </c>
      <c r="E3909" s="1" t="s">
        <v>11</v>
      </c>
    </row>
    <row r="3910" spans="1:5" ht="15.75" customHeight="1">
      <c r="A3910" s="1">
        <v>842139</v>
      </c>
      <c r="B3910" s="1" t="s">
        <v>3941</v>
      </c>
      <c r="C3910" s="1" t="s">
        <v>11</v>
      </c>
      <c r="D3910" s="1" t="s">
        <v>11</v>
      </c>
      <c r="E3910" s="1" t="s">
        <v>11</v>
      </c>
    </row>
    <row r="3911" spans="1:5" ht="15.75" customHeight="1">
      <c r="A3911" s="1">
        <v>842191</v>
      </c>
      <c r="B3911" s="1" t="s">
        <v>3942</v>
      </c>
      <c r="C3911" s="1" t="s">
        <v>11</v>
      </c>
      <c r="D3911" s="1" t="s">
        <v>11</v>
      </c>
      <c r="E3911" s="1" t="s">
        <v>11</v>
      </c>
    </row>
    <row r="3912" spans="1:5" ht="15.75" customHeight="1">
      <c r="A3912" s="1">
        <v>842199</v>
      </c>
      <c r="B3912" s="1" t="s">
        <v>3943</v>
      </c>
      <c r="C3912" s="1" t="s">
        <v>11</v>
      </c>
      <c r="D3912" s="1" t="s">
        <v>11</v>
      </c>
      <c r="E3912" s="1" t="s">
        <v>11</v>
      </c>
    </row>
    <row r="3913" spans="1:5" ht="15.75" customHeight="1">
      <c r="A3913" s="1">
        <v>842211</v>
      </c>
      <c r="B3913" s="1" t="s">
        <v>3944</v>
      </c>
      <c r="C3913" s="1" t="s">
        <v>11</v>
      </c>
      <c r="D3913" s="1" t="s">
        <v>11</v>
      </c>
      <c r="E3913" s="1" t="s">
        <v>11</v>
      </c>
    </row>
    <row r="3914" spans="1:5" ht="15.75" customHeight="1">
      <c r="A3914" s="1">
        <v>842219</v>
      </c>
      <c r="B3914" s="1" t="s">
        <v>3945</v>
      </c>
      <c r="C3914" s="1" t="s">
        <v>11</v>
      </c>
      <c r="D3914" s="1" t="s">
        <v>11</v>
      </c>
      <c r="E3914" s="1" t="s">
        <v>11</v>
      </c>
    </row>
    <row r="3915" spans="1:5" ht="15.75" customHeight="1">
      <c r="A3915" s="1">
        <v>842220</v>
      </c>
      <c r="B3915" s="1" t="s">
        <v>3946</v>
      </c>
      <c r="C3915" s="1" t="s">
        <v>11</v>
      </c>
      <c r="D3915" s="1" t="s">
        <v>11</v>
      </c>
      <c r="E3915" s="1" t="s">
        <v>11</v>
      </c>
    </row>
    <row r="3916" spans="1:5" ht="15.75" customHeight="1">
      <c r="A3916" s="1">
        <v>842230</v>
      </c>
      <c r="B3916" s="1" t="s">
        <v>3947</v>
      </c>
      <c r="C3916" s="1" t="s">
        <v>11</v>
      </c>
      <c r="D3916" s="1" t="s">
        <v>11</v>
      </c>
      <c r="E3916" s="1" t="s">
        <v>11</v>
      </c>
    </row>
    <row r="3917" spans="1:5" ht="15.75" customHeight="1">
      <c r="A3917" s="1">
        <v>842240</v>
      </c>
      <c r="B3917" s="1" t="s">
        <v>3948</v>
      </c>
      <c r="C3917" s="1" t="s">
        <v>11</v>
      </c>
      <c r="D3917" s="1" t="s">
        <v>11</v>
      </c>
      <c r="E3917" s="1" t="s">
        <v>11</v>
      </c>
    </row>
    <row r="3918" spans="1:5" ht="15.75" customHeight="1">
      <c r="A3918" s="1">
        <v>842290</v>
      </c>
      <c r="B3918" s="1" t="s">
        <v>3949</v>
      </c>
      <c r="C3918" s="1" t="s">
        <v>11</v>
      </c>
      <c r="D3918" s="1" t="s">
        <v>11</v>
      </c>
      <c r="E3918" s="1" t="s">
        <v>11</v>
      </c>
    </row>
    <row r="3919" spans="1:5" ht="15.75" customHeight="1">
      <c r="A3919" s="1">
        <v>842310</v>
      </c>
      <c r="B3919" s="1" t="s">
        <v>3950</v>
      </c>
      <c r="C3919" s="1" t="s">
        <v>11</v>
      </c>
      <c r="D3919" s="1" t="s">
        <v>11</v>
      </c>
      <c r="E3919" s="1" t="s">
        <v>11</v>
      </c>
    </row>
    <row r="3920" spans="1:5" ht="15.75" customHeight="1">
      <c r="A3920" s="1">
        <v>842320</v>
      </c>
      <c r="B3920" s="1" t="s">
        <v>3951</v>
      </c>
      <c r="C3920" s="1" t="s">
        <v>11</v>
      </c>
      <c r="D3920" s="1" t="s">
        <v>11</v>
      </c>
      <c r="E3920" s="1" t="s">
        <v>11</v>
      </c>
    </row>
    <row r="3921" spans="1:5" ht="15.75" customHeight="1">
      <c r="A3921" s="1">
        <v>842330</v>
      </c>
      <c r="B3921" s="1" t="s">
        <v>3952</v>
      </c>
      <c r="C3921" s="1" t="s">
        <v>11</v>
      </c>
      <c r="D3921" s="1" t="s">
        <v>11</v>
      </c>
      <c r="E3921" s="1" t="s">
        <v>11</v>
      </c>
    </row>
    <row r="3922" spans="1:5" ht="15.75" customHeight="1">
      <c r="A3922" s="1">
        <v>842381</v>
      </c>
      <c r="B3922" s="1" t="s">
        <v>3953</v>
      </c>
      <c r="C3922" s="1" t="s">
        <v>11</v>
      </c>
      <c r="D3922" s="1" t="s">
        <v>11</v>
      </c>
      <c r="E3922" s="1" t="s">
        <v>11</v>
      </c>
    </row>
    <row r="3923" spans="1:5" ht="15.75" customHeight="1">
      <c r="A3923" s="1">
        <v>842382</v>
      </c>
      <c r="B3923" s="1" t="s">
        <v>3954</v>
      </c>
      <c r="C3923" s="1" t="s">
        <v>11</v>
      </c>
      <c r="D3923" s="1" t="s">
        <v>11</v>
      </c>
      <c r="E3923" s="1" t="s">
        <v>11</v>
      </c>
    </row>
    <row r="3924" spans="1:5" ht="15.75" customHeight="1">
      <c r="A3924" s="1">
        <v>842389</v>
      </c>
      <c r="B3924" s="1" t="s">
        <v>3955</v>
      </c>
      <c r="C3924" s="1" t="s">
        <v>11</v>
      </c>
      <c r="D3924" s="1" t="s">
        <v>11</v>
      </c>
      <c r="E3924" s="1" t="s">
        <v>11</v>
      </c>
    </row>
    <row r="3925" spans="1:5" ht="15.75" customHeight="1">
      <c r="A3925" s="1">
        <v>842390</v>
      </c>
      <c r="B3925" s="1" t="s">
        <v>3956</v>
      </c>
      <c r="C3925" s="1" t="s">
        <v>11</v>
      </c>
      <c r="D3925" s="1" t="s">
        <v>11</v>
      </c>
      <c r="E3925" s="1" t="s">
        <v>11</v>
      </c>
    </row>
    <row r="3926" spans="1:5" ht="15.75" customHeight="1">
      <c r="A3926" s="1">
        <v>842410</v>
      </c>
      <c r="B3926" s="1" t="s">
        <v>3957</v>
      </c>
      <c r="C3926" s="1" t="s">
        <v>11</v>
      </c>
      <c r="D3926" s="1" t="s">
        <v>11</v>
      </c>
      <c r="E3926" s="1" t="s">
        <v>11</v>
      </c>
    </row>
    <row r="3927" spans="1:5" ht="15.75" customHeight="1">
      <c r="A3927" s="1">
        <v>842420</v>
      </c>
      <c r="B3927" s="1" t="s">
        <v>3958</v>
      </c>
      <c r="C3927" s="1" t="s">
        <v>11</v>
      </c>
      <c r="D3927" s="1" t="s">
        <v>11</v>
      </c>
      <c r="E3927" s="1" t="s">
        <v>11</v>
      </c>
    </row>
    <row r="3928" spans="1:5" ht="15.75" customHeight="1">
      <c r="A3928" s="1">
        <v>842430</v>
      </c>
      <c r="B3928" s="1" t="s">
        <v>3959</v>
      </c>
      <c r="C3928" s="1" t="s">
        <v>11</v>
      </c>
      <c r="D3928" s="1" t="s">
        <v>11</v>
      </c>
      <c r="E3928" s="1" t="s">
        <v>11</v>
      </c>
    </row>
    <row r="3929" spans="1:5" ht="15.75" customHeight="1">
      <c r="A3929" s="1">
        <v>842481</v>
      </c>
      <c r="B3929" s="1" t="s">
        <v>3960</v>
      </c>
      <c r="C3929" s="1" t="s">
        <v>11</v>
      </c>
      <c r="D3929" s="1" t="s">
        <v>11</v>
      </c>
      <c r="E3929" s="1" t="s">
        <v>11</v>
      </c>
    </row>
    <row r="3930" spans="1:5" ht="15.75" customHeight="1">
      <c r="A3930" s="1">
        <v>842489</v>
      </c>
      <c r="B3930" s="1" t="s">
        <v>3961</v>
      </c>
      <c r="C3930" s="1" t="s">
        <v>11</v>
      </c>
      <c r="D3930" s="1" t="s">
        <v>11</v>
      </c>
      <c r="E3930" s="1" t="s">
        <v>11</v>
      </c>
    </row>
    <row r="3931" spans="1:5" ht="15.75" customHeight="1">
      <c r="A3931" s="1">
        <v>842490</v>
      </c>
      <c r="B3931" s="1" t="s">
        <v>3962</v>
      </c>
      <c r="C3931" s="1" t="s">
        <v>11</v>
      </c>
      <c r="D3931" s="1" t="s">
        <v>11</v>
      </c>
      <c r="E3931" s="1" t="s">
        <v>11</v>
      </c>
    </row>
    <row r="3932" spans="1:5" ht="15.75" customHeight="1">
      <c r="A3932" s="1">
        <v>842511</v>
      </c>
      <c r="B3932" s="1" t="s">
        <v>3963</v>
      </c>
      <c r="C3932" s="1" t="s">
        <v>11</v>
      </c>
      <c r="D3932" s="1" t="s">
        <v>11</v>
      </c>
      <c r="E3932" s="1" t="s">
        <v>11</v>
      </c>
    </row>
    <row r="3933" spans="1:5" ht="15.75" customHeight="1">
      <c r="A3933" s="1">
        <v>842519</v>
      </c>
      <c r="B3933" s="1" t="s">
        <v>3964</v>
      </c>
      <c r="C3933" s="1" t="s">
        <v>11</v>
      </c>
      <c r="D3933" s="1" t="s">
        <v>11</v>
      </c>
      <c r="E3933" s="1" t="s">
        <v>11</v>
      </c>
    </row>
    <row r="3934" spans="1:5" ht="15.75" customHeight="1">
      <c r="A3934" s="1">
        <v>842531</v>
      </c>
      <c r="B3934" s="1" t="s">
        <v>3965</v>
      </c>
      <c r="C3934" s="1" t="s">
        <v>11</v>
      </c>
      <c r="D3934" s="1" t="s">
        <v>11</v>
      </c>
      <c r="E3934" s="1" t="s">
        <v>11</v>
      </c>
    </row>
    <row r="3935" spans="1:5" ht="15.75" customHeight="1">
      <c r="A3935" s="1">
        <v>842539</v>
      </c>
      <c r="B3935" s="1" t="s">
        <v>3966</v>
      </c>
      <c r="C3935" s="1" t="s">
        <v>11</v>
      </c>
      <c r="D3935" s="1" t="s">
        <v>11</v>
      </c>
      <c r="E3935" s="1" t="s">
        <v>11</v>
      </c>
    </row>
    <row r="3936" spans="1:5" ht="15.75" customHeight="1">
      <c r="A3936" s="1">
        <v>842541</v>
      </c>
      <c r="B3936" s="1" t="s">
        <v>3967</v>
      </c>
      <c r="C3936" s="1" t="s">
        <v>11</v>
      </c>
      <c r="D3936" s="1" t="s">
        <v>11</v>
      </c>
      <c r="E3936" s="1" t="s">
        <v>11</v>
      </c>
    </row>
    <row r="3937" spans="1:5" ht="15.75" customHeight="1">
      <c r="A3937" s="1">
        <v>842542</v>
      </c>
      <c r="B3937" s="1" t="s">
        <v>3968</v>
      </c>
      <c r="C3937" s="1" t="s">
        <v>11</v>
      </c>
      <c r="D3937" s="1" t="s">
        <v>11</v>
      </c>
      <c r="E3937" s="1" t="s">
        <v>11</v>
      </c>
    </row>
    <row r="3938" spans="1:5" ht="15.75" customHeight="1">
      <c r="A3938" s="1">
        <v>842549</v>
      </c>
      <c r="B3938" s="1" t="s">
        <v>3969</v>
      </c>
      <c r="C3938" s="1" t="s">
        <v>11</v>
      </c>
      <c r="D3938" s="1" t="s">
        <v>11</v>
      </c>
      <c r="E3938" s="1" t="s">
        <v>11</v>
      </c>
    </row>
    <row r="3939" spans="1:5" ht="15.75" customHeight="1">
      <c r="A3939" s="1">
        <v>842611</v>
      </c>
      <c r="B3939" s="1" t="s">
        <v>3970</v>
      </c>
      <c r="C3939" s="1" t="s">
        <v>11</v>
      </c>
      <c r="D3939" s="1" t="s">
        <v>11</v>
      </c>
      <c r="E3939" s="1" t="s">
        <v>11</v>
      </c>
    </row>
    <row r="3940" spans="1:5" ht="15.75" customHeight="1">
      <c r="A3940" s="1">
        <v>842612</v>
      </c>
      <c r="B3940" s="1" t="s">
        <v>3971</v>
      </c>
      <c r="C3940" s="1" t="s">
        <v>11</v>
      </c>
      <c r="D3940" s="1" t="s">
        <v>11</v>
      </c>
      <c r="E3940" s="1" t="s">
        <v>11</v>
      </c>
    </row>
    <row r="3941" spans="1:5" ht="15.75" customHeight="1">
      <c r="A3941" s="1">
        <v>842619</v>
      </c>
      <c r="B3941" s="1" t="s">
        <v>3972</v>
      </c>
      <c r="C3941" s="1" t="s">
        <v>11</v>
      </c>
      <c r="D3941" s="1" t="s">
        <v>11</v>
      </c>
      <c r="E3941" s="1" t="s">
        <v>11</v>
      </c>
    </row>
    <row r="3942" spans="1:5" ht="15.75" customHeight="1">
      <c r="A3942" s="1">
        <v>842620</v>
      </c>
      <c r="B3942" s="1" t="s">
        <v>3973</v>
      </c>
      <c r="C3942" s="1" t="s">
        <v>11</v>
      </c>
      <c r="D3942" s="1" t="s">
        <v>11</v>
      </c>
      <c r="E3942" s="1" t="s">
        <v>11</v>
      </c>
    </row>
    <row r="3943" spans="1:5" ht="15.75" customHeight="1">
      <c r="A3943" s="1">
        <v>842630</v>
      </c>
      <c r="B3943" s="1" t="s">
        <v>3974</v>
      </c>
      <c r="C3943" s="1" t="s">
        <v>11</v>
      </c>
      <c r="D3943" s="1" t="s">
        <v>11</v>
      </c>
      <c r="E3943" s="1" t="s">
        <v>11</v>
      </c>
    </row>
    <row r="3944" spans="1:5" ht="15.75" customHeight="1">
      <c r="A3944" s="1">
        <v>842641</v>
      </c>
      <c r="B3944" s="1" t="s">
        <v>3975</v>
      </c>
      <c r="C3944" s="1" t="s">
        <v>11</v>
      </c>
      <c r="D3944" s="1" t="s">
        <v>11</v>
      </c>
      <c r="E3944" s="1" t="s">
        <v>11</v>
      </c>
    </row>
    <row r="3945" spans="1:5" ht="15.75" customHeight="1">
      <c r="A3945" s="1">
        <v>842649</v>
      </c>
      <c r="B3945" s="1" t="s">
        <v>3976</v>
      </c>
      <c r="C3945" s="1" t="s">
        <v>11</v>
      </c>
      <c r="D3945" s="1" t="s">
        <v>11</v>
      </c>
      <c r="E3945" s="1" t="s">
        <v>11</v>
      </c>
    </row>
    <row r="3946" spans="1:5" ht="15.75" customHeight="1">
      <c r="A3946" s="1">
        <v>842691</v>
      </c>
      <c r="B3946" s="1" t="s">
        <v>3977</v>
      </c>
      <c r="C3946" s="1" t="s">
        <v>11</v>
      </c>
      <c r="D3946" s="1" t="s">
        <v>11</v>
      </c>
      <c r="E3946" s="1" t="s">
        <v>11</v>
      </c>
    </row>
    <row r="3947" spans="1:5" ht="15.75" customHeight="1">
      <c r="A3947" s="1">
        <v>842699</v>
      </c>
      <c r="B3947" s="1" t="s">
        <v>3978</v>
      </c>
      <c r="C3947" s="1" t="s">
        <v>11</v>
      </c>
      <c r="D3947" s="1" t="s">
        <v>11</v>
      </c>
      <c r="E3947" s="1" t="s">
        <v>11</v>
      </c>
    </row>
    <row r="3948" spans="1:5" ht="15.75" customHeight="1">
      <c r="A3948" s="1">
        <v>842710</v>
      </c>
      <c r="B3948" s="1" t="s">
        <v>3979</v>
      </c>
      <c r="C3948" s="1" t="s">
        <v>11</v>
      </c>
      <c r="D3948" s="1" t="s">
        <v>11</v>
      </c>
      <c r="E3948" s="1" t="s">
        <v>11</v>
      </c>
    </row>
    <row r="3949" spans="1:5" ht="15.75" customHeight="1">
      <c r="A3949" s="1">
        <v>842720</v>
      </c>
      <c r="B3949" s="1" t="s">
        <v>3980</v>
      </c>
      <c r="C3949" s="1" t="s">
        <v>11</v>
      </c>
      <c r="D3949" s="1" t="s">
        <v>11</v>
      </c>
      <c r="E3949" s="1" t="s">
        <v>11</v>
      </c>
    </row>
    <row r="3950" spans="1:5" ht="15.75" customHeight="1">
      <c r="A3950" s="1">
        <v>842790</v>
      </c>
      <c r="B3950" s="1" t="s">
        <v>3981</v>
      </c>
      <c r="C3950" s="1" t="s">
        <v>11</v>
      </c>
      <c r="D3950" s="1" t="s">
        <v>11</v>
      </c>
      <c r="E3950" s="1" t="s">
        <v>11</v>
      </c>
    </row>
    <row r="3951" spans="1:5" ht="15.75" customHeight="1">
      <c r="A3951" s="1">
        <v>842810</v>
      </c>
      <c r="B3951" s="1" t="s">
        <v>3982</v>
      </c>
      <c r="C3951" s="1" t="s">
        <v>11</v>
      </c>
      <c r="D3951" s="1" t="s">
        <v>11</v>
      </c>
      <c r="E3951" s="1" t="s">
        <v>11</v>
      </c>
    </row>
    <row r="3952" spans="1:5" ht="15.75" customHeight="1">
      <c r="A3952" s="1">
        <v>842820</v>
      </c>
      <c r="B3952" s="1" t="s">
        <v>3983</v>
      </c>
      <c r="C3952" s="1" t="s">
        <v>11</v>
      </c>
      <c r="D3952" s="1" t="s">
        <v>11</v>
      </c>
      <c r="E3952" s="1" t="s">
        <v>11</v>
      </c>
    </row>
    <row r="3953" spans="1:5" ht="15.75" customHeight="1">
      <c r="A3953" s="1">
        <v>842831</v>
      </c>
      <c r="B3953" s="1" t="s">
        <v>3984</v>
      </c>
      <c r="C3953" s="1" t="s">
        <v>11</v>
      </c>
      <c r="D3953" s="1" t="s">
        <v>11</v>
      </c>
      <c r="E3953" s="1" t="s">
        <v>11</v>
      </c>
    </row>
    <row r="3954" spans="1:5" ht="15.75" customHeight="1">
      <c r="A3954" s="1">
        <v>842832</v>
      </c>
      <c r="B3954" s="1" t="s">
        <v>3985</v>
      </c>
      <c r="C3954" s="1" t="s">
        <v>11</v>
      </c>
      <c r="D3954" s="1" t="s">
        <v>11</v>
      </c>
      <c r="E3954" s="1" t="s">
        <v>11</v>
      </c>
    </row>
    <row r="3955" spans="1:5" ht="15.75" customHeight="1">
      <c r="A3955" s="1">
        <v>842833</v>
      </c>
      <c r="B3955" s="1" t="s">
        <v>3986</v>
      </c>
      <c r="C3955" s="1" t="s">
        <v>11</v>
      </c>
      <c r="D3955" s="1" t="s">
        <v>11</v>
      </c>
      <c r="E3955" s="1" t="s">
        <v>11</v>
      </c>
    </row>
    <row r="3956" spans="1:5" ht="15.75" customHeight="1">
      <c r="A3956" s="1">
        <v>842839</v>
      </c>
      <c r="B3956" s="1" t="s">
        <v>3987</v>
      </c>
      <c r="C3956" s="1" t="s">
        <v>11</v>
      </c>
      <c r="D3956" s="1" t="s">
        <v>11</v>
      </c>
      <c r="E3956" s="1" t="s">
        <v>11</v>
      </c>
    </row>
    <row r="3957" spans="1:5" ht="15.75" customHeight="1">
      <c r="A3957" s="1">
        <v>842840</v>
      </c>
      <c r="B3957" s="1" t="s">
        <v>3988</v>
      </c>
      <c r="C3957" s="1" t="s">
        <v>11</v>
      </c>
      <c r="D3957" s="1" t="s">
        <v>11</v>
      </c>
      <c r="E3957" s="1" t="s">
        <v>11</v>
      </c>
    </row>
    <row r="3958" spans="1:5" ht="15.75" customHeight="1">
      <c r="A3958" s="1">
        <v>842860</v>
      </c>
      <c r="B3958" s="1" t="s">
        <v>3989</v>
      </c>
      <c r="C3958" s="1" t="s">
        <v>11</v>
      </c>
      <c r="D3958" s="1" t="s">
        <v>11</v>
      </c>
      <c r="E3958" s="1" t="s">
        <v>11</v>
      </c>
    </row>
    <row r="3959" spans="1:5" ht="15.75" customHeight="1">
      <c r="A3959" s="1">
        <v>842890</v>
      </c>
      <c r="B3959" s="1" t="s">
        <v>3990</v>
      </c>
      <c r="C3959" s="1" t="s">
        <v>11</v>
      </c>
      <c r="D3959" s="1" t="s">
        <v>11</v>
      </c>
      <c r="E3959" s="1" t="s">
        <v>11</v>
      </c>
    </row>
    <row r="3960" spans="1:5" ht="15.75" customHeight="1">
      <c r="A3960" s="1">
        <v>842911</v>
      </c>
      <c r="B3960" s="1" t="s">
        <v>3991</v>
      </c>
      <c r="C3960" s="1" t="s">
        <v>11</v>
      </c>
      <c r="D3960" s="1" t="s">
        <v>11</v>
      </c>
      <c r="E3960" s="1" t="s">
        <v>11</v>
      </c>
    </row>
    <row r="3961" spans="1:5" ht="15.75" customHeight="1">
      <c r="A3961" s="1">
        <v>842919</v>
      </c>
      <c r="B3961" s="1" t="s">
        <v>3992</v>
      </c>
      <c r="C3961" s="1" t="s">
        <v>11</v>
      </c>
      <c r="D3961" s="1" t="s">
        <v>11</v>
      </c>
      <c r="E3961" s="1" t="s">
        <v>11</v>
      </c>
    </row>
    <row r="3962" spans="1:5" ht="15.75" customHeight="1">
      <c r="A3962" s="1">
        <v>842920</v>
      </c>
      <c r="B3962" s="1" t="s">
        <v>3993</v>
      </c>
      <c r="C3962" s="1" t="s">
        <v>11</v>
      </c>
      <c r="D3962" s="1" t="s">
        <v>11</v>
      </c>
      <c r="E3962" s="1" t="s">
        <v>11</v>
      </c>
    </row>
    <row r="3963" spans="1:5" ht="15.75" customHeight="1">
      <c r="A3963" s="1">
        <v>842930</v>
      </c>
      <c r="B3963" s="1" t="s">
        <v>3994</v>
      </c>
      <c r="C3963" s="1" t="s">
        <v>11</v>
      </c>
      <c r="D3963" s="1" t="s">
        <v>11</v>
      </c>
      <c r="E3963" s="1" t="s">
        <v>11</v>
      </c>
    </row>
    <row r="3964" spans="1:5" ht="15.75" customHeight="1">
      <c r="A3964" s="1">
        <v>842940</v>
      </c>
      <c r="B3964" s="1" t="s">
        <v>3995</v>
      </c>
      <c r="C3964" s="1" t="s">
        <v>11</v>
      </c>
      <c r="D3964" s="1" t="s">
        <v>11</v>
      </c>
      <c r="E3964" s="1" t="s">
        <v>11</v>
      </c>
    </row>
    <row r="3965" spans="1:5" ht="15.75" customHeight="1">
      <c r="A3965" s="1">
        <v>842951</v>
      </c>
      <c r="B3965" s="1" t="s">
        <v>3996</v>
      </c>
      <c r="C3965" s="1" t="s">
        <v>11</v>
      </c>
      <c r="D3965" s="1" t="s">
        <v>11</v>
      </c>
      <c r="E3965" s="1" t="s">
        <v>11</v>
      </c>
    </row>
    <row r="3966" spans="1:5" ht="15.75" customHeight="1">
      <c r="A3966" s="1">
        <v>842952</v>
      </c>
      <c r="B3966" s="1" t="s">
        <v>3997</v>
      </c>
      <c r="C3966" s="1" t="s">
        <v>11</v>
      </c>
      <c r="D3966" s="1" t="s">
        <v>11</v>
      </c>
      <c r="E3966" s="1" t="s">
        <v>11</v>
      </c>
    </row>
    <row r="3967" spans="1:5" ht="15.75" customHeight="1">
      <c r="A3967" s="1">
        <v>842959</v>
      </c>
      <c r="B3967" s="1" t="s">
        <v>3998</v>
      </c>
      <c r="C3967" s="1" t="s">
        <v>11</v>
      </c>
      <c r="D3967" s="1" t="s">
        <v>11</v>
      </c>
      <c r="E3967" s="1" t="s">
        <v>11</v>
      </c>
    </row>
    <row r="3968" spans="1:5" ht="15.75" customHeight="1">
      <c r="A3968" s="1">
        <v>843010</v>
      </c>
      <c r="B3968" s="1" t="s">
        <v>3999</v>
      </c>
      <c r="C3968" s="1" t="s">
        <v>11</v>
      </c>
      <c r="D3968" s="1" t="s">
        <v>11</v>
      </c>
      <c r="E3968" s="1" t="s">
        <v>11</v>
      </c>
    </row>
    <row r="3969" spans="1:5" ht="15.75" customHeight="1">
      <c r="A3969" s="1">
        <v>843020</v>
      </c>
      <c r="B3969" s="1" t="s">
        <v>4000</v>
      </c>
      <c r="C3969" s="1" t="s">
        <v>11</v>
      </c>
      <c r="D3969" s="1" t="s">
        <v>11</v>
      </c>
      <c r="E3969" s="1" t="s">
        <v>11</v>
      </c>
    </row>
    <row r="3970" spans="1:5" ht="15.75" customHeight="1">
      <c r="A3970" s="1">
        <v>843031</v>
      </c>
      <c r="B3970" s="1" t="s">
        <v>4001</v>
      </c>
      <c r="C3970" s="1" t="s">
        <v>11</v>
      </c>
      <c r="D3970" s="1" t="s">
        <v>11</v>
      </c>
      <c r="E3970" s="1" t="s">
        <v>11</v>
      </c>
    </row>
    <row r="3971" spans="1:5" ht="15.75" customHeight="1">
      <c r="A3971" s="1">
        <v>843039</v>
      </c>
      <c r="B3971" s="1" t="s">
        <v>4002</v>
      </c>
      <c r="C3971" s="1" t="s">
        <v>11</v>
      </c>
      <c r="D3971" s="1" t="s">
        <v>11</v>
      </c>
      <c r="E3971" s="1" t="s">
        <v>11</v>
      </c>
    </row>
    <row r="3972" spans="1:5" ht="15.75" customHeight="1">
      <c r="A3972" s="1">
        <v>843041</v>
      </c>
      <c r="B3972" s="1" t="s">
        <v>4003</v>
      </c>
      <c r="C3972" s="1" t="s">
        <v>11</v>
      </c>
      <c r="D3972" s="1" t="s">
        <v>11</v>
      </c>
      <c r="E3972" s="1" t="s">
        <v>11</v>
      </c>
    </row>
    <row r="3973" spans="1:5" ht="15.75" customHeight="1">
      <c r="A3973" s="1">
        <v>843049</v>
      </c>
      <c r="B3973" s="1" t="s">
        <v>4004</v>
      </c>
      <c r="C3973" s="1" t="s">
        <v>11</v>
      </c>
      <c r="D3973" s="1" t="s">
        <v>11</v>
      </c>
      <c r="E3973" s="1" t="s">
        <v>11</v>
      </c>
    </row>
    <row r="3974" spans="1:5" ht="15.75" customHeight="1">
      <c r="A3974" s="1">
        <v>843050</v>
      </c>
      <c r="B3974" s="1" t="s">
        <v>4005</v>
      </c>
      <c r="C3974" s="1" t="s">
        <v>11</v>
      </c>
      <c r="D3974" s="1" t="s">
        <v>11</v>
      </c>
      <c r="E3974" s="1" t="s">
        <v>11</v>
      </c>
    </row>
    <row r="3975" spans="1:5" ht="15.75" customHeight="1">
      <c r="A3975" s="1">
        <v>843061</v>
      </c>
      <c r="B3975" s="1" t="s">
        <v>4006</v>
      </c>
      <c r="C3975" s="1" t="s">
        <v>11</v>
      </c>
      <c r="D3975" s="1" t="s">
        <v>11</v>
      </c>
      <c r="E3975" s="1" t="s">
        <v>11</v>
      </c>
    </row>
    <row r="3976" spans="1:5" ht="15.75" customHeight="1">
      <c r="A3976" s="1">
        <v>843069</v>
      </c>
      <c r="B3976" s="1" t="s">
        <v>4007</v>
      </c>
      <c r="C3976" s="1" t="s">
        <v>11</v>
      </c>
      <c r="D3976" s="1" t="s">
        <v>11</v>
      </c>
      <c r="E3976" s="1" t="s">
        <v>11</v>
      </c>
    </row>
    <row r="3977" spans="1:5" ht="15.75" customHeight="1">
      <c r="A3977" s="1">
        <v>843110</v>
      </c>
      <c r="B3977" s="1" t="s">
        <v>4008</v>
      </c>
      <c r="C3977" s="1" t="s">
        <v>11</v>
      </c>
      <c r="D3977" s="1" t="s">
        <v>11</v>
      </c>
      <c r="E3977" s="1" t="s">
        <v>11</v>
      </c>
    </row>
    <row r="3978" spans="1:5" ht="15.75" customHeight="1">
      <c r="A3978" s="1">
        <v>843120</v>
      </c>
      <c r="B3978" s="1" t="s">
        <v>4009</v>
      </c>
      <c r="C3978" s="1" t="s">
        <v>11</v>
      </c>
      <c r="D3978" s="1" t="s">
        <v>11</v>
      </c>
      <c r="E3978" s="1" t="s">
        <v>11</v>
      </c>
    </row>
    <row r="3979" spans="1:5" ht="15.75" customHeight="1">
      <c r="A3979" s="1">
        <v>843131</v>
      </c>
      <c r="B3979" s="1" t="s">
        <v>4010</v>
      </c>
      <c r="C3979" s="1" t="s">
        <v>11</v>
      </c>
      <c r="D3979" s="1" t="s">
        <v>11</v>
      </c>
      <c r="E3979" s="1" t="s">
        <v>11</v>
      </c>
    </row>
    <row r="3980" spans="1:5" ht="15.75" customHeight="1">
      <c r="A3980" s="1">
        <v>843139</v>
      </c>
      <c r="B3980" s="1" t="s">
        <v>4011</v>
      </c>
      <c r="C3980" s="1" t="s">
        <v>11</v>
      </c>
      <c r="D3980" s="1" t="s">
        <v>11</v>
      </c>
      <c r="E3980" s="1" t="s">
        <v>11</v>
      </c>
    </row>
    <row r="3981" spans="1:5" ht="15.75" customHeight="1">
      <c r="A3981" s="1">
        <v>843141</v>
      </c>
      <c r="B3981" s="1" t="s">
        <v>4012</v>
      </c>
      <c r="C3981" s="1" t="s">
        <v>11</v>
      </c>
      <c r="D3981" s="1" t="s">
        <v>11</v>
      </c>
      <c r="E3981" s="1" t="s">
        <v>11</v>
      </c>
    </row>
    <row r="3982" spans="1:5" ht="15.75" customHeight="1">
      <c r="A3982" s="1">
        <v>843142</v>
      </c>
      <c r="B3982" s="1" t="s">
        <v>4013</v>
      </c>
      <c r="C3982" s="1" t="s">
        <v>11</v>
      </c>
      <c r="D3982" s="1" t="s">
        <v>11</v>
      </c>
      <c r="E3982" s="1" t="s">
        <v>11</v>
      </c>
    </row>
    <row r="3983" spans="1:5" ht="15.75" customHeight="1">
      <c r="A3983" s="1">
        <v>843143</v>
      </c>
      <c r="B3983" s="1" t="s">
        <v>4014</v>
      </c>
      <c r="C3983" s="1" t="s">
        <v>11</v>
      </c>
      <c r="D3983" s="1" t="s">
        <v>11</v>
      </c>
      <c r="E3983" s="1" t="s">
        <v>11</v>
      </c>
    </row>
    <row r="3984" spans="1:5" ht="15.75" customHeight="1">
      <c r="A3984" s="1">
        <v>843149</v>
      </c>
      <c r="B3984" s="1" t="s">
        <v>4015</v>
      </c>
      <c r="C3984" s="1" t="s">
        <v>11</v>
      </c>
      <c r="D3984" s="1" t="s">
        <v>11</v>
      </c>
      <c r="E3984" s="1" t="s">
        <v>11</v>
      </c>
    </row>
    <row r="3985" spans="1:5" ht="15.75" customHeight="1">
      <c r="A3985" s="1">
        <v>843210</v>
      </c>
      <c r="B3985" s="1" t="s">
        <v>4016</v>
      </c>
      <c r="C3985" s="1" t="s">
        <v>11</v>
      </c>
      <c r="D3985" s="1" t="s">
        <v>11</v>
      </c>
      <c r="E3985" s="1" t="s">
        <v>11</v>
      </c>
    </row>
    <row r="3986" spans="1:5" ht="15.75" customHeight="1">
      <c r="A3986" s="1">
        <v>843221</v>
      </c>
      <c r="B3986" s="1" t="s">
        <v>4017</v>
      </c>
      <c r="C3986" s="1" t="s">
        <v>11</v>
      </c>
      <c r="D3986" s="1" t="s">
        <v>11</v>
      </c>
      <c r="E3986" s="1" t="s">
        <v>11</v>
      </c>
    </row>
    <row r="3987" spans="1:5" ht="15.75" customHeight="1">
      <c r="A3987" s="1">
        <v>843229</v>
      </c>
      <c r="B3987" s="1" t="s">
        <v>4018</v>
      </c>
      <c r="C3987" s="1" t="s">
        <v>11</v>
      </c>
      <c r="D3987" s="1" t="s">
        <v>11</v>
      </c>
      <c r="E3987" s="1" t="s">
        <v>11</v>
      </c>
    </row>
    <row r="3988" spans="1:5" ht="15.75" customHeight="1">
      <c r="A3988" s="1">
        <v>843230</v>
      </c>
      <c r="B3988" s="1" t="s">
        <v>4019</v>
      </c>
      <c r="C3988" s="1" t="s">
        <v>11</v>
      </c>
      <c r="D3988" s="1" t="s">
        <v>11</v>
      </c>
      <c r="E3988" s="1" t="s">
        <v>11</v>
      </c>
    </row>
    <row r="3989" spans="1:5" ht="15.75" customHeight="1">
      <c r="A3989" s="1">
        <v>843240</v>
      </c>
      <c r="B3989" s="1" t="s">
        <v>4020</v>
      </c>
      <c r="C3989" s="1" t="s">
        <v>11</v>
      </c>
      <c r="D3989" s="1" t="s">
        <v>11</v>
      </c>
      <c r="E3989" s="1" t="s">
        <v>11</v>
      </c>
    </row>
    <row r="3990" spans="1:5" ht="15.75" customHeight="1">
      <c r="A3990" s="1">
        <v>843280</v>
      </c>
      <c r="B3990" s="1" t="s">
        <v>4021</v>
      </c>
      <c r="C3990" s="1" t="s">
        <v>11</v>
      </c>
      <c r="D3990" s="1" t="s">
        <v>11</v>
      </c>
      <c r="E3990" s="1" t="s">
        <v>11</v>
      </c>
    </row>
    <row r="3991" spans="1:5" ht="15.75" customHeight="1">
      <c r="A3991" s="1">
        <v>843290</v>
      </c>
      <c r="B3991" s="1" t="s">
        <v>4022</v>
      </c>
      <c r="C3991" s="1" t="s">
        <v>11</v>
      </c>
      <c r="D3991" s="1" t="s">
        <v>11</v>
      </c>
      <c r="E3991" s="1" t="s">
        <v>11</v>
      </c>
    </row>
    <row r="3992" spans="1:5" ht="15.75" customHeight="1">
      <c r="A3992" s="1">
        <v>843311</v>
      </c>
      <c r="B3992" s="1" t="s">
        <v>4023</v>
      </c>
      <c r="C3992" s="1" t="s">
        <v>11</v>
      </c>
      <c r="D3992" s="1" t="s">
        <v>11</v>
      </c>
      <c r="E3992" s="1" t="s">
        <v>11</v>
      </c>
    </row>
    <row r="3993" spans="1:5" ht="15.75" customHeight="1">
      <c r="A3993" s="1">
        <v>843319</v>
      </c>
      <c r="B3993" s="1" t="s">
        <v>4024</v>
      </c>
      <c r="C3993" s="1" t="s">
        <v>11</v>
      </c>
      <c r="D3993" s="1" t="s">
        <v>11</v>
      </c>
      <c r="E3993" s="1" t="s">
        <v>11</v>
      </c>
    </row>
    <row r="3994" spans="1:5" ht="15.75" customHeight="1">
      <c r="A3994" s="1">
        <v>843320</v>
      </c>
      <c r="B3994" s="1" t="s">
        <v>4025</v>
      </c>
      <c r="C3994" s="1" t="s">
        <v>11</v>
      </c>
      <c r="D3994" s="1" t="s">
        <v>11</v>
      </c>
      <c r="E3994" s="1" t="s">
        <v>11</v>
      </c>
    </row>
    <row r="3995" spans="1:5" ht="15.75" customHeight="1">
      <c r="A3995" s="1">
        <v>843330</v>
      </c>
      <c r="B3995" s="1" t="s">
        <v>4026</v>
      </c>
      <c r="C3995" s="1" t="s">
        <v>11</v>
      </c>
      <c r="D3995" s="1" t="s">
        <v>11</v>
      </c>
      <c r="E3995" s="1" t="s">
        <v>11</v>
      </c>
    </row>
    <row r="3996" spans="1:5" ht="15.75" customHeight="1">
      <c r="A3996" s="1">
        <v>843340</v>
      </c>
      <c r="B3996" s="1" t="s">
        <v>4027</v>
      </c>
      <c r="C3996" s="1" t="s">
        <v>11</v>
      </c>
      <c r="D3996" s="1" t="s">
        <v>11</v>
      </c>
      <c r="E3996" s="1" t="s">
        <v>11</v>
      </c>
    </row>
    <row r="3997" spans="1:5" ht="15.75" customHeight="1">
      <c r="A3997" s="1">
        <v>843351</v>
      </c>
      <c r="B3997" s="1" t="s">
        <v>4028</v>
      </c>
      <c r="C3997" s="1" t="s">
        <v>11</v>
      </c>
      <c r="D3997" s="1" t="s">
        <v>11</v>
      </c>
      <c r="E3997" s="1" t="s">
        <v>11</v>
      </c>
    </row>
    <row r="3998" spans="1:5" ht="15.75" customHeight="1">
      <c r="A3998" s="1">
        <v>843352</v>
      </c>
      <c r="B3998" s="1" t="s">
        <v>4029</v>
      </c>
      <c r="C3998" s="1" t="s">
        <v>11</v>
      </c>
      <c r="D3998" s="1" t="s">
        <v>11</v>
      </c>
      <c r="E3998" s="1" t="s">
        <v>11</v>
      </c>
    </row>
    <row r="3999" spans="1:5" ht="15.75" customHeight="1">
      <c r="A3999" s="1">
        <v>843353</v>
      </c>
      <c r="B3999" s="1" t="s">
        <v>4030</v>
      </c>
      <c r="C3999" s="1" t="s">
        <v>11</v>
      </c>
      <c r="D3999" s="1" t="s">
        <v>11</v>
      </c>
      <c r="E3999" s="1" t="s">
        <v>11</v>
      </c>
    </row>
    <row r="4000" spans="1:5" ht="15.75" customHeight="1">
      <c r="A4000" s="1">
        <v>843359</v>
      </c>
      <c r="B4000" s="1" t="s">
        <v>4031</v>
      </c>
      <c r="C4000" s="1" t="s">
        <v>11</v>
      </c>
      <c r="D4000" s="1" t="s">
        <v>11</v>
      </c>
      <c r="E4000" s="1" t="s">
        <v>11</v>
      </c>
    </row>
    <row r="4001" spans="1:5" ht="15.75" customHeight="1">
      <c r="A4001" s="1">
        <v>843360</v>
      </c>
      <c r="B4001" s="1" t="s">
        <v>4032</v>
      </c>
      <c r="C4001" s="1" t="s">
        <v>11</v>
      </c>
      <c r="D4001" s="1" t="s">
        <v>11</v>
      </c>
      <c r="E4001" s="1" t="s">
        <v>11</v>
      </c>
    </row>
    <row r="4002" spans="1:5" ht="15.75" customHeight="1">
      <c r="A4002" s="1">
        <v>843390</v>
      </c>
      <c r="B4002" s="1" t="s">
        <v>4033</v>
      </c>
      <c r="C4002" s="1" t="s">
        <v>11</v>
      </c>
      <c r="D4002" s="1" t="s">
        <v>11</v>
      </c>
      <c r="E4002" s="1" t="s">
        <v>11</v>
      </c>
    </row>
    <row r="4003" spans="1:5" ht="15.75" customHeight="1">
      <c r="A4003" s="1">
        <v>843410</v>
      </c>
      <c r="B4003" s="1" t="s">
        <v>4034</v>
      </c>
      <c r="C4003" s="1" t="s">
        <v>11</v>
      </c>
      <c r="D4003" s="1" t="s">
        <v>11</v>
      </c>
      <c r="E4003" s="1" t="s">
        <v>11</v>
      </c>
    </row>
    <row r="4004" spans="1:5" ht="15.75" customHeight="1">
      <c r="A4004" s="1">
        <v>843420</v>
      </c>
      <c r="B4004" s="1" t="s">
        <v>4035</v>
      </c>
      <c r="C4004" s="1" t="s">
        <v>11</v>
      </c>
      <c r="D4004" s="1" t="s">
        <v>11</v>
      </c>
      <c r="E4004" s="1" t="s">
        <v>11</v>
      </c>
    </row>
    <row r="4005" spans="1:5" ht="15.75" customHeight="1">
      <c r="A4005" s="1">
        <v>843490</v>
      </c>
      <c r="B4005" s="1" t="s">
        <v>4036</v>
      </c>
      <c r="C4005" s="1" t="s">
        <v>11</v>
      </c>
      <c r="D4005" s="1" t="s">
        <v>11</v>
      </c>
      <c r="E4005" s="1" t="s">
        <v>11</v>
      </c>
    </row>
    <row r="4006" spans="1:5" ht="15.75" customHeight="1">
      <c r="A4006" s="1">
        <v>843510</v>
      </c>
      <c r="B4006" s="1" t="s">
        <v>4037</v>
      </c>
      <c r="C4006" s="1" t="s">
        <v>11</v>
      </c>
      <c r="D4006" s="1" t="s">
        <v>11</v>
      </c>
      <c r="E4006" s="1" t="s">
        <v>11</v>
      </c>
    </row>
    <row r="4007" spans="1:5" ht="15.75" customHeight="1">
      <c r="A4007" s="1">
        <v>843590</v>
      </c>
      <c r="B4007" s="1" t="s">
        <v>4038</v>
      </c>
      <c r="C4007" s="1" t="s">
        <v>11</v>
      </c>
      <c r="D4007" s="1" t="s">
        <v>11</v>
      </c>
      <c r="E4007" s="1" t="s">
        <v>11</v>
      </c>
    </row>
    <row r="4008" spans="1:5" ht="15.75" customHeight="1">
      <c r="A4008" s="1">
        <v>843610</v>
      </c>
      <c r="B4008" s="1" t="s">
        <v>4039</v>
      </c>
      <c r="C4008" s="1" t="s">
        <v>11</v>
      </c>
      <c r="D4008" s="1" t="s">
        <v>11</v>
      </c>
      <c r="E4008" s="1" t="s">
        <v>11</v>
      </c>
    </row>
    <row r="4009" spans="1:5" ht="15.75" customHeight="1">
      <c r="A4009" s="1">
        <v>843621</v>
      </c>
      <c r="B4009" s="1" t="s">
        <v>4040</v>
      </c>
      <c r="C4009" s="1" t="s">
        <v>11</v>
      </c>
      <c r="D4009" s="1" t="s">
        <v>11</v>
      </c>
      <c r="E4009" s="1" t="s">
        <v>11</v>
      </c>
    </row>
    <row r="4010" spans="1:5" ht="15.75" customHeight="1">
      <c r="A4010" s="1">
        <v>843629</v>
      </c>
      <c r="B4010" s="1" t="s">
        <v>4041</v>
      </c>
      <c r="C4010" s="1" t="s">
        <v>11</v>
      </c>
      <c r="D4010" s="1" t="s">
        <v>11</v>
      </c>
      <c r="E4010" s="1" t="s">
        <v>11</v>
      </c>
    </row>
    <row r="4011" spans="1:5" ht="15.75" customHeight="1">
      <c r="A4011" s="1">
        <v>843680</v>
      </c>
      <c r="B4011" s="1" t="s">
        <v>4042</v>
      </c>
      <c r="C4011" s="1" t="s">
        <v>11</v>
      </c>
      <c r="D4011" s="1" t="s">
        <v>11</v>
      </c>
      <c r="E4011" s="1" t="s">
        <v>11</v>
      </c>
    </row>
    <row r="4012" spans="1:5" ht="15.75" customHeight="1">
      <c r="A4012" s="1">
        <v>843691</v>
      </c>
      <c r="B4012" s="1" t="s">
        <v>4043</v>
      </c>
      <c r="C4012" s="1" t="s">
        <v>11</v>
      </c>
      <c r="D4012" s="1" t="s">
        <v>11</v>
      </c>
      <c r="E4012" s="1" t="s">
        <v>11</v>
      </c>
    </row>
    <row r="4013" spans="1:5" ht="15.75" customHeight="1">
      <c r="A4013" s="1">
        <v>843699</v>
      </c>
      <c r="B4013" s="1" t="s">
        <v>4044</v>
      </c>
      <c r="C4013" s="1" t="s">
        <v>11</v>
      </c>
      <c r="D4013" s="1" t="s">
        <v>11</v>
      </c>
      <c r="E4013" s="1" t="s">
        <v>11</v>
      </c>
    </row>
    <row r="4014" spans="1:5" ht="15.75" customHeight="1">
      <c r="A4014" s="1">
        <v>843710</v>
      </c>
      <c r="B4014" s="1" t="s">
        <v>4045</v>
      </c>
      <c r="C4014" s="1" t="s">
        <v>11</v>
      </c>
      <c r="D4014" s="1" t="s">
        <v>11</v>
      </c>
      <c r="E4014" s="1" t="s">
        <v>11</v>
      </c>
    </row>
    <row r="4015" spans="1:5" ht="15.75" customHeight="1">
      <c r="A4015" s="1">
        <v>843780</v>
      </c>
      <c r="B4015" s="1" t="s">
        <v>4046</v>
      </c>
      <c r="C4015" s="1" t="s">
        <v>11</v>
      </c>
      <c r="D4015" s="1" t="s">
        <v>11</v>
      </c>
      <c r="E4015" s="1" t="s">
        <v>11</v>
      </c>
    </row>
    <row r="4016" spans="1:5" ht="15.75" customHeight="1">
      <c r="A4016" s="1">
        <v>843790</v>
      </c>
      <c r="B4016" s="1" t="s">
        <v>4047</v>
      </c>
      <c r="C4016" s="1" t="s">
        <v>11</v>
      </c>
      <c r="D4016" s="1" t="s">
        <v>11</v>
      </c>
      <c r="E4016" s="1" t="s">
        <v>11</v>
      </c>
    </row>
    <row r="4017" spans="1:5" ht="15.75" customHeight="1">
      <c r="A4017" s="1">
        <v>843810</v>
      </c>
      <c r="B4017" s="1" t="s">
        <v>4048</v>
      </c>
      <c r="C4017" s="1" t="s">
        <v>11</v>
      </c>
      <c r="D4017" s="1" t="s">
        <v>11</v>
      </c>
      <c r="E4017" s="1" t="s">
        <v>11</v>
      </c>
    </row>
    <row r="4018" spans="1:5" ht="15.75" customHeight="1">
      <c r="A4018" s="1">
        <v>843820</v>
      </c>
      <c r="B4018" s="1" t="s">
        <v>4049</v>
      </c>
      <c r="C4018" s="1" t="s">
        <v>11</v>
      </c>
      <c r="D4018" s="1" t="s">
        <v>11</v>
      </c>
      <c r="E4018" s="1" t="s">
        <v>11</v>
      </c>
    </row>
    <row r="4019" spans="1:5" ht="15.75" customHeight="1">
      <c r="A4019" s="1">
        <v>843830</v>
      </c>
      <c r="B4019" s="1" t="s">
        <v>4050</v>
      </c>
      <c r="C4019" s="1" t="s">
        <v>11</v>
      </c>
      <c r="D4019" s="1" t="s">
        <v>11</v>
      </c>
      <c r="E4019" s="1" t="s">
        <v>11</v>
      </c>
    </row>
    <row r="4020" spans="1:5" ht="15.75" customHeight="1">
      <c r="A4020" s="1">
        <v>843840</v>
      </c>
      <c r="B4020" s="1" t="s">
        <v>4051</v>
      </c>
      <c r="C4020" s="1" t="s">
        <v>11</v>
      </c>
      <c r="D4020" s="1" t="s">
        <v>11</v>
      </c>
      <c r="E4020" s="1" t="s">
        <v>11</v>
      </c>
    </row>
    <row r="4021" spans="1:5" ht="15.75" customHeight="1">
      <c r="A4021" s="1">
        <v>843850</v>
      </c>
      <c r="B4021" s="1" t="s">
        <v>4052</v>
      </c>
      <c r="C4021" s="1" t="s">
        <v>11</v>
      </c>
      <c r="D4021" s="1" t="s">
        <v>11</v>
      </c>
      <c r="E4021" s="1" t="s">
        <v>11</v>
      </c>
    </row>
    <row r="4022" spans="1:5" ht="15.75" customHeight="1">
      <c r="A4022" s="1">
        <v>843860</v>
      </c>
      <c r="B4022" s="1" t="s">
        <v>4053</v>
      </c>
      <c r="C4022" s="1" t="s">
        <v>11</v>
      </c>
      <c r="D4022" s="1" t="s">
        <v>11</v>
      </c>
      <c r="E4022" s="1" t="s">
        <v>11</v>
      </c>
    </row>
    <row r="4023" spans="1:5" ht="15.75" customHeight="1">
      <c r="A4023" s="1">
        <v>843880</v>
      </c>
      <c r="B4023" s="1" t="s">
        <v>4054</v>
      </c>
      <c r="C4023" s="1" t="s">
        <v>11</v>
      </c>
      <c r="D4023" s="1" t="s">
        <v>11</v>
      </c>
      <c r="E4023" s="1" t="s">
        <v>11</v>
      </c>
    </row>
    <row r="4024" spans="1:5" ht="15.75" customHeight="1">
      <c r="A4024" s="1">
        <v>843890</v>
      </c>
      <c r="B4024" s="1" t="s">
        <v>4055</v>
      </c>
      <c r="C4024" s="1" t="s">
        <v>11</v>
      </c>
      <c r="D4024" s="1" t="s">
        <v>11</v>
      </c>
      <c r="E4024" s="1" t="s">
        <v>11</v>
      </c>
    </row>
    <row r="4025" spans="1:5" ht="15.75" customHeight="1">
      <c r="A4025" s="1">
        <v>843910</v>
      </c>
      <c r="B4025" s="1" t="s">
        <v>4056</v>
      </c>
      <c r="C4025" s="1" t="s">
        <v>11</v>
      </c>
      <c r="D4025" s="1" t="s">
        <v>11</v>
      </c>
      <c r="E4025" s="1" t="s">
        <v>11</v>
      </c>
    </row>
    <row r="4026" spans="1:5" ht="15.75" customHeight="1">
      <c r="A4026" s="1">
        <v>843920</v>
      </c>
      <c r="B4026" s="1" t="s">
        <v>4057</v>
      </c>
      <c r="C4026" s="1" t="s">
        <v>11</v>
      </c>
      <c r="D4026" s="1" t="s">
        <v>11</v>
      </c>
      <c r="E4026" s="1" t="s">
        <v>11</v>
      </c>
    </row>
    <row r="4027" spans="1:5" ht="15.75" customHeight="1">
      <c r="A4027" s="1">
        <v>843930</v>
      </c>
      <c r="B4027" s="1" t="s">
        <v>4058</v>
      </c>
      <c r="C4027" s="1" t="s">
        <v>11</v>
      </c>
      <c r="D4027" s="1" t="s">
        <v>11</v>
      </c>
      <c r="E4027" s="1" t="s">
        <v>11</v>
      </c>
    </row>
    <row r="4028" spans="1:5" ht="15.75" customHeight="1">
      <c r="A4028" s="1">
        <v>843991</v>
      </c>
      <c r="B4028" s="1" t="s">
        <v>4059</v>
      </c>
      <c r="C4028" s="1" t="s">
        <v>11</v>
      </c>
      <c r="D4028" s="1" t="s">
        <v>11</v>
      </c>
      <c r="E4028" s="1" t="s">
        <v>11</v>
      </c>
    </row>
    <row r="4029" spans="1:5" ht="15.75" customHeight="1">
      <c r="A4029" s="1">
        <v>843999</v>
      </c>
      <c r="B4029" s="1" t="s">
        <v>4060</v>
      </c>
      <c r="C4029" s="1" t="s">
        <v>11</v>
      </c>
      <c r="D4029" s="1" t="s">
        <v>11</v>
      </c>
      <c r="E4029" s="1" t="s">
        <v>11</v>
      </c>
    </row>
    <row r="4030" spans="1:5" ht="15.75" customHeight="1">
      <c r="A4030" s="1">
        <v>844010</v>
      </c>
      <c r="B4030" s="1" t="s">
        <v>4061</v>
      </c>
      <c r="C4030" s="1" t="s">
        <v>11</v>
      </c>
      <c r="D4030" s="1" t="s">
        <v>11</v>
      </c>
      <c r="E4030" s="1" t="s">
        <v>11</v>
      </c>
    </row>
    <row r="4031" spans="1:5" ht="15.75" customHeight="1">
      <c r="A4031" s="1">
        <v>844090</v>
      </c>
      <c r="B4031" s="1" t="s">
        <v>4062</v>
      </c>
      <c r="C4031" s="1" t="s">
        <v>11</v>
      </c>
      <c r="D4031" s="1" t="s">
        <v>11</v>
      </c>
      <c r="E4031" s="1" t="s">
        <v>11</v>
      </c>
    </row>
    <row r="4032" spans="1:5" ht="15.75" customHeight="1">
      <c r="A4032" s="1">
        <v>844110</v>
      </c>
      <c r="B4032" s="1" t="s">
        <v>4063</v>
      </c>
      <c r="C4032" s="1" t="s">
        <v>11</v>
      </c>
      <c r="D4032" s="1" t="s">
        <v>11</v>
      </c>
      <c r="E4032" s="1" t="s">
        <v>11</v>
      </c>
    </row>
    <row r="4033" spans="1:5" ht="15.75" customHeight="1">
      <c r="A4033" s="1">
        <v>844120</v>
      </c>
      <c r="B4033" s="1" t="s">
        <v>4064</v>
      </c>
      <c r="C4033" s="1" t="s">
        <v>11</v>
      </c>
      <c r="D4033" s="1" t="s">
        <v>11</v>
      </c>
      <c r="E4033" s="1" t="s">
        <v>11</v>
      </c>
    </row>
    <row r="4034" spans="1:5" ht="15.75" customHeight="1">
      <c r="A4034" s="1">
        <v>844130</v>
      </c>
      <c r="B4034" s="1" t="s">
        <v>4065</v>
      </c>
      <c r="C4034" s="1" t="s">
        <v>11</v>
      </c>
      <c r="D4034" s="1" t="s">
        <v>11</v>
      </c>
      <c r="E4034" s="1" t="s">
        <v>11</v>
      </c>
    </row>
    <row r="4035" spans="1:5" ht="15.75" customHeight="1">
      <c r="A4035" s="1">
        <v>844140</v>
      </c>
      <c r="B4035" s="1" t="s">
        <v>4066</v>
      </c>
      <c r="C4035" s="1" t="s">
        <v>11</v>
      </c>
      <c r="D4035" s="1" t="s">
        <v>11</v>
      </c>
      <c r="E4035" s="1" t="s">
        <v>11</v>
      </c>
    </row>
    <row r="4036" spans="1:5" ht="15.75" customHeight="1">
      <c r="A4036" s="1">
        <v>844180</v>
      </c>
      <c r="B4036" s="1" t="s">
        <v>4067</v>
      </c>
      <c r="C4036" s="1" t="s">
        <v>11</v>
      </c>
      <c r="D4036" s="1" t="s">
        <v>11</v>
      </c>
      <c r="E4036" s="1" t="s">
        <v>11</v>
      </c>
    </row>
    <row r="4037" spans="1:5" ht="15.75" customHeight="1">
      <c r="A4037" s="1">
        <v>844190</v>
      </c>
      <c r="B4037" s="1" t="s">
        <v>4068</v>
      </c>
      <c r="C4037" s="1" t="s">
        <v>11</v>
      </c>
      <c r="D4037" s="1" t="s">
        <v>11</v>
      </c>
      <c r="E4037" s="1" t="s">
        <v>11</v>
      </c>
    </row>
    <row r="4038" spans="1:5" ht="15.75" customHeight="1">
      <c r="A4038" s="1">
        <v>844230</v>
      </c>
      <c r="B4038" s="1" t="s">
        <v>4069</v>
      </c>
      <c r="C4038" s="1" t="s">
        <v>11</v>
      </c>
      <c r="D4038" s="1" t="s">
        <v>11</v>
      </c>
      <c r="E4038" s="1" t="s">
        <v>11</v>
      </c>
    </row>
    <row r="4039" spans="1:5" ht="15.75" customHeight="1">
      <c r="A4039" s="1">
        <v>844240</v>
      </c>
      <c r="B4039" s="1" t="s">
        <v>4070</v>
      </c>
      <c r="C4039" s="1" t="s">
        <v>11</v>
      </c>
      <c r="D4039" s="1" t="s">
        <v>11</v>
      </c>
      <c r="E4039" s="1" t="s">
        <v>11</v>
      </c>
    </row>
    <row r="4040" spans="1:5" ht="15.75" customHeight="1">
      <c r="A4040" s="1">
        <v>844250</v>
      </c>
      <c r="B4040" s="1" t="s">
        <v>4071</v>
      </c>
      <c r="C4040" s="1" t="s">
        <v>11</v>
      </c>
      <c r="D4040" s="1" t="s">
        <v>11</v>
      </c>
      <c r="E4040" s="1" t="s">
        <v>11</v>
      </c>
    </row>
    <row r="4041" spans="1:5" ht="15.75" customHeight="1">
      <c r="A4041" s="1">
        <v>844311</v>
      </c>
      <c r="B4041" s="1" t="s">
        <v>4072</v>
      </c>
      <c r="C4041" s="1" t="s">
        <v>11</v>
      </c>
      <c r="D4041" s="1" t="s">
        <v>11</v>
      </c>
      <c r="E4041" s="1" t="s">
        <v>11</v>
      </c>
    </row>
    <row r="4042" spans="1:5" ht="15.75" customHeight="1">
      <c r="A4042" s="1">
        <v>844312</v>
      </c>
      <c r="B4042" s="1" t="s">
        <v>4073</v>
      </c>
      <c r="C4042" s="1" t="s">
        <v>11</v>
      </c>
      <c r="D4042" s="1" t="s">
        <v>11</v>
      </c>
      <c r="E4042" s="1" t="s">
        <v>11</v>
      </c>
    </row>
    <row r="4043" spans="1:5" ht="15.75" customHeight="1">
      <c r="A4043" s="1">
        <v>844313</v>
      </c>
      <c r="B4043" s="1" t="s">
        <v>4074</v>
      </c>
      <c r="C4043" s="1" t="s">
        <v>11</v>
      </c>
      <c r="D4043" s="1" t="s">
        <v>11</v>
      </c>
      <c r="E4043" s="1" t="s">
        <v>11</v>
      </c>
    </row>
    <row r="4044" spans="1:5" ht="15.75" customHeight="1">
      <c r="A4044" s="1">
        <v>844314</v>
      </c>
      <c r="B4044" s="1" t="s">
        <v>4075</v>
      </c>
      <c r="C4044" s="1" t="s">
        <v>11</v>
      </c>
      <c r="D4044" s="1" t="s">
        <v>11</v>
      </c>
      <c r="E4044" s="1" t="s">
        <v>11</v>
      </c>
    </row>
    <row r="4045" spans="1:5" ht="15.75" customHeight="1">
      <c r="A4045" s="1">
        <v>844315</v>
      </c>
      <c r="B4045" s="1" t="s">
        <v>4076</v>
      </c>
      <c r="C4045" s="1" t="s">
        <v>11</v>
      </c>
      <c r="D4045" s="1" t="s">
        <v>11</v>
      </c>
      <c r="E4045" s="1" t="s">
        <v>11</v>
      </c>
    </row>
    <row r="4046" spans="1:5" ht="15.75" customHeight="1">
      <c r="A4046" s="1">
        <v>844316</v>
      </c>
      <c r="B4046" s="1" t="s">
        <v>4077</v>
      </c>
      <c r="C4046" s="1" t="s">
        <v>11</v>
      </c>
      <c r="D4046" s="1" t="s">
        <v>11</v>
      </c>
      <c r="E4046" s="1" t="s">
        <v>11</v>
      </c>
    </row>
    <row r="4047" spans="1:5" ht="15.75" customHeight="1">
      <c r="A4047" s="1">
        <v>844317</v>
      </c>
      <c r="B4047" s="1" t="s">
        <v>4078</v>
      </c>
      <c r="C4047" s="1" t="s">
        <v>11</v>
      </c>
      <c r="D4047" s="1" t="s">
        <v>11</v>
      </c>
      <c r="E4047" s="1" t="s">
        <v>11</v>
      </c>
    </row>
    <row r="4048" spans="1:5" ht="15.75" customHeight="1">
      <c r="A4048" s="1">
        <v>844319</v>
      </c>
      <c r="B4048" s="1" t="s">
        <v>4079</v>
      </c>
      <c r="C4048" s="1" t="s">
        <v>11</v>
      </c>
      <c r="D4048" s="1" t="s">
        <v>11</v>
      </c>
      <c r="E4048" s="1" t="s">
        <v>11</v>
      </c>
    </row>
    <row r="4049" spans="1:5" ht="15.75" customHeight="1">
      <c r="A4049" s="1">
        <v>844331</v>
      </c>
      <c r="B4049" s="1" t="s">
        <v>4080</v>
      </c>
      <c r="C4049" s="1" t="s">
        <v>11</v>
      </c>
      <c r="D4049" s="1" t="s">
        <v>11</v>
      </c>
      <c r="E4049" s="1" t="s">
        <v>11</v>
      </c>
    </row>
    <row r="4050" spans="1:5" ht="15.75" customHeight="1">
      <c r="A4050" s="1">
        <v>844332</v>
      </c>
      <c r="B4050" s="1" t="s">
        <v>4081</v>
      </c>
      <c r="C4050" s="1" t="s">
        <v>11</v>
      </c>
      <c r="D4050" s="1" t="s">
        <v>11</v>
      </c>
      <c r="E4050" s="1" t="s">
        <v>11</v>
      </c>
    </row>
    <row r="4051" spans="1:5" ht="15.75" customHeight="1">
      <c r="A4051" s="1">
        <v>844339</v>
      </c>
      <c r="B4051" s="1" t="s">
        <v>4082</v>
      </c>
      <c r="C4051" s="1" t="s">
        <v>11</v>
      </c>
      <c r="D4051" s="1" t="s">
        <v>11</v>
      </c>
      <c r="E4051" s="1" t="s">
        <v>11</v>
      </c>
    </row>
    <row r="4052" spans="1:5" ht="15.75" customHeight="1">
      <c r="A4052" s="1">
        <v>844391</v>
      </c>
      <c r="B4052" s="1" t="s">
        <v>4083</v>
      </c>
      <c r="C4052" s="1" t="s">
        <v>11</v>
      </c>
      <c r="D4052" s="1" t="s">
        <v>11</v>
      </c>
      <c r="E4052" s="1" t="s">
        <v>11</v>
      </c>
    </row>
    <row r="4053" spans="1:5" ht="15.75" customHeight="1">
      <c r="A4053" s="1">
        <v>844399</v>
      </c>
      <c r="B4053" s="1" t="s">
        <v>4084</v>
      </c>
      <c r="C4053" s="1" t="s">
        <v>11</v>
      </c>
      <c r="D4053" s="1" t="s">
        <v>11</v>
      </c>
      <c r="E4053" s="1" t="s">
        <v>11</v>
      </c>
    </row>
    <row r="4054" spans="1:5" ht="15.75" customHeight="1">
      <c r="A4054" s="1">
        <v>844400</v>
      </c>
      <c r="B4054" s="1" t="s">
        <v>4085</v>
      </c>
      <c r="C4054" s="1" t="s">
        <v>11</v>
      </c>
      <c r="D4054" s="1" t="s">
        <v>11</v>
      </c>
      <c r="E4054" s="1" t="s">
        <v>11</v>
      </c>
    </row>
    <row r="4055" spans="1:5" ht="15.75" customHeight="1">
      <c r="A4055" s="1">
        <v>844511</v>
      </c>
      <c r="B4055" s="1" t="s">
        <v>4086</v>
      </c>
      <c r="C4055" s="1" t="s">
        <v>11</v>
      </c>
      <c r="D4055" s="1" t="s">
        <v>11</v>
      </c>
      <c r="E4055" s="1" t="s">
        <v>11</v>
      </c>
    </row>
    <row r="4056" spans="1:5" ht="15.75" customHeight="1">
      <c r="A4056" s="1">
        <v>844512</v>
      </c>
      <c r="B4056" s="1" t="s">
        <v>4087</v>
      </c>
      <c r="C4056" s="1" t="s">
        <v>11</v>
      </c>
      <c r="D4056" s="1" t="s">
        <v>11</v>
      </c>
      <c r="E4056" s="1" t="s">
        <v>11</v>
      </c>
    </row>
    <row r="4057" spans="1:5" ht="15.75" customHeight="1">
      <c r="A4057" s="1">
        <v>844513</v>
      </c>
      <c r="B4057" s="1" t="s">
        <v>4088</v>
      </c>
      <c r="C4057" s="1" t="s">
        <v>11</v>
      </c>
      <c r="D4057" s="1" t="s">
        <v>11</v>
      </c>
      <c r="E4057" s="1" t="s">
        <v>11</v>
      </c>
    </row>
    <row r="4058" spans="1:5" ht="15.75" customHeight="1">
      <c r="A4058" s="1">
        <v>844519</v>
      </c>
      <c r="B4058" s="1" t="s">
        <v>4089</v>
      </c>
      <c r="C4058" s="1" t="s">
        <v>11</v>
      </c>
      <c r="D4058" s="1" t="s">
        <v>11</v>
      </c>
      <c r="E4058" s="1" t="s">
        <v>11</v>
      </c>
    </row>
    <row r="4059" spans="1:5" ht="15.75" customHeight="1">
      <c r="A4059" s="1">
        <v>844520</v>
      </c>
      <c r="B4059" s="1" t="s">
        <v>4090</v>
      </c>
      <c r="C4059" s="1" t="s">
        <v>11</v>
      </c>
      <c r="D4059" s="1" t="s">
        <v>11</v>
      </c>
      <c r="E4059" s="1" t="s">
        <v>11</v>
      </c>
    </row>
    <row r="4060" spans="1:5" ht="15.75" customHeight="1">
      <c r="A4060" s="1">
        <v>844530</v>
      </c>
      <c r="B4060" s="1" t="s">
        <v>4091</v>
      </c>
      <c r="C4060" s="1" t="s">
        <v>11</v>
      </c>
      <c r="D4060" s="1" t="s">
        <v>11</v>
      </c>
      <c r="E4060" s="1" t="s">
        <v>11</v>
      </c>
    </row>
    <row r="4061" spans="1:5" ht="15.75" customHeight="1">
      <c r="A4061" s="1">
        <v>844540</v>
      </c>
      <c r="B4061" s="1" t="s">
        <v>4092</v>
      </c>
      <c r="C4061" s="1" t="s">
        <v>11</v>
      </c>
      <c r="D4061" s="1" t="s">
        <v>11</v>
      </c>
      <c r="E4061" s="1" t="s">
        <v>11</v>
      </c>
    </row>
    <row r="4062" spans="1:5" ht="15.75" customHeight="1">
      <c r="A4062" s="1">
        <v>844590</v>
      </c>
      <c r="B4062" s="1" t="s">
        <v>4093</v>
      </c>
      <c r="C4062" s="1" t="s">
        <v>11</v>
      </c>
      <c r="D4062" s="1" t="s">
        <v>11</v>
      </c>
      <c r="E4062" s="1" t="s">
        <v>11</v>
      </c>
    </row>
    <row r="4063" spans="1:5" ht="15.75" customHeight="1">
      <c r="A4063" s="1">
        <v>844610</v>
      </c>
      <c r="B4063" s="1" t="s">
        <v>4094</v>
      </c>
      <c r="C4063" s="1" t="s">
        <v>11</v>
      </c>
      <c r="D4063" s="1" t="s">
        <v>11</v>
      </c>
      <c r="E4063" s="1" t="s">
        <v>11</v>
      </c>
    </row>
    <row r="4064" spans="1:5" ht="15.75" customHeight="1">
      <c r="A4064" s="1">
        <v>844621</v>
      </c>
      <c r="B4064" s="1" t="s">
        <v>4095</v>
      </c>
      <c r="C4064" s="1" t="s">
        <v>11</v>
      </c>
      <c r="D4064" s="1" t="s">
        <v>11</v>
      </c>
      <c r="E4064" s="1" t="s">
        <v>11</v>
      </c>
    </row>
    <row r="4065" spans="1:5" ht="15.75" customHeight="1">
      <c r="A4065" s="1">
        <v>844629</v>
      </c>
      <c r="B4065" s="1" t="s">
        <v>4096</v>
      </c>
      <c r="C4065" s="1" t="s">
        <v>11</v>
      </c>
      <c r="D4065" s="1" t="s">
        <v>11</v>
      </c>
      <c r="E4065" s="1" t="s">
        <v>11</v>
      </c>
    </row>
    <row r="4066" spans="1:5" ht="15.75" customHeight="1">
      <c r="A4066" s="1">
        <v>844630</v>
      </c>
      <c r="B4066" s="1" t="s">
        <v>4097</v>
      </c>
      <c r="C4066" s="1" t="s">
        <v>11</v>
      </c>
      <c r="D4066" s="1" t="s">
        <v>11</v>
      </c>
      <c r="E4066" s="1" t="s">
        <v>11</v>
      </c>
    </row>
    <row r="4067" spans="1:5" ht="15.75" customHeight="1">
      <c r="A4067" s="1">
        <v>844711</v>
      </c>
      <c r="B4067" s="1" t="s">
        <v>4098</v>
      </c>
      <c r="C4067" s="1" t="s">
        <v>11</v>
      </c>
      <c r="D4067" s="1" t="s">
        <v>11</v>
      </c>
      <c r="E4067" s="1" t="s">
        <v>11</v>
      </c>
    </row>
    <row r="4068" spans="1:5" ht="15.75" customHeight="1">
      <c r="A4068" s="1">
        <v>844712</v>
      </c>
      <c r="B4068" s="1" t="s">
        <v>4099</v>
      </c>
      <c r="C4068" s="1" t="s">
        <v>11</v>
      </c>
      <c r="D4068" s="1" t="s">
        <v>11</v>
      </c>
      <c r="E4068" s="1" t="s">
        <v>11</v>
      </c>
    </row>
    <row r="4069" spans="1:5" ht="15.75" customHeight="1">
      <c r="A4069" s="1">
        <v>844720</v>
      </c>
      <c r="B4069" s="1" t="s">
        <v>4100</v>
      </c>
      <c r="C4069" s="1" t="s">
        <v>11</v>
      </c>
      <c r="D4069" s="1" t="s">
        <v>11</v>
      </c>
      <c r="E4069" s="1" t="s">
        <v>11</v>
      </c>
    </row>
    <row r="4070" spans="1:5" ht="15.75" customHeight="1">
      <c r="A4070" s="1">
        <v>844790</v>
      </c>
      <c r="B4070" s="1" t="s">
        <v>4101</v>
      </c>
      <c r="C4070" s="1" t="s">
        <v>11</v>
      </c>
      <c r="D4070" s="1" t="s">
        <v>11</v>
      </c>
      <c r="E4070" s="1" t="s">
        <v>11</v>
      </c>
    </row>
    <row r="4071" spans="1:5" ht="15.75" customHeight="1">
      <c r="A4071" s="1">
        <v>844811</v>
      </c>
      <c r="B4071" s="1" t="s">
        <v>4102</v>
      </c>
      <c r="C4071" s="1" t="s">
        <v>11</v>
      </c>
      <c r="D4071" s="1" t="s">
        <v>11</v>
      </c>
      <c r="E4071" s="1" t="s">
        <v>11</v>
      </c>
    </row>
    <row r="4072" spans="1:5" ht="15.75" customHeight="1">
      <c r="A4072" s="1">
        <v>844819</v>
      </c>
      <c r="B4072" s="1" t="s">
        <v>4103</v>
      </c>
      <c r="C4072" s="1" t="s">
        <v>11</v>
      </c>
      <c r="D4072" s="1" t="s">
        <v>11</v>
      </c>
      <c r="E4072" s="1" t="s">
        <v>11</v>
      </c>
    </row>
    <row r="4073" spans="1:5" ht="15.75" customHeight="1">
      <c r="A4073" s="1">
        <v>844820</v>
      </c>
      <c r="B4073" s="1" t="s">
        <v>4104</v>
      </c>
      <c r="C4073" s="1" t="s">
        <v>11</v>
      </c>
      <c r="D4073" s="1" t="s">
        <v>11</v>
      </c>
      <c r="E4073" s="1" t="s">
        <v>11</v>
      </c>
    </row>
    <row r="4074" spans="1:5" ht="15.75" customHeight="1">
      <c r="A4074" s="1">
        <v>844831</v>
      </c>
      <c r="B4074" s="1" t="s">
        <v>4105</v>
      </c>
      <c r="C4074" s="1" t="s">
        <v>11</v>
      </c>
      <c r="D4074" s="1" t="s">
        <v>11</v>
      </c>
      <c r="E4074" s="1" t="s">
        <v>11</v>
      </c>
    </row>
    <row r="4075" spans="1:5" ht="15.75" customHeight="1">
      <c r="A4075" s="1">
        <v>844832</v>
      </c>
      <c r="B4075" s="1" t="s">
        <v>4106</v>
      </c>
      <c r="C4075" s="1" t="s">
        <v>11</v>
      </c>
      <c r="D4075" s="1" t="s">
        <v>11</v>
      </c>
      <c r="E4075" s="1" t="s">
        <v>11</v>
      </c>
    </row>
    <row r="4076" spans="1:5" ht="15.75" customHeight="1">
      <c r="A4076" s="1">
        <v>844833</v>
      </c>
      <c r="B4076" s="1" t="s">
        <v>4107</v>
      </c>
      <c r="C4076" s="1" t="s">
        <v>11</v>
      </c>
      <c r="D4076" s="1" t="s">
        <v>11</v>
      </c>
      <c r="E4076" s="1" t="s">
        <v>11</v>
      </c>
    </row>
    <row r="4077" spans="1:5" ht="15.75" customHeight="1">
      <c r="A4077" s="1">
        <v>844839</v>
      </c>
      <c r="B4077" s="1" t="s">
        <v>4108</v>
      </c>
      <c r="C4077" s="1" t="s">
        <v>11</v>
      </c>
      <c r="D4077" s="1" t="s">
        <v>11</v>
      </c>
      <c r="E4077" s="1" t="s">
        <v>11</v>
      </c>
    </row>
    <row r="4078" spans="1:5" ht="15.75" customHeight="1">
      <c r="A4078" s="1">
        <v>844842</v>
      </c>
      <c r="B4078" s="1" t="s">
        <v>4109</v>
      </c>
      <c r="C4078" s="1" t="s">
        <v>11</v>
      </c>
      <c r="D4078" s="1" t="s">
        <v>11</v>
      </c>
      <c r="E4078" s="1" t="s">
        <v>11</v>
      </c>
    </row>
    <row r="4079" spans="1:5" ht="15.75" customHeight="1">
      <c r="A4079" s="1">
        <v>844849</v>
      </c>
      <c r="B4079" s="1" t="s">
        <v>4110</v>
      </c>
      <c r="C4079" s="1" t="s">
        <v>11</v>
      </c>
      <c r="D4079" s="1" t="s">
        <v>11</v>
      </c>
      <c r="E4079" s="1" t="s">
        <v>11</v>
      </c>
    </row>
    <row r="4080" spans="1:5" ht="15.75" customHeight="1">
      <c r="A4080" s="1">
        <v>844851</v>
      </c>
      <c r="B4080" s="1" t="s">
        <v>4111</v>
      </c>
      <c r="C4080" s="1" t="s">
        <v>11</v>
      </c>
      <c r="D4080" s="1" t="s">
        <v>11</v>
      </c>
      <c r="E4080" s="1" t="s">
        <v>11</v>
      </c>
    </row>
    <row r="4081" spans="1:5" ht="15.75" customHeight="1">
      <c r="A4081" s="1">
        <v>844859</v>
      </c>
      <c r="B4081" s="1" t="s">
        <v>4112</v>
      </c>
      <c r="C4081" s="1" t="s">
        <v>11</v>
      </c>
      <c r="D4081" s="1" t="s">
        <v>11</v>
      </c>
      <c r="E4081" s="1" t="s">
        <v>11</v>
      </c>
    </row>
    <row r="4082" spans="1:5" ht="15.75" customHeight="1">
      <c r="A4082" s="1">
        <v>844900</v>
      </c>
      <c r="B4082" s="1" t="s">
        <v>4113</v>
      </c>
      <c r="C4082" s="1" t="s">
        <v>11</v>
      </c>
      <c r="D4082" s="1" t="s">
        <v>11</v>
      </c>
      <c r="E4082" s="1" t="s">
        <v>11</v>
      </c>
    </row>
    <row r="4083" spans="1:5" ht="15.75" customHeight="1">
      <c r="A4083" s="1">
        <v>845011</v>
      </c>
      <c r="B4083" s="1" t="s">
        <v>4114</v>
      </c>
      <c r="C4083" s="1" t="s">
        <v>11</v>
      </c>
      <c r="D4083" s="1" t="s">
        <v>11</v>
      </c>
      <c r="E4083" s="1" t="s">
        <v>11</v>
      </c>
    </row>
    <row r="4084" spans="1:5" ht="15.75" customHeight="1">
      <c r="A4084" s="1">
        <v>845012</v>
      </c>
      <c r="B4084" s="1" t="s">
        <v>4115</v>
      </c>
      <c r="C4084" s="1" t="s">
        <v>11</v>
      </c>
      <c r="D4084" s="1" t="s">
        <v>11</v>
      </c>
      <c r="E4084" s="1" t="s">
        <v>11</v>
      </c>
    </row>
    <row r="4085" spans="1:5" ht="15.75" customHeight="1">
      <c r="A4085" s="1">
        <v>845019</v>
      </c>
      <c r="B4085" s="1" t="s">
        <v>4116</v>
      </c>
      <c r="C4085" s="1" t="s">
        <v>11</v>
      </c>
      <c r="D4085" s="1" t="s">
        <v>11</v>
      </c>
      <c r="E4085" s="1" t="s">
        <v>11</v>
      </c>
    </row>
    <row r="4086" spans="1:5" ht="15.75" customHeight="1">
      <c r="A4086" s="1">
        <v>845020</v>
      </c>
      <c r="B4086" s="1" t="s">
        <v>4117</v>
      </c>
      <c r="C4086" s="1" t="s">
        <v>11</v>
      </c>
      <c r="D4086" s="1" t="s">
        <v>11</v>
      </c>
      <c r="E4086" s="1" t="s">
        <v>11</v>
      </c>
    </row>
    <row r="4087" spans="1:5" ht="15.75" customHeight="1">
      <c r="A4087" s="1">
        <v>845090</v>
      </c>
      <c r="B4087" s="1" t="s">
        <v>4118</v>
      </c>
      <c r="C4087" s="1" t="s">
        <v>11</v>
      </c>
      <c r="D4087" s="1" t="s">
        <v>11</v>
      </c>
      <c r="E4087" s="1" t="s">
        <v>11</v>
      </c>
    </row>
    <row r="4088" spans="1:5" ht="15.75" customHeight="1">
      <c r="A4088" s="1">
        <v>845110</v>
      </c>
      <c r="B4088" s="1" t="s">
        <v>4119</v>
      </c>
      <c r="C4088" s="1" t="s">
        <v>11</v>
      </c>
      <c r="D4088" s="1" t="s">
        <v>11</v>
      </c>
      <c r="E4088" s="1" t="s">
        <v>11</v>
      </c>
    </row>
    <row r="4089" spans="1:5" ht="15.75" customHeight="1">
      <c r="A4089" s="1">
        <v>845121</v>
      </c>
      <c r="B4089" s="1" t="s">
        <v>4120</v>
      </c>
      <c r="C4089" s="1" t="s">
        <v>11</v>
      </c>
      <c r="D4089" s="1" t="s">
        <v>11</v>
      </c>
      <c r="E4089" s="1" t="s">
        <v>11</v>
      </c>
    </row>
    <row r="4090" spans="1:5" ht="15.75" customHeight="1">
      <c r="A4090" s="1">
        <v>845129</v>
      </c>
      <c r="B4090" s="1" t="s">
        <v>4121</v>
      </c>
      <c r="C4090" s="1" t="s">
        <v>11</v>
      </c>
      <c r="D4090" s="1" t="s">
        <v>11</v>
      </c>
      <c r="E4090" s="1" t="s">
        <v>11</v>
      </c>
    </row>
    <row r="4091" spans="1:5" ht="15.75" customHeight="1">
      <c r="A4091" s="1">
        <v>845130</v>
      </c>
      <c r="B4091" s="1" t="s">
        <v>4122</v>
      </c>
      <c r="C4091" s="1" t="s">
        <v>11</v>
      </c>
      <c r="D4091" s="1" t="s">
        <v>11</v>
      </c>
      <c r="E4091" s="1" t="s">
        <v>11</v>
      </c>
    </row>
    <row r="4092" spans="1:5" ht="15.75" customHeight="1">
      <c r="A4092" s="1">
        <v>845140</v>
      </c>
      <c r="B4092" s="1" t="s">
        <v>4123</v>
      </c>
      <c r="C4092" s="1" t="s">
        <v>11</v>
      </c>
      <c r="D4092" s="1" t="s">
        <v>11</v>
      </c>
      <c r="E4092" s="1" t="s">
        <v>11</v>
      </c>
    </row>
    <row r="4093" spans="1:5" ht="15.75" customHeight="1">
      <c r="A4093" s="1">
        <v>845150</v>
      </c>
      <c r="B4093" s="1" t="s">
        <v>4124</v>
      </c>
      <c r="C4093" s="1" t="s">
        <v>11</v>
      </c>
      <c r="D4093" s="1" t="s">
        <v>11</v>
      </c>
      <c r="E4093" s="1" t="s">
        <v>11</v>
      </c>
    </row>
    <row r="4094" spans="1:5" ht="15.75" customHeight="1">
      <c r="A4094" s="1">
        <v>845180</v>
      </c>
      <c r="B4094" s="1" t="s">
        <v>4125</v>
      </c>
      <c r="C4094" s="1" t="s">
        <v>11</v>
      </c>
      <c r="D4094" s="1" t="s">
        <v>11</v>
      </c>
      <c r="E4094" s="1" t="s">
        <v>11</v>
      </c>
    </row>
    <row r="4095" spans="1:5" ht="15.75" customHeight="1">
      <c r="A4095" s="1">
        <v>845190</v>
      </c>
      <c r="B4095" s="1" t="s">
        <v>4126</v>
      </c>
      <c r="C4095" s="1" t="s">
        <v>11</v>
      </c>
      <c r="D4095" s="1" t="s">
        <v>11</v>
      </c>
      <c r="E4095" s="1" t="s">
        <v>11</v>
      </c>
    </row>
    <row r="4096" spans="1:5" ht="15.75" customHeight="1">
      <c r="A4096" s="1">
        <v>845210</v>
      </c>
      <c r="B4096" s="1" t="s">
        <v>4127</v>
      </c>
      <c r="C4096" s="1" t="s">
        <v>11</v>
      </c>
      <c r="D4096" s="1" t="s">
        <v>11</v>
      </c>
      <c r="E4096" s="1" t="s">
        <v>11</v>
      </c>
    </row>
    <row r="4097" spans="1:5" ht="15.75" customHeight="1">
      <c r="A4097" s="1">
        <v>845221</v>
      </c>
      <c r="B4097" s="1" t="s">
        <v>4128</v>
      </c>
      <c r="C4097" s="1" t="s">
        <v>11</v>
      </c>
      <c r="D4097" s="1" t="s">
        <v>11</v>
      </c>
      <c r="E4097" s="1" t="s">
        <v>11</v>
      </c>
    </row>
    <row r="4098" spans="1:5" ht="15.75" customHeight="1">
      <c r="A4098" s="1">
        <v>845229</v>
      </c>
      <c r="B4098" s="1" t="s">
        <v>4129</v>
      </c>
      <c r="C4098" s="1" t="s">
        <v>11</v>
      </c>
      <c r="D4098" s="1" t="s">
        <v>11</v>
      </c>
      <c r="E4098" s="1" t="s">
        <v>11</v>
      </c>
    </row>
    <row r="4099" spans="1:5" ht="15.75" customHeight="1">
      <c r="A4099" s="1">
        <v>845230</v>
      </c>
      <c r="B4099" s="1" t="s">
        <v>4130</v>
      </c>
      <c r="C4099" s="1" t="s">
        <v>11</v>
      </c>
      <c r="D4099" s="1" t="s">
        <v>11</v>
      </c>
      <c r="E4099" s="1" t="s">
        <v>11</v>
      </c>
    </row>
    <row r="4100" spans="1:5" ht="15.75" customHeight="1">
      <c r="A4100" s="1">
        <v>845240</v>
      </c>
      <c r="B4100" s="1" t="s">
        <v>4131</v>
      </c>
      <c r="C4100" s="1" t="s">
        <v>11</v>
      </c>
      <c r="D4100" s="1" t="s">
        <v>11</v>
      </c>
      <c r="E4100" s="1" t="s">
        <v>11</v>
      </c>
    </row>
    <row r="4101" spans="1:5" ht="15.75" customHeight="1">
      <c r="A4101" s="1">
        <v>845290</v>
      </c>
      <c r="B4101" s="1" t="s">
        <v>4132</v>
      </c>
      <c r="C4101" s="1" t="s">
        <v>11</v>
      </c>
      <c r="D4101" s="1" t="s">
        <v>11</v>
      </c>
      <c r="E4101" s="1" t="s">
        <v>11</v>
      </c>
    </row>
    <row r="4102" spans="1:5" ht="15.75" customHeight="1">
      <c r="A4102" s="1">
        <v>845310</v>
      </c>
      <c r="B4102" s="1" t="s">
        <v>4133</v>
      </c>
      <c r="C4102" s="1" t="s">
        <v>11</v>
      </c>
      <c r="D4102" s="1" t="s">
        <v>11</v>
      </c>
      <c r="E4102" s="1" t="s">
        <v>11</v>
      </c>
    </row>
    <row r="4103" spans="1:5" ht="15.75" customHeight="1">
      <c r="A4103" s="1">
        <v>845320</v>
      </c>
      <c r="B4103" s="1" t="s">
        <v>4134</v>
      </c>
      <c r="C4103" s="1" t="s">
        <v>11</v>
      </c>
      <c r="D4103" s="1" t="s">
        <v>11</v>
      </c>
      <c r="E4103" s="1" t="s">
        <v>11</v>
      </c>
    </row>
    <row r="4104" spans="1:5" ht="15.75" customHeight="1">
      <c r="A4104" s="1">
        <v>845380</v>
      </c>
      <c r="B4104" s="1" t="s">
        <v>4135</v>
      </c>
      <c r="C4104" s="1" t="s">
        <v>11</v>
      </c>
      <c r="D4104" s="1" t="s">
        <v>11</v>
      </c>
      <c r="E4104" s="1" t="s">
        <v>11</v>
      </c>
    </row>
    <row r="4105" spans="1:5" ht="15.75" customHeight="1">
      <c r="A4105" s="1">
        <v>845390</v>
      </c>
      <c r="B4105" s="1" t="s">
        <v>4136</v>
      </c>
      <c r="C4105" s="1" t="s">
        <v>11</v>
      </c>
      <c r="D4105" s="1" t="s">
        <v>11</v>
      </c>
      <c r="E4105" s="1" t="s">
        <v>11</v>
      </c>
    </row>
    <row r="4106" spans="1:5" ht="15.75" customHeight="1">
      <c r="A4106" s="1">
        <v>845410</v>
      </c>
      <c r="B4106" s="1" t="s">
        <v>4137</v>
      </c>
      <c r="C4106" s="1" t="s">
        <v>11</v>
      </c>
      <c r="D4106" s="1" t="s">
        <v>11</v>
      </c>
      <c r="E4106" s="1" t="s">
        <v>11</v>
      </c>
    </row>
    <row r="4107" spans="1:5" ht="15.75" customHeight="1">
      <c r="A4107" s="1">
        <v>845420</v>
      </c>
      <c r="B4107" s="1" t="s">
        <v>4138</v>
      </c>
      <c r="C4107" s="1" t="s">
        <v>11</v>
      </c>
      <c r="D4107" s="1" t="s">
        <v>11</v>
      </c>
      <c r="E4107" s="1" t="s">
        <v>11</v>
      </c>
    </row>
    <row r="4108" spans="1:5" ht="15.75" customHeight="1">
      <c r="A4108" s="1">
        <v>845430</v>
      </c>
      <c r="B4108" s="1" t="s">
        <v>4139</v>
      </c>
      <c r="C4108" s="1" t="s">
        <v>11</v>
      </c>
      <c r="D4108" s="1" t="s">
        <v>11</v>
      </c>
      <c r="E4108" s="1" t="s">
        <v>11</v>
      </c>
    </row>
    <row r="4109" spans="1:5" ht="15.75" customHeight="1">
      <c r="A4109" s="1">
        <v>845490</v>
      </c>
      <c r="B4109" s="1" t="s">
        <v>4140</v>
      </c>
      <c r="C4109" s="1" t="s">
        <v>11</v>
      </c>
      <c r="D4109" s="1" t="s">
        <v>11</v>
      </c>
      <c r="E4109" s="1" t="s">
        <v>11</v>
      </c>
    </row>
    <row r="4110" spans="1:5" ht="15.75" customHeight="1">
      <c r="A4110" s="1">
        <v>845510</v>
      </c>
      <c r="B4110" s="1" t="s">
        <v>4141</v>
      </c>
      <c r="C4110" s="1" t="s">
        <v>11</v>
      </c>
      <c r="D4110" s="1" t="s">
        <v>11</v>
      </c>
      <c r="E4110" s="1" t="s">
        <v>11</v>
      </c>
    </row>
    <row r="4111" spans="1:5" ht="15.75" customHeight="1">
      <c r="A4111" s="1">
        <v>845521</v>
      </c>
      <c r="B4111" s="1" t="s">
        <v>4142</v>
      </c>
      <c r="C4111" s="1" t="s">
        <v>11</v>
      </c>
      <c r="D4111" s="1" t="s">
        <v>11</v>
      </c>
      <c r="E4111" s="1" t="s">
        <v>11</v>
      </c>
    </row>
    <row r="4112" spans="1:5" ht="15.75" customHeight="1">
      <c r="A4112" s="1">
        <v>845522</v>
      </c>
      <c r="B4112" s="1" t="s">
        <v>4143</v>
      </c>
      <c r="C4112" s="1" t="s">
        <v>11</v>
      </c>
      <c r="D4112" s="1" t="s">
        <v>11</v>
      </c>
      <c r="E4112" s="1" t="s">
        <v>11</v>
      </c>
    </row>
    <row r="4113" spans="1:5" ht="15.75" customHeight="1">
      <c r="A4113" s="1">
        <v>845530</v>
      </c>
      <c r="B4113" s="1" t="s">
        <v>4144</v>
      </c>
      <c r="C4113" s="1" t="s">
        <v>11</v>
      </c>
      <c r="D4113" s="1" t="s">
        <v>11</v>
      </c>
      <c r="E4113" s="1" t="s">
        <v>11</v>
      </c>
    </row>
    <row r="4114" spans="1:5" ht="15.75" customHeight="1">
      <c r="A4114" s="1">
        <v>845590</v>
      </c>
      <c r="B4114" s="1" t="s">
        <v>4145</v>
      </c>
      <c r="C4114" s="1" t="s">
        <v>11</v>
      </c>
      <c r="D4114" s="1" t="s">
        <v>11</v>
      </c>
      <c r="E4114" s="1" t="s">
        <v>11</v>
      </c>
    </row>
    <row r="4115" spans="1:5" ht="15.75" customHeight="1">
      <c r="A4115" s="1">
        <v>845610</v>
      </c>
      <c r="B4115" s="1" t="s">
        <v>4146</v>
      </c>
      <c r="C4115" s="1" t="s">
        <v>11</v>
      </c>
      <c r="D4115" s="1" t="s">
        <v>11</v>
      </c>
      <c r="E4115" s="1" t="s">
        <v>11</v>
      </c>
    </row>
    <row r="4116" spans="1:5" ht="15.75" customHeight="1">
      <c r="A4116" s="1">
        <v>845620</v>
      </c>
      <c r="B4116" s="1" t="s">
        <v>4147</v>
      </c>
      <c r="C4116" s="1" t="s">
        <v>11</v>
      </c>
      <c r="D4116" s="1" t="s">
        <v>11</v>
      </c>
      <c r="E4116" s="1" t="s">
        <v>11</v>
      </c>
    </row>
    <row r="4117" spans="1:5" ht="15.75" customHeight="1">
      <c r="A4117" s="1">
        <v>845630</v>
      </c>
      <c r="B4117" s="1" t="s">
        <v>4148</v>
      </c>
      <c r="C4117" s="1" t="s">
        <v>11</v>
      </c>
      <c r="D4117" s="1" t="s">
        <v>11</v>
      </c>
      <c r="E4117" s="1" t="s">
        <v>11</v>
      </c>
    </row>
    <row r="4118" spans="1:5" ht="15.75" customHeight="1">
      <c r="A4118" s="1">
        <v>845690</v>
      </c>
      <c r="B4118" s="1" t="s">
        <v>4149</v>
      </c>
      <c r="C4118" s="1" t="s">
        <v>11</v>
      </c>
      <c r="D4118" s="1" t="s">
        <v>11</v>
      </c>
      <c r="E4118" s="1" t="s">
        <v>11</v>
      </c>
    </row>
    <row r="4119" spans="1:5" ht="15.75" customHeight="1">
      <c r="A4119" s="1">
        <v>845710</v>
      </c>
      <c r="B4119" s="1" t="s">
        <v>4150</v>
      </c>
      <c r="C4119" s="1" t="s">
        <v>11</v>
      </c>
      <c r="D4119" s="1" t="s">
        <v>11</v>
      </c>
      <c r="E4119" s="1" t="s">
        <v>11</v>
      </c>
    </row>
    <row r="4120" spans="1:5" ht="15.75" customHeight="1">
      <c r="A4120" s="1">
        <v>845720</v>
      </c>
      <c r="B4120" s="1" t="s">
        <v>4151</v>
      </c>
      <c r="C4120" s="1" t="s">
        <v>11</v>
      </c>
      <c r="D4120" s="1" t="s">
        <v>11</v>
      </c>
      <c r="E4120" s="1" t="s">
        <v>11</v>
      </c>
    </row>
    <row r="4121" spans="1:5" ht="15.75" customHeight="1">
      <c r="A4121" s="1">
        <v>845730</v>
      </c>
      <c r="B4121" s="1" t="s">
        <v>4152</v>
      </c>
      <c r="C4121" s="1" t="s">
        <v>11</v>
      </c>
      <c r="D4121" s="1" t="s">
        <v>11</v>
      </c>
      <c r="E4121" s="1" t="s">
        <v>11</v>
      </c>
    </row>
    <row r="4122" spans="1:5" ht="15.75" customHeight="1">
      <c r="A4122" s="1">
        <v>845811</v>
      </c>
      <c r="B4122" s="1" t="s">
        <v>4153</v>
      </c>
      <c r="C4122" s="1" t="s">
        <v>11</v>
      </c>
      <c r="D4122" s="1" t="s">
        <v>11</v>
      </c>
      <c r="E4122" s="1" t="s">
        <v>11</v>
      </c>
    </row>
    <row r="4123" spans="1:5" ht="15.75" customHeight="1">
      <c r="A4123" s="1">
        <v>845819</v>
      </c>
      <c r="B4123" s="1" t="s">
        <v>4154</v>
      </c>
      <c r="C4123" s="1" t="s">
        <v>11</v>
      </c>
      <c r="D4123" s="1" t="s">
        <v>11</v>
      </c>
      <c r="E4123" s="1" t="s">
        <v>11</v>
      </c>
    </row>
    <row r="4124" spans="1:5" ht="15.75" customHeight="1">
      <c r="A4124" s="1">
        <v>845891</v>
      </c>
      <c r="B4124" s="1" t="s">
        <v>4155</v>
      </c>
      <c r="C4124" s="1" t="s">
        <v>11</v>
      </c>
      <c r="D4124" s="1" t="s">
        <v>11</v>
      </c>
      <c r="E4124" s="1" t="s">
        <v>11</v>
      </c>
    </row>
    <row r="4125" spans="1:5" ht="15.75" customHeight="1">
      <c r="A4125" s="1">
        <v>845899</v>
      </c>
      <c r="B4125" s="1" t="s">
        <v>4156</v>
      </c>
      <c r="C4125" s="1" t="s">
        <v>11</v>
      </c>
      <c r="D4125" s="1" t="s">
        <v>11</v>
      </c>
      <c r="E4125" s="1" t="s">
        <v>11</v>
      </c>
    </row>
    <row r="4126" spans="1:5" ht="15.75" customHeight="1">
      <c r="A4126" s="1">
        <v>845910</v>
      </c>
      <c r="B4126" s="1" t="s">
        <v>4157</v>
      </c>
      <c r="C4126" s="1" t="s">
        <v>11</v>
      </c>
      <c r="D4126" s="1" t="s">
        <v>11</v>
      </c>
      <c r="E4126" s="1" t="s">
        <v>11</v>
      </c>
    </row>
    <row r="4127" spans="1:5" ht="15.75" customHeight="1">
      <c r="A4127" s="1">
        <v>845921</v>
      </c>
      <c r="B4127" s="1" t="s">
        <v>4158</v>
      </c>
      <c r="C4127" s="1" t="s">
        <v>11</v>
      </c>
      <c r="D4127" s="1" t="s">
        <v>11</v>
      </c>
      <c r="E4127" s="1" t="s">
        <v>11</v>
      </c>
    </row>
    <row r="4128" spans="1:5" ht="15.75" customHeight="1">
      <c r="A4128" s="1">
        <v>845929</v>
      </c>
      <c r="B4128" s="1" t="s">
        <v>4159</v>
      </c>
      <c r="C4128" s="1" t="s">
        <v>11</v>
      </c>
      <c r="D4128" s="1" t="s">
        <v>11</v>
      </c>
      <c r="E4128" s="1" t="s">
        <v>11</v>
      </c>
    </row>
    <row r="4129" spans="1:5" ht="15.75" customHeight="1">
      <c r="A4129" s="1">
        <v>845931</v>
      </c>
      <c r="B4129" s="1" t="s">
        <v>4160</v>
      </c>
      <c r="C4129" s="1" t="s">
        <v>11</v>
      </c>
      <c r="D4129" s="1" t="s">
        <v>11</v>
      </c>
      <c r="E4129" s="1" t="s">
        <v>11</v>
      </c>
    </row>
    <row r="4130" spans="1:5" ht="15.75" customHeight="1">
      <c r="A4130" s="1">
        <v>845939</v>
      </c>
      <c r="B4130" s="1" t="s">
        <v>4161</v>
      </c>
      <c r="C4130" s="1" t="s">
        <v>11</v>
      </c>
      <c r="D4130" s="1" t="s">
        <v>11</v>
      </c>
      <c r="E4130" s="1" t="s">
        <v>11</v>
      </c>
    </row>
    <row r="4131" spans="1:5" ht="15.75" customHeight="1">
      <c r="A4131" s="1">
        <v>845940</v>
      </c>
      <c r="B4131" s="1" t="s">
        <v>4162</v>
      </c>
      <c r="C4131" s="1" t="s">
        <v>11</v>
      </c>
      <c r="D4131" s="1" t="s">
        <v>11</v>
      </c>
      <c r="E4131" s="1" t="s">
        <v>11</v>
      </c>
    </row>
    <row r="4132" spans="1:5" ht="15.75" customHeight="1">
      <c r="A4132" s="1">
        <v>845951</v>
      </c>
      <c r="B4132" s="1" t="s">
        <v>4163</v>
      </c>
      <c r="C4132" s="1" t="s">
        <v>11</v>
      </c>
      <c r="D4132" s="1" t="s">
        <v>11</v>
      </c>
      <c r="E4132" s="1" t="s">
        <v>11</v>
      </c>
    </row>
    <row r="4133" spans="1:5" ht="15.75" customHeight="1">
      <c r="A4133" s="1">
        <v>845959</v>
      </c>
      <c r="B4133" s="1" t="s">
        <v>4164</v>
      </c>
      <c r="C4133" s="1" t="s">
        <v>11</v>
      </c>
      <c r="D4133" s="1" t="s">
        <v>11</v>
      </c>
      <c r="E4133" s="1" t="s">
        <v>11</v>
      </c>
    </row>
    <row r="4134" spans="1:5" ht="15.75" customHeight="1">
      <c r="A4134" s="1">
        <v>845961</v>
      </c>
      <c r="B4134" s="1" t="s">
        <v>4165</v>
      </c>
      <c r="C4134" s="1" t="s">
        <v>11</v>
      </c>
      <c r="D4134" s="1" t="s">
        <v>11</v>
      </c>
      <c r="E4134" s="1" t="s">
        <v>11</v>
      </c>
    </row>
    <row r="4135" spans="1:5" ht="15.75" customHeight="1">
      <c r="A4135" s="1">
        <v>845969</v>
      </c>
      <c r="B4135" s="1" t="s">
        <v>4166</v>
      </c>
      <c r="C4135" s="1" t="s">
        <v>11</v>
      </c>
      <c r="D4135" s="1" t="s">
        <v>11</v>
      </c>
      <c r="E4135" s="1" t="s">
        <v>11</v>
      </c>
    </row>
    <row r="4136" spans="1:5" ht="15.75" customHeight="1">
      <c r="A4136" s="1">
        <v>845970</v>
      </c>
      <c r="B4136" s="1" t="s">
        <v>4167</v>
      </c>
      <c r="C4136" s="1" t="s">
        <v>11</v>
      </c>
      <c r="D4136" s="1" t="s">
        <v>11</v>
      </c>
      <c r="E4136" s="1" t="s">
        <v>11</v>
      </c>
    </row>
    <row r="4137" spans="1:5" ht="15.75" customHeight="1">
      <c r="A4137" s="1">
        <v>846011</v>
      </c>
      <c r="B4137" s="1" t="s">
        <v>4168</v>
      </c>
      <c r="C4137" s="1" t="s">
        <v>11</v>
      </c>
      <c r="D4137" s="1" t="s">
        <v>11</v>
      </c>
      <c r="E4137" s="1" t="s">
        <v>11</v>
      </c>
    </row>
    <row r="4138" spans="1:5" ht="15.75" customHeight="1">
      <c r="A4138" s="1">
        <v>846019</v>
      </c>
      <c r="B4138" s="1" t="s">
        <v>4169</v>
      </c>
      <c r="C4138" s="1" t="s">
        <v>11</v>
      </c>
      <c r="D4138" s="1" t="s">
        <v>11</v>
      </c>
      <c r="E4138" s="1" t="s">
        <v>11</v>
      </c>
    </row>
    <row r="4139" spans="1:5" ht="15.75" customHeight="1">
      <c r="A4139" s="1">
        <v>846021</v>
      </c>
      <c r="B4139" s="1" t="s">
        <v>4170</v>
      </c>
      <c r="C4139" s="1" t="s">
        <v>11</v>
      </c>
      <c r="D4139" s="1" t="s">
        <v>11</v>
      </c>
      <c r="E4139" s="1" t="s">
        <v>11</v>
      </c>
    </row>
    <row r="4140" spans="1:5" ht="15.75" customHeight="1">
      <c r="A4140" s="1">
        <v>846029</v>
      </c>
      <c r="B4140" s="1" t="s">
        <v>4171</v>
      </c>
      <c r="C4140" s="1" t="s">
        <v>11</v>
      </c>
      <c r="D4140" s="1" t="s">
        <v>11</v>
      </c>
      <c r="E4140" s="1" t="s">
        <v>11</v>
      </c>
    </row>
    <row r="4141" spans="1:5" ht="15.75" customHeight="1">
      <c r="A4141" s="1">
        <v>846031</v>
      </c>
      <c r="B4141" s="1" t="s">
        <v>4172</v>
      </c>
      <c r="C4141" s="1" t="s">
        <v>11</v>
      </c>
      <c r="D4141" s="1" t="s">
        <v>11</v>
      </c>
      <c r="E4141" s="1" t="s">
        <v>11</v>
      </c>
    </row>
    <row r="4142" spans="1:5" ht="15.75" customHeight="1">
      <c r="A4142" s="1">
        <v>846039</v>
      </c>
      <c r="B4142" s="1" t="s">
        <v>4173</v>
      </c>
      <c r="C4142" s="1" t="s">
        <v>11</v>
      </c>
      <c r="D4142" s="1" t="s">
        <v>11</v>
      </c>
      <c r="E4142" s="1" t="s">
        <v>11</v>
      </c>
    </row>
    <row r="4143" spans="1:5" ht="15.75" customHeight="1">
      <c r="A4143" s="1">
        <v>846040</v>
      </c>
      <c r="B4143" s="1" t="s">
        <v>4174</v>
      </c>
      <c r="C4143" s="1" t="s">
        <v>11</v>
      </c>
      <c r="D4143" s="1" t="s">
        <v>11</v>
      </c>
      <c r="E4143" s="1" t="s">
        <v>11</v>
      </c>
    </row>
    <row r="4144" spans="1:5" ht="15.75" customHeight="1">
      <c r="A4144" s="1">
        <v>846090</v>
      </c>
      <c r="B4144" s="1" t="s">
        <v>4175</v>
      </c>
      <c r="C4144" s="1" t="s">
        <v>11</v>
      </c>
      <c r="D4144" s="1" t="s">
        <v>11</v>
      </c>
      <c r="E4144" s="1" t="s">
        <v>11</v>
      </c>
    </row>
    <row r="4145" spans="1:5" ht="15.75" customHeight="1">
      <c r="A4145" s="1">
        <v>846120</v>
      </c>
      <c r="B4145" s="1" t="s">
        <v>4176</v>
      </c>
      <c r="C4145" s="1" t="s">
        <v>11</v>
      </c>
      <c r="D4145" s="1" t="s">
        <v>11</v>
      </c>
      <c r="E4145" s="1" t="s">
        <v>11</v>
      </c>
    </row>
    <row r="4146" spans="1:5" ht="15.75" customHeight="1">
      <c r="A4146" s="1">
        <v>846130</v>
      </c>
      <c r="B4146" s="1" t="s">
        <v>4177</v>
      </c>
      <c r="C4146" s="1" t="s">
        <v>11</v>
      </c>
      <c r="D4146" s="1" t="s">
        <v>11</v>
      </c>
      <c r="E4146" s="1" t="s">
        <v>11</v>
      </c>
    </row>
    <row r="4147" spans="1:5" ht="15.75" customHeight="1">
      <c r="A4147" s="1">
        <v>846140</v>
      </c>
      <c r="B4147" s="1" t="s">
        <v>4178</v>
      </c>
      <c r="C4147" s="1" t="s">
        <v>11</v>
      </c>
      <c r="D4147" s="1" t="s">
        <v>11</v>
      </c>
      <c r="E4147" s="1" t="s">
        <v>11</v>
      </c>
    </row>
    <row r="4148" spans="1:5" ht="15.75" customHeight="1">
      <c r="A4148" s="1">
        <v>846150</v>
      </c>
      <c r="B4148" s="1" t="s">
        <v>4179</v>
      </c>
      <c r="C4148" s="1" t="s">
        <v>11</v>
      </c>
      <c r="D4148" s="1" t="s">
        <v>11</v>
      </c>
      <c r="E4148" s="1" t="s">
        <v>11</v>
      </c>
    </row>
    <row r="4149" spans="1:5" ht="15.75" customHeight="1">
      <c r="A4149" s="1">
        <v>846190</v>
      </c>
      <c r="B4149" s="1" t="s">
        <v>4180</v>
      </c>
      <c r="C4149" s="1" t="s">
        <v>11</v>
      </c>
      <c r="D4149" s="1" t="s">
        <v>11</v>
      </c>
      <c r="E4149" s="1" t="s">
        <v>11</v>
      </c>
    </row>
    <row r="4150" spans="1:5" ht="15.75" customHeight="1">
      <c r="A4150" s="1">
        <v>846210</v>
      </c>
      <c r="B4150" s="1" t="s">
        <v>4181</v>
      </c>
      <c r="C4150" s="1" t="s">
        <v>11</v>
      </c>
      <c r="D4150" s="1" t="s">
        <v>11</v>
      </c>
      <c r="E4150" s="1" t="s">
        <v>11</v>
      </c>
    </row>
    <row r="4151" spans="1:5" ht="15.75" customHeight="1">
      <c r="A4151" s="1">
        <v>846221</v>
      </c>
      <c r="B4151" s="1" t="s">
        <v>4182</v>
      </c>
      <c r="C4151" s="1" t="s">
        <v>11</v>
      </c>
      <c r="D4151" s="1" t="s">
        <v>11</v>
      </c>
      <c r="E4151" s="1" t="s">
        <v>11</v>
      </c>
    </row>
    <row r="4152" spans="1:5" ht="15.75" customHeight="1">
      <c r="A4152" s="1">
        <v>846229</v>
      </c>
      <c r="B4152" s="1" t="s">
        <v>4183</v>
      </c>
      <c r="C4152" s="1" t="s">
        <v>11</v>
      </c>
      <c r="D4152" s="1" t="s">
        <v>11</v>
      </c>
      <c r="E4152" s="1" t="s">
        <v>11</v>
      </c>
    </row>
    <row r="4153" spans="1:5" ht="15.75" customHeight="1">
      <c r="A4153" s="1">
        <v>846231</v>
      </c>
      <c r="B4153" s="1" t="s">
        <v>4184</v>
      </c>
      <c r="C4153" s="1" t="s">
        <v>11</v>
      </c>
      <c r="D4153" s="1" t="s">
        <v>11</v>
      </c>
      <c r="E4153" s="1" t="s">
        <v>11</v>
      </c>
    </row>
    <row r="4154" spans="1:5" ht="15.75" customHeight="1">
      <c r="A4154" s="1">
        <v>846239</v>
      </c>
      <c r="B4154" s="1" t="s">
        <v>4185</v>
      </c>
      <c r="C4154" s="1" t="s">
        <v>11</v>
      </c>
      <c r="D4154" s="1" t="s">
        <v>11</v>
      </c>
      <c r="E4154" s="1" t="s">
        <v>11</v>
      </c>
    </row>
    <row r="4155" spans="1:5" ht="15.75" customHeight="1">
      <c r="A4155" s="1">
        <v>846241</v>
      </c>
      <c r="B4155" s="1" t="s">
        <v>4186</v>
      </c>
      <c r="C4155" s="1" t="s">
        <v>11</v>
      </c>
      <c r="D4155" s="1" t="s">
        <v>11</v>
      </c>
      <c r="E4155" s="1" t="s">
        <v>11</v>
      </c>
    </row>
    <row r="4156" spans="1:5" ht="15.75" customHeight="1">
      <c r="A4156" s="1">
        <v>846249</v>
      </c>
      <c r="B4156" s="1" t="s">
        <v>4187</v>
      </c>
      <c r="C4156" s="1" t="s">
        <v>11</v>
      </c>
      <c r="D4156" s="1" t="s">
        <v>11</v>
      </c>
      <c r="E4156" s="1" t="s">
        <v>11</v>
      </c>
    </row>
    <row r="4157" spans="1:5" ht="15.75" customHeight="1">
      <c r="A4157" s="1">
        <v>846291</v>
      </c>
      <c r="B4157" s="1" t="s">
        <v>4188</v>
      </c>
      <c r="C4157" s="1" t="s">
        <v>11</v>
      </c>
      <c r="D4157" s="1" t="s">
        <v>11</v>
      </c>
      <c r="E4157" s="1" t="s">
        <v>11</v>
      </c>
    </row>
    <row r="4158" spans="1:5" ht="15.75" customHeight="1">
      <c r="A4158" s="1">
        <v>846299</v>
      </c>
      <c r="B4158" s="1" t="s">
        <v>4189</v>
      </c>
      <c r="C4158" s="1" t="s">
        <v>11</v>
      </c>
      <c r="D4158" s="1" t="s">
        <v>11</v>
      </c>
      <c r="E4158" s="1" t="s">
        <v>11</v>
      </c>
    </row>
    <row r="4159" spans="1:5" ht="15.75" customHeight="1">
      <c r="A4159" s="1">
        <v>846310</v>
      </c>
      <c r="B4159" s="1" t="s">
        <v>4190</v>
      </c>
      <c r="C4159" s="1" t="s">
        <v>11</v>
      </c>
      <c r="D4159" s="1" t="s">
        <v>11</v>
      </c>
      <c r="E4159" s="1" t="s">
        <v>11</v>
      </c>
    </row>
    <row r="4160" spans="1:5" ht="15.75" customHeight="1">
      <c r="A4160" s="1">
        <v>846320</v>
      </c>
      <c r="B4160" s="1" t="s">
        <v>4191</v>
      </c>
      <c r="C4160" s="1" t="s">
        <v>11</v>
      </c>
      <c r="D4160" s="1" t="s">
        <v>11</v>
      </c>
      <c r="E4160" s="1" t="s">
        <v>11</v>
      </c>
    </row>
    <row r="4161" spans="1:5" ht="15.75" customHeight="1">
      <c r="A4161" s="1">
        <v>846330</v>
      </c>
      <c r="B4161" s="1" t="s">
        <v>4192</v>
      </c>
      <c r="C4161" s="1" t="s">
        <v>11</v>
      </c>
      <c r="D4161" s="1" t="s">
        <v>11</v>
      </c>
      <c r="E4161" s="1" t="s">
        <v>11</v>
      </c>
    </row>
    <row r="4162" spans="1:5" ht="15.75" customHeight="1">
      <c r="A4162" s="1">
        <v>846390</v>
      </c>
      <c r="B4162" s="1" t="s">
        <v>4193</v>
      </c>
      <c r="C4162" s="1" t="s">
        <v>11</v>
      </c>
      <c r="D4162" s="1" t="s">
        <v>11</v>
      </c>
      <c r="E4162" s="1" t="s">
        <v>11</v>
      </c>
    </row>
    <row r="4163" spans="1:5" ht="15.75" customHeight="1">
      <c r="A4163" s="1">
        <v>846410</v>
      </c>
      <c r="B4163" s="1" t="s">
        <v>4194</v>
      </c>
      <c r="C4163" s="1" t="s">
        <v>11</v>
      </c>
      <c r="D4163" s="1" t="s">
        <v>11</v>
      </c>
      <c r="E4163" s="1" t="s">
        <v>11</v>
      </c>
    </row>
    <row r="4164" spans="1:5" ht="15.75" customHeight="1">
      <c r="A4164" s="1">
        <v>846420</v>
      </c>
      <c r="B4164" s="1" t="s">
        <v>4195</v>
      </c>
      <c r="C4164" s="1" t="s">
        <v>11</v>
      </c>
      <c r="D4164" s="1" t="s">
        <v>11</v>
      </c>
      <c r="E4164" s="1" t="s">
        <v>11</v>
      </c>
    </row>
    <row r="4165" spans="1:5" ht="15.75" customHeight="1">
      <c r="A4165" s="1">
        <v>846490</v>
      </c>
      <c r="B4165" s="1" t="s">
        <v>4196</v>
      </c>
      <c r="C4165" s="1" t="s">
        <v>11</v>
      </c>
      <c r="D4165" s="1" t="s">
        <v>11</v>
      </c>
      <c r="E4165" s="1" t="s">
        <v>11</v>
      </c>
    </row>
    <row r="4166" spans="1:5" ht="15.75" customHeight="1">
      <c r="A4166" s="1">
        <v>846510</v>
      </c>
      <c r="B4166" s="1" t="s">
        <v>4197</v>
      </c>
      <c r="C4166" s="1" t="s">
        <v>11</v>
      </c>
      <c r="D4166" s="1" t="s">
        <v>11</v>
      </c>
      <c r="E4166" s="1" t="s">
        <v>11</v>
      </c>
    </row>
    <row r="4167" spans="1:5" ht="15.75" customHeight="1">
      <c r="A4167" s="1">
        <v>846591</v>
      </c>
      <c r="B4167" s="1" t="s">
        <v>4198</v>
      </c>
      <c r="C4167" s="1" t="s">
        <v>11</v>
      </c>
      <c r="D4167" s="1" t="s">
        <v>11</v>
      </c>
      <c r="E4167" s="1" t="s">
        <v>11</v>
      </c>
    </row>
    <row r="4168" spans="1:5" ht="15.75" customHeight="1">
      <c r="A4168" s="1">
        <v>846592</v>
      </c>
      <c r="B4168" s="1" t="s">
        <v>4199</v>
      </c>
      <c r="C4168" s="1" t="s">
        <v>11</v>
      </c>
      <c r="D4168" s="1" t="s">
        <v>11</v>
      </c>
      <c r="E4168" s="1" t="s">
        <v>11</v>
      </c>
    </row>
    <row r="4169" spans="1:5" ht="15.75" customHeight="1">
      <c r="A4169" s="1">
        <v>846593</v>
      </c>
      <c r="B4169" s="1" t="s">
        <v>4200</v>
      </c>
      <c r="C4169" s="1" t="s">
        <v>11</v>
      </c>
      <c r="D4169" s="1" t="s">
        <v>11</v>
      </c>
      <c r="E4169" s="1" t="s">
        <v>11</v>
      </c>
    </row>
    <row r="4170" spans="1:5" ht="15.75" customHeight="1">
      <c r="A4170" s="1">
        <v>846594</v>
      </c>
      <c r="B4170" s="1" t="s">
        <v>4201</v>
      </c>
      <c r="C4170" s="1" t="s">
        <v>11</v>
      </c>
      <c r="D4170" s="1" t="s">
        <v>11</v>
      </c>
      <c r="E4170" s="1" t="s">
        <v>11</v>
      </c>
    </row>
    <row r="4171" spans="1:5" ht="15.75" customHeight="1">
      <c r="A4171" s="1">
        <v>846595</v>
      </c>
      <c r="B4171" s="1" t="s">
        <v>4202</v>
      </c>
      <c r="C4171" s="1" t="s">
        <v>11</v>
      </c>
      <c r="D4171" s="1" t="s">
        <v>11</v>
      </c>
      <c r="E4171" s="1" t="s">
        <v>11</v>
      </c>
    </row>
    <row r="4172" spans="1:5" ht="15.75" customHeight="1">
      <c r="A4172" s="1">
        <v>846596</v>
      </c>
      <c r="B4172" s="1" t="s">
        <v>4203</v>
      </c>
      <c r="C4172" s="1" t="s">
        <v>11</v>
      </c>
      <c r="D4172" s="1" t="s">
        <v>11</v>
      </c>
      <c r="E4172" s="1" t="s">
        <v>11</v>
      </c>
    </row>
    <row r="4173" spans="1:5" ht="15.75" customHeight="1">
      <c r="A4173" s="1">
        <v>846599</v>
      </c>
      <c r="B4173" s="1" t="s">
        <v>4204</v>
      </c>
      <c r="C4173" s="1" t="s">
        <v>11</v>
      </c>
      <c r="D4173" s="1" t="s">
        <v>11</v>
      </c>
      <c r="E4173" s="1" t="s">
        <v>11</v>
      </c>
    </row>
    <row r="4174" spans="1:5" ht="15.75" customHeight="1">
      <c r="A4174" s="1">
        <v>846610</v>
      </c>
      <c r="B4174" s="1" t="s">
        <v>4205</v>
      </c>
      <c r="C4174" s="1" t="s">
        <v>11</v>
      </c>
      <c r="D4174" s="1" t="s">
        <v>11</v>
      </c>
      <c r="E4174" s="1" t="s">
        <v>11</v>
      </c>
    </row>
    <row r="4175" spans="1:5" ht="15.75" customHeight="1">
      <c r="A4175" s="1">
        <v>846620</v>
      </c>
      <c r="B4175" s="1" t="s">
        <v>4206</v>
      </c>
      <c r="C4175" s="1" t="s">
        <v>11</v>
      </c>
      <c r="D4175" s="1" t="s">
        <v>11</v>
      </c>
      <c r="E4175" s="1" t="s">
        <v>11</v>
      </c>
    </row>
    <row r="4176" spans="1:5" ht="15.75" customHeight="1">
      <c r="A4176" s="1">
        <v>846630</v>
      </c>
      <c r="B4176" s="1" t="s">
        <v>4207</v>
      </c>
      <c r="C4176" s="1" t="s">
        <v>11</v>
      </c>
      <c r="D4176" s="1" t="s">
        <v>11</v>
      </c>
      <c r="E4176" s="1" t="s">
        <v>11</v>
      </c>
    </row>
    <row r="4177" spans="1:5" ht="15.75" customHeight="1">
      <c r="A4177" s="1">
        <v>846691</v>
      </c>
      <c r="B4177" s="1" t="s">
        <v>4208</v>
      </c>
      <c r="C4177" s="1" t="s">
        <v>11</v>
      </c>
      <c r="D4177" s="1" t="s">
        <v>11</v>
      </c>
      <c r="E4177" s="1" t="s">
        <v>11</v>
      </c>
    </row>
    <row r="4178" spans="1:5" ht="15.75" customHeight="1">
      <c r="A4178" s="1">
        <v>846692</v>
      </c>
      <c r="B4178" s="1" t="s">
        <v>4209</v>
      </c>
      <c r="C4178" s="1" t="s">
        <v>11</v>
      </c>
      <c r="D4178" s="1" t="s">
        <v>11</v>
      </c>
      <c r="E4178" s="1" t="s">
        <v>11</v>
      </c>
    </row>
    <row r="4179" spans="1:5" ht="15.75" customHeight="1">
      <c r="A4179" s="1">
        <v>846693</v>
      </c>
      <c r="B4179" s="1" t="s">
        <v>4210</v>
      </c>
      <c r="C4179" s="1" t="s">
        <v>11</v>
      </c>
      <c r="D4179" s="1" t="s">
        <v>11</v>
      </c>
      <c r="E4179" s="1" t="s">
        <v>11</v>
      </c>
    </row>
    <row r="4180" spans="1:5" ht="15.75" customHeight="1">
      <c r="A4180" s="1">
        <v>846694</v>
      </c>
      <c r="B4180" s="1" t="s">
        <v>4211</v>
      </c>
      <c r="C4180" s="1" t="s">
        <v>11</v>
      </c>
      <c r="D4180" s="1" t="s">
        <v>11</v>
      </c>
      <c r="E4180" s="1" t="s">
        <v>11</v>
      </c>
    </row>
    <row r="4181" spans="1:5" ht="15.75" customHeight="1">
      <c r="A4181" s="1">
        <v>846711</v>
      </c>
      <c r="B4181" s="1" t="s">
        <v>4212</v>
      </c>
      <c r="C4181" s="1" t="s">
        <v>11</v>
      </c>
      <c r="D4181" s="1" t="s">
        <v>11</v>
      </c>
      <c r="E4181" s="1" t="s">
        <v>11</v>
      </c>
    </row>
    <row r="4182" spans="1:5" ht="15.75" customHeight="1">
      <c r="A4182" s="1">
        <v>846719</v>
      </c>
      <c r="B4182" s="1" t="s">
        <v>4213</v>
      </c>
      <c r="C4182" s="1" t="s">
        <v>11</v>
      </c>
      <c r="D4182" s="1" t="s">
        <v>11</v>
      </c>
      <c r="E4182" s="1" t="s">
        <v>11</v>
      </c>
    </row>
    <row r="4183" spans="1:5" ht="15.75" customHeight="1">
      <c r="A4183" s="1">
        <v>846721</v>
      </c>
      <c r="B4183" s="1" t="s">
        <v>4214</v>
      </c>
      <c r="C4183" s="1" t="s">
        <v>11</v>
      </c>
      <c r="D4183" s="1" t="s">
        <v>11</v>
      </c>
      <c r="E4183" s="1" t="s">
        <v>11</v>
      </c>
    </row>
    <row r="4184" spans="1:5" ht="15.75" customHeight="1">
      <c r="A4184" s="1">
        <v>846722</v>
      </c>
      <c r="B4184" s="1" t="s">
        <v>4215</v>
      </c>
      <c r="C4184" s="1" t="s">
        <v>11</v>
      </c>
      <c r="D4184" s="1" t="s">
        <v>11</v>
      </c>
      <c r="E4184" s="1" t="s">
        <v>11</v>
      </c>
    </row>
    <row r="4185" spans="1:5" ht="15.75" customHeight="1">
      <c r="A4185" s="1">
        <v>846729</v>
      </c>
      <c r="B4185" s="1" t="s">
        <v>4216</v>
      </c>
      <c r="C4185" s="1" t="s">
        <v>11</v>
      </c>
      <c r="D4185" s="1" t="s">
        <v>11</v>
      </c>
      <c r="E4185" s="1" t="s">
        <v>11</v>
      </c>
    </row>
    <row r="4186" spans="1:5" ht="15.75" customHeight="1">
      <c r="A4186" s="1">
        <v>846781</v>
      </c>
      <c r="B4186" s="1" t="s">
        <v>4217</v>
      </c>
      <c r="C4186" s="1" t="s">
        <v>11</v>
      </c>
      <c r="D4186" s="1" t="s">
        <v>11</v>
      </c>
      <c r="E4186" s="1" t="s">
        <v>11</v>
      </c>
    </row>
    <row r="4187" spans="1:5" ht="15.75" customHeight="1">
      <c r="A4187" s="1">
        <v>846789</v>
      </c>
      <c r="B4187" s="1" t="s">
        <v>4218</v>
      </c>
      <c r="C4187" s="1" t="s">
        <v>11</v>
      </c>
      <c r="D4187" s="1" t="s">
        <v>11</v>
      </c>
      <c r="E4187" s="1" t="s">
        <v>11</v>
      </c>
    </row>
    <row r="4188" spans="1:5" ht="15.75" customHeight="1">
      <c r="A4188" s="1">
        <v>846791</v>
      </c>
      <c r="B4188" s="1" t="s">
        <v>4219</v>
      </c>
      <c r="C4188" s="1" t="s">
        <v>11</v>
      </c>
      <c r="D4188" s="1" t="s">
        <v>11</v>
      </c>
      <c r="E4188" s="1" t="s">
        <v>11</v>
      </c>
    </row>
    <row r="4189" spans="1:5" ht="15.75" customHeight="1">
      <c r="A4189" s="1">
        <v>846792</v>
      </c>
      <c r="B4189" s="1" t="s">
        <v>4220</v>
      </c>
      <c r="C4189" s="1" t="s">
        <v>11</v>
      </c>
      <c r="D4189" s="1" t="s">
        <v>11</v>
      </c>
      <c r="E4189" s="1" t="s">
        <v>11</v>
      </c>
    </row>
    <row r="4190" spans="1:5" ht="15.75" customHeight="1">
      <c r="A4190" s="1">
        <v>846799</v>
      </c>
      <c r="B4190" s="1" t="s">
        <v>4221</v>
      </c>
      <c r="C4190" s="1" t="s">
        <v>11</v>
      </c>
      <c r="D4190" s="1" t="s">
        <v>11</v>
      </c>
      <c r="E4190" s="1" t="s">
        <v>11</v>
      </c>
    </row>
    <row r="4191" spans="1:5" ht="15.75" customHeight="1">
      <c r="A4191" s="1">
        <v>846810</v>
      </c>
      <c r="B4191" s="1" t="s">
        <v>4222</v>
      </c>
      <c r="C4191" s="1" t="s">
        <v>11</v>
      </c>
      <c r="D4191" s="1" t="s">
        <v>11</v>
      </c>
      <c r="E4191" s="1" t="s">
        <v>11</v>
      </c>
    </row>
    <row r="4192" spans="1:5" ht="15.75" customHeight="1">
      <c r="A4192" s="1">
        <v>846820</v>
      </c>
      <c r="B4192" s="1" t="s">
        <v>4223</v>
      </c>
      <c r="C4192" s="1" t="s">
        <v>11</v>
      </c>
      <c r="D4192" s="1" t="s">
        <v>11</v>
      </c>
      <c r="E4192" s="1" t="s">
        <v>11</v>
      </c>
    </row>
    <row r="4193" spans="1:5" ht="15.75" customHeight="1">
      <c r="A4193" s="1">
        <v>846880</v>
      </c>
      <c r="B4193" s="1" t="s">
        <v>4224</v>
      </c>
      <c r="C4193" s="1" t="s">
        <v>11</v>
      </c>
      <c r="D4193" s="1" t="s">
        <v>11</v>
      </c>
      <c r="E4193" s="1" t="s">
        <v>11</v>
      </c>
    </row>
    <row r="4194" spans="1:5" ht="15.75" customHeight="1">
      <c r="A4194" s="1">
        <v>846890</v>
      </c>
      <c r="B4194" s="1" t="s">
        <v>4225</v>
      </c>
      <c r="C4194" s="1" t="s">
        <v>11</v>
      </c>
      <c r="D4194" s="1" t="s">
        <v>11</v>
      </c>
      <c r="E4194" s="1" t="s">
        <v>11</v>
      </c>
    </row>
    <row r="4195" spans="1:5" ht="15.75" customHeight="1">
      <c r="A4195" s="1">
        <v>846900</v>
      </c>
      <c r="B4195" s="1" t="s">
        <v>4226</v>
      </c>
      <c r="C4195" s="1" t="s">
        <v>11</v>
      </c>
      <c r="D4195" s="1" t="s">
        <v>11</v>
      </c>
      <c r="E4195" s="1" t="s">
        <v>11</v>
      </c>
    </row>
    <row r="4196" spans="1:5" ht="15.75" customHeight="1">
      <c r="A4196" s="1">
        <v>847010</v>
      </c>
      <c r="B4196" s="1" t="s">
        <v>4227</v>
      </c>
      <c r="C4196" s="1" t="s">
        <v>11</v>
      </c>
      <c r="D4196" s="1" t="s">
        <v>11</v>
      </c>
      <c r="E4196" s="1" t="s">
        <v>11</v>
      </c>
    </row>
    <row r="4197" spans="1:5" ht="15.75" customHeight="1">
      <c r="A4197" s="1">
        <v>847021</v>
      </c>
      <c r="B4197" s="1" t="s">
        <v>4228</v>
      </c>
      <c r="C4197" s="1" t="s">
        <v>11</v>
      </c>
      <c r="D4197" s="1" t="s">
        <v>11</v>
      </c>
      <c r="E4197" s="1" t="s">
        <v>11</v>
      </c>
    </row>
    <row r="4198" spans="1:5" ht="15.75" customHeight="1">
      <c r="A4198" s="1">
        <v>847029</v>
      </c>
      <c r="B4198" s="1" t="s">
        <v>4229</v>
      </c>
      <c r="C4198" s="1" t="s">
        <v>11</v>
      </c>
      <c r="D4198" s="1" t="s">
        <v>11</v>
      </c>
      <c r="E4198" s="1" t="s">
        <v>11</v>
      </c>
    </row>
    <row r="4199" spans="1:5" ht="15.75" customHeight="1">
      <c r="A4199" s="1">
        <v>847030</v>
      </c>
      <c r="B4199" s="1" t="s">
        <v>4230</v>
      </c>
      <c r="C4199" s="1" t="s">
        <v>11</v>
      </c>
      <c r="D4199" s="1" t="s">
        <v>11</v>
      </c>
      <c r="E4199" s="1" t="s">
        <v>11</v>
      </c>
    </row>
    <row r="4200" spans="1:5" ht="15.75" customHeight="1">
      <c r="A4200" s="1">
        <v>847050</v>
      </c>
      <c r="B4200" s="1" t="s">
        <v>4231</v>
      </c>
      <c r="C4200" s="1" t="s">
        <v>11</v>
      </c>
      <c r="D4200" s="1" t="s">
        <v>11</v>
      </c>
      <c r="E4200" s="1" t="s">
        <v>11</v>
      </c>
    </row>
    <row r="4201" spans="1:5" ht="15.75" customHeight="1">
      <c r="A4201" s="1">
        <v>847090</v>
      </c>
      <c r="B4201" s="1" t="s">
        <v>4232</v>
      </c>
      <c r="C4201" s="1" t="s">
        <v>11</v>
      </c>
      <c r="D4201" s="1" t="s">
        <v>11</v>
      </c>
      <c r="E4201" s="1" t="s">
        <v>11</v>
      </c>
    </row>
    <row r="4202" spans="1:5" ht="15.75" customHeight="1">
      <c r="A4202" s="1">
        <v>847130</v>
      </c>
      <c r="B4202" s="1" t="s">
        <v>4233</v>
      </c>
      <c r="C4202" s="1" t="s">
        <v>11</v>
      </c>
      <c r="D4202" s="1" t="s">
        <v>11</v>
      </c>
      <c r="E4202" s="1" t="s">
        <v>11</v>
      </c>
    </row>
    <row r="4203" spans="1:5" ht="15.75" customHeight="1">
      <c r="A4203" s="1">
        <v>847141</v>
      </c>
      <c r="B4203" s="1" t="s">
        <v>4234</v>
      </c>
      <c r="C4203" s="1" t="s">
        <v>11</v>
      </c>
      <c r="D4203" s="1" t="s">
        <v>11</v>
      </c>
      <c r="E4203" s="1" t="s">
        <v>11</v>
      </c>
    </row>
    <row r="4204" spans="1:5" ht="15.75" customHeight="1">
      <c r="A4204" s="1">
        <v>847149</v>
      </c>
      <c r="B4204" s="1" t="s">
        <v>4235</v>
      </c>
      <c r="C4204" s="1" t="s">
        <v>11</v>
      </c>
      <c r="D4204" s="1" t="s">
        <v>11</v>
      </c>
      <c r="E4204" s="1" t="s">
        <v>11</v>
      </c>
    </row>
    <row r="4205" spans="1:5" ht="15.75" customHeight="1">
      <c r="A4205" s="1">
        <v>847150</v>
      </c>
      <c r="B4205" s="1" t="s">
        <v>4236</v>
      </c>
      <c r="C4205" s="1" t="s">
        <v>11</v>
      </c>
      <c r="D4205" s="1" t="s">
        <v>11</v>
      </c>
      <c r="E4205" s="1" t="s">
        <v>11</v>
      </c>
    </row>
    <row r="4206" spans="1:5" ht="15.75" customHeight="1">
      <c r="A4206" s="1">
        <v>847160</v>
      </c>
      <c r="B4206" s="1" t="s">
        <v>4237</v>
      </c>
      <c r="C4206" s="1" t="s">
        <v>11</v>
      </c>
      <c r="D4206" s="1" t="s">
        <v>11</v>
      </c>
      <c r="E4206" s="1" t="s">
        <v>11</v>
      </c>
    </row>
    <row r="4207" spans="1:5" ht="15.75" customHeight="1">
      <c r="A4207" s="1">
        <v>847170</v>
      </c>
      <c r="B4207" s="1" t="s">
        <v>4238</v>
      </c>
      <c r="C4207" s="1" t="s">
        <v>11</v>
      </c>
      <c r="D4207" s="1" t="s">
        <v>11</v>
      </c>
      <c r="E4207" s="1" t="s">
        <v>11</v>
      </c>
    </row>
    <row r="4208" spans="1:5" ht="15.75" customHeight="1">
      <c r="A4208" s="1">
        <v>847180</v>
      </c>
      <c r="B4208" s="1" t="s">
        <v>4239</v>
      </c>
      <c r="C4208" s="1" t="s">
        <v>11</v>
      </c>
      <c r="D4208" s="1" t="s">
        <v>11</v>
      </c>
      <c r="E4208" s="1" t="s">
        <v>11</v>
      </c>
    </row>
    <row r="4209" spans="1:5" ht="15.75" customHeight="1">
      <c r="A4209" s="1">
        <v>847190</v>
      </c>
      <c r="B4209" s="1" t="s">
        <v>4240</v>
      </c>
      <c r="C4209" s="1" t="s">
        <v>11</v>
      </c>
      <c r="D4209" s="1" t="s">
        <v>11</v>
      </c>
      <c r="E4209" s="1" t="s">
        <v>11</v>
      </c>
    </row>
    <row r="4210" spans="1:5" ht="15.75" customHeight="1">
      <c r="A4210" s="1">
        <v>847210</v>
      </c>
      <c r="B4210" s="1" t="s">
        <v>4241</v>
      </c>
      <c r="C4210" s="1" t="s">
        <v>11</v>
      </c>
      <c r="D4210" s="1" t="s">
        <v>11</v>
      </c>
      <c r="E4210" s="1" t="s">
        <v>11</v>
      </c>
    </row>
    <row r="4211" spans="1:5" ht="15.75" customHeight="1">
      <c r="A4211" s="1">
        <v>847230</v>
      </c>
      <c r="B4211" s="1" t="s">
        <v>4242</v>
      </c>
      <c r="C4211" s="1" t="s">
        <v>11</v>
      </c>
      <c r="D4211" s="1" t="s">
        <v>11</v>
      </c>
      <c r="E4211" s="1" t="s">
        <v>11</v>
      </c>
    </row>
    <row r="4212" spans="1:5" ht="15.75" customHeight="1">
      <c r="A4212" s="1">
        <v>847290</v>
      </c>
      <c r="B4212" s="1" t="s">
        <v>4243</v>
      </c>
      <c r="C4212" s="1" t="s">
        <v>11</v>
      </c>
      <c r="D4212" s="1" t="s">
        <v>11</v>
      </c>
      <c r="E4212" s="1" t="s">
        <v>11</v>
      </c>
    </row>
    <row r="4213" spans="1:5" ht="15.75" customHeight="1">
      <c r="A4213" s="1">
        <v>847310</v>
      </c>
      <c r="B4213" s="1" t="s">
        <v>4244</v>
      </c>
      <c r="C4213" s="1" t="s">
        <v>11</v>
      </c>
      <c r="D4213" s="1" t="s">
        <v>11</v>
      </c>
      <c r="E4213" s="1" t="s">
        <v>11</v>
      </c>
    </row>
    <row r="4214" spans="1:5" ht="15.75" customHeight="1">
      <c r="A4214" s="1">
        <v>847321</v>
      </c>
      <c r="B4214" s="1" t="s">
        <v>4245</v>
      </c>
      <c r="C4214" s="1" t="s">
        <v>11</v>
      </c>
      <c r="D4214" s="1" t="s">
        <v>11</v>
      </c>
      <c r="E4214" s="1" t="s">
        <v>11</v>
      </c>
    </row>
    <row r="4215" spans="1:5" ht="15.75" customHeight="1">
      <c r="A4215" s="1">
        <v>847329</v>
      </c>
      <c r="B4215" s="1" t="s">
        <v>4246</v>
      </c>
      <c r="C4215" s="1" t="s">
        <v>11</v>
      </c>
      <c r="D4215" s="1" t="s">
        <v>11</v>
      </c>
      <c r="E4215" s="1" t="s">
        <v>11</v>
      </c>
    </row>
    <row r="4216" spans="1:5" ht="15.75" customHeight="1">
      <c r="A4216" s="1">
        <v>847330</v>
      </c>
      <c r="B4216" s="1" t="s">
        <v>4247</v>
      </c>
      <c r="C4216" s="1" t="s">
        <v>11</v>
      </c>
      <c r="D4216" s="1" t="s">
        <v>11</v>
      </c>
      <c r="E4216" s="1" t="s">
        <v>11</v>
      </c>
    </row>
    <row r="4217" spans="1:5" ht="15.75" customHeight="1">
      <c r="A4217" s="1">
        <v>847340</v>
      </c>
      <c r="B4217" s="1" t="s">
        <v>4248</v>
      </c>
      <c r="C4217" s="1" t="s">
        <v>11</v>
      </c>
      <c r="D4217" s="1" t="s">
        <v>11</v>
      </c>
      <c r="E4217" s="1" t="s">
        <v>11</v>
      </c>
    </row>
    <row r="4218" spans="1:5" ht="15.75" customHeight="1">
      <c r="A4218" s="1">
        <v>847350</v>
      </c>
      <c r="B4218" s="1" t="s">
        <v>4249</v>
      </c>
      <c r="C4218" s="1" t="s">
        <v>11</v>
      </c>
      <c r="D4218" s="1" t="s">
        <v>11</v>
      </c>
      <c r="E4218" s="1" t="s">
        <v>11</v>
      </c>
    </row>
    <row r="4219" spans="1:5" ht="15.75" customHeight="1">
      <c r="A4219" s="1">
        <v>847410</v>
      </c>
      <c r="B4219" s="1" t="s">
        <v>4250</v>
      </c>
      <c r="C4219" s="1" t="s">
        <v>11</v>
      </c>
      <c r="D4219" s="1" t="s">
        <v>11</v>
      </c>
      <c r="E4219" s="1" t="s">
        <v>11</v>
      </c>
    </row>
    <row r="4220" spans="1:5" ht="15.75" customHeight="1">
      <c r="A4220" s="1">
        <v>847420</v>
      </c>
      <c r="B4220" s="1" t="s">
        <v>4251</v>
      </c>
      <c r="C4220" s="1" t="s">
        <v>11</v>
      </c>
      <c r="D4220" s="1" t="s">
        <v>11</v>
      </c>
      <c r="E4220" s="1" t="s">
        <v>11</v>
      </c>
    </row>
    <row r="4221" spans="1:5" ht="15.75" customHeight="1">
      <c r="A4221" s="1">
        <v>847431</v>
      </c>
      <c r="B4221" s="1" t="s">
        <v>4252</v>
      </c>
      <c r="C4221" s="1" t="s">
        <v>11</v>
      </c>
      <c r="D4221" s="1" t="s">
        <v>11</v>
      </c>
      <c r="E4221" s="1" t="s">
        <v>11</v>
      </c>
    </row>
    <row r="4222" spans="1:5" ht="15.75" customHeight="1">
      <c r="A4222" s="1">
        <v>847432</v>
      </c>
      <c r="B4222" s="1" t="s">
        <v>4253</v>
      </c>
      <c r="C4222" s="1" t="s">
        <v>11</v>
      </c>
      <c r="D4222" s="1" t="s">
        <v>11</v>
      </c>
      <c r="E4222" s="1" t="s">
        <v>11</v>
      </c>
    </row>
    <row r="4223" spans="1:5" ht="15.75" customHeight="1">
      <c r="A4223" s="1">
        <v>847439</v>
      </c>
      <c r="B4223" s="1" t="s">
        <v>4254</v>
      </c>
      <c r="C4223" s="1" t="s">
        <v>11</v>
      </c>
      <c r="D4223" s="1" t="s">
        <v>11</v>
      </c>
      <c r="E4223" s="1" t="s">
        <v>11</v>
      </c>
    </row>
    <row r="4224" spans="1:5" ht="15.75" customHeight="1">
      <c r="A4224" s="1">
        <v>847480</v>
      </c>
      <c r="B4224" s="1" t="s">
        <v>4255</v>
      </c>
      <c r="C4224" s="1" t="s">
        <v>11</v>
      </c>
      <c r="D4224" s="1" t="s">
        <v>11</v>
      </c>
      <c r="E4224" s="1" t="s">
        <v>11</v>
      </c>
    </row>
    <row r="4225" spans="1:5" ht="15.75" customHeight="1">
      <c r="A4225" s="1">
        <v>847490</v>
      </c>
      <c r="B4225" s="1" t="s">
        <v>4256</v>
      </c>
      <c r="C4225" s="1" t="s">
        <v>11</v>
      </c>
      <c r="D4225" s="1" t="s">
        <v>11</v>
      </c>
      <c r="E4225" s="1" t="s">
        <v>11</v>
      </c>
    </row>
    <row r="4226" spans="1:5" ht="15.75" customHeight="1">
      <c r="A4226" s="1">
        <v>847510</v>
      </c>
      <c r="B4226" s="1" t="s">
        <v>4257</v>
      </c>
      <c r="C4226" s="1" t="s">
        <v>11</v>
      </c>
      <c r="D4226" s="1" t="s">
        <v>11</v>
      </c>
      <c r="E4226" s="1" t="s">
        <v>11</v>
      </c>
    </row>
    <row r="4227" spans="1:5" ht="15.75" customHeight="1">
      <c r="A4227" s="1">
        <v>847521</v>
      </c>
      <c r="B4227" s="1" t="s">
        <v>4258</v>
      </c>
      <c r="C4227" s="1" t="s">
        <v>11</v>
      </c>
      <c r="D4227" s="1" t="s">
        <v>11</v>
      </c>
      <c r="E4227" s="1" t="s">
        <v>11</v>
      </c>
    </row>
    <row r="4228" spans="1:5" ht="15.75" customHeight="1">
      <c r="A4228" s="1">
        <v>847529</v>
      </c>
      <c r="B4228" s="1" t="s">
        <v>4259</v>
      </c>
      <c r="C4228" s="1" t="s">
        <v>11</v>
      </c>
      <c r="D4228" s="1" t="s">
        <v>11</v>
      </c>
      <c r="E4228" s="1" t="s">
        <v>11</v>
      </c>
    </row>
    <row r="4229" spans="1:5" ht="15.75" customHeight="1">
      <c r="A4229" s="1">
        <v>847590</v>
      </c>
      <c r="B4229" s="1" t="s">
        <v>4260</v>
      </c>
      <c r="C4229" s="1" t="s">
        <v>11</v>
      </c>
      <c r="D4229" s="1" t="s">
        <v>11</v>
      </c>
      <c r="E4229" s="1" t="s">
        <v>11</v>
      </c>
    </row>
    <row r="4230" spans="1:5" ht="15.75" customHeight="1">
      <c r="A4230" s="1">
        <v>847621</v>
      </c>
      <c r="B4230" s="1" t="s">
        <v>4261</v>
      </c>
      <c r="C4230" s="1" t="s">
        <v>11</v>
      </c>
      <c r="D4230" s="1" t="s">
        <v>11</v>
      </c>
      <c r="E4230" s="1" t="s">
        <v>11</v>
      </c>
    </row>
    <row r="4231" spans="1:5" ht="15.75" customHeight="1">
      <c r="A4231" s="1">
        <v>847629</v>
      </c>
      <c r="B4231" s="1" t="s">
        <v>4262</v>
      </c>
      <c r="C4231" s="1" t="s">
        <v>11</v>
      </c>
      <c r="D4231" s="1" t="s">
        <v>11</v>
      </c>
      <c r="E4231" s="1" t="s">
        <v>11</v>
      </c>
    </row>
    <row r="4232" spans="1:5" ht="15.75" customHeight="1">
      <c r="A4232" s="1">
        <v>847681</v>
      </c>
      <c r="B4232" s="1" t="s">
        <v>4263</v>
      </c>
      <c r="C4232" s="1" t="s">
        <v>11</v>
      </c>
      <c r="D4232" s="1" t="s">
        <v>11</v>
      </c>
      <c r="E4232" s="1" t="s">
        <v>11</v>
      </c>
    </row>
    <row r="4233" spans="1:5" ht="15.75" customHeight="1">
      <c r="A4233" s="1">
        <v>847689</v>
      </c>
      <c r="B4233" s="1" t="s">
        <v>4264</v>
      </c>
      <c r="C4233" s="1" t="s">
        <v>11</v>
      </c>
      <c r="D4233" s="1" t="s">
        <v>11</v>
      </c>
      <c r="E4233" s="1" t="s">
        <v>11</v>
      </c>
    </row>
    <row r="4234" spans="1:5" ht="15.75" customHeight="1">
      <c r="A4234" s="1">
        <v>847690</v>
      </c>
      <c r="B4234" s="1" t="s">
        <v>4265</v>
      </c>
      <c r="C4234" s="1" t="s">
        <v>11</v>
      </c>
      <c r="D4234" s="1" t="s">
        <v>11</v>
      </c>
      <c r="E4234" s="1" t="s">
        <v>11</v>
      </c>
    </row>
    <row r="4235" spans="1:5" ht="15.75" customHeight="1">
      <c r="A4235" s="1">
        <v>847710</v>
      </c>
      <c r="B4235" s="1" t="s">
        <v>4266</v>
      </c>
      <c r="C4235" s="1" t="s">
        <v>11</v>
      </c>
      <c r="D4235" s="1" t="s">
        <v>11</v>
      </c>
      <c r="E4235" s="1" t="s">
        <v>11</v>
      </c>
    </row>
    <row r="4236" spans="1:5" ht="15.75" customHeight="1">
      <c r="A4236" s="1">
        <v>847720</v>
      </c>
      <c r="B4236" s="1" t="s">
        <v>4267</v>
      </c>
      <c r="C4236" s="1" t="s">
        <v>11</v>
      </c>
      <c r="D4236" s="1" t="s">
        <v>11</v>
      </c>
      <c r="E4236" s="1" t="s">
        <v>11</v>
      </c>
    </row>
    <row r="4237" spans="1:5" ht="15.75" customHeight="1">
      <c r="A4237" s="1">
        <v>847730</v>
      </c>
      <c r="B4237" s="1" t="s">
        <v>4268</v>
      </c>
      <c r="C4237" s="1" t="s">
        <v>11</v>
      </c>
      <c r="D4237" s="1" t="s">
        <v>11</v>
      </c>
      <c r="E4237" s="1" t="s">
        <v>11</v>
      </c>
    </row>
    <row r="4238" spans="1:5" ht="15.75" customHeight="1">
      <c r="A4238" s="1">
        <v>847740</v>
      </c>
      <c r="B4238" s="1" t="s">
        <v>4269</v>
      </c>
      <c r="C4238" s="1" t="s">
        <v>11</v>
      </c>
      <c r="D4238" s="1" t="s">
        <v>11</v>
      </c>
      <c r="E4238" s="1" t="s">
        <v>11</v>
      </c>
    </row>
    <row r="4239" spans="1:5" ht="15.75" customHeight="1">
      <c r="A4239" s="1">
        <v>847751</v>
      </c>
      <c r="B4239" s="1" t="s">
        <v>4270</v>
      </c>
      <c r="C4239" s="1" t="s">
        <v>11</v>
      </c>
      <c r="D4239" s="1" t="s">
        <v>11</v>
      </c>
      <c r="E4239" s="1" t="s">
        <v>11</v>
      </c>
    </row>
    <row r="4240" spans="1:5" ht="15.75" customHeight="1">
      <c r="A4240" s="1">
        <v>847759</v>
      </c>
      <c r="B4240" s="1" t="s">
        <v>4271</v>
      </c>
      <c r="C4240" s="1" t="s">
        <v>11</v>
      </c>
      <c r="D4240" s="1" t="s">
        <v>11</v>
      </c>
      <c r="E4240" s="1" t="s">
        <v>11</v>
      </c>
    </row>
    <row r="4241" spans="1:5" ht="15.75" customHeight="1">
      <c r="A4241" s="1">
        <v>847780</v>
      </c>
      <c r="B4241" s="1" t="s">
        <v>4272</v>
      </c>
      <c r="C4241" s="1" t="s">
        <v>11</v>
      </c>
      <c r="D4241" s="1" t="s">
        <v>11</v>
      </c>
      <c r="E4241" s="1" t="s">
        <v>11</v>
      </c>
    </row>
    <row r="4242" spans="1:5" ht="15.75" customHeight="1">
      <c r="A4242" s="1">
        <v>847790</v>
      </c>
      <c r="B4242" s="1" t="s">
        <v>4273</v>
      </c>
      <c r="C4242" s="1" t="s">
        <v>11</v>
      </c>
      <c r="D4242" s="1" t="s">
        <v>11</v>
      </c>
      <c r="E4242" s="1" t="s">
        <v>11</v>
      </c>
    </row>
    <row r="4243" spans="1:5" ht="15.75" customHeight="1">
      <c r="A4243" s="1">
        <v>847810</v>
      </c>
      <c r="B4243" s="1" t="s">
        <v>4274</v>
      </c>
      <c r="C4243" s="1" t="s">
        <v>11</v>
      </c>
      <c r="D4243" s="1" t="s">
        <v>11</v>
      </c>
      <c r="E4243" s="1" t="s">
        <v>11</v>
      </c>
    </row>
    <row r="4244" spans="1:5" ht="15.75" customHeight="1">
      <c r="A4244" s="1">
        <v>847890</v>
      </c>
      <c r="B4244" s="1" t="s">
        <v>4275</v>
      </c>
      <c r="C4244" s="1" t="s">
        <v>11</v>
      </c>
      <c r="D4244" s="1" t="s">
        <v>11</v>
      </c>
      <c r="E4244" s="1" t="s">
        <v>11</v>
      </c>
    </row>
    <row r="4245" spans="1:5" ht="15.75" customHeight="1">
      <c r="A4245" s="1">
        <v>847910</v>
      </c>
      <c r="B4245" s="1" t="s">
        <v>4276</v>
      </c>
      <c r="C4245" s="1" t="s">
        <v>11</v>
      </c>
      <c r="D4245" s="1" t="s">
        <v>11</v>
      </c>
      <c r="E4245" s="1" t="s">
        <v>11</v>
      </c>
    </row>
    <row r="4246" spans="1:5" ht="15.75" customHeight="1">
      <c r="A4246" s="1">
        <v>847920</v>
      </c>
      <c r="B4246" s="1" t="s">
        <v>4277</v>
      </c>
      <c r="C4246" s="1" t="s">
        <v>11</v>
      </c>
      <c r="D4246" s="1" t="s">
        <v>11</v>
      </c>
      <c r="E4246" s="1" t="s">
        <v>11</v>
      </c>
    </row>
    <row r="4247" spans="1:5" ht="15.75" customHeight="1">
      <c r="A4247" s="1">
        <v>847930</v>
      </c>
      <c r="B4247" s="1" t="s">
        <v>4278</v>
      </c>
      <c r="C4247" s="1" t="s">
        <v>11</v>
      </c>
      <c r="D4247" s="1" t="s">
        <v>11</v>
      </c>
      <c r="E4247" s="1" t="s">
        <v>11</v>
      </c>
    </row>
    <row r="4248" spans="1:5" ht="15.75" customHeight="1">
      <c r="A4248" s="1">
        <v>847940</v>
      </c>
      <c r="B4248" s="1" t="s">
        <v>4279</v>
      </c>
      <c r="C4248" s="1" t="s">
        <v>11</v>
      </c>
      <c r="D4248" s="1" t="s">
        <v>11</v>
      </c>
      <c r="E4248" s="1" t="s">
        <v>11</v>
      </c>
    </row>
    <row r="4249" spans="1:5" ht="15.75" customHeight="1">
      <c r="A4249" s="1">
        <v>847950</v>
      </c>
      <c r="B4249" s="1" t="s">
        <v>4280</v>
      </c>
      <c r="C4249" s="1" t="s">
        <v>11</v>
      </c>
      <c r="D4249" s="1" t="s">
        <v>11</v>
      </c>
      <c r="E4249" s="1" t="s">
        <v>11</v>
      </c>
    </row>
    <row r="4250" spans="1:5" ht="15.75" customHeight="1">
      <c r="A4250" s="1">
        <v>847960</v>
      </c>
      <c r="B4250" s="1" t="s">
        <v>4281</v>
      </c>
      <c r="C4250" s="1" t="s">
        <v>11</v>
      </c>
      <c r="D4250" s="1" t="s">
        <v>11</v>
      </c>
      <c r="E4250" s="1" t="s">
        <v>11</v>
      </c>
    </row>
    <row r="4251" spans="1:5" ht="15.75" customHeight="1">
      <c r="A4251" s="1">
        <v>847981</v>
      </c>
      <c r="B4251" s="1" t="s">
        <v>4282</v>
      </c>
      <c r="C4251" s="1" t="s">
        <v>11</v>
      </c>
      <c r="D4251" s="1" t="s">
        <v>11</v>
      </c>
      <c r="E4251" s="1" t="s">
        <v>11</v>
      </c>
    </row>
    <row r="4252" spans="1:5" ht="15.75" customHeight="1">
      <c r="A4252" s="1">
        <v>847982</v>
      </c>
      <c r="B4252" s="1" t="s">
        <v>4283</v>
      </c>
      <c r="C4252" s="1" t="s">
        <v>11</v>
      </c>
      <c r="D4252" s="1" t="s">
        <v>11</v>
      </c>
      <c r="E4252" s="1" t="s">
        <v>11</v>
      </c>
    </row>
    <row r="4253" spans="1:5" ht="15.75" customHeight="1">
      <c r="A4253" s="1">
        <v>847989</v>
      </c>
      <c r="B4253" s="1" t="s">
        <v>4284</v>
      </c>
      <c r="C4253" s="1" t="s">
        <v>11</v>
      </c>
      <c r="D4253" s="1" t="s">
        <v>11</v>
      </c>
      <c r="E4253" s="1" t="s">
        <v>11</v>
      </c>
    </row>
    <row r="4254" spans="1:5" ht="15.75" customHeight="1">
      <c r="A4254" s="1">
        <v>847990</v>
      </c>
      <c r="B4254" s="1" t="s">
        <v>4285</v>
      </c>
      <c r="C4254" s="1" t="s">
        <v>11</v>
      </c>
      <c r="D4254" s="1" t="s">
        <v>11</v>
      </c>
      <c r="E4254" s="1" t="s">
        <v>11</v>
      </c>
    </row>
    <row r="4255" spans="1:5" ht="15.75" customHeight="1">
      <c r="A4255" s="1">
        <v>848010</v>
      </c>
      <c r="B4255" s="1" t="s">
        <v>4286</v>
      </c>
      <c r="C4255" s="1" t="s">
        <v>11</v>
      </c>
      <c r="D4255" s="1" t="s">
        <v>11</v>
      </c>
      <c r="E4255" s="1" t="s">
        <v>11</v>
      </c>
    </row>
    <row r="4256" spans="1:5" ht="15.75" customHeight="1">
      <c r="A4256" s="1">
        <v>848020</v>
      </c>
      <c r="B4256" s="1" t="s">
        <v>4287</v>
      </c>
      <c r="C4256" s="1" t="s">
        <v>11</v>
      </c>
      <c r="D4256" s="1" t="s">
        <v>11</v>
      </c>
      <c r="E4256" s="1" t="s">
        <v>11</v>
      </c>
    </row>
    <row r="4257" spans="1:5" ht="15.75" customHeight="1">
      <c r="A4257" s="1">
        <v>848030</v>
      </c>
      <c r="B4257" s="1" t="s">
        <v>4288</v>
      </c>
      <c r="C4257" s="1" t="s">
        <v>11</v>
      </c>
      <c r="D4257" s="1" t="s">
        <v>11</v>
      </c>
      <c r="E4257" s="1" t="s">
        <v>11</v>
      </c>
    </row>
    <row r="4258" spans="1:5" ht="15.75" customHeight="1">
      <c r="A4258" s="1">
        <v>848041</v>
      </c>
      <c r="B4258" s="1" t="s">
        <v>4289</v>
      </c>
      <c r="C4258" s="1" t="s">
        <v>11</v>
      </c>
      <c r="D4258" s="1" t="s">
        <v>11</v>
      </c>
      <c r="E4258" s="1" t="s">
        <v>11</v>
      </c>
    </row>
    <row r="4259" spans="1:5" ht="15.75" customHeight="1">
      <c r="A4259" s="1">
        <v>848049</v>
      </c>
      <c r="B4259" s="1" t="s">
        <v>4290</v>
      </c>
      <c r="C4259" s="1" t="s">
        <v>11</v>
      </c>
      <c r="D4259" s="1" t="s">
        <v>11</v>
      </c>
      <c r="E4259" s="1" t="s">
        <v>11</v>
      </c>
    </row>
    <row r="4260" spans="1:5" ht="15.75" customHeight="1">
      <c r="A4260" s="1">
        <v>848050</v>
      </c>
      <c r="B4260" s="1" t="s">
        <v>4291</v>
      </c>
      <c r="C4260" s="1" t="s">
        <v>11</v>
      </c>
      <c r="D4260" s="1" t="s">
        <v>11</v>
      </c>
      <c r="E4260" s="1" t="s">
        <v>11</v>
      </c>
    </row>
    <row r="4261" spans="1:5" ht="15.75" customHeight="1">
      <c r="A4261" s="1">
        <v>848060</v>
      </c>
      <c r="B4261" s="1" t="s">
        <v>4292</v>
      </c>
      <c r="C4261" s="1" t="s">
        <v>11</v>
      </c>
      <c r="D4261" s="1" t="s">
        <v>11</v>
      </c>
      <c r="E4261" s="1" t="s">
        <v>11</v>
      </c>
    </row>
    <row r="4262" spans="1:5" ht="15.75" customHeight="1">
      <c r="A4262" s="1">
        <v>848071</v>
      </c>
      <c r="B4262" s="1" t="s">
        <v>4293</v>
      </c>
      <c r="C4262" s="1" t="s">
        <v>11</v>
      </c>
      <c r="D4262" s="1" t="s">
        <v>11</v>
      </c>
      <c r="E4262" s="1" t="s">
        <v>11</v>
      </c>
    </row>
    <row r="4263" spans="1:5" ht="15.75" customHeight="1">
      <c r="A4263" s="1">
        <v>848079</v>
      </c>
      <c r="B4263" s="1" t="s">
        <v>4294</v>
      </c>
      <c r="C4263" s="1" t="s">
        <v>11</v>
      </c>
      <c r="D4263" s="1" t="s">
        <v>11</v>
      </c>
      <c r="E4263" s="1" t="s">
        <v>11</v>
      </c>
    </row>
    <row r="4264" spans="1:5" ht="15.75" customHeight="1">
      <c r="A4264" s="1">
        <v>848110</v>
      </c>
      <c r="B4264" s="1" t="s">
        <v>4295</v>
      </c>
      <c r="C4264" s="1" t="s">
        <v>11</v>
      </c>
      <c r="D4264" s="1" t="s">
        <v>11</v>
      </c>
      <c r="E4264" s="1" t="s">
        <v>11</v>
      </c>
    </row>
    <row r="4265" spans="1:5" ht="15.75" customHeight="1">
      <c r="A4265" s="1">
        <v>848120</v>
      </c>
      <c r="B4265" s="1" t="s">
        <v>4296</v>
      </c>
      <c r="C4265" s="1" t="s">
        <v>11</v>
      </c>
      <c r="D4265" s="1" t="s">
        <v>11</v>
      </c>
      <c r="E4265" s="1" t="s">
        <v>11</v>
      </c>
    </row>
    <row r="4266" spans="1:5" ht="15.75" customHeight="1">
      <c r="A4266" s="1">
        <v>848130</v>
      </c>
      <c r="B4266" s="1" t="s">
        <v>4297</v>
      </c>
      <c r="C4266" s="1" t="s">
        <v>11</v>
      </c>
      <c r="D4266" s="1" t="s">
        <v>11</v>
      </c>
      <c r="E4266" s="1" t="s">
        <v>11</v>
      </c>
    </row>
    <row r="4267" spans="1:5" ht="15.75" customHeight="1">
      <c r="A4267" s="1">
        <v>848140</v>
      </c>
      <c r="B4267" s="1" t="s">
        <v>4298</v>
      </c>
      <c r="C4267" s="1" t="s">
        <v>11</v>
      </c>
      <c r="D4267" s="1" t="s">
        <v>11</v>
      </c>
      <c r="E4267" s="1" t="s">
        <v>11</v>
      </c>
    </row>
    <row r="4268" spans="1:5" ht="15.75" customHeight="1">
      <c r="A4268" s="1">
        <v>848180</v>
      </c>
      <c r="B4268" s="1" t="s">
        <v>4299</v>
      </c>
      <c r="C4268" s="1" t="s">
        <v>11</v>
      </c>
      <c r="D4268" s="1" t="s">
        <v>11</v>
      </c>
      <c r="E4268" s="1" t="s">
        <v>11</v>
      </c>
    </row>
    <row r="4269" spans="1:5" ht="15.75" customHeight="1">
      <c r="A4269" s="1">
        <v>848190</v>
      </c>
      <c r="B4269" s="1" t="s">
        <v>4300</v>
      </c>
      <c r="C4269" s="1" t="s">
        <v>11</v>
      </c>
      <c r="D4269" s="1" t="s">
        <v>11</v>
      </c>
      <c r="E4269" s="1" t="s">
        <v>11</v>
      </c>
    </row>
    <row r="4270" spans="1:5" ht="15.75" customHeight="1">
      <c r="A4270" s="1">
        <v>848210</v>
      </c>
      <c r="B4270" s="1" t="s">
        <v>4301</v>
      </c>
      <c r="C4270" s="1" t="s">
        <v>11</v>
      </c>
      <c r="D4270" s="1" t="s">
        <v>11</v>
      </c>
      <c r="E4270" s="1" t="s">
        <v>11</v>
      </c>
    </row>
    <row r="4271" spans="1:5" ht="15.75" customHeight="1">
      <c r="A4271" s="1">
        <v>848220</v>
      </c>
      <c r="B4271" s="1" t="s">
        <v>4302</v>
      </c>
      <c r="C4271" s="1" t="s">
        <v>11</v>
      </c>
      <c r="D4271" s="1" t="s">
        <v>11</v>
      </c>
      <c r="E4271" s="1" t="s">
        <v>11</v>
      </c>
    </row>
    <row r="4272" spans="1:5" ht="15.75" customHeight="1">
      <c r="A4272" s="1">
        <v>848230</v>
      </c>
      <c r="B4272" s="1" t="s">
        <v>4303</v>
      </c>
      <c r="C4272" s="1" t="s">
        <v>11</v>
      </c>
      <c r="D4272" s="1" t="s">
        <v>11</v>
      </c>
      <c r="E4272" s="1" t="s">
        <v>11</v>
      </c>
    </row>
    <row r="4273" spans="1:5" ht="15.75" customHeight="1">
      <c r="A4273" s="1">
        <v>848240</v>
      </c>
      <c r="B4273" s="1" t="s">
        <v>4304</v>
      </c>
      <c r="C4273" s="1" t="s">
        <v>11</v>
      </c>
      <c r="D4273" s="1" t="s">
        <v>11</v>
      </c>
      <c r="E4273" s="1" t="s">
        <v>11</v>
      </c>
    </row>
    <row r="4274" spans="1:5" ht="15.75" customHeight="1">
      <c r="A4274" s="1">
        <v>848250</v>
      </c>
      <c r="B4274" s="1" t="s">
        <v>4305</v>
      </c>
      <c r="C4274" s="1" t="s">
        <v>11</v>
      </c>
      <c r="D4274" s="1" t="s">
        <v>11</v>
      </c>
      <c r="E4274" s="1" t="s">
        <v>11</v>
      </c>
    </row>
    <row r="4275" spans="1:5" ht="15.75" customHeight="1">
      <c r="A4275" s="1">
        <v>848280</v>
      </c>
      <c r="B4275" s="1" t="s">
        <v>4306</v>
      </c>
      <c r="C4275" s="1" t="s">
        <v>11</v>
      </c>
      <c r="D4275" s="1" t="s">
        <v>11</v>
      </c>
      <c r="E4275" s="1" t="s">
        <v>11</v>
      </c>
    </row>
    <row r="4276" spans="1:5" ht="15.75" customHeight="1">
      <c r="A4276" s="1">
        <v>848291</v>
      </c>
      <c r="B4276" s="1" t="s">
        <v>4307</v>
      </c>
      <c r="C4276" s="1" t="s">
        <v>11</v>
      </c>
      <c r="D4276" s="1" t="s">
        <v>11</v>
      </c>
      <c r="E4276" s="1" t="s">
        <v>11</v>
      </c>
    </row>
    <row r="4277" spans="1:5" ht="15.75" customHeight="1">
      <c r="A4277" s="1">
        <v>848299</v>
      </c>
      <c r="B4277" s="1" t="s">
        <v>4308</v>
      </c>
      <c r="C4277" s="1" t="s">
        <v>11</v>
      </c>
      <c r="D4277" s="1" t="s">
        <v>11</v>
      </c>
      <c r="E4277" s="1" t="s">
        <v>11</v>
      </c>
    </row>
    <row r="4278" spans="1:5" ht="15.75" customHeight="1">
      <c r="A4278" s="1">
        <v>848310</v>
      </c>
      <c r="B4278" s="1" t="s">
        <v>4309</v>
      </c>
      <c r="C4278" s="1" t="s">
        <v>11</v>
      </c>
      <c r="D4278" s="1" t="s">
        <v>11</v>
      </c>
      <c r="E4278" s="1" t="s">
        <v>11</v>
      </c>
    </row>
    <row r="4279" spans="1:5" ht="15.75" customHeight="1">
      <c r="A4279" s="1">
        <v>848320</v>
      </c>
      <c r="B4279" s="1" t="s">
        <v>4310</v>
      </c>
      <c r="C4279" s="1" t="s">
        <v>11</v>
      </c>
      <c r="D4279" s="1" t="s">
        <v>11</v>
      </c>
      <c r="E4279" s="1" t="s">
        <v>11</v>
      </c>
    </row>
    <row r="4280" spans="1:5" ht="15.75" customHeight="1">
      <c r="A4280" s="1">
        <v>848330</v>
      </c>
      <c r="B4280" s="1" t="s">
        <v>4311</v>
      </c>
      <c r="C4280" s="1" t="s">
        <v>11</v>
      </c>
      <c r="D4280" s="1" t="s">
        <v>11</v>
      </c>
      <c r="E4280" s="1" t="s">
        <v>11</v>
      </c>
    </row>
    <row r="4281" spans="1:5" ht="15.75" customHeight="1">
      <c r="A4281" s="1">
        <v>848340</v>
      </c>
      <c r="B4281" s="1" t="s">
        <v>4312</v>
      </c>
      <c r="C4281" s="1" t="s">
        <v>11</v>
      </c>
      <c r="D4281" s="1" t="s">
        <v>11</v>
      </c>
      <c r="E4281" s="1" t="s">
        <v>11</v>
      </c>
    </row>
    <row r="4282" spans="1:5" ht="15.75" customHeight="1">
      <c r="A4282" s="1">
        <v>848350</v>
      </c>
      <c r="B4282" s="1" t="s">
        <v>4313</v>
      </c>
      <c r="C4282" s="1" t="s">
        <v>11</v>
      </c>
      <c r="D4282" s="1" t="s">
        <v>11</v>
      </c>
      <c r="E4282" s="1" t="s">
        <v>11</v>
      </c>
    </row>
    <row r="4283" spans="1:5" ht="15.75" customHeight="1">
      <c r="A4283" s="1">
        <v>848360</v>
      </c>
      <c r="B4283" s="1" t="s">
        <v>4314</v>
      </c>
      <c r="C4283" s="1" t="s">
        <v>11</v>
      </c>
      <c r="D4283" s="1" t="s">
        <v>11</v>
      </c>
      <c r="E4283" s="1" t="s">
        <v>11</v>
      </c>
    </row>
    <row r="4284" spans="1:5" ht="15.75" customHeight="1">
      <c r="A4284" s="1">
        <v>848390</v>
      </c>
      <c r="B4284" s="1" t="s">
        <v>4315</v>
      </c>
      <c r="C4284" s="1" t="s">
        <v>11</v>
      </c>
      <c r="D4284" s="1" t="s">
        <v>11</v>
      </c>
      <c r="E4284" s="1" t="s">
        <v>11</v>
      </c>
    </row>
    <row r="4285" spans="1:5" ht="15.75" customHeight="1">
      <c r="A4285" s="1">
        <v>848410</v>
      </c>
      <c r="B4285" s="1" t="s">
        <v>4316</v>
      </c>
      <c r="C4285" s="1" t="s">
        <v>11</v>
      </c>
      <c r="D4285" s="1" t="s">
        <v>11</v>
      </c>
      <c r="E4285" s="1" t="s">
        <v>11</v>
      </c>
    </row>
    <row r="4286" spans="1:5" ht="15.75" customHeight="1">
      <c r="A4286" s="1">
        <v>848420</v>
      </c>
      <c r="B4286" s="1" t="s">
        <v>4317</v>
      </c>
      <c r="C4286" s="1" t="s">
        <v>11</v>
      </c>
      <c r="D4286" s="1" t="s">
        <v>11</v>
      </c>
      <c r="E4286" s="1" t="s">
        <v>11</v>
      </c>
    </row>
    <row r="4287" spans="1:5" ht="15.75" customHeight="1">
      <c r="A4287" s="1">
        <v>848490</v>
      </c>
      <c r="B4287" s="1" t="s">
        <v>4318</v>
      </c>
      <c r="C4287" s="1" t="s">
        <v>11</v>
      </c>
      <c r="D4287" s="1" t="s">
        <v>11</v>
      </c>
      <c r="E4287" s="1" t="s">
        <v>11</v>
      </c>
    </row>
    <row r="4288" spans="1:5" ht="15.75" customHeight="1">
      <c r="A4288" s="1">
        <v>848610</v>
      </c>
      <c r="B4288" s="1" t="s">
        <v>4319</v>
      </c>
      <c r="C4288" s="1" t="s">
        <v>11</v>
      </c>
      <c r="D4288" s="1" t="s">
        <v>11</v>
      </c>
      <c r="E4288" s="1" t="s">
        <v>11</v>
      </c>
    </row>
    <row r="4289" spans="1:5" ht="15.75" customHeight="1">
      <c r="A4289" s="1">
        <v>848620</v>
      </c>
      <c r="B4289" s="1" t="s">
        <v>4320</v>
      </c>
      <c r="C4289" s="1" t="s">
        <v>11</v>
      </c>
      <c r="D4289" s="1" t="s">
        <v>11</v>
      </c>
      <c r="E4289" s="1" t="s">
        <v>11</v>
      </c>
    </row>
    <row r="4290" spans="1:5" ht="15.75" customHeight="1">
      <c r="A4290" s="1">
        <v>848630</v>
      </c>
      <c r="B4290" s="1" t="s">
        <v>4321</v>
      </c>
      <c r="C4290" s="1" t="s">
        <v>11</v>
      </c>
      <c r="D4290" s="1" t="s">
        <v>11</v>
      </c>
      <c r="E4290" s="1" t="s">
        <v>11</v>
      </c>
    </row>
    <row r="4291" spans="1:5" ht="15.75" customHeight="1">
      <c r="A4291" s="1">
        <v>848640</v>
      </c>
      <c r="B4291" s="1" t="s">
        <v>4322</v>
      </c>
      <c r="C4291" s="1" t="s">
        <v>11</v>
      </c>
      <c r="D4291" s="1" t="s">
        <v>11</v>
      </c>
      <c r="E4291" s="1" t="s">
        <v>11</v>
      </c>
    </row>
    <row r="4292" spans="1:5" ht="15.75" customHeight="1">
      <c r="A4292" s="1">
        <v>848690</v>
      </c>
      <c r="B4292" s="1" t="s">
        <v>4323</v>
      </c>
      <c r="C4292" s="1" t="s">
        <v>11</v>
      </c>
      <c r="D4292" s="1" t="s">
        <v>11</v>
      </c>
      <c r="E4292" s="1" t="s">
        <v>11</v>
      </c>
    </row>
    <row r="4293" spans="1:5" ht="15.75" customHeight="1">
      <c r="A4293" s="1">
        <v>848710</v>
      </c>
      <c r="B4293" s="1" t="s">
        <v>4324</v>
      </c>
      <c r="C4293" s="1" t="s">
        <v>11</v>
      </c>
      <c r="D4293" s="1" t="s">
        <v>11</v>
      </c>
      <c r="E4293" s="1" t="s">
        <v>11</v>
      </c>
    </row>
    <row r="4294" spans="1:5" ht="15.75" customHeight="1">
      <c r="A4294" s="1">
        <v>848790</v>
      </c>
      <c r="B4294" s="1" t="s">
        <v>4325</v>
      </c>
      <c r="C4294" s="1" t="s">
        <v>11</v>
      </c>
      <c r="D4294" s="1" t="s">
        <v>11</v>
      </c>
      <c r="E4294" s="1" t="s">
        <v>11</v>
      </c>
    </row>
    <row r="4295" spans="1:5" ht="15.75" customHeight="1">
      <c r="A4295" s="1">
        <v>850110</v>
      </c>
      <c r="B4295" s="1" t="s">
        <v>4326</v>
      </c>
      <c r="C4295" s="1" t="s">
        <v>11</v>
      </c>
      <c r="D4295" s="1" t="s">
        <v>11</v>
      </c>
      <c r="E4295" s="1" t="s">
        <v>11</v>
      </c>
    </row>
    <row r="4296" spans="1:5" ht="15.75" customHeight="1">
      <c r="A4296" s="1">
        <v>850120</v>
      </c>
      <c r="B4296" s="1" t="s">
        <v>4327</v>
      </c>
      <c r="C4296" s="1" t="s">
        <v>11</v>
      </c>
      <c r="D4296" s="1" t="s">
        <v>11</v>
      </c>
      <c r="E4296" s="1" t="s">
        <v>11</v>
      </c>
    </row>
    <row r="4297" spans="1:5" ht="15.75" customHeight="1">
      <c r="A4297" s="1">
        <v>850131</v>
      </c>
      <c r="B4297" s="1" t="s">
        <v>4328</v>
      </c>
      <c r="C4297" s="1" t="s">
        <v>11</v>
      </c>
      <c r="D4297" s="1" t="s">
        <v>11</v>
      </c>
      <c r="E4297" s="1" t="s">
        <v>11</v>
      </c>
    </row>
    <row r="4298" spans="1:5" ht="15.75" customHeight="1">
      <c r="A4298" s="1">
        <v>850132</v>
      </c>
      <c r="B4298" s="1" t="s">
        <v>4329</v>
      </c>
      <c r="C4298" s="1" t="s">
        <v>11</v>
      </c>
      <c r="D4298" s="1" t="s">
        <v>11</v>
      </c>
      <c r="E4298" s="1" t="s">
        <v>11</v>
      </c>
    </row>
    <row r="4299" spans="1:5" ht="15.75" customHeight="1">
      <c r="A4299" s="1">
        <v>850133</v>
      </c>
      <c r="B4299" s="1" t="s">
        <v>4330</v>
      </c>
      <c r="C4299" s="1" t="s">
        <v>11</v>
      </c>
      <c r="D4299" s="1" t="s">
        <v>11</v>
      </c>
      <c r="E4299" s="1" t="s">
        <v>11</v>
      </c>
    </row>
    <row r="4300" spans="1:5" ht="15.75" customHeight="1">
      <c r="A4300" s="1">
        <v>850134</v>
      </c>
      <c r="B4300" s="1" t="s">
        <v>4331</v>
      </c>
      <c r="C4300" s="1" t="s">
        <v>11</v>
      </c>
      <c r="D4300" s="1" t="s">
        <v>11</v>
      </c>
      <c r="E4300" s="1" t="s">
        <v>11</v>
      </c>
    </row>
    <row r="4301" spans="1:5" ht="15.75" customHeight="1">
      <c r="A4301" s="1">
        <v>850140</v>
      </c>
      <c r="B4301" s="1" t="s">
        <v>4332</v>
      </c>
      <c r="C4301" s="1" t="s">
        <v>11</v>
      </c>
      <c r="D4301" s="1" t="s">
        <v>11</v>
      </c>
      <c r="E4301" s="1" t="s">
        <v>11</v>
      </c>
    </row>
    <row r="4302" spans="1:5" ht="15.75" customHeight="1">
      <c r="A4302" s="1">
        <v>850151</v>
      </c>
      <c r="B4302" s="1" t="s">
        <v>4333</v>
      </c>
      <c r="C4302" s="1" t="s">
        <v>11</v>
      </c>
      <c r="D4302" s="1" t="s">
        <v>11</v>
      </c>
      <c r="E4302" s="1" t="s">
        <v>11</v>
      </c>
    </row>
    <row r="4303" spans="1:5" ht="15.75" customHeight="1">
      <c r="A4303" s="1">
        <v>850152</v>
      </c>
      <c r="B4303" s="1" t="s">
        <v>4334</v>
      </c>
      <c r="C4303" s="1" t="s">
        <v>11</v>
      </c>
      <c r="D4303" s="1" t="s">
        <v>11</v>
      </c>
      <c r="E4303" s="1" t="s">
        <v>11</v>
      </c>
    </row>
    <row r="4304" spans="1:5" ht="15.75" customHeight="1">
      <c r="A4304" s="1">
        <v>850153</v>
      </c>
      <c r="B4304" s="1" t="s">
        <v>4335</v>
      </c>
      <c r="C4304" s="1" t="s">
        <v>11</v>
      </c>
      <c r="D4304" s="1" t="s">
        <v>11</v>
      </c>
      <c r="E4304" s="1" t="s">
        <v>11</v>
      </c>
    </row>
    <row r="4305" spans="1:5" ht="15.75" customHeight="1">
      <c r="A4305" s="1">
        <v>850161</v>
      </c>
      <c r="B4305" s="1" t="s">
        <v>4336</v>
      </c>
      <c r="C4305" s="1" t="s">
        <v>11</v>
      </c>
      <c r="D4305" s="1" t="s">
        <v>11</v>
      </c>
      <c r="E4305" s="1" t="s">
        <v>11</v>
      </c>
    </row>
    <row r="4306" spans="1:5" ht="15.75" customHeight="1">
      <c r="A4306" s="1">
        <v>850162</v>
      </c>
      <c r="B4306" s="1" t="s">
        <v>4337</v>
      </c>
      <c r="C4306" s="1" t="s">
        <v>11</v>
      </c>
      <c r="D4306" s="1" t="s">
        <v>11</v>
      </c>
      <c r="E4306" s="1" t="s">
        <v>11</v>
      </c>
    </row>
    <row r="4307" spans="1:5" ht="15.75" customHeight="1">
      <c r="A4307" s="1">
        <v>850163</v>
      </c>
      <c r="B4307" s="1" t="s">
        <v>4338</v>
      </c>
      <c r="C4307" s="1" t="s">
        <v>11</v>
      </c>
      <c r="D4307" s="1" t="s">
        <v>11</v>
      </c>
      <c r="E4307" s="1" t="s">
        <v>11</v>
      </c>
    </row>
    <row r="4308" spans="1:5" ht="15.75" customHeight="1">
      <c r="A4308" s="1">
        <v>850164</v>
      </c>
      <c r="B4308" s="1" t="s">
        <v>4339</v>
      </c>
      <c r="C4308" s="1" t="s">
        <v>11</v>
      </c>
      <c r="D4308" s="1" t="s">
        <v>11</v>
      </c>
      <c r="E4308" s="1" t="s">
        <v>11</v>
      </c>
    </row>
    <row r="4309" spans="1:5" ht="15.75" customHeight="1">
      <c r="A4309" s="1">
        <v>850211</v>
      </c>
      <c r="B4309" s="1" t="s">
        <v>4340</v>
      </c>
      <c r="C4309" s="1" t="s">
        <v>11</v>
      </c>
      <c r="D4309" s="1" t="s">
        <v>11</v>
      </c>
      <c r="E4309" s="1" t="s">
        <v>11</v>
      </c>
    </row>
    <row r="4310" spans="1:5" ht="15.75" customHeight="1">
      <c r="A4310" s="1">
        <v>850212</v>
      </c>
      <c r="B4310" s="1" t="s">
        <v>4341</v>
      </c>
      <c r="C4310" s="1" t="s">
        <v>11</v>
      </c>
      <c r="D4310" s="1" t="s">
        <v>11</v>
      </c>
      <c r="E4310" s="1" t="s">
        <v>11</v>
      </c>
    </row>
    <row r="4311" spans="1:5" ht="15.75" customHeight="1">
      <c r="A4311" s="1">
        <v>850213</v>
      </c>
      <c r="B4311" s="1" t="s">
        <v>4342</v>
      </c>
      <c r="C4311" s="1" t="s">
        <v>11</v>
      </c>
      <c r="D4311" s="1" t="s">
        <v>11</v>
      </c>
      <c r="E4311" s="1" t="s">
        <v>11</v>
      </c>
    </row>
    <row r="4312" spans="1:5" ht="15.75" customHeight="1">
      <c r="A4312" s="1">
        <v>850220</v>
      </c>
      <c r="B4312" s="1" t="s">
        <v>4343</v>
      </c>
      <c r="C4312" s="1" t="s">
        <v>11</v>
      </c>
      <c r="D4312" s="1" t="s">
        <v>11</v>
      </c>
      <c r="E4312" s="1" t="s">
        <v>11</v>
      </c>
    </row>
    <row r="4313" spans="1:5" ht="15.75" customHeight="1">
      <c r="A4313" s="1">
        <v>850231</v>
      </c>
      <c r="B4313" s="1" t="s">
        <v>4344</v>
      </c>
      <c r="C4313" s="1" t="s">
        <v>11</v>
      </c>
      <c r="D4313" s="1" t="s">
        <v>11</v>
      </c>
      <c r="E4313" s="1" t="s">
        <v>11</v>
      </c>
    </row>
    <row r="4314" spans="1:5" ht="15.75" customHeight="1">
      <c r="A4314" s="1">
        <v>850239</v>
      </c>
      <c r="B4314" s="1" t="s">
        <v>4345</v>
      </c>
      <c r="C4314" s="1" t="s">
        <v>11</v>
      </c>
      <c r="D4314" s="1" t="s">
        <v>11</v>
      </c>
      <c r="E4314" s="1" t="s">
        <v>11</v>
      </c>
    </row>
    <row r="4315" spans="1:5" ht="15.75" customHeight="1">
      <c r="A4315" s="1">
        <v>850240</v>
      </c>
      <c r="B4315" s="1" t="s">
        <v>4346</v>
      </c>
      <c r="C4315" s="1" t="s">
        <v>11</v>
      </c>
      <c r="D4315" s="1" t="s">
        <v>11</v>
      </c>
      <c r="E4315" s="1" t="s">
        <v>11</v>
      </c>
    </row>
    <row r="4316" spans="1:5" ht="15.75" customHeight="1">
      <c r="A4316" s="1">
        <v>850300</v>
      </c>
      <c r="B4316" s="1" t="s">
        <v>4347</v>
      </c>
      <c r="C4316" s="1" t="s">
        <v>11</v>
      </c>
      <c r="D4316" s="1" t="s">
        <v>11</v>
      </c>
      <c r="E4316" s="1" t="s">
        <v>11</v>
      </c>
    </row>
    <row r="4317" spans="1:5" ht="15.75" customHeight="1">
      <c r="A4317" s="1">
        <v>850410</v>
      </c>
      <c r="B4317" s="1" t="s">
        <v>4348</v>
      </c>
      <c r="C4317" s="1" t="s">
        <v>11</v>
      </c>
      <c r="D4317" s="1" t="s">
        <v>11</v>
      </c>
      <c r="E4317" s="1" t="s">
        <v>11</v>
      </c>
    </row>
    <row r="4318" spans="1:5" ht="15.75" customHeight="1">
      <c r="A4318" s="1">
        <v>850421</v>
      </c>
      <c r="B4318" s="1" t="s">
        <v>4349</v>
      </c>
      <c r="C4318" s="1" t="s">
        <v>11</v>
      </c>
      <c r="D4318" s="1" t="s">
        <v>11</v>
      </c>
      <c r="E4318" s="1" t="s">
        <v>11</v>
      </c>
    </row>
    <row r="4319" spans="1:5" ht="15.75" customHeight="1">
      <c r="A4319" s="1">
        <v>850422</v>
      </c>
      <c r="B4319" s="1" t="s">
        <v>4350</v>
      </c>
      <c r="C4319" s="1" t="s">
        <v>11</v>
      </c>
      <c r="D4319" s="1" t="s">
        <v>11</v>
      </c>
      <c r="E4319" s="1" t="s">
        <v>11</v>
      </c>
    </row>
    <row r="4320" spans="1:5" ht="15.75" customHeight="1">
      <c r="A4320" s="1">
        <v>850423</v>
      </c>
      <c r="B4320" s="1" t="s">
        <v>4351</v>
      </c>
      <c r="C4320" s="1" t="s">
        <v>11</v>
      </c>
      <c r="D4320" s="1" t="s">
        <v>11</v>
      </c>
      <c r="E4320" s="1" t="s">
        <v>11</v>
      </c>
    </row>
    <row r="4321" spans="1:5" ht="15.75" customHeight="1">
      <c r="A4321" s="1">
        <v>850431</v>
      </c>
      <c r="B4321" s="1" t="s">
        <v>4352</v>
      </c>
      <c r="C4321" s="1" t="s">
        <v>11</v>
      </c>
      <c r="D4321" s="1" t="s">
        <v>11</v>
      </c>
      <c r="E4321" s="1" t="s">
        <v>11</v>
      </c>
    </row>
    <row r="4322" spans="1:5" ht="15.75" customHeight="1">
      <c r="A4322" s="1">
        <v>850432</v>
      </c>
      <c r="B4322" s="1" t="s">
        <v>4353</v>
      </c>
      <c r="C4322" s="1" t="s">
        <v>11</v>
      </c>
      <c r="D4322" s="1" t="s">
        <v>11</v>
      </c>
      <c r="E4322" s="1" t="s">
        <v>11</v>
      </c>
    </row>
    <row r="4323" spans="1:5" ht="15.75" customHeight="1">
      <c r="A4323" s="1">
        <v>850433</v>
      </c>
      <c r="B4323" s="1" t="s">
        <v>4354</v>
      </c>
      <c r="C4323" s="1" t="s">
        <v>11</v>
      </c>
      <c r="D4323" s="1" t="s">
        <v>11</v>
      </c>
      <c r="E4323" s="1" t="s">
        <v>11</v>
      </c>
    </row>
    <row r="4324" spans="1:5" ht="15.75" customHeight="1">
      <c r="A4324" s="1">
        <v>850434</v>
      </c>
      <c r="B4324" s="1" t="s">
        <v>4355</v>
      </c>
      <c r="C4324" s="1" t="s">
        <v>11</v>
      </c>
      <c r="D4324" s="1" t="s">
        <v>11</v>
      </c>
      <c r="E4324" s="1" t="s">
        <v>11</v>
      </c>
    </row>
    <row r="4325" spans="1:5" ht="15.75" customHeight="1">
      <c r="A4325" s="1">
        <v>850440</v>
      </c>
      <c r="B4325" s="1" t="s">
        <v>4356</v>
      </c>
      <c r="C4325" s="1" t="s">
        <v>11</v>
      </c>
      <c r="D4325" s="1" t="s">
        <v>11</v>
      </c>
      <c r="E4325" s="1" t="s">
        <v>11</v>
      </c>
    </row>
    <row r="4326" spans="1:5" ht="15.75" customHeight="1">
      <c r="A4326" s="1">
        <v>850450</v>
      </c>
      <c r="B4326" s="1" t="s">
        <v>4357</v>
      </c>
      <c r="C4326" s="1" t="s">
        <v>11</v>
      </c>
      <c r="D4326" s="1" t="s">
        <v>11</v>
      </c>
      <c r="E4326" s="1" t="s">
        <v>11</v>
      </c>
    </row>
    <row r="4327" spans="1:5" ht="15.75" customHeight="1">
      <c r="A4327" s="1">
        <v>850490</v>
      </c>
      <c r="B4327" s="1" t="s">
        <v>4358</v>
      </c>
      <c r="C4327" s="1" t="s">
        <v>11</v>
      </c>
      <c r="D4327" s="1" t="s">
        <v>11</v>
      </c>
      <c r="E4327" s="1" t="s">
        <v>11</v>
      </c>
    </row>
    <row r="4328" spans="1:5" ht="15.75" customHeight="1">
      <c r="A4328" s="1">
        <v>850511</v>
      </c>
      <c r="B4328" s="1" t="s">
        <v>4359</v>
      </c>
      <c r="C4328" s="1" t="s">
        <v>11</v>
      </c>
      <c r="D4328" s="1" t="s">
        <v>11</v>
      </c>
      <c r="E4328" s="1" t="s">
        <v>11</v>
      </c>
    </row>
    <row r="4329" spans="1:5" ht="15.75" customHeight="1">
      <c r="A4329" s="1">
        <v>850519</v>
      </c>
      <c r="B4329" s="1" t="s">
        <v>4360</v>
      </c>
      <c r="C4329" s="1" t="s">
        <v>11</v>
      </c>
      <c r="D4329" s="1" t="s">
        <v>11</v>
      </c>
      <c r="E4329" s="1" t="s">
        <v>11</v>
      </c>
    </row>
    <row r="4330" spans="1:5" ht="15.75" customHeight="1">
      <c r="A4330" s="1">
        <v>850520</v>
      </c>
      <c r="B4330" s="1" t="s">
        <v>4361</v>
      </c>
      <c r="C4330" s="1" t="s">
        <v>11</v>
      </c>
      <c r="D4330" s="1" t="s">
        <v>11</v>
      </c>
      <c r="E4330" s="1" t="s">
        <v>11</v>
      </c>
    </row>
    <row r="4331" spans="1:5" ht="15.75" customHeight="1">
      <c r="A4331" s="1">
        <v>850590</v>
      </c>
      <c r="B4331" s="1" t="s">
        <v>4362</v>
      </c>
      <c r="C4331" s="1" t="s">
        <v>11</v>
      </c>
      <c r="D4331" s="1" t="s">
        <v>11</v>
      </c>
      <c r="E4331" s="1" t="s">
        <v>11</v>
      </c>
    </row>
    <row r="4332" spans="1:5" ht="15.75" customHeight="1">
      <c r="A4332" s="1">
        <v>850610</v>
      </c>
      <c r="B4332" s="1" t="s">
        <v>4363</v>
      </c>
      <c r="C4332" s="1" t="s">
        <v>11</v>
      </c>
      <c r="D4332" s="1" t="s">
        <v>11</v>
      </c>
      <c r="E4332" s="1" t="s">
        <v>11</v>
      </c>
    </row>
    <row r="4333" spans="1:5" ht="15.75" customHeight="1">
      <c r="A4333" s="1">
        <v>850630</v>
      </c>
      <c r="B4333" s="1" t="s">
        <v>4364</v>
      </c>
      <c r="C4333" s="1" t="s">
        <v>11</v>
      </c>
      <c r="D4333" s="1" t="s">
        <v>11</v>
      </c>
      <c r="E4333" s="1" t="s">
        <v>11</v>
      </c>
    </row>
    <row r="4334" spans="1:5" ht="15.75" customHeight="1">
      <c r="A4334" s="1">
        <v>850640</v>
      </c>
      <c r="B4334" s="1" t="s">
        <v>4365</v>
      </c>
      <c r="C4334" s="1" t="s">
        <v>11</v>
      </c>
      <c r="D4334" s="1" t="s">
        <v>11</v>
      </c>
      <c r="E4334" s="1" t="s">
        <v>11</v>
      </c>
    </row>
    <row r="4335" spans="1:5" ht="15.75" customHeight="1">
      <c r="A4335" s="1">
        <v>850650</v>
      </c>
      <c r="B4335" s="1" t="s">
        <v>4366</v>
      </c>
      <c r="C4335" s="1" t="s">
        <v>11</v>
      </c>
      <c r="D4335" s="1" t="s">
        <v>11</v>
      </c>
      <c r="E4335" s="1" t="s">
        <v>11</v>
      </c>
    </row>
    <row r="4336" spans="1:5" ht="15.75" customHeight="1">
      <c r="A4336" s="1">
        <v>850660</v>
      </c>
      <c r="B4336" s="1" t="s">
        <v>4367</v>
      </c>
      <c r="C4336" s="1" t="s">
        <v>11</v>
      </c>
      <c r="D4336" s="1" t="s">
        <v>11</v>
      </c>
      <c r="E4336" s="1" t="s">
        <v>11</v>
      </c>
    </row>
    <row r="4337" spans="1:5" ht="15.75" customHeight="1">
      <c r="A4337" s="1">
        <v>850680</v>
      </c>
      <c r="B4337" s="1" t="s">
        <v>4368</v>
      </c>
      <c r="C4337" s="1" t="s">
        <v>11</v>
      </c>
      <c r="D4337" s="1" t="s">
        <v>11</v>
      </c>
      <c r="E4337" s="1" t="s">
        <v>11</v>
      </c>
    </row>
    <row r="4338" spans="1:5" ht="15.75" customHeight="1">
      <c r="A4338" s="1">
        <v>850690</v>
      </c>
      <c r="B4338" s="1" t="s">
        <v>4369</v>
      </c>
      <c r="C4338" s="1" t="s">
        <v>11</v>
      </c>
      <c r="D4338" s="1" t="s">
        <v>11</v>
      </c>
      <c r="E4338" s="1" t="s">
        <v>11</v>
      </c>
    </row>
    <row r="4339" spans="1:5" ht="15.75" customHeight="1">
      <c r="A4339" s="1">
        <v>850710</v>
      </c>
      <c r="B4339" s="1" t="s">
        <v>4370</v>
      </c>
      <c r="C4339" s="1" t="s">
        <v>11</v>
      </c>
      <c r="D4339" s="1" t="s">
        <v>11</v>
      </c>
      <c r="E4339" s="1" t="s">
        <v>11</v>
      </c>
    </row>
    <row r="4340" spans="1:5" ht="15.75" customHeight="1">
      <c r="A4340" s="1">
        <v>850720</v>
      </c>
      <c r="B4340" s="1" t="s">
        <v>4371</v>
      </c>
      <c r="C4340" s="1" t="s">
        <v>11</v>
      </c>
      <c r="D4340" s="1" t="s">
        <v>11</v>
      </c>
      <c r="E4340" s="1" t="s">
        <v>11</v>
      </c>
    </row>
    <row r="4341" spans="1:5" ht="15.75" customHeight="1">
      <c r="A4341" s="1">
        <v>850730</v>
      </c>
      <c r="B4341" s="1" t="s">
        <v>4372</v>
      </c>
      <c r="C4341" s="1" t="s">
        <v>11</v>
      </c>
      <c r="D4341" s="1" t="s">
        <v>11</v>
      </c>
      <c r="E4341" s="1" t="s">
        <v>11</v>
      </c>
    </row>
    <row r="4342" spans="1:5" ht="15.75" customHeight="1">
      <c r="A4342" s="1">
        <v>850740</v>
      </c>
      <c r="B4342" s="1" t="s">
        <v>4373</v>
      </c>
      <c r="C4342" s="1" t="s">
        <v>11</v>
      </c>
      <c r="D4342" s="1" t="s">
        <v>11</v>
      </c>
      <c r="E4342" s="1" t="s">
        <v>11</v>
      </c>
    </row>
    <row r="4343" spans="1:5" ht="15.75" customHeight="1">
      <c r="A4343" s="1">
        <v>850780</v>
      </c>
      <c r="B4343" s="1" t="s">
        <v>4374</v>
      </c>
      <c r="C4343" s="1" t="s">
        <v>11</v>
      </c>
      <c r="D4343" s="1" t="s">
        <v>11</v>
      </c>
      <c r="E4343" s="1" t="s">
        <v>11</v>
      </c>
    </row>
    <row r="4344" spans="1:5" ht="15.75" customHeight="1">
      <c r="A4344" s="1">
        <v>850790</v>
      </c>
      <c r="B4344" s="1" t="s">
        <v>4375</v>
      </c>
      <c r="C4344" s="1" t="s">
        <v>11</v>
      </c>
      <c r="D4344" s="1" t="s">
        <v>11</v>
      </c>
      <c r="E4344" s="1" t="s">
        <v>11</v>
      </c>
    </row>
    <row r="4345" spans="1:5" ht="15.75" customHeight="1">
      <c r="A4345" s="1">
        <v>850811</v>
      </c>
      <c r="B4345" s="1" t="s">
        <v>4376</v>
      </c>
      <c r="C4345" s="1" t="s">
        <v>11</v>
      </c>
      <c r="D4345" s="1" t="s">
        <v>11</v>
      </c>
      <c r="E4345" s="1" t="s">
        <v>11</v>
      </c>
    </row>
    <row r="4346" spans="1:5" ht="15.75" customHeight="1">
      <c r="A4346" s="1">
        <v>850819</v>
      </c>
      <c r="B4346" s="1" t="s">
        <v>4377</v>
      </c>
      <c r="C4346" s="1" t="s">
        <v>11</v>
      </c>
      <c r="D4346" s="1" t="s">
        <v>11</v>
      </c>
      <c r="E4346" s="1" t="s">
        <v>11</v>
      </c>
    </row>
    <row r="4347" spans="1:5" ht="15.75" customHeight="1">
      <c r="A4347" s="1">
        <v>850860</v>
      </c>
      <c r="B4347" s="1" t="s">
        <v>4378</v>
      </c>
      <c r="C4347" s="1" t="s">
        <v>11</v>
      </c>
      <c r="D4347" s="1" t="s">
        <v>11</v>
      </c>
      <c r="E4347" s="1" t="s">
        <v>11</v>
      </c>
    </row>
    <row r="4348" spans="1:5" ht="15.75" customHeight="1">
      <c r="A4348" s="1">
        <v>850870</v>
      </c>
      <c r="B4348" s="1" t="s">
        <v>4379</v>
      </c>
      <c r="C4348" s="1" t="s">
        <v>11</v>
      </c>
      <c r="D4348" s="1" t="s">
        <v>11</v>
      </c>
      <c r="E4348" s="1" t="s">
        <v>11</v>
      </c>
    </row>
    <row r="4349" spans="1:5" ht="15.75" customHeight="1">
      <c r="A4349" s="1">
        <v>850940</v>
      </c>
      <c r="B4349" s="1" t="s">
        <v>4380</v>
      </c>
      <c r="C4349" s="1" t="s">
        <v>11</v>
      </c>
      <c r="D4349" s="1" t="s">
        <v>11</v>
      </c>
      <c r="E4349" s="1" t="s">
        <v>11</v>
      </c>
    </row>
    <row r="4350" spans="1:5" ht="15.75" customHeight="1">
      <c r="A4350" s="1">
        <v>850980</v>
      </c>
      <c r="B4350" s="1" t="s">
        <v>4381</v>
      </c>
      <c r="C4350" s="1" t="s">
        <v>11</v>
      </c>
      <c r="D4350" s="1" t="s">
        <v>11</v>
      </c>
      <c r="E4350" s="1" t="s">
        <v>11</v>
      </c>
    </row>
    <row r="4351" spans="1:5" ht="15.75" customHeight="1">
      <c r="A4351" s="1">
        <v>850990</v>
      </c>
      <c r="B4351" s="1" t="s">
        <v>4382</v>
      </c>
      <c r="C4351" s="1" t="s">
        <v>11</v>
      </c>
      <c r="D4351" s="1" t="s">
        <v>11</v>
      </c>
      <c r="E4351" s="1" t="s">
        <v>11</v>
      </c>
    </row>
    <row r="4352" spans="1:5" ht="15.75" customHeight="1">
      <c r="A4352" s="1">
        <v>851010</v>
      </c>
      <c r="B4352" s="1" t="s">
        <v>4383</v>
      </c>
      <c r="C4352" s="1" t="s">
        <v>11</v>
      </c>
      <c r="D4352" s="1" t="s">
        <v>11</v>
      </c>
      <c r="E4352" s="1" t="s">
        <v>11</v>
      </c>
    </row>
    <row r="4353" spans="1:5" ht="15.75" customHeight="1">
      <c r="A4353" s="1">
        <v>851020</v>
      </c>
      <c r="B4353" s="1" t="s">
        <v>4384</v>
      </c>
      <c r="C4353" s="1" t="s">
        <v>11</v>
      </c>
      <c r="D4353" s="1" t="s">
        <v>11</v>
      </c>
      <c r="E4353" s="1" t="s">
        <v>11</v>
      </c>
    </row>
    <row r="4354" spans="1:5" ht="15.75" customHeight="1">
      <c r="A4354" s="1">
        <v>851030</v>
      </c>
      <c r="B4354" s="1" t="s">
        <v>4385</v>
      </c>
      <c r="C4354" s="1" t="s">
        <v>11</v>
      </c>
      <c r="D4354" s="1" t="s">
        <v>11</v>
      </c>
      <c r="E4354" s="1" t="s">
        <v>11</v>
      </c>
    </row>
    <row r="4355" spans="1:5" ht="15.75" customHeight="1">
      <c r="A4355" s="1">
        <v>851090</v>
      </c>
      <c r="B4355" s="1" t="s">
        <v>4386</v>
      </c>
      <c r="C4355" s="1" t="s">
        <v>11</v>
      </c>
      <c r="D4355" s="1" t="s">
        <v>11</v>
      </c>
      <c r="E4355" s="1" t="s">
        <v>11</v>
      </c>
    </row>
    <row r="4356" spans="1:5" ht="15.75" customHeight="1">
      <c r="A4356" s="1">
        <v>851110</v>
      </c>
      <c r="B4356" s="1" t="s">
        <v>4387</v>
      </c>
      <c r="C4356" s="1" t="s">
        <v>11</v>
      </c>
      <c r="D4356" s="1" t="s">
        <v>11</v>
      </c>
      <c r="E4356" s="1" t="s">
        <v>11</v>
      </c>
    </row>
    <row r="4357" spans="1:5" ht="15.75" customHeight="1">
      <c r="A4357" s="1">
        <v>851120</v>
      </c>
      <c r="B4357" s="1" t="s">
        <v>4388</v>
      </c>
      <c r="C4357" s="1" t="s">
        <v>11</v>
      </c>
      <c r="D4357" s="1" t="s">
        <v>11</v>
      </c>
      <c r="E4357" s="1" t="s">
        <v>11</v>
      </c>
    </row>
    <row r="4358" spans="1:5" ht="15.75" customHeight="1">
      <c r="A4358" s="1">
        <v>851130</v>
      </c>
      <c r="B4358" s="1" t="s">
        <v>4389</v>
      </c>
      <c r="C4358" s="1" t="s">
        <v>11</v>
      </c>
      <c r="D4358" s="1" t="s">
        <v>11</v>
      </c>
      <c r="E4358" s="1" t="s">
        <v>11</v>
      </c>
    </row>
    <row r="4359" spans="1:5" ht="15.75" customHeight="1">
      <c r="A4359" s="1">
        <v>851140</v>
      </c>
      <c r="B4359" s="1" t="s">
        <v>4390</v>
      </c>
      <c r="C4359" s="1" t="s">
        <v>11</v>
      </c>
      <c r="D4359" s="1" t="s">
        <v>11</v>
      </c>
      <c r="E4359" s="1" t="s">
        <v>11</v>
      </c>
    </row>
    <row r="4360" spans="1:5" ht="15.75" customHeight="1">
      <c r="A4360" s="1">
        <v>851150</v>
      </c>
      <c r="B4360" s="1" t="s">
        <v>4391</v>
      </c>
      <c r="C4360" s="1" t="s">
        <v>11</v>
      </c>
      <c r="D4360" s="1" t="s">
        <v>11</v>
      </c>
      <c r="E4360" s="1" t="s">
        <v>11</v>
      </c>
    </row>
    <row r="4361" spans="1:5" ht="15.75" customHeight="1">
      <c r="A4361" s="1">
        <v>851180</v>
      </c>
      <c r="B4361" s="1" t="s">
        <v>4392</v>
      </c>
      <c r="C4361" s="1" t="s">
        <v>11</v>
      </c>
      <c r="D4361" s="1" t="s">
        <v>11</v>
      </c>
      <c r="E4361" s="1" t="s">
        <v>11</v>
      </c>
    </row>
    <row r="4362" spans="1:5" ht="15.75" customHeight="1">
      <c r="A4362" s="1">
        <v>851190</v>
      </c>
      <c r="B4362" s="1" t="s">
        <v>4393</v>
      </c>
      <c r="C4362" s="1" t="s">
        <v>11</v>
      </c>
      <c r="D4362" s="1" t="s">
        <v>11</v>
      </c>
      <c r="E4362" s="1" t="s">
        <v>11</v>
      </c>
    </row>
    <row r="4363" spans="1:5" ht="15.75" customHeight="1">
      <c r="A4363" s="1">
        <v>851210</v>
      </c>
      <c r="B4363" s="1" t="s">
        <v>4394</v>
      </c>
      <c r="C4363" s="1" t="s">
        <v>11</v>
      </c>
      <c r="D4363" s="1" t="s">
        <v>11</v>
      </c>
      <c r="E4363" s="1" t="s">
        <v>11</v>
      </c>
    </row>
    <row r="4364" spans="1:5" ht="15.75" customHeight="1">
      <c r="A4364" s="1">
        <v>851220</v>
      </c>
      <c r="B4364" s="1" t="s">
        <v>4395</v>
      </c>
      <c r="C4364" s="1" t="s">
        <v>11</v>
      </c>
      <c r="D4364" s="1" t="s">
        <v>11</v>
      </c>
      <c r="E4364" s="1" t="s">
        <v>11</v>
      </c>
    </row>
    <row r="4365" spans="1:5" ht="15.75" customHeight="1">
      <c r="A4365" s="1">
        <v>851230</v>
      </c>
      <c r="B4365" s="1" t="s">
        <v>4396</v>
      </c>
      <c r="C4365" s="1" t="s">
        <v>11</v>
      </c>
      <c r="D4365" s="1" t="s">
        <v>11</v>
      </c>
      <c r="E4365" s="1" t="s">
        <v>11</v>
      </c>
    </row>
    <row r="4366" spans="1:5" ht="15.75" customHeight="1">
      <c r="A4366" s="1">
        <v>851240</v>
      </c>
      <c r="B4366" s="1" t="s">
        <v>4397</v>
      </c>
      <c r="C4366" s="1" t="s">
        <v>11</v>
      </c>
      <c r="D4366" s="1" t="s">
        <v>11</v>
      </c>
      <c r="E4366" s="1" t="s">
        <v>11</v>
      </c>
    </row>
    <row r="4367" spans="1:5" ht="15.75" customHeight="1">
      <c r="A4367" s="1">
        <v>851290</v>
      </c>
      <c r="B4367" s="1" t="s">
        <v>4398</v>
      </c>
      <c r="C4367" s="1" t="s">
        <v>11</v>
      </c>
      <c r="D4367" s="1" t="s">
        <v>11</v>
      </c>
      <c r="E4367" s="1" t="s">
        <v>11</v>
      </c>
    </row>
    <row r="4368" spans="1:5" ht="15.75" customHeight="1">
      <c r="A4368" s="1">
        <v>851310</v>
      </c>
      <c r="B4368" s="1" t="s">
        <v>4399</v>
      </c>
      <c r="C4368" s="1" t="s">
        <v>11</v>
      </c>
      <c r="D4368" s="1" t="s">
        <v>11</v>
      </c>
      <c r="E4368" s="1" t="s">
        <v>11</v>
      </c>
    </row>
    <row r="4369" spans="1:5" ht="15.75" customHeight="1">
      <c r="A4369" s="1">
        <v>851390</v>
      </c>
      <c r="B4369" s="1" t="s">
        <v>4400</v>
      </c>
      <c r="C4369" s="1" t="s">
        <v>11</v>
      </c>
      <c r="D4369" s="1" t="s">
        <v>11</v>
      </c>
      <c r="E4369" s="1" t="s">
        <v>11</v>
      </c>
    </row>
    <row r="4370" spans="1:5" ht="15.75" customHeight="1">
      <c r="A4370" s="1">
        <v>851410</v>
      </c>
      <c r="B4370" s="1" t="s">
        <v>4401</v>
      </c>
      <c r="C4370" s="1" t="s">
        <v>11</v>
      </c>
      <c r="D4370" s="1" t="s">
        <v>11</v>
      </c>
      <c r="E4370" s="1" t="s">
        <v>11</v>
      </c>
    </row>
    <row r="4371" spans="1:5" ht="15.75" customHeight="1">
      <c r="A4371" s="1">
        <v>851420</v>
      </c>
      <c r="B4371" s="1" t="s">
        <v>4402</v>
      </c>
      <c r="C4371" s="1" t="s">
        <v>11</v>
      </c>
      <c r="D4371" s="1" t="s">
        <v>11</v>
      </c>
      <c r="E4371" s="1" t="s">
        <v>11</v>
      </c>
    </row>
    <row r="4372" spans="1:5" ht="15.75" customHeight="1">
      <c r="A4372" s="1">
        <v>851430</v>
      </c>
      <c r="B4372" s="1" t="s">
        <v>4403</v>
      </c>
      <c r="C4372" s="1" t="s">
        <v>11</v>
      </c>
      <c r="D4372" s="1" t="s">
        <v>11</v>
      </c>
      <c r="E4372" s="1" t="s">
        <v>11</v>
      </c>
    </row>
    <row r="4373" spans="1:5" ht="15.75" customHeight="1">
      <c r="A4373" s="1">
        <v>851440</v>
      </c>
      <c r="B4373" s="1" t="s">
        <v>4404</v>
      </c>
      <c r="C4373" s="1" t="s">
        <v>11</v>
      </c>
      <c r="D4373" s="1" t="s">
        <v>11</v>
      </c>
      <c r="E4373" s="1" t="s">
        <v>11</v>
      </c>
    </row>
    <row r="4374" spans="1:5" ht="15.75" customHeight="1">
      <c r="A4374" s="1">
        <v>851490</v>
      </c>
      <c r="B4374" s="1" t="s">
        <v>4405</v>
      </c>
      <c r="C4374" s="1" t="s">
        <v>11</v>
      </c>
      <c r="D4374" s="1" t="s">
        <v>11</v>
      </c>
      <c r="E4374" s="1" t="s">
        <v>11</v>
      </c>
    </row>
    <row r="4375" spans="1:5" ht="15.75" customHeight="1">
      <c r="A4375" s="1">
        <v>851511</v>
      </c>
      <c r="B4375" s="1" t="s">
        <v>4406</v>
      </c>
      <c r="C4375" s="1" t="s">
        <v>11</v>
      </c>
      <c r="D4375" s="1" t="s">
        <v>11</v>
      </c>
      <c r="E4375" s="1" t="s">
        <v>11</v>
      </c>
    </row>
    <row r="4376" spans="1:5" ht="15.75" customHeight="1">
      <c r="A4376" s="1">
        <v>851519</v>
      </c>
      <c r="B4376" s="1" t="s">
        <v>4407</v>
      </c>
      <c r="C4376" s="1" t="s">
        <v>11</v>
      </c>
      <c r="D4376" s="1" t="s">
        <v>11</v>
      </c>
      <c r="E4376" s="1" t="s">
        <v>11</v>
      </c>
    </row>
    <row r="4377" spans="1:5" ht="15.75" customHeight="1">
      <c r="A4377" s="1">
        <v>851521</v>
      </c>
      <c r="B4377" s="1" t="s">
        <v>4408</v>
      </c>
      <c r="C4377" s="1" t="s">
        <v>11</v>
      </c>
      <c r="D4377" s="1" t="s">
        <v>11</v>
      </c>
      <c r="E4377" s="1" t="s">
        <v>11</v>
      </c>
    </row>
    <row r="4378" spans="1:5" ht="15.75" customHeight="1">
      <c r="A4378" s="1">
        <v>851529</v>
      </c>
      <c r="B4378" s="1" t="s">
        <v>4409</v>
      </c>
      <c r="C4378" s="1" t="s">
        <v>11</v>
      </c>
      <c r="D4378" s="1" t="s">
        <v>11</v>
      </c>
      <c r="E4378" s="1" t="s">
        <v>11</v>
      </c>
    </row>
    <row r="4379" spans="1:5" ht="15.75" customHeight="1">
      <c r="A4379" s="1">
        <v>851531</v>
      </c>
      <c r="B4379" s="1" t="s">
        <v>4410</v>
      </c>
      <c r="C4379" s="1" t="s">
        <v>11</v>
      </c>
      <c r="D4379" s="1" t="s">
        <v>11</v>
      </c>
      <c r="E4379" s="1" t="s">
        <v>11</v>
      </c>
    </row>
    <row r="4380" spans="1:5" ht="15.75" customHeight="1">
      <c r="A4380" s="1">
        <v>851539</v>
      </c>
      <c r="B4380" s="1" t="s">
        <v>4411</v>
      </c>
      <c r="C4380" s="1" t="s">
        <v>11</v>
      </c>
      <c r="D4380" s="1" t="s">
        <v>11</v>
      </c>
      <c r="E4380" s="1" t="s">
        <v>11</v>
      </c>
    </row>
    <row r="4381" spans="1:5" ht="15.75" customHeight="1">
      <c r="A4381" s="1">
        <v>851580</v>
      </c>
      <c r="B4381" s="1" t="s">
        <v>4412</v>
      </c>
      <c r="C4381" s="1" t="s">
        <v>11</v>
      </c>
      <c r="D4381" s="1" t="s">
        <v>11</v>
      </c>
      <c r="E4381" s="1" t="s">
        <v>11</v>
      </c>
    </row>
    <row r="4382" spans="1:5" ht="15.75" customHeight="1">
      <c r="A4382" s="1">
        <v>851590</v>
      </c>
      <c r="B4382" s="1" t="s">
        <v>4413</v>
      </c>
      <c r="C4382" s="1" t="s">
        <v>11</v>
      </c>
      <c r="D4382" s="1" t="s">
        <v>11</v>
      </c>
      <c r="E4382" s="1" t="s">
        <v>11</v>
      </c>
    </row>
    <row r="4383" spans="1:5" ht="15.75" customHeight="1">
      <c r="A4383" s="1">
        <v>851610</v>
      </c>
      <c r="B4383" s="1" t="s">
        <v>4414</v>
      </c>
      <c r="C4383" s="1" t="s">
        <v>11</v>
      </c>
      <c r="D4383" s="1" t="s">
        <v>11</v>
      </c>
      <c r="E4383" s="1" t="s">
        <v>11</v>
      </c>
    </row>
    <row r="4384" spans="1:5" ht="15.75" customHeight="1">
      <c r="A4384" s="1">
        <v>851621</v>
      </c>
      <c r="B4384" s="1" t="s">
        <v>4415</v>
      </c>
      <c r="C4384" s="1" t="s">
        <v>11</v>
      </c>
      <c r="D4384" s="1" t="s">
        <v>11</v>
      </c>
      <c r="E4384" s="1" t="s">
        <v>11</v>
      </c>
    </row>
    <row r="4385" spans="1:5" ht="15.75" customHeight="1">
      <c r="A4385" s="1">
        <v>851629</v>
      </c>
      <c r="B4385" s="1" t="s">
        <v>4416</v>
      </c>
      <c r="C4385" s="1" t="s">
        <v>11</v>
      </c>
      <c r="D4385" s="1" t="s">
        <v>11</v>
      </c>
      <c r="E4385" s="1" t="s">
        <v>11</v>
      </c>
    </row>
    <row r="4386" spans="1:5" ht="15.75" customHeight="1">
      <c r="A4386" s="1">
        <v>851631</v>
      </c>
      <c r="B4386" s="1" t="s">
        <v>4417</v>
      </c>
      <c r="C4386" s="1" t="s">
        <v>11</v>
      </c>
      <c r="D4386" s="1" t="s">
        <v>11</v>
      </c>
      <c r="E4386" s="1" t="s">
        <v>11</v>
      </c>
    </row>
    <row r="4387" spans="1:5" ht="15.75" customHeight="1">
      <c r="A4387" s="1">
        <v>851632</v>
      </c>
      <c r="B4387" s="1" t="s">
        <v>4418</v>
      </c>
      <c r="C4387" s="1" t="s">
        <v>11</v>
      </c>
      <c r="D4387" s="1" t="s">
        <v>11</v>
      </c>
      <c r="E4387" s="1" t="s">
        <v>11</v>
      </c>
    </row>
    <row r="4388" spans="1:5" ht="15.75" customHeight="1">
      <c r="A4388" s="1">
        <v>851633</v>
      </c>
      <c r="B4388" s="1" t="s">
        <v>4419</v>
      </c>
      <c r="C4388" s="1" t="s">
        <v>11</v>
      </c>
      <c r="D4388" s="1" t="s">
        <v>11</v>
      </c>
      <c r="E4388" s="1" t="s">
        <v>11</v>
      </c>
    </row>
    <row r="4389" spans="1:5" ht="15.75" customHeight="1">
      <c r="A4389" s="1">
        <v>851640</v>
      </c>
      <c r="B4389" s="1" t="s">
        <v>4420</v>
      </c>
      <c r="C4389" s="1" t="s">
        <v>11</v>
      </c>
      <c r="D4389" s="1" t="s">
        <v>11</v>
      </c>
      <c r="E4389" s="1" t="s">
        <v>11</v>
      </c>
    </row>
    <row r="4390" spans="1:5" ht="15.75" customHeight="1">
      <c r="A4390" s="1">
        <v>851650</v>
      </c>
      <c r="B4390" s="1" t="s">
        <v>4421</v>
      </c>
      <c r="C4390" s="1" t="s">
        <v>11</v>
      </c>
      <c r="D4390" s="1" t="s">
        <v>11</v>
      </c>
      <c r="E4390" s="1" t="s">
        <v>11</v>
      </c>
    </row>
    <row r="4391" spans="1:5" ht="15.75" customHeight="1">
      <c r="A4391" s="1">
        <v>851660</v>
      </c>
      <c r="B4391" s="1" t="s">
        <v>4422</v>
      </c>
      <c r="C4391" s="1" t="s">
        <v>11</v>
      </c>
      <c r="D4391" s="1" t="s">
        <v>11</v>
      </c>
      <c r="E4391" s="1" t="s">
        <v>11</v>
      </c>
    </row>
    <row r="4392" spans="1:5" ht="15.75" customHeight="1">
      <c r="A4392" s="1">
        <v>851671</v>
      </c>
      <c r="B4392" s="1" t="s">
        <v>4423</v>
      </c>
      <c r="C4392" s="1" t="s">
        <v>11</v>
      </c>
      <c r="D4392" s="1" t="s">
        <v>11</v>
      </c>
      <c r="E4392" s="1" t="s">
        <v>11</v>
      </c>
    </row>
    <row r="4393" spans="1:5" ht="15.75" customHeight="1">
      <c r="A4393" s="1">
        <v>851672</v>
      </c>
      <c r="B4393" s="1" t="s">
        <v>4424</v>
      </c>
      <c r="C4393" s="1" t="s">
        <v>11</v>
      </c>
      <c r="D4393" s="1" t="s">
        <v>11</v>
      </c>
      <c r="E4393" s="1" t="s">
        <v>11</v>
      </c>
    </row>
    <row r="4394" spans="1:5" ht="15.75" customHeight="1">
      <c r="A4394" s="1">
        <v>851679</v>
      </c>
      <c r="B4394" s="1" t="s">
        <v>4425</v>
      </c>
      <c r="C4394" s="1" t="s">
        <v>11</v>
      </c>
      <c r="D4394" s="1" t="s">
        <v>11</v>
      </c>
      <c r="E4394" s="1" t="s">
        <v>11</v>
      </c>
    </row>
    <row r="4395" spans="1:5" ht="15.75" customHeight="1">
      <c r="A4395" s="1">
        <v>851680</v>
      </c>
      <c r="B4395" s="1" t="s">
        <v>4426</v>
      </c>
      <c r="C4395" s="1" t="s">
        <v>11</v>
      </c>
      <c r="D4395" s="1" t="s">
        <v>11</v>
      </c>
      <c r="E4395" s="1" t="s">
        <v>11</v>
      </c>
    </row>
    <row r="4396" spans="1:5" ht="15.75" customHeight="1">
      <c r="A4396" s="1">
        <v>851690</v>
      </c>
      <c r="B4396" s="1" t="s">
        <v>4427</v>
      </c>
      <c r="C4396" s="1" t="s">
        <v>11</v>
      </c>
      <c r="D4396" s="1" t="s">
        <v>11</v>
      </c>
      <c r="E4396" s="1" t="s">
        <v>11</v>
      </c>
    </row>
    <row r="4397" spans="1:5" ht="15.75" customHeight="1">
      <c r="A4397" s="1">
        <v>851711</v>
      </c>
      <c r="B4397" s="1" t="s">
        <v>4428</v>
      </c>
      <c r="C4397" s="1" t="s">
        <v>11</v>
      </c>
      <c r="D4397" s="1" t="s">
        <v>11</v>
      </c>
      <c r="E4397" s="1" t="s">
        <v>11</v>
      </c>
    </row>
    <row r="4398" spans="1:5" ht="15.75" customHeight="1">
      <c r="A4398" s="1">
        <v>851712</v>
      </c>
      <c r="B4398" s="1" t="s">
        <v>4429</v>
      </c>
      <c r="C4398" s="1" t="s">
        <v>11</v>
      </c>
      <c r="D4398" s="1" t="s">
        <v>11</v>
      </c>
      <c r="E4398" s="1" t="s">
        <v>11</v>
      </c>
    </row>
    <row r="4399" spans="1:5" ht="15.75" customHeight="1">
      <c r="A4399" s="1">
        <v>851718</v>
      </c>
      <c r="B4399" s="1" t="s">
        <v>4430</v>
      </c>
      <c r="C4399" s="1" t="s">
        <v>11</v>
      </c>
      <c r="D4399" s="1" t="s">
        <v>11</v>
      </c>
      <c r="E4399" s="1" t="s">
        <v>11</v>
      </c>
    </row>
    <row r="4400" spans="1:5" ht="15.75" customHeight="1">
      <c r="A4400" s="1">
        <v>851761</v>
      </c>
      <c r="B4400" s="1" t="s">
        <v>4431</v>
      </c>
      <c r="C4400" s="1" t="s">
        <v>11</v>
      </c>
      <c r="D4400" s="1" t="s">
        <v>11</v>
      </c>
      <c r="E4400" s="1" t="s">
        <v>11</v>
      </c>
    </row>
    <row r="4401" spans="1:5" ht="15.75" customHeight="1">
      <c r="A4401" s="1">
        <v>851762</v>
      </c>
      <c r="B4401" s="1" t="s">
        <v>4432</v>
      </c>
      <c r="C4401" s="1" t="s">
        <v>11</v>
      </c>
      <c r="D4401" s="1" t="s">
        <v>11</v>
      </c>
      <c r="E4401" s="1" t="s">
        <v>11</v>
      </c>
    </row>
    <row r="4402" spans="1:5" ht="15.75" customHeight="1">
      <c r="A4402" s="1">
        <v>851769</v>
      </c>
      <c r="B4402" s="1" t="s">
        <v>4433</v>
      </c>
      <c r="C4402" s="1" t="s">
        <v>11</v>
      </c>
      <c r="D4402" s="1" t="s">
        <v>11</v>
      </c>
      <c r="E4402" s="1" t="s">
        <v>11</v>
      </c>
    </row>
    <row r="4403" spans="1:5" ht="15.75" customHeight="1">
      <c r="A4403" s="1">
        <v>851770</v>
      </c>
      <c r="B4403" s="1" t="s">
        <v>4434</v>
      </c>
      <c r="C4403" s="1" t="s">
        <v>11</v>
      </c>
      <c r="D4403" s="1" t="s">
        <v>11</v>
      </c>
      <c r="E4403" s="1" t="s">
        <v>11</v>
      </c>
    </row>
    <row r="4404" spans="1:5" ht="15.75" customHeight="1">
      <c r="A4404" s="1">
        <v>851810</v>
      </c>
      <c r="B4404" s="1" t="s">
        <v>4435</v>
      </c>
      <c r="C4404" s="1" t="s">
        <v>11</v>
      </c>
      <c r="D4404" s="1" t="s">
        <v>11</v>
      </c>
      <c r="E4404" s="1" t="s">
        <v>11</v>
      </c>
    </row>
    <row r="4405" spans="1:5" ht="15.75" customHeight="1">
      <c r="A4405" s="1">
        <v>851821</v>
      </c>
      <c r="B4405" s="1" t="s">
        <v>4436</v>
      </c>
      <c r="C4405" s="1" t="s">
        <v>11</v>
      </c>
      <c r="D4405" s="1" t="s">
        <v>11</v>
      </c>
      <c r="E4405" s="1" t="s">
        <v>11</v>
      </c>
    </row>
    <row r="4406" spans="1:5" ht="15.75" customHeight="1">
      <c r="A4406" s="1">
        <v>851822</v>
      </c>
      <c r="B4406" s="1" t="s">
        <v>4437</v>
      </c>
      <c r="C4406" s="1" t="s">
        <v>11</v>
      </c>
      <c r="D4406" s="1" t="s">
        <v>11</v>
      </c>
      <c r="E4406" s="1" t="s">
        <v>11</v>
      </c>
    </row>
    <row r="4407" spans="1:5" ht="15.75" customHeight="1">
      <c r="A4407" s="1">
        <v>851829</v>
      </c>
      <c r="B4407" s="1" t="s">
        <v>4438</v>
      </c>
      <c r="C4407" s="1" t="s">
        <v>11</v>
      </c>
      <c r="D4407" s="1" t="s">
        <v>11</v>
      </c>
      <c r="E4407" s="1" t="s">
        <v>11</v>
      </c>
    </row>
    <row r="4408" spans="1:5" ht="15.75" customHeight="1">
      <c r="A4408" s="1">
        <v>851830</v>
      </c>
      <c r="B4408" s="1" t="s">
        <v>4439</v>
      </c>
      <c r="C4408" s="1" t="s">
        <v>11</v>
      </c>
      <c r="D4408" s="1" t="s">
        <v>11</v>
      </c>
      <c r="E4408" s="1" t="s">
        <v>11</v>
      </c>
    </row>
    <row r="4409" spans="1:5" ht="15.75" customHeight="1">
      <c r="A4409" s="1">
        <v>851840</v>
      </c>
      <c r="B4409" s="1" t="s">
        <v>4440</v>
      </c>
      <c r="C4409" s="1" t="s">
        <v>11</v>
      </c>
      <c r="D4409" s="1" t="s">
        <v>11</v>
      </c>
      <c r="E4409" s="1" t="s">
        <v>11</v>
      </c>
    </row>
    <row r="4410" spans="1:5" ht="15.75" customHeight="1">
      <c r="A4410" s="1">
        <v>851850</v>
      </c>
      <c r="B4410" s="1" t="s">
        <v>4441</v>
      </c>
      <c r="C4410" s="1" t="s">
        <v>11</v>
      </c>
      <c r="D4410" s="1" t="s">
        <v>11</v>
      </c>
      <c r="E4410" s="1" t="s">
        <v>11</v>
      </c>
    </row>
    <row r="4411" spans="1:5" ht="15.75" customHeight="1">
      <c r="A4411" s="1">
        <v>851890</v>
      </c>
      <c r="B4411" s="1" t="s">
        <v>4442</v>
      </c>
      <c r="C4411" s="1" t="s">
        <v>11</v>
      </c>
      <c r="D4411" s="1" t="s">
        <v>11</v>
      </c>
      <c r="E4411" s="1" t="s">
        <v>11</v>
      </c>
    </row>
    <row r="4412" spans="1:5" ht="15.75" customHeight="1">
      <c r="A4412" s="1">
        <v>851920</v>
      </c>
      <c r="B4412" s="1" t="s">
        <v>4443</v>
      </c>
      <c r="C4412" s="1" t="s">
        <v>11</v>
      </c>
      <c r="D4412" s="1" t="s">
        <v>11</v>
      </c>
      <c r="E4412" s="1" t="s">
        <v>11</v>
      </c>
    </row>
    <row r="4413" spans="1:5" ht="15.75" customHeight="1">
      <c r="A4413" s="1">
        <v>851930</v>
      </c>
      <c r="B4413" s="1" t="s">
        <v>4444</v>
      </c>
      <c r="C4413" s="1" t="s">
        <v>11</v>
      </c>
      <c r="D4413" s="1" t="s">
        <v>11</v>
      </c>
      <c r="E4413" s="1" t="s">
        <v>11</v>
      </c>
    </row>
    <row r="4414" spans="1:5" ht="15.75" customHeight="1">
      <c r="A4414" s="1">
        <v>851950</v>
      </c>
      <c r="B4414" s="1" t="s">
        <v>4445</v>
      </c>
      <c r="C4414" s="1" t="s">
        <v>11</v>
      </c>
      <c r="D4414" s="1" t="s">
        <v>11</v>
      </c>
      <c r="E4414" s="1" t="s">
        <v>11</v>
      </c>
    </row>
    <row r="4415" spans="1:5" ht="15.75" customHeight="1">
      <c r="A4415" s="1">
        <v>851981</v>
      </c>
      <c r="B4415" s="1" t="s">
        <v>4446</v>
      </c>
      <c r="C4415" s="1" t="s">
        <v>11</v>
      </c>
      <c r="D4415" s="1" t="s">
        <v>11</v>
      </c>
      <c r="E4415" s="1" t="s">
        <v>11</v>
      </c>
    </row>
    <row r="4416" spans="1:5" ht="15.75" customHeight="1">
      <c r="A4416" s="1">
        <v>851989</v>
      </c>
      <c r="B4416" s="1" t="s">
        <v>4447</v>
      </c>
      <c r="C4416" s="1" t="s">
        <v>11</v>
      </c>
      <c r="D4416" s="1" t="s">
        <v>11</v>
      </c>
      <c r="E4416" s="1" t="s">
        <v>11</v>
      </c>
    </row>
    <row r="4417" spans="1:5" ht="15.75" customHeight="1">
      <c r="A4417" s="1">
        <v>852110</v>
      </c>
      <c r="B4417" s="1" t="s">
        <v>4448</v>
      </c>
      <c r="C4417" s="1" t="s">
        <v>11</v>
      </c>
      <c r="D4417" s="1" t="s">
        <v>11</v>
      </c>
      <c r="E4417" s="1" t="s">
        <v>11</v>
      </c>
    </row>
    <row r="4418" spans="1:5" ht="15.75" customHeight="1">
      <c r="A4418" s="1">
        <v>852190</v>
      </c>
      <c r="B4418" s="1" t="s">
        <v>4449</v>
      </c>
      <c r="C4418" s="1" t="s">
        <v>11</v>
      </c>
      <c r="D4418" s="1" t="s">
        <v>11</v>
      </c>
      <c r="E4418" s="1" t="s">
        <v>11</v>
      </c>
    </row>
    <row r="4419" spans="1:5" ht="15.75" customHeight="1">
      <c r="A4419" s="1">
        <v>852210</v>
      </c>
      <c r="B4419" s="1" t="s">
        <v>4450</v>
      </c>
      <c r="C4419" s="1" t="s">
        <v>11</v>
      </c>
      <c r="D4419" s="1" t="s">
        <v>11</v>
      </c>
      <c r="E4419" s="1" t="s">
        <v>11</v>
      </c>
    </row>
    <row r="4420" spans="1:5" ht="15.75" customHeight="1">
      <c r="A4420" s="1">
        <v>852290</v>
      </c>
      <c r="B4420" s="1" t="s">
        <v>4451</v>
      </c>
      <c r="C4420" s="1" t="s">
        <v>11</v>
      </c>
      <c r="D4420" s="1" t="s">
        <v>11</v>
      </c>
      <c r="E4420" s="1" t="s">
        <v>11</v>
      </c>
    </row>
    <row r="4421" spans="1:5" ht="15.75" customHeight="1">
      <c r="A4421" s="1">
        <v>852321</v>
      </c>
      <c r="B4421" s="1" t="s">
        <v>4452</v>
      </c>
      <c r="C4421" s="1" t="s">
        <v>11</v>
      </c>
      <c r="D4421" s="1" t="s">
        <v>11</v>
      </c>
      <c r="E4421" s="1" t="s">
        <v>11</v>
      </c>
    </row>
    <row r="4422" spans="1:5" ht="15.75" customHeight="1">
      <c r="A4422" s="1">
        <v>852329</v>
      </c>
      <c r="B4422" s="1" t="s">
        <v>4453</v>
      </c>
      <c r="C4422" s="1" t="s">
        <v>11</v>
      </c>
      <c r="D4422" s="1" t="s">
        <v>11</v>
      </c>
      <c r="E4422" s="1" t="s">
        <v>11</v>
      </c>
    </row>
    <row r="4423" spans="1:5" ht="15.75" customHeight="1">
      <c r="A4423" s="1">
        <v>852340</v>
      </c>
      <c r="B4423" s="1" t="s">
        <v>4454</v>
      </c>
      <c r="C4423" s="1" t="s">
        <v>11</v>
      </c>
      <c r="D4423" s="1" t="s">
        <v>11</v>
      </c>
      <c r="E4423" s="1" t="s">
        <v>11</v>
      </c>
    </row>
    <row r="4424" spans="1:5" ht="15.75" customHeight="1">
      <c r="A4424" s="1">
        <v>852351</v>
      </c>
      <c r="B4424" s="1" t="s">
        <v>4455</v>
      </c>
      <c r="C4424" s="1" t="s">
        <v>11</v>
      </c>
      <c r="D4424" s="1" t="s">
        <v>11</v>
      </c>
      <c r="E4424" s="1" t="s">
        <v>11</v>
      </c>
    </row>
    <row r="4425" spans="1:5" ht="15.75" customHeight="1">
      <c r="A4425" s="1">
        <v>852352</v>
      </c>
      <c r="B4425" s="1" t="s">
        <v>4456</v>
      </c>
      <c r="C4425" s="1" t="s">
        <v>11</v>
      </c>
      <c r="D4425" s="1" t="s">
        <v>11</v>
      </c>
      <c r="E4425" s="1" t="s">
        <v>11</v>
      </c>
    </row>
    <row r="4426" spans="1:5" ht="15.75" customHeight="1">
      <c r="A4426" s="1">
        <v>852359</v>
      </c>
      <c r="B4426" s="1" t="s">
        <v>4457</v>
      </c>
      <c r="C4426" s="1" t="s">
        <v>11</v>
      </c>
      <c r="D4426" s="1" t="s">
        <v>11</v>
      </c>
      <c r="E4426" s="1" t="s">
        <v>11</v>
      </c>
    </row>
    <row r="4427" spans="1:5" ht="15.75" customHeight="1">
      <c r="A4427" s="1">
        <v>852380</v>
      </c>
      <c r="B4427" s="1" t="s">
        <v>4458</v>
      </c>
      <c r="C4427" s="1" t="s">
        <v>11</v>
      </c>
      <c r="D4427" s="1" t="s">
        <v>11</v>
      </c>
      <c r="E4427" s="1" t="s">
        <v>11</v>
      </c>
    </row>
    <row r="4428" spans="1:5" ht="15.75" customHeight="1">
      <c r="A4428" s="1">
        <v>852550</v>
      </c>
      <c r="B4428" s="1" t="s">
        <v>4459</v>
      </c>
      <c r="C4428" s="1" t="s">
        <v>11</v>
      </c>
      <c r="D4428" s="1" t="s">
        <v>11</v>
      </c>
      <c r="E4428" s="1" t="s">
        <v>11</v>
      </c>
    </row>
    <row r="4429" spans="1:5" ht="15.75" customHeight="1">
      <c r="A4429" s="1">
        <v>852560</v>
      </c>
      <c r="B4429" s="1" t="s">
        <v>4460</v>
      </c>
      <c r="C4429" s="1" t="s">
        <v>11</v>
      </c>
      <c r="D4429" s="1" t="s">
        <v>11</v>
      </c>
      <c r="E4429" s="1" t="s">
        <v>11</v>
      </c>
    </row>
    <row r="4430" spans="1:5" ht="15.75" customHeight="1">
      <c r="A4430" s="1">
        <v>852580</v>
      </c>
      <c r="B4430" s="1" t="s">
        <v>4461</v>
      </c>
      <c r="C4430" s="1" t="s">
        <v>11</v>
      </c>
      <c r="D4430" s="1" t="s">
        <v>11</v>
      </c>
      <c r="E4430" s="1" t="s">
        <v>11</v>
      </c>
    </row>
    <row r="4431" spans="1:5" ht="15.75" customHeight="1">
      <c r="A4431" s="1">
        <v>852610</v>
      </c>
      <c r="B4431" s="1" t="s">
        <v>4462</v>
      </c>
      <c r="C4431" s="1" t="s">
        <v>11</v>
      </c>
      <c r="D4431" s="1" t="s">
        <v>11</v>
      </c>
      <c r="E4431" s="1" t="s">
        <v>11</v>
      </c>
    </row>
    <row r="4432" spans="1:5" ht="15.75" customHeight="1">
      <c r="A4432" s="1">
        <v>852691</v>
      </c>
      <c r="B4432" s="1" t="s">
        <v>4463</v>
      </c>
      <c r="C4432" s="1" t="s">
        <v>11</v>
      </c>
      <c r="D4432" s="1" t="s">
        <v>11</v>
      </c>
      <c r="E4432" s="1" t="s">
        <v>11</v>
      </c>
    </row>
    <row r="4433" spans="1:5" ht="15.75" customHeight="1">
      <c r="A4433" s="1">
        <v>852692</v>
      </c>
      <c r="B4433" s="1" t="s">
        <v>4464</v>
      </c>
      <c r="C4433" s="1" t="s">
        <v>11</v>
      </c>
      <c r="D4433" s="1" t="s">
        <v>11</v>
      </c>
      <c r="E4433" s="1" t="s">
        <v>11</v>
      </c>
    </row>
    <row r="4434" spans="1:5" ht="15.75" customHeight="1">
      <c r="A4434" s="1">
        <v>852712</v>
      </c>
      <c r="B4434" s="1" t="s">
        <v>4465</v>
      </c>
      <c r="C4434" s="1" t="s">
        <v>11</v>
      </c>
      <c r="D4434" s="1" t="s">
        <v>11</v>
      </c>
      <c r="E4434" s="1" t="s">
        <v>11</v>
      </c>
    </row>
    <row r="4435" spans="1:5" ht="15.75" customHeight="1">
      <c r="A4435" s="1">
        <v>852713</v>
      </c>
      <c r="B4435" s="1" t="s">
        <v>4466</v>
      </c>
      <c r="C4435" s="1" t="s">
        <v>11</v>
      </c>
      <c r="D4435" s="1" t="s">
        <v>11</v>
      </c>
      <c r="E4435" s="1" t="s">
        <v>11</v>
      </c>
    </row>
    <row r="4436" spans="1:5" ht="15.75" customHeight="1">
      <c r="A4436" s="1">
        <v>852719</v>
      </c>
      <c r="B4436" s="1" t="s">
        <v>4467</v>
      </c>
      <c r="C4436" s="1" t="s">
        <v>11</v>
      </c>
      <c r="D4436" s="1" t="s">
        <v>11</v>
      </c>
      <c r="E4436" s="1" t="s">
        <v>11</v>
      </c>
    </row>
    <row r="4437" spans="1:5" ht="15.75" customHeight="1">
      <c r="A4437" s="1">
        <v>852721</v>
      </c>
      <c r="B4437" s="1" t="s">
        <v>4468</v>
      </c>
      <c r="C4437" s="1" t="s">
        <v>11</v>
      </c>
      <c r="D4437" s="1" t="s">
        <v>11</v>
      </c>
      <c r="E4437" s="1" t="s">
        <v>11</v>
      </c>
    </row>
    <row r="4438" spans="1:5" ht="15.75" customHeight="1">
      <c r="A4438" s="1">
        <v>852729</v>
      </c>
      <c r="B4438" s="1" t="s">
        <v>4469</v>
      </c>
      <c r="C4438" s="1" t="s">
        <v>11</v>
      </c>
      <c r="D4438" s="1" t="s">
        <v>11</v>
      </c>
      <c r="E4438" s="1" t="s">
        <v>11</v>
      </c>
    </row>
    <row r="4439" spans="1:5" ht="15.75" customHeight="1">
      <c r="A4439" s="1">
        <v>852791</v>
      </c>
      <c r="B4439" s="1" t="s">
        <v>4470</v>
      </c>
      <c r="C4439" s="1" t="s">
        <v>11</v>
      </c>
      <c r="D4439" s="1" t="s">
        <v>11</v>
      </c>
      <c r="E4439" s="1" t="s">
        <v>11</v>
      </c>
    </row>
    <row r="4440" spans="1:5" ht="15.75" customHeight="1">
      <c r="A4440" s="1">
        <v>852792</v>
      </c>
      <c r="B4440" s="1" t="s">
        <v>4471</v>
      </c>
      <c r="C4440" s="1" t="s">
        <v>11</v>
      </c>
      <c r="D4440" s="1" t="s">
        <v>11</v>
      </c>
      <c r="E4440" s="1" t="s">
        <v>11</v>
      </c>
    </row>
    <row r="4441" spans="1:5" ht="15.75" customHeight="1">
      <c r="A4441" s="1">
        <v>852799</v>
      </c>
      <c r="B4441" s="1" t="s">
        <v>4472</v>
      </c>
      <c r="C4441" s="1" t="s">
        <v>11</v>
      </c>
      <c r="D4441" s="1" t="s">
        <v>11</v>
      </c>
      <c r="E4441" s="1" t="s">
        <v>11</v>
      </c>
    </row>
    <row r="4442" spans="1:5" ht="15.75" customHeight="1">
      <c r="A4442" s="1">
        <v>852841</v>
      </c>
      <c r="B4442" s="1" t="s">
        <v>4473</v>
      </c>
      <c r="C4442" s="1" t="s">
        <v>11</v>
      </c>
      <c r="D4442" s="1" t="s">
        <v>11</v>
      </c>
      <c r="E4442" s="1" t="s">
        <v>11</v>
      </c>
    </row>
    <row r="4443" spans="1:5" ht="15.75" customHeight="1">
      <c r="A4443" s="1">
        <v>852849</v>
      </c>
      <c r="B4443" s="1" t="s">
        <v>4474</v>
      </c>
      <c r="C4443" s="1" t="s">
        <v>11</v>
      </c>
      <c r="D4443" s="1" t="s">
        <v>11</v>
      </c>
      <c r="E4443" s="1" t="s">
        <v>11</v>
      </c>
    </row>
    <row r="4444" spans="1:5" ht="15.75" customHeight="1">
      <c r="A4444" s="1">
        <v>852851</v>
      </c>
      <c r="B4444" s="1" t="s">
        <v>4475</v>
      </c>
      <c r="C4444" s="1" t="s">
        <v>11</v>
      </c>
      <c r="D4444" s="1" t="s">
        <v>11</v>
      </c>
      <c r="E4444" s="1" t="s">
        <v>11</v>
      </c>
    </row>
    <row r="4445" spans="1:5" ht="15.75" customHeight="1">
      <c r="A4445" s="1">
        <v>852859</v>
      </c>
      <c r="B4445" s="1" t="s">
        <v>4476</v>
      </c>
      <c r="C4445" s="1" t="s">
        <v>11</v>
      </c>
      <c r="D4445" s="1" t="s">
        <v>11</v>
      </c>
      <c r="E4445" s="1" t="s">
        <v>11</v>
      </c>
    </row>
    <row r="4446" spans="1:5" ht="15.75" customHeight="1">
      <c r="A4446" s="1">
        <v>852861</v>
      </c>
      <c r="B4446" s="1" t="s">
        <v>4477</v>
      </c>
      <c r="C4446" s="1" t="s">
        <v>11</v>
      </c>
      <c r="D4446" s="1" t="s">
        <v>11</v>
      </c>
      <c r="E4446" s="1" t="s">
        <v>11</v>
      </c>
    </row>
    <row r="4447" spans="1:5" ht="15.75" customHeight="1">
      <c r="A4447" s="1">
        <v>852869</v>
      </c>
      <c r="B4447" s="1" t="s">
        <v>4478</v>
      </c>
      <c r="C4447" s="1" t="s">
        <v>11</v>
      </c>
      <c r="D4447" s="1" t="s">
        <v>11</v>
      </c>
      <c r="E4447" s="1" t="s">
        <v>11</v>
      </c>
    </row>
    <row r="4448" spans="1:5" ht="15.75" customHeight="1">
      <c r="A4448" s="1">
        <v>852871</v>
      </c>
      <c r="B4448" s="1" t="s">
        <v>4479</v>
      </c>
      <c r="C4448" s="1" t="s">
        <v>11</v>
      </c>
      <c r="D4448" s="1" t="s">
        <v>11</v>
      </c>
      <c r="E4448" s="1" t="s">
        <v>11</v>
      </c>
    </row>
    <row r="4449" spans="1:5" ht="15.75" customHeight="1">
      <c r="A4449" s="1">
        <v>852872</v>
      </c>
      <c r="B4449" s="1" t="s">
        <v>4480</v>
      </c>
      <c r="C4449" s="1" t="s">
        <v>11</v>
      </c>
      <c r="D4449" s="1" t="s">
        <v>11</v>
      </c>
      <c r="E4449" s="1" t="s">
        <v>11</v>
      </c>
    </row>
    <row r="4450" spans="1:5" ht="15.75" customHeight="1">
      <c r="A4450" s="1">
        <v>852873</v>
      </c>
      <c r="B4450" s="1" t="s">
        <v>4481</v>
      </c>
      <c r="C4450" s="1" t="s">
        <v>11</v>
      </c>
      <c r="D4450" s="1" t="s">
        <v>11</v>
      </c>
      <c r="E4450" s="1" t="s">
        <v>11</v>
      </c>
    </row>
    <row r="4451" spans="1:5" ht="15.75" customHeight="1">
      <c r="A4451" s="1">
        <v>852910</v>
      </c>
      <c r="B4451" s="1" t="s">
        <v>4482</v>
      </c>
      <c r="C4451" s="1" t="s">
        <v>11</v>
      </c>
      <c r="D4451" s="1" t="s">
        <v>11</v>
      </c>
      <c r="E4451" s="1" t="s">
        <v>11</v>
      </c>
    </row>
    <row r="4452" spans="1:5" ht="15.75" customHeight="1">
      <c r="A4452" s="1">
        <v>852990</v>
      </c>
      <c r="B4452" s="1" t="s">
        <v>4483</v>
      </c>
      <c r="C4452" s="1" t="s">
        <v>11</v>
      </c>
      <c r="D4452" s="1" t="s">
        <v>11</v>
      </c>
      <c r="E4452" s="1" t="s">
        <v>11</v>
      </c>
    </row>
    <row r="4453" spans="1:5" ht="15.75" customHeight="1">
      <c r="A4453" s="1">
        <v>853010</v>
      </c>
      <c r="B4453" s="1" t="s">
        <v>4484</v>
      </c>
      <c r="C4453" s="1" t="s">
        <v>11</v>
      </c>
      <c r="D4453" s="1" t="s">
        <v>11</v>
      </c>
      <c r="E4453" s="1" t="s">
        <v>11</v>
      </c>
    </row>
    <row r="4454" spans="1:5" ht="15.75" customHeight="1">
      <c r="A4454" s="1">
        <v>853080</v>
      </c>
      <c r="B4454" s="1" t="s">
        <v>4485</v>
      </c>
      <c r="C4454" s="1" t="s">
        <v>11</v>
      </c>
      <c r="D4454" s="1" t="s">
        <v>11</v>
      </c>
      <c r="E4454" s="1" t="s">
        <v>11</v>
      </c>
    </row>
    <row r="4455" spans="1:5" ht="15.75" customHeight="1">
      <c r="A4455" s="1">
        <v>853090</v>
      </c>
      <c r="B4455" s="1" t="s">
        <v>4486</v>
      </c>
      <c r="C4455" s="1" t="s">
        <v>11</v>
      </c>
      <c r="D4455" s="1" t="s">
        <v>11</v>
      </c>
      <c r="E4455" s="1" t="s">
        <v>11</v>
      </c>
    </row>
    <row r="4456" spans="1:5" ht="15.75" customHeight="1">
      <c r="A4456" s="1">
        <v>853110</v>
      </c>
      <c r="B4456" s="1" t="s">
        <v>4487</v>
      </c>
      <c r="C4456" s="1" t="s">
        <v>11</v>
      </c>
      <c r="D4456" s="1" t="s">
        <v>11</v>
      </c>
      <c r="E4456" s="1" t="s">
        <v>11</v>
      </c>
    </row>
    <row r="4457" spans="1:5" ht="15.75" customHeight="1">
      <c r="A4457" s="1">
        <v>853120</v>
      </c>
      <c r="B4457" s="1" t="s">
        <v>4488</v>
      </c>
      <c r="C4457" s="1" t="s">
        <v>11</v>
      </c>
      <c r="D4457" s="1" t="s">
        <v>11</v>
      </c>
      <c r="E4457" s="1" t="s">
        <v>11</v>
      </c>
    </row>
    <row r="4458" spans="1:5" ht="15.75" customHeight="1">
      <c r="A4458" s="1">
        <v>853180</v>
      </c>
      <c r="B4458" s="1" t="s">
        <v>4489</v>
      </c>
      <c r="C4458" s="1" t="s">
        <v>11</v>
      </c>
      <c r="D4458" s="1" t="s">
        <v>11</v>
      </c>
      <c r="E4458" s="1" t="s">
        <v>11</v>
      </c>
    </row>
    <row r="4459" spans="1:5" ht="15.75" customHeight="1">
      <c r="A4459" s="1">
        <v>853190</v>
      </c>
      <c r="B4459" s="1" t="s">
        <v>4490</v>
      </c>
      <c r="C4459" s="1" t="s">
        <v>11</v>
      </c>
      <c r="D4459" s="1" t="s">
        <v>11</v>
      </c>
      <c r="E4459" s="1" t="s">
        <v>11</v>
      </c>
    </row>
    <row r="4460" spans="1:5" ht="15.75" customHeight="1">
      <c r="A4460" s="1">
        <v>853210</v>
      </c>
      <c r="B4460" s="1" t="s">
        <v>4491</v>
      </c>
      <c r="C4460" s="1" t="s">
        <v>11</v>
      </c>
      <c r="D4460" s="1" t="s">
        <v>11</v>
      </c>
      <c r="E4460" s="1" t="s">
        <v>11</v>
      </c>
    </row>
    <row r="4461" spans="1:5" ht="15.75" customHeight="1">
      <c r="A4461" s="1">
        <v>853221</v>
      </c>
      <c r="B4461" s="1" t="s">
        <v>4492</v>
      </c>
      <c r="C4461" s="1" t="s">
        <v>11</v>
      </c>
      <c r="D4461" s="1" t="s">
        <v>11</v>
      </c>
      <c r="E4461" s="1" t="s">
        <v>11</v>
      </c>
    </row>
    <row r="4462" spans="1:5" ht="15.75" customHeight="1">
      <c r="A4462" s="1">
        <v>853222</v>
      </c>
      <c r="B4462" s="1" t="s">
        <v>4493</v>
      </c>
      <c r="C4462" s="1" t="s">
        <v>11</v>
      </c>
      <c r="D4462" s="1" t="s">
        <v>11</v>
      </c>
      <c r="E4462" s="1" t="s">
        <v>11</v>
      </c>
    </row>
    <row r="4463" spans="1:5" ht="15.75" customHeight="1">
      <c r="A4463" s="1">
        <v>853223</v>
      </c>
      <c r="B4463" s="1" t="s">
        <v>4494</v>
      </c>
      <c r="C4463" s="1" t="s">
        <v>11</v>
      </c>
      <c r="D4463" s="1" t="s">
        <v>11</v>
      </c>
      <c r="E4463" s="1" t="s">
        <v>11</v>
      </c>
    </row>
    <row r="4464" spans="1:5" ht="15.75" customHeight="1">
      <c r="A4464" s="1">
        <v>853224</v>
      </c>
      <c r="B4464" s="1" t="s">
        <v>4495</v>
      </c>
      <c r="C4464" s="1" t="s">
        <v>11</v>
      </c>
      <c r="D4464" s="1" t="s">
        <v>11</v>
      </c>
      <c r="E4464" s="1" t="s">
        <v>11</v>
      </c>
    </row>
    <row r="4465" spans="1:5" ht="15.75" customHeight="1">
      <c r="A4465" s="1">
        <v>853225</v>
      </c>
      <c r="B4465" s="1" t="s">
        <v>4496</v>
      </c>
      <c r="C4465" s="1" t="s">
        <v>11</v>
      </c>
      <c r="D4465" s="1" t="s">
        <v>11</v>
      </c>
      <c r="E4465" s="1" t="s">
        <v>11</v>
      </c>
    </row>
    <row r="4466" spans="1:5" ht="15.75" customHeight="1">
      <c r="A4466" s="1">
        <v>853229</v>
      </c>
      <c r="B4466" s="1" t="s">
        <v>4497</v>
      </c>
      <c r="C4466" s="1" t="s">
        <v>11</v>
      </c>
      <c r="D4466" s="1" t="s">
        <v>11</v>
      </c>
      <c r="E4466" s="1" t="s">
        <v>11</v>
      </c>
    </row>
    <row r="4467" spans="1:5" ht="15.75" customHeight="1">
      <c r="A4467" s="1">
        <v>853230</v>
      </c>
      <c r="B4467" s="1" t="s">
        <v>4498</v>
      </c>
      <c r="C4467" s="1" t="s">
        <v>11</v>
      </c>
      <c r="D4467" s="1" t="s">
        <v>11</v>
      </c>
      <c r="E4467" s="1" t="s">
        <v>11</v>
      </c>
    </row>
    <row r="4468" spans="1:5" ht="15.75" customHeight="1">
      <c r="A4468" s="1">
        <v>853290</v>
      </c>
      <c r="B4468" s="1" t="s">
        <v>4499</v>
      </c>
      <c r="C4468" s="1" t="s">
        <v>11</v>
      </c>
      <c r="D4468" s="1" t="s">
        <v>11</v>
      </c>
      <c r="E4468" s="1" t="s">
        <v>11</v>
      </c>
    </row>
    <row r="4469" spans="1:5" ht="15.75" customHeight="1">
      <c r="A4469" s="1">
        <v>853310</v>
      </c>
      <c r="B4469" s="1" t="s">
        <v>4500</v>
      </c>
      <c r="C4469" s="1" t="s">
        <v>11</v>
      </c>
      <c r="D4469" s="1" t="s">
        <v>11</v>
      </c>
      <c r="E4469" s="1" t="s">
        <v>11</v>
      </c>
    </row>
    <row r="4470" spans="1:5" ht="15.75" customHeight="1">
      <c r="A4470" s="1">
        <v>853321</v>
      </c>
      <c r="B4470" s="1" t="s">
        <v>4501</v>
      </c>
      <c r="C4470" s="1" t="s">
        <v>11</v>
      </c>
      <c r="D4470" s="1" t="s">
        <v>11</v>
      </c>
      <c r="E4470" s="1" t="s">
        <v>11</v>
      </c>
    </row>
    <row r="4471" spans="1:5" ht="15.75" customHeight="1">
      <c r="A4471" s="1">
        <v>853329</v>
      </c>
      <c r="B4471" s="1" t="s">
        <v>4502</v>
      </c>
      <c r="C4471" s="1" t="s">
        <v>11</v>
      </c>
      <c r="D4471" s="1" t="s">
        <v>11</v>
      </c>
      <c r="E4471" s="1" t="s">
        <v>11</v>
      </c>
    </row>
    <row r="4472" spans="1:5" ht="15.75" customHeight="1">
      <c r="A4472" s="1">
        <v>853331</v>
      </c>
      <c r="B4472" s="1" t="s">
        <v>4503</v>
      </c>
      <c r="C4472" s="1" t="s">
        <v>11</v>
      </c>
      <c r="D4472" s="1" t="s">
        <v>11</v>
      </c>
      <c r="E4472" s="1" t="s">
        <v>11</v>
      </c>
    </row>
    <row r="4473" spans="1:5" ht="15.75" customHeight="1">
      <c r="A4473" s="1">
        <v>853339</v>
      </c>
      <c r="B4473" s="1" t="s">
        <v>4504</v>
      </c>
      <c r="C4473" s="1" t="s">
        <v>11</v>
      </c>
      <c r="D4473" s="1" t="s">
        <v>11</v>
      </c>
      <c r="E4473" s="1" t="s">
        <v>11</v>
      </c>
    </row>
    <row r="4474" spans="1:5" ht="15.75" customHeight="1">
      <c r="A4474" s="1">
        <v>853340</v>
      </c>
      <c r="B4474" s="1" t="s">
        <v>4505</v>
      </c>
      <c r="C4474" s="1" t="s">
        <v>11</v>
      </c>
      <c r="D4474" s="1" t="s">
        <v>11</v>
      </c>
      <c r="E4474" s="1" t="s">
        <v>11</v>
      </c>
    </row>
    <row r="4475" spans="1:5" ht="15.75" customHeight="1">
      <c r="A4475" s="1">
        <v>853390</v>
      </c>
      <c r="B4475" s="1" t="s">
        <v>4506</v>
      </c>
      <c r="C4475" s="1" t="s">
        <v>11</v>
      </c>
      <c r="D4475" s="1" t="s">
        <v>11</v>
      </c>
      <c r="E4475" s="1" t="s">
        <v>11</v>
      </c>
    </row>
    <row r="4476" spans="1:5" ht="15.75" customHeight="1">
      <c r="A4476" s="1">
        <v>853400</v>
      </c>
      <c r="B4476" s="1" t="s">
        <v>4507</v>
      </c>
      <c r="C4476" s="1" t="s">
        <v>11</v>
      </c>
      <c r="D4476" s="1" t="s">
        <v>11</v>
      </c>
      <c r="E4476" s="1" t="s">
        <v>11</v>
      </c>
    </row>
    <row r="4477" spans="1:5" ht="15.75" customHeight="1">
      <c r="A4477" s="1">
        <v>853510</v>
      </c>
      <c r="B4477" s="1" t="s">
        <v>4508</v>
      </c>
      <c r="C4477" s="1" t="s">
        <v>11</v>
      </c>
      <c r="D4477" s="1" t="s">
        <v>11</v>
      </c>
      <c r="E4477" s="1" t="s">
        <v>11</v>
      </c>
    </row>
    <row r="4478" spans="1:5" ht="15.75" customHeight="1">
      <c r="A4478" s="1">
        <v>853521</v>
      </c>
      <c r="B4478" s="1" t="s">
        <v>4509</v>
      </c>
      <c r="C4478" s="1" t="s">
        <v>11</v>
      </c>
      <c r="D4478" s="1" t="s">
        <v>11</v>
      </c>
      <c r="E4478" s="1" t="s">
        <v>11</v>
      </c>
    </row>
    <row r="4479" spans="1:5" ht="15.75" customHeight="1">
      <c r="A4479" s="1">
        <v>853529</v>
      </c>
      <c r="B4479" s="1" t="s">
        <v>4510</v>
      </c>
      <c r="C4479" s="1" t="s">
        <v>11</v>
      </c>
      <c r="D4479" s="1" t="s">
        <v>11</v>
      </c>
      <c r="E4479" s="1" t="s">
        <v>11</v>
      </c>
    </row>
    <row r="4480" spans="1:5" ht="15.75" customHeight="1">
      <c r="A4480" s="1">
        <v>853530</v>
      </c>
      <c r="B4480" s="1" t="s">
        <v>4511</v>
      </c>
      <c r="C4480" s="1" t="s">
        <v>11</v>
      </c>
      <c r="D4480" s="1" t="s">
        <v>11</v>
      </c>
      <c r="E4480" s="1" t="s">
        <v>11</v>
      </c>
    </row>
    <row r="4481" spans="1:5" ht="15.75" customHeight="1">
      <c r="A4481" s="1">
        <v>853540</v>
      </c>
      <c r="B4481" s="1" t="s">
        <v>4512</v>
      </c>
      <c r="C4481" s="1" t="s">
        <v>11</v>
      </c>
      <c r="D4481" s="1" t="s">
        <v>11</v>
      </c>
      <c r="E4481" s="1" t="s">
        <v>11</v>
      </c>
    </row>
    <row r="4482" spans="1:5" ht="15.75" customHeight="1">
      <c r="A4482" s="1">
        <v>853590</v>
      </c>
      <c r="B4482" s="1" t="s">
        <v>4513</v>
      </c>
      <c r="C4482" s="1" t="s">
        <v>11</v>
      </c>
      <c r="D4482" s="1" t="s">
        <v>11</v>
      </c>
      <c r="E4482" s="1" t="s">
        <v>11</v>
      </c>
    </row>
    <row r="4483" spans="1:5" ht="15.75" customHeight="1">
      <c r="A4483" s="1">
        <v>853610</v>
      </c>
      <c r="B4483" s="1" t="s">
        <v>4514</v>
      </c>
      <c r="C4483" s="1" t="s">
        <v>11</v>
      </c>
      <c r="D4483" s="1" t="s">
        <v>11</v>
      </c>
      <c r="E4483" s="1" t="s">
        <v>11</v>
      </c>
    </row>
    <row r="4484" spans="1:5" ht="15.75" customHeight="1">
      <c r="A4484" s="1">
        <v>853620</v>
      </c>
      <c r="B4484" s="1" t="s">
        <v>4515</v>
      </c>
      <c r="C4484" s="1" t="s">
        <v>11</v>
      </c>
      <c r="D4484" s="1" t="s">
        <v>11</v>
      </c>
      <c r="E4484" s="1" t="s">
        <v>11</v>
      </c>
    </row>
    <row r="4485" spans="1:5" ht="15.75" customHeight="1">
      <c r="A4485" s="1">
        <v>853630</v>
      </c>
      <c r="B4485" s="1" t="s">
        <v>4516</v>
      </c>
      <c r="C4485" s="1" t="s">
        <v>11</v>
      </c>
      <c r="D4485" s="1" t="s">
        <v>11</v>
      </c>
      <c r="E4485" s="1" t="s">
        <v>11</v>
      </c>
    </row>
    <row r="4486" spans="1:5" ht="15.75" customHeight="1">
      <c r="A4486" s="1">
        <v>853641</v>
      </c>
      <c r="B4486" s="1" t="s">
        <v>4517</v>
      </c>
      <c r="C4486" s="1" t="s">
        <v>11</v>
      </c>
      <c r="D4486" s="1" t="s">
        <v>11</v>
      </c>
      <c r="E4486" s="1" t="s">
        <v>11</v>
      </c>
    </row>
    <row r="4487" spans="1:5" ht="15.75" customHeight="1">
      <c r="A4487" s="1">
        <v>853649</v>
      </c>
      <c r="B4487" s="1" t="s">
        <v>4518</v>
      </c>
      <c r="C4487" s="1" t="s">
        <v>11</v>
      </c>
      <c r="D4487" s="1" t="s">
        <v>11</v>
      </c>
      <c r="E4487" s="1" t="s">
        <v>11</v>
      </c>
    </row>
    <row r="4488" spans="1:5" ht="15.75" customHeight="1">
      <c r="A4488" s="1">
        <v>853650</v>
      </c>
      <c r="B4488" s="1" t="s">
        <v>4519</v>
      </c>
      <c r="C4488" s="1" t="s">
        <v>11</v>
      </c>
      <c r="D4488" s="1" t="s">
        <v>11</v>
      </c>
      <c r="E4488" s="1" t="s">
        <v>11</v>
      </c>
    </row>
    <row r="4489" spans="1:5" ht="15.75" customHeight="1">
      <c r="A4489" s="1">
        <v>853661</v>
      </c>
      <c r="B4489" s="1" t="s">
        <v>4520</v>
      </c>
      <c r="C4489" s="1" t="s">
        <v>11</v>
      </c>
      <c r="D4489" s="1" t="s">
        <v>11</v>
      </c>
      <c r="E4489" s="1" t="s">
        <v>11</v>
      </c>
    </row>
    <row r="4490" spans="1:5" ht="15.75" customHeight="1">
      <c r="A4490" s="1">
        <v>853669</v>
      </c>
      <c r="B4490" s="1" t="s">
        <v>4521</v>
      </c>
      <c r="C4490" s="1" t="s">
        <v>11</v>
      </c>
      <c r="D4490" s="1" t="s">
        <v>11</v>
      </c>
      <c r="E4490" s="1" t="s">
        <v>11</v>
      </c>
    </row>
    <row r="4491" spans="1:5" ht="15.75" customHeight="1">
      <c r="A4491" s="1">
        <v>853670</v>
      </c>
      <c r="B4491" s="1" t="s">
        <v>4522</v>
      </c>
      <c r="C4491" s="1" t="s">
        <v>11</v>
      </c>
      <c r="D4491" s="1" t="s">
        <v>11</v>
      </c>
      <c r="E4491" s="1" t="s">
        <v>11</v>
      </c>
    </row>
    <row r="4492" spans="1:5" ht="15.75" customHeight="1">
      <c r="A4492" s="1">
        <v>853690</v>
      </c>
      <c r="B4492" s="1" t="s">
        <v>4523</v>
      </c>
      <c r="C4492" s="1" t="s">
        <v>11</v>
      </c>
      <c r="D4492" s="1" t="s">
        <v>11</v>
      </c>
      <c r="E4492" s="1" t="s">
        <v>11</v>
      </c>
    </row>
    <row r="4493" spans="1:5" ht="15.75" customHeight="1">
      <c r="A4493" s="1">
        <v>853710</v>
      </c>
      <c r="B4493" s="1" t="s">
        <v>4524</v>
      </c>
      <c r="C4493" s="1" t="s">
        <v>11</v>
      </c>
      <c r="D4493" s="1" t="s">
        <v>11</v>
      </c>
      <c r="E4493" s="1" t="s">
        <v>11</v>
      </c>
    </row>
    <row r="4494" spans="1:5" ht="15.75" customHeight="1">
      <c r="A4494" s="1">
        <v>853720</v>
      </c>
      <c r="B4494" s="1" t="s">
        <v>4525</v>
      </c>
      <c r="C4494" s="1" t="s">
        <v>11</v>
      </c>
      <c r="D4494" s="1" t="s">
        <v>11</v>
      </c>
      <c r="E4494" s="1" t="s">
        <v>11</v>
      </c>
    </row>
    <row r="4495" spans="1:5" ht="15.75" customHeight="1">
      <c r="A4495" s="1">
        <v>853810</v>
      </c>
      <c r="B4495" s="1" t="s">
        <v>4526</v>
      </c>
      <c r="C4495" s="1" t="s">
        <v>11</v>
      </c>
      <c r="D4495" s="1" t="s">
        <v>11</v>
      </c>
      <c r="E4495" s="1" t="s">
        <v>11</v>
      </c>
    </row>
    <row r="4496" spans="1:5" ht="15.75" customHeight="1">
      <c r="A4496" s="1">
        <v>853890</v>
      </c>
      <c r="B4496" s="1" t="s">
        <v>4527</v>
      </c>
      <c r="C4496" s="1" t="s">
        <v>11</v>
      </c>
      <c r="D4496" s="1" t="s">
        <v>11</v>
      </c>
      <c r="E4496" s="1" t="s">
        <v>11</v>
      </c>
    </row>
    <row r="4497" spans="1:5" ht="15.75" customHeight="1">
      <c r="A4497" s="1">
        <v>853910</v>
      </c>
      <c r="B4497" s="1" t="s">
        <v>4528</v>
      </c>
      <c r="C4497" s="1" t="s">
        <v>11</v>
      </c>
      <c r="D4497" s="1" t="s">
        <v>11</v>
      </c>
      <c r="E4497" s="1" t="s">
        <v>11</v>
      </c>
    </row>
    <row r="4498" spans="1:5" ht="15.75" customHeight="1">
      <c r="A4498" s="1">
        <v>853921</v>
      </c>
      <c r="B4498" s="1" t="s">
        <v>4529</v>
      </c>
      <c r="C4498" s="1" t="s">
        <v>11</v>
      </c>
      <c r="D4498" s="1" t="s">
        <v>11</v>
      </c>
      <c r="E4498" s="1" t="s">
        <v>11</v>
      </c>
    </row>
    <row r="4499" spans="1:5" ht="15.75" customHeight="1">
      <c r="A4499" s="1">
        <v>853922</v>
      </c>
      <c r="B4499" s="1" t="s">
        <v>4530</v>
      </c>
      <c r="C4499" s="1" t="s">
        <v>11</v>
      </c>
      <c r="D4499" s="1" t="s">
        <v>11</v>
      </c>
      <c r="E4499" s="1" t="s">
        <v>11</v>
      </c>
    </row>
    <row r="4500" spans="1:5" ht="15.75" customHeight="1">
      <c r="A4500" s="1">
        <v>853929</v>
      </c>
      <c r="B4500" s="1" t="s">
        <v>4531</v>
      </c>
      <c r="C4500" s="1" t="s">
        <v>11</v>
      </c>
      <c r="D4500" s="1" t="s">
        <v>11</v>
      </c>
      <c r="E4500" s="1" t="s">
        <v>11</v>
      </c>
    </row>
    <row r="4501" spans="1:5" ht="15.75" customHeight="1">
      <c r="A4501" s="1">
        <v>853931</v>
      </c>
      <c r="B4501" s="1" t="s">
        <v>4532</v>
      </c>
      <c r="C4501" s="1" t="s">
        <v>11</v>
      </c>
      <c r="D4501" s="1" t="s">
        <v>11</v>
      </c>
      <c r="E4501" s="1" t="s">
        <v>11</v>
      </c>
    </row>
    <row r="4502" spans="1:5" ht="15.75" customHeight="1">
      <c r="A4502" s="1">
        <v>853932</v>
      </c>
      <c r="B4502" s="1" t="s">
        <v>4533</v>
      </c>
      <c r="C4502" s="1" t="s">
        <v>11</v>
      </c>
      <c r="D4502" s="1" t="s">
        <v>11</v>
      </c>
      <c r="E4502" s="1" t="s">
        <v>11</v>
      </c>
    </row>
    <row r="4503" spans="1:5" ht="15.75" customHeight="1">
      <c r="A4503" s="1">
        <v>853939</v>
      </c>
      <c r="B4503" s="1" t="s">
        <v>4534</v>
      </c>
      <c r="C4503" s="1" t="s">
        <v>11</v>
      </c>
      <c r="D4503" s="1" t="s">
        <v>11</v>
      </c>
      <c r="E4503" s="1" t="s">
        <v>11</v>
      </c>
    </row>
    <row r="4504" spans="1:5" ht="15.75" customHeight="1">
      <c r="A4504" s="1">
        <v>853941</v>
      </c>
      <c r="B4504" s="1" t="s">
        <v>4535</v>
      </c>
      <c r="C4504" s="1" t="s">
        <v>11</v>
      </c>
      <c r="D4504" s="1" t="s">
        <v>11</v>
      </c>
      <c r="E4504" s="1" t="s">
        <v>11</v>
      </c>
    </row>
    <row r="4505" spans="1:5" ht="15.75" customHeight="1">
      <c r="A4505" s="1">
        <v>853949</v>
      </c>
      <c r="B4505" s="1" t="s">
        <v>4536</v>
      </c>
      <c r="C4505" s="1" t="s">
        <v>11</v>
      </c>
      <c r="D4505" s="1" t="s">
        <v>11</v>
      </c>
      <c r="E4505" s="1" t="s">
        <v>11</v>
      </c>
    </row>
    <row r="4506" spans="1:5" ht="15.75" customHeight="1">
      <c r="A4506" s="1">
        <v>853990</v>
      </c>
      <c r="B4506" s="1" t="s">
        <v>4537</v>
      </c>
      <c r="C4506" s="1" t="s">
        <v>11</v>
      </c>
      <c r="D4506" s="1" t="s">
        <v>11</v>
      </c>
      <c r="E4506" s="1" t="s">
        <v>11</v>
      </c>
    </row>
    <row r="4507" spans="1:5" ht="15.75" customHeight="1">
      <c r="A4507" s="1">
        <v>854011</v>
      </c>
      <c r="B4507" s="1" t="s">
        <v>4538</v>
      </c>
      <c r="C4507" s="1" t="s">
        <v>11</v>
      </c>
      <c r="D4507" s="1" t="s">
        <v>11</v>
      </c>
      <c r="E4507" s="1" t="s">
        <v>11</v>
      </c>
    </row>
    <row r="4508" spans="1:5" ht="15.75" customHeight="1">
      <c r="A4508" s="1">
        <v>854012</v>
      </c>
      <c r="B4508" s="1" t="s">
        <v>4539</v>
      </c>
      <c r="C4508" s="1" t="s">
        <v>11</v>
      </c>
      <c r="D4508" s="1" t="s">
        <v>11</v>
      </c>
      <c r="E4508" s="1" t="s">
        <v>11</v>
      </c>
    </row>
    <row r="4509" spans="1:5" ht="15.75" customHeight="1">
      <c r="A4509" s="1">
        <v>854020</v>
      </c>
      <c r="B4509" s="1" t="s">
        <v>4540</v>
      </c>
      <c r="C4509" s="1" t="s">
        <v>11</v>
      </c>
      <c r="D4509" s="1" t="s">
        <v>11</v>
      </c>
      <c r="E4509" s="1" t="s">
        <v>11</v>
      </c>
    </row>
    <row r="4510" spans="1:5" ht="15.75" customHeight="1">
      <c r="A4510" s="1">
        <v>854040</v>
      </c>
      <c r="B4510" s="1" t="s">
        <v>4541</v>
      </c>
      <c r="C4510" s="1" t="s">
        <v>11</v>
      </c>
      <c r="D4510" s="1" t="s">
        <v>11</v>
      </c>
      <c r="E4510" s="1" t="s">
        <v>11</v>
      </c>
    </row>
    <row r="4511" spans="1:5" ht="15.75" customHeight="1">
      <c r="A4511" s="1">
        <v>854050</v>
      </c>
      <c r="B4511" s="1" t="s">
        <v>4542</v>
      </c>
      <c r="C4511" s="1" t="s">
        <v>11</v>
      </c>
      <c r="D4511" s="1" t="s">
        <v>11</v>
      </c>
      <c r="E4511" s="1" t="s">
        <v>11</v>
      </c>
    </row>
    <row r="4512" spans="1:5" ht="15.75" customHeight="1">
      <c r="A4512" s="1">
        <v>854060</v>
      </c>
      <c r="B4512" s="1" t="s">
        <v>4543</v>
      </c>
      <c r="C4512" s="1" t="s">
        <v>11</v>
      </c>
      <c r="D4512" s="1" t="s">
        <v>11</v>
      </c>
      <c r="E4512" s="1" t="s">
        <v>11</v>
      </c>
    </row>
    <row r="4513" spans="1:5" ht="15.75" customHeight="1">
      <c r="A4513" s="1">
        <v>854071</v>
      </c>
      <c r="B4513" s="1" t="s">
        <v>4544</v>
      </c>
      <c r="C4513" s="1" t="s">
        <v>11</v>
      </c>
      <c r="D4513" s="1" t="s">
        <v>11</v>
      </c>
      <c r="E4513" s="1" t="s">
        <v>11</v>
      </c>
    </row>
    <row r="4514" spans="1:5" ht="15.75" customHeight="1">
      <c r="A4514" s="1">
        <v>854072</v>
      </c>
      <c r="B4514" s="1" t="s">
        <v>4545</v>
      </c>
      <c r="C4514" s="1" t="s">
        <v>11</v>
      </c>
      <c r="D4514" s="1" t="s">
        <v>11</v>
      </c>
      <c r="E4514" s="1" t="s">
        <v>11</v>
      </c>
    </row>
    <row r="4515" spans="1:5" ht="15.75" customHeight="1">
      <c r="A4515" s="1">
        <v>854079</v>
      </c>
      <c r="B4515" s="1" t="s">
        <v>4546</v>
      </c>
      <c r="C4515" s="1" t="s">
        <v>11</v>
      </c>
      <c r="D4515" s="1" t="s">
        <v>11</v>
      </c>
      <c r="E4515" s="1" t="s">
        <v>11</v>
      </c>
    </row>
    <row r="4516" spans="1:5" ht="15.75" customHeight="1">
      <c r="A4516" s="1">
        <v>854081</v>
      </c>
      <c r="B4516" s="1" t="s">
        <v>4547</v>
      </c>
      <c r="C4516" s="1" t="s">
        <v>11</v>
      </c>
      <c r="D4516" s="1" t="s">
        <v>11</v>
      </c>
      <c r="E4516" s="1" t="s">
        <v>11</v>
      </c>
    </row>
    <row r="4517" spans="1:5" ht="15.75" customHeight="1">
      <c r="A4517" s="1">
        <v>854089</v>
      </c>
      <c r="B4517" s="1" t="s">
        <v>4548</v>
      </c>
      <c r="C4517" s="1" t="s">
        <v>11</v>
      </c>
      <c r="D4517" s="1" t="s">
        <v>11</v>
      </c>
      <c r="E4517" s="1" t="s">
        <v>11</v>
      </c>
    </row>
    <row r="4518" spans="1:5" ht="15.75" customHeight="1">
      <c r="A4518" s="1">
        <v>854091</v>
      </c>
      <c r="B4518" s="1" t="s">
        <v>4549</v>
      </c>
      <c r="C4518" s="1" t="s">
        <v>11</v>
      </c>
      <c r="D4518" s="1" t="s">
        <v>11</v>
      </c>
      <c r="E4518" s="1" t="s">
        <v>11</v>
      </c>
    </row>
    <row r="4519" spans="1:5" ht="15.75" customHeight="1">
      <c r="A4519" s="1">
        <v>854099</v>
      </c>
      <c r="B4519" s="1" t="s">
        <v>4550</v>
      </c>
      <c r="C4519" s="1" t="s">
        <v>11</v>
      </c>
      <c r="D4519" s="1" t="s">
        <v>11</v>
      </c>
      <c r="E4519" s="1" t="s">
        <v>11</v>
      </c>
    </row>
    <row r="4520" spans="1:5" ht="15.75" customHeight="1">
      <c r="A4520" s="1">
        <v>854110</v>
      </c>
      <c r="B4520" s="1" t="s">
        <v>4551</v>
      </c>
      <c r="C4520" s="1" t="s">
        <v>11</v>
      </c>
      <c r="D4520" s="1" t="s">
        <v>11</v>
      </c>
      <c r="E4520" s="1" t="s">
        <v>11</v>
      </c>
    </row>
    <row r="4521" spans="1:5" ht="15.75" customHeight="1">
      <c r="A4521" s="1">
        <v>854121</v>
      </c>
      <c r="B4521" s="1" t="s">
        <v>4552</v>
      </c>
      <c r="C4521" s="1" t="s">
        <v>11</v>
      </c>
      <c r="D4521" s="1" t="s">
        <v>11</v>
      </c>
      <c r="E4521" s="1" t="s">
        <v>11</v>
      </c>
    </row>
    <row r="4522" spans="1:5" ht="15.75" customHeight="1">
      <c r="A4522" s="1">
        <v>854129</v>
      </c>
      <c r="B4522" s="1" t="s">
        <v>4553</v>
      </c>
      <c r="C4522" s="1" t="s">
        <v>11</v>
      </c>
      <c r="D4522" s="1" t="s">
        <v>11</v>
      </c>
      <c r="E4522" s="1" t="s">
        <v>11</v>
      </c>
    </row>
    <row r="4523" spans="1:5" ht="15.75" customHeight="1">
      <c r="A4523" s="1">
        <v>854130</v>
      </c>
      <c r="B4523" s="1" t="s">
        <v>4554</v>
      </c>
      <c r="C4523" s="1" t="s">
        <v>11</v>
      </c>
      <c r="D4523" s="1" t="s">
        <v>11</v>
      </c>
      <c r="E4523" s="1" t="s">
        <v>11</v>
      </c>
    </row>
    <row r="4524" spans="1:5" ht="15.75" customHeight="1">
      <c r="A4524" s="1">
        <v>854140</v>
      </c>
      <c r="B4524" s="1" t="s">
        <v>4555</v>
      </c>
      <c r="C4524" s="1" t="s">
        <v>11</v>
      </c>
      <c r="D4524" s="1" t="s">
        <v>11</v>
      </c>
      <c r="E4524" s="1" t="s">
        <v>11</v>
      </c>
    </row>
    <row r="4525" spans="1:5" ht="15.75" customHeight="1">
      <c r="A4525" s="1">
        <v>854150</v>
      </c>
      <c r="B4525" s="1" t="s">
        <v>4556</v>
      </c>
      <c r="C4525" s="1" t="s">
        <v>11</v>
      </c>
      <c r="D4525" s="1" t="s">
        <v>11</v>
      </c>
      <c r="E4525" s="1" t="s">
        <v>11</v>
      </c>
    </row>
    <row r="4526" spans="1:5" ht="15.75" customHeight="1">
      <c r="A4526" s="1">
        <v>854160</v>
      </c>
      <c r="B4526" s="1" t="s">
        <v>4557</v>
      </c>
      <c r="C4526" s="1" t="s">
        <v>11</v>
      </c>
      <c r="D4526" s="1" t="s">
        <v>11</v>
      </c>
      <c r="E4526" s="1" t="s">
        <v>11</v>
      </c>
    </row>
    <row r="4527" spans="1:5" ht="15.75" customHeight="1">
      <c r="A4527" s="1">
        <v>854190</v>
      </c>
      <c r="B4527" s="1" t="s">
        <v>4558</v>
      </c>
      <c r="C4527" s="1" t="s">
        <v>11</v>
      </c>
      <c r="D4527" s="1" t="s">
        <v>11</v>
      </c>
      <c r="E4527" s="1" t="s">
        <v>11</v>
      </c>
    </row>
    <row r="4528" spans="1:5" ht="15.75" customHeight="1">
      <c r="A4528" s="1">
        <v>854231</v>
      </c>
      <c r="B4528" s="1" t="s">
        <v>4559</v>
      </c>
      <c r="C4528" s="1" t="s">
        <v>11</v>
      </c>
      <c r="D4528" s="1" t="s">
        <v>11</v>
      </c>
      <c r="E4528" s="1" t="s">
        <v>11</v>
      </c>
    </row>
    <row r="4529" spans="1:5" ht="15.75" customHeight="1">
      <c r="A4529" s="1">
        <v>854232</v>
      </c>
      <c r="B4529" s="1" t="s">
        <v>4560</v>
      </c>
      <c r="C4529" s="1" t="s">
        <v>11</v>
      </c>
      <c r="D4529" s="1" t="s">
        <v>11</v>
      </c>
      <c r="E4529" s="1" t="s">
        <v>11</v>
      </c>
    </row>
    <row r="4530" spans="1:5" ht="15.75" customHeight="1">
      <c r="A4530" s="1">
        <v>854233</v>
      </c>
      <c r="B4530" s="1" t="s">
        <v>4561</v>
      </c>
      <c r="C4530" s="1" t="s">
        <v>11</v>
      </c>
      <c r="D4530" s="1" t="s">
        <v>11</v>
      </c>
      <c r="E4530" s="1" t="s">
        <v>11</v>
      </c>
    </row>
    <row r="4531" spans="1:5" ht="15.75" customHeight="1">
      <c r="A4531" s="1">
        <v>854239</v>
      </c>
      <c r="B4531" s="1" t="s">
        <v>4562</v>
      </c>
      <c r="C4531" s="1" t="s">
        <v>11</v>
      </c>
      <c r="D4531" s="1" t="s">
        <v>11</v>
      </c>
      <c r="E4531" s="1" t="s">
        <v>11</v>
      </c>
    </row>
    <row r="4532" spans="1:5" ht="15.75" customHeight="1">
      <c r="A4532" s="1">
        <v>854290</v>
      </c>
      <c r="B4532" s="1" t="s">
        <v>4563</v>
      </c>
      <c r="C4532" s="1" t="s">
        <v>11</v>
      </c>
      <c r="D4532" s="1" t="s">
        <v>11</v>
      </c>
      <c r="E4532" s="1" t="s">
        <v>11</v>
      </c>
    </row>
    <row r="4533" spans="1:5" ht="15.75" customHeight="1">
      <c r="A4533" s="1">
        <v>854310</v>
      </c>
      <c r="B4533" s="1" t="s">
        <v>4564</v>
      </c>
      <c r="C4533" s="1" t="s">
        <v>11</v>
      </c>
      <c r="D4533" s="1" t="s">
        <v>11</v>
      </c>
      <c r="E4533" s="1" t="s">
        <v>11</v>
      </c>
    </row>
    <row r="4534" spans="1:5" ht="15.75" customHeight="1">
      <c r="A4534" s="1">
        <v>854320</v>
      </c>
      <c r="B4534" s="1" t="s">
        <v>4565</v>
      </c>
      <c r="C4534" s="1" t="s">
        <v>11</v>
      </c>
      <c r="D4534" s="1" t="s">
        <v>11</v>
      </c>
      <c r="E4534" s="1" t="s">
        <v>11</v>
      </c>
    </row>
    <row r="4535" spans="1:5" ht="15.75" customHeight="1">
      <c r="A4535" s="1">
        <v>854330</v>
      </c>
      <c r="B4535" s="1" t="s">
        <v>4566</v>
      </c>
      <c r="C4535" s="1" t="s">
        <v>11</v>
      </c>
      <c r="D4535" s="1" t="s">
        <v>11</v>
      </c>
      <c r="E4535" s="1" t="s">
        <v>11</v>
      </c>
    </row>
    <row r="4536" spans="1:5" ht="15.75" customHeight="1">
      <c r="A4536" s="1">
        <v>854370</v>
      </c>
      <c r="B4536" s="1" t="s">
        <v>4567</v>
      </c>
      <c r="C4536" s="1" t="s">
        <v>11</v>
      </c>
      <c r="D4536" s="1" t="s">
        <v>11</v>
      </c>
      <c r="E4536" s="1" t="s">
        <v>11</v>
      </c>
    </row>
    <row r="4537" spans="1:5" ht="15.75" customHeight="1">
      <c r="A4537" s="1">
        <v>854390</v>
      </c>
      <c r="B4537" s="1" t="s">
        <v>4568</v>
      </c>
      <c r="C4537" s="1" t="s">
        <v>11</v>
      </c>
      <c r="D4537" s="1" t="s">
        <v>11</v>
      </c>
      <c r="E4537" s="1" t="s">
        <v>11</v>
      </c>
    </row>
    <row r="4538" spans="1:5" ht="15.75" customHeight="1">
      <c r="A4538" s="1">
        <v>854411</v>
      </c>
      <c r="B4538" s="1" t="s">
        <v>4569</v>
      </c>
      <c r="C4538" s="1" t="s">
        <v>11</v>
      </c>
      <c r="D4538" s="1" t="s">
        <v>11</v>
      </c>
      <c r="E4538" s="1" t="s">
        <v>11</v>
      </c>
    </row>
    <row r="4539" spans="1:5" ht="15.75" customHeight="1">
      <c r="A4539" s="1">
        <v>854419</v>
      </c>
      <c r="B4539" s="1" t="s">
        <v>4570</v>
      </c>
      <c r="C4539" s="1" t="s">
        <v>11</v>
      </c>
      <c r="D4539" s="1" t="s">
        <v>11</v>
      </c>
      <c r="E4539" s="1" t="s">
        <v>11</v>
      </c>
    </row>
    <row r="4540" spans="1:5" ht="15.75" customHeight="1">
      <c r="A4540" s="1">
        <v>854420</v>
      </c>
      <c r="B4540" s="1" t="s">
        <v>4571</v>
      </c>
      <c r="C4540" s="1" t="s">
        <v>11</v>
      </c>
      <c r="D4540" s="1" t="s">
        <v>11</v>
      </c>
      <c r="E4540" s="1" t="s">
        <v>11</v>
      </c>
    </row>
    <row r="4541" spans="1:5" ht="15.75" customHeight="1">
      <c r="A4541" s="1">
        <v>854430</v>
      </c>
      <c r="B4541" s="1" t="s">
        <v>4572</v>
      </c>
      <c r="C4541" s="1" t="s">
        <v>11</v>
      </c>
      <c r="D4541" s="1" t="s">
        <v>11</v>
      </c>
      <c r="E4541" s="1" t="s">
        <v>11</v>
      </c>
    </row>
    <row r="4542" spans="1:5" ht="15.75" customHeight="1">
      <c r="A4542" s="1">
        <v>854442</v>
      </c>
      <c r="B4542" s="1" t="s">
        <v>4573</v>
      </c>
      <c r="C4542" s="1" t="s">
        <v>11</v>
      </c>
      <c r="D4542" s="1" t="s">
        <v>11</v>
      </c>
      <c r="E4542" s="1" t="s">
        <v>11</v>
      </c>
    </row>
    <row r="4543" spans="1:5" ht="15.75" customHeight="1">
      <c r="A4543" s="1">
        <v>854449</v>
      </c>
      <c r="B4543" s="1" t="s">
        <v>4574</v>
      </c>
      <c r="C4543" s="1" t="s">
        <v>11</v>
      </c>
      <c r="D4543" s="1" t="s">
        <v>11</v>
      </c>
      <c r="E4543" s="1" t="s">
        <v>11</v>
      </c>
    </row>
    <row r="4544" spans="1:5" ht="15.75" customHeight="1">
      <c r="A4544" s="1">
        <v>854460</v>
      </c>
      <c r="B4544" s="1" t="s">
        <v>4575</v>
      </c>
      <c r="C4544" s="1" t="s">
        <v>11</v>
      </c>
      <c r="D4544" s="1" t="s">
        <v>11</v>
      </c>
      <c r="E4544" s="1" t="s">
        <v>11</v>
      </c>
    </row>
    <row r="4545" spans="1:5" ht="15.75" customHeight="1">
      <c r="A4545" s="1">
        <v>854470</v>
      </c>
      <c r="B4545" s="1" t="s">
        <v>4576</v>
      </c>
      <c r="C4545" s="1" t="s">
        <v>11</v>
      </c>
      <c r="D4545" s="1" t="s">
        <v>11</v>
      </c>
      <c r="E4545" s="1" t="s">
        <v>11</v>
      </c>
    </row>
    <row r="4546" spans="1:5" ht="15.75" customHeight="1">
      <c r="A4546" s="1">
        <v>854511</v>
      </c>
      <c r="B4546" s="1" t="s">
        <v>4577</v>
      </c>
      <c r="C4546" s="1" t="s">
        <v>11</v>
      </c>
      <c r="D4546" s="1" t="s">
        <v>11</v>
      </c>
      <c r="E4546" s="1" t="s">
        <v>11</v>
      </c>
    </row>
    <row r="4547" spans="1:5" ht="15.75" customHeight="1">
      <c r="A4547" s="1">
        <v>854519</v>
      </c>
      <c r="B4547" s="1" t="s">
        <v>4578</v>
      </c>
      <c r="C4547" s="1" t="s">
        <v>11</v>
      </c>
      <c r="D4547" s="1" t="s">
        <v>11</v>
      </c>
      <c r="E4547" s="1" t="s">
        <v>11</v>
      </c>
    </row>
    <row r="4548" spans="1:5" ht="15.75" customHeight="1">
      <c r="A4548" s="1">
        <v>854520</v>
      </c>
      <c r="B4548" s="1" t="s">
        <v>4579</v>
      </c>
      <c r="C4548" s="1" t="s">
        <v>11</v>
      </c>
      <c r="D4548" s="1" t="s">
        <v>11</v>
      </c>
      <c r="E4548" s="1" t="s">
        <v>11</v>
      </c>
    </row>
    <row r="4549" spans="1:5" ht="15.75" customHeight="1">
      <c r="A4549" s="1">
        <v>854590</v>
      </c>
      <c r="B4549" s="1" t="s">
        <v>4580</v>
      </c>
      <c r="C4549" s="1" t="s">
        <v>11</v>
      </c>
      <c r="D4549" s="1" t="s">
        <v>11</v>
      </c>
      <c r="E4549" s="1" t="s">
        <v>11</v>
      </c>
    </row>
    <row r="4550" spans="1:5" ht="15.75" customHeight="1">
      <c r="A4550" s="1">
        <v>854610</v>
      </c>
      <c r="B4550" s="1" t="s">
        <v>4581</v>
      </c>
      <c r="C4550" s="1" t="s">
        <v>11</v>
      </c>
      <c r="D4550" s="1" t="s">
        <v>11</v>
      </c>
      <c r="E4550" s="1" t="s">
        <v>11</v>
      </c>
    </row>
    <row r="4551" spans="1:5" ht="15.75" customHeight="1">
      <c r="A4551" s="1">
        <v>854620</v>
      </c>
      <c r="B4551" s="1" t="s">
        <v>4582</v>
      </c>
      <c r="C4551" s="1" t="s">
        <v>11</v>
      </c>
      <c r="D4551" s="1" t="s">
        <v>11</v>
      </c>
      <c r="E4551" s="1" t="s">
        <v>11</v>
      </c>
    </row>
    <row r="4552" spans="1:5" ht="15.75" customHeight="1">
      <c r="A4552" s="1">
        <v>854690</v>
      </c>
      <c r="B4552" s="1" t="s">
        <v>4583</v>
      </c>
      <c r="C4552" s="1" t="s">
        <v>11</v>
      </c>
      <c r="D4552" s="1" t="s">
        <v>11</v>
      </c>
      <c r="E4552" s="1" t="s">
        <v>11</v>
      </c>
    </row>
    <row r="4553" spans="1:5" ht="15.75" customHeight="1">
      <c r="A4553" s="1">
        <v>854710</v>
      </c>
      <c r="B4553" s="1" t="s">
        <v>4584</v>
      </c>
      <c r="C4553" s="1" t="s">
        <v>11</v>
      </c>
      <c r="D4553" s="1" t="s">
        <v>11</v>
      </c>
      <c r="E4553" s="1" t="s">
        <v>11</v>
      </c>
    </row>
    <row r="4554" spans="1:5" ht="15.75" customHeight="1">
      <c r="A4554" s="1">
        <v>854720</v>
      </c>
      <c r="B4554" s="1" t="s">
        <v>4585</v>
      </c>
      <c r="C4554" s="1" t="s">
        <v>11</v>
      </c>
      <c r="D4554" s="1" t="s">
        <v>11</v>
      </c>
      <c r="E4554" s="1" t="s">
        <v>11</v>
      </c>
    </row>
    <row r="4555" spans="1:5" ht="15.75" customHeight="1">
      <c r="A4555" s="1">
        <v>854790</v>
      </c>
      <c r="B4555" s="1" t="s">
        <v>4586</v>
      </c>
      <c r="C4555" s="1" t="s">
        <v>11</v>
      </c>
      <c r="D4555" s="1" t="s">
        <v>11</v>
      </c>
      <c r="E4555" s="1" t="s">
        <v>11</v>
      </c>
    </row>
    <row r="4556" spans="1:5" ht="15.75" customHeight="1">
      <c r="A4556" s="1">
        <v>854810</v>
      </c>
      <c r="B4556" s="1" t="s">
        <v>4587</v>
      </c>
      <c r="C4556" s="1" t="s">
        <v>11</v>
      </c>
      <c r="D4556" s="1" t="s">
        <v>11</v>
      </c>
      <c r="E4556" s="1" t="s">
        <v>11</v>
      </c>
    </row>
    <row r="4557" spans="1:5" ht="15.75" customHeight="1">
      <c r="A4557" s="1">
        <v>854890</v>
      </c>
      <c r="B4557" s="1" t="s">
        <v>4588</v>
      </c>
      <c r="C4557" s="1" t="s">
        <v>11</v>
      </c>
      <c r="D4557" s="1" t="s">
        <v>11</v>
      </c>
      <c r="E4557" s="1" t="s">
        <v>11</v>
      </c>
    </row>
    <row r="4558" spans="1:5" ht="15.75" customHeight="1">
      <c r="A4558" s="1">
        <v>860110</v>
      </c>
      <c r="B4558" s="1" t="s">
        <v>4589</v>
      </c>
      <c r="C4558" s="1" t="s">
        <v>11</v>
      </c>
      <c r="D4558" s="1" t="s">
        <v>11</v>
      </c>
      <c r="E4558" s="1" t="s">
        <v>11</v>
      </c>
    </row>
    <row r="4559" spans="1:5" ht="15.75" customHeight="1">
      <c r="A4559" s="1">
        <v>860120</v>
      </c>
      <c r="B4559" s="1" t="s">
        <v>4590</v>
      </c>
      <c r="C4559" s="1" t="s">
        <v>11</v>
      </c>
      <c r="D4559" s="1" t="s">
        <v>11</v>
      </c>
      <c r="E4559" s="1" t="s">
        <v>11</v>
      </c>
    </row>
    <row r="4560" spans="1:5" ht="15.75" customHeight="1">
      <c r="A4560" s="1">
        <v>860210</v>
      </c>
      <c r="B4560" s="1" t="s">
        <v>4591</v>
      </c>
      <c r="C4560" s="1" t="s">
        <v>11</v>
      </c>
      <c r="D4560" s="1" t="s">
        <v>11</v>
      </c>
      <c r="E4560" s="1" t="s">
        <v>11</v>
      </c>
    </row>
    <row r="4561" spans="1:5" ht="15.75" customHeight="1">
      <c r="A4561" s="1">
        <v>860290</v>
      </c>
      <c r="B4561" s="1" t="s">
        <v>4592</v>
      </c>
      <c r="C4561" s="1" t="s">
        <v>11</v>
      </c>
      <c r="D4561" s="1" t="s">
        <v>11</v>
      </c>
      <c r="E4561" s="1" t="s">
        <v>11</v>
      </c>
    </row>
    <row r="4562" spans="1:5" ht="15.75" customHeight="1">
      <c r="A4562" s="1">
        <v>860310</v>
      </c>
      <c r="B4562" s="1" t="s">
        <v>4593</v>
      </c>
      <c r="C4562" s="1" t="s">
        <v>11</v>
      </c>
      <c r="D4562" s="1" t="s">
        <v>11</v>
      </c>
      <c r="E4562" s="1" t="s">
        <v>11</v>
      </c>
    </row>
    <row r="4563" spans="1:5" ht="15.75" customHeight="1">
      <c r="A4563" s="1">
        <v>860390</v>
      </c>
      <c r="B4563" s="1" t="s">
        <v>4594</v>
      </c>
      <c r="C4563" s="1" t="s">
        <v>11</v>
      </c>
      <c r="D4563" s="1" t="s">
        <v>11</v>
      </c>
      <c r="E4563" s="1" t="s">
        <v>11</v>
      </c>
    </row>
    <row r="4564" spans="1:5" ht="15.75" customHeight="1">
      <c r="A4564" s="1">
        <v>860400</v>
      </c>
      <c r="B4564" s="1" t="s">
        <v>4595</v>
      </c>
      <c r="C4564" s="1" t="s">
        <v>11</v>
      </c>
      <c r="D4564" s="1" t="s">
        <v>11</v>
      </c>
      <c r="E4564" s="1" t="s">
        <v>11</v>
      </c>
    </row>
    <row r="4565" spans="1:5" ht="15.75" customHeight="1">
      <c r="A4565" s="1">
        <v>860500</v>
      </c>
      <c r="B4565" s="1" t="s">
        <v>4596</v>
      </c>
      <c r="C4565" s="1" t="s">
        <v>11</v>
      </c>
      <c r="D4565" s="1" t="s">
        <v>11</v>
      </c>
      <c r="E4565" s="1" t="s">
        <v>11</v>
      </c>
    </row>
    <row r="4566" spans="1:5" ht="15.75" customHeight="1">
      <c r="A4566" s="1">
        <v>860610</v>
      </c>
      <c r="B4566" s="1" t="s">
        <v>4597</v>
      </c>
      <c r="C4566" s="1" t="s">
        <v>11</v>
      </c>
      <c r="D4566" s="1" t="s">
        <v>11</v>
      </c>
      <c r="E4566" s="1" t="s">
        <v>11</v>
      </c>
    </row>
    <row r="4567" spans="1:5" ht="15.75" customHeight="1">
      <c r="A4567" s="1">
        <v>860630</v>
      </c>
      <c r="B4567" s="1" t="s">
        <v>4598</v>
      </c>
      <c r="C4567" s="1" t="s">
        <v>11</v>
      </c>
      <c r="D4567" s="1" t="s">
        <v>11</v>
      </c>
      <c r="E4567" s="1" t="s">
        <v>11</v>
      </c>
    </row>
    <row r="4568" spans="1:5" ht="15.75" customHeight="1">
      <c r="A4568" s="1">
        <v>860691</v>
      </c>
      <c r="B4568" s="1" t="s">
        <v>4599</v>
      </c>
      <c r="C4568" s="1" t="s">
        <v>11</v>
      </c>
      <c r="D4568" s="1" t="s">
        <v>11</v>
      </c>
      <c r="E4568" s="1" t="s">
        <v>11</v>
      </c>
    </row>
    <row r="4569" spans="1:5" ht="15.75" customHeight="1">
      <c r="A4569" s="1">
        <v>860692</v>
      </c>
      <c r="B4569" s="1" t="s">
        <v>4600</v>
      </c>
      <c r="C4569" s="1" t="s">
        <v>11</v>
      </c>
      <c r="D4569" s="1" t="s">
        <v>11</v>
      </c>
      <c r="E4569" s="1" t="s">
        <v>11</v>
      </c>
    </row>
    <row r="4570" spans="1:5" ht="15.75" customHeight="1">
      <c r="A4570" s="1">
        <v>860699</v>
      </c>
      <c r="B4570" s="1" t="s">
        <v>4601</v>
      </c>
      <c r="C4570" s="1" t="s">
        <v>11</v>
      </c>
      <c r="D4570" s="1" t="s">
        <v>11</v>
      </c>
      <c r="E4570" s="1" t="s">
        <v>11</v>
      </c>
    </row>
    <row r="4571" spans="1:5" ht="15.75" customHeight="1">
      <c r="A4571" s="1">
        <v>860711</v>
      </c>
      <c r="B4571" s="1" t="s">
        <v>4602</v>
      </c>
      <c r="C4571" s="1" t="s">
        <v>11</v>
      </c>
      <c r="D4571" s="1" t="s">
        <v>11</v>
      </c>
      <c r="E4571" s="1" t="s">
        <v>11</v>
      </c>
    </row>
    <row r="4572" spans="1:5" ht="15.75" customHeight="1">
      <c r="A4572" s="1">
        <v>860712</v>
      </c>
      <c r="B4572" s="1" t="s">
        <v>4603</v>
      </c>
      <c r="C4572" s="1" t="s">
        <v>11</v>
      </c>
      <c r="D4572" s="1" t="s">
        <v>11</v>
      </c>
      <c r="E4572" s="1" t="s">
        <v>11</v>
      </c>
    </row>
    <row r="4573" spans="1:5" ht="15.75" customHeight="1">
      <c r="A4573" s="1">
        <v>860719</v>
      </c>
      <c r="B4573" s="1" t="s">
        <v>4604</v>
      </c>
      <c r="C4573" s="1" t="s">
        <v>11</v>
      </c>
      <c r="D4573" s="1" t="s">
        <v>11</v>
      </c>
      <c r="E4573" s="1" t="s">
        <v>11</v>
      </c>
    </row>
    <row r="4574" spans="1:5" ht="15.75" customHeight="1">
      <c r="A4574" s="1">
        <v>860721</v>
      </c>
      <c r="B4574" s="1" t="s">
        <v>4605</v>
      </c>
      <c r="C4574" s="1" t="s">
        <v>11</v>
      </c>
      <c r="D4574" s="1" t="s">
        <v>11</v>
      </c>
      <c r="E4574" s="1" t="s">
        <v>11</v>
      </c>
    </row>
    <row r="4575" spans="1:5" ht="15.75" customHeight="1">
      <c r="A4575" s="1">
        <v>860729</v>
      </c>
      <c r="B4575" s="1" t="s">
        <v>4606</v>
      </c>
      <c r="C4575" s="1" t="s">
        <v>11</v>
      </c>
      <c r="D4575" s="1" t="s">
        <v>11</v>
      </c>
      <c r="E4575" s="1" t="s">
        <v>11</v>
      </c>
    </row>
    <row r="4576" spans="1:5" ht="15.75" customHeight="1">
      <c r="A4576" s="1">
        <v>860730</v>
      </c>
      <c r="B4576" s="1" t="s">
        <v>4607</v>
      </c>
      <c r="C4576" s="1" t="s">
        <v>11</v>
      </c>
      <c r="D4576" s="1" t="s">
        <v>11</v>
      </c>
      <c r="E4576" s="1" t="s">
        <v>11</v>
      </c>
    </row>
    <row r="4577" spans="1:5" ht="15.75" customHeight="1">
      <c r="A4577" s="1">
        <v>860791</v>
      </c>
      <c r="B4577" s="1" t="s">
        <v>4608</v>
      </c>
      <c r="C4577" s="1" t="s">
        <v>11</v>
      </c>
      <c r="D4577" s="1" t="s">
        <v>11</v>
      </c>
      <c r="E4577" s="1" t="s">
        <v>11</v>
      </c>
    </row>
    <row r="4578" spans="1:5" ht="15.75" customHeight="1">
      <c r="A4578" s="1">
        <v>860799</v>
      </c>
      <c r="B4578" s="1" t="s">
        <v>4609</v>
      </c>
      <c r="C4578" s="1" t="s">
        <v>11</v>
      </c>
      <c r="D4578" s="1" t="s">
        <v>11</v>
      </c>
      <c r="E4578" s="1" t="s">
        <v>11</v>
      </c>
    </row>
    <row r="4579" spans="1:5" ht="15.75" customHeight="1">
      <c r="A4579" s="1">
        <v>860800</v>
      </c>
      <c r="B4579" s="1" t="s">
        <v>4610</v>
      </c>
      <c r="C4579" s="1" t="s">
        <v>11</v>
      </c>
      <c r="D4579" s="1" t="s">
        <v>11</v>
      </c>
      <c r="E4579" s="1" t="s">
        <v>11</v>
      </c>
    </row>
    <row r="4580" spans="1:5" ht="15.75" customHeight="1">
      <c r="A4580" s="1">
        <v>860900</v>
      </c>
      <c r="B4580" s="1" t="s">
        <v>4611</v>
      </c>
      <c r="C4580" s="1" t="s">
        <v>11</v>
      </c>
      <c r="D4580" s="1" t="s">
        <v>11</v>
      </c>
      <c r="E4580" s="1" t="s">
        <v>11</v>
      </c>
    </row>
    <row r="4581" spans="1:5" ht="15.75" customHeight="1">
      <c r="A4581" s="1">
        <v>870110</v>
      </c>
      <c r="B4581" s="1" t="s">
        <v>4612</v>
      </c>
      <c r="C4581" s="1" t="s">
        <v>11</v>
      </c>
      <c r="D4581" s="1" t="s">
        <v>11</v>
      </c>
      <c r="E4581" s="1" t="s">
        <v>11</v>
      </c>
    </row>
    <row r="4582" spans="1:5" ht="15.75" customHeight="1">
      <c r="A4582" s="1">
        <v>870120</v>
      </c>
      <c r="B4582" s="1" t="s">
        <v>4613</v>
      </c>
      <c r="C4582" s="1" t="s">
        <v>11</v>
      </c>
      <c r="D4582" s="1" t="s">
        <v>11</v>
      </c>
      <c r="E4582" s="1" t="s">
        <v>11</v>
      </c>
    </row>
    <row r="4583" spans="1:5" ht="15.75" customHeight="1">
      <c r="A4583" s="1">
        <v>870130</v>
      </c>
      <c r="B4583" s="1" t="s">
        <v>4614</v>
      </c>
      <c r="C4583" s="1" t="s">
        <v>11</v>
      </c>
      <c r="D4583" s="1" t="s">
        <v>11</v>
      </c>
      <c r="E4583" s="1" t="s">
        <v>11</v>
      </c>
    </row>
    <row r="4584" spans="1:5" ht="15.75" customHeight="1">
      <c r="A4584" s="1">
        <v>870190</v>
      </c>
      <c r="B4584" s="1" t="s">
        <v>4615</v>
      </c>
      <c r="C4584" s="1" t="s">
        <v>11</v>
      </c>
      <c r="D4584" s="1" t="s">
        <v>11</v>
      </c>
      <c r="E4584" s="1" t="s">
        <v>11</v>
      </c>
    </row>
    <row r="4585" spans="1:5" ht="15.75" customHeight="1">
      <c r="A4585" s="1">
        <v>870210</v>
      </c>
      <c r="B4585" s="1" t="s">
        <v>4616</v>
      </c>
      <c r="C4585" s="1" t="s">
        <v>11</v>
      </c>
      <c r="D4585" s="1" t="s">
        <v>11</v>
      </c>
      <c r="E4585" s="1" t="s">
        <v>11</v>
      </c>
    </row>
    <row r="4586" spans="1:5" ht="15.75" customHeight="1">
      <c r="A4586" s="1">
        <v>870290</v>
      </c>
      <c r="B4586" s="1" t="s">
        <v>4617</v>
      </c>
      <c r="C4586" s="1" t="s">
        <v>11</v>
      </c>
      <c r="D4586" s="1" t="s">
        <v>11</v>
      </c>
      <c r="E4586" s="1" t="s">
        <v>11</v>
      </c>
    </row>
    <row r="4587" spans="1:5" ht="15.75" customHeight="1">
      <c r="A4587" s="1">
        <v>870310</v>
      </c>
      <c r="B4587" s="1" t="s">
        <v>4618</v>
      </c>
      <c r="C4587" s="1" t="s">
        <v>11</v>
      </c>
      <c r="D4587" s="1" t="s">
        <v>11</v>
      </c>
      <c r="E4587" s="1" t="s">
        <v>11</v>
      </c>
    </row>
    <row r="4588" spans="1:5" ht="15.75" customHeight="1">
      <c r="A4588" s="1">
        <v>870321</v>
      </c>
      <c r="B4588" s="1" t="s">
        <v>4619</v>
      </c>
      <c r="C4588" s="1" t="s">
        <v>11</v>
      </c>
      <c r="D4588" s="1" t="s">
        <v>11</v>
      </c>
      <c r="E4588" s="1" t="s">
        <v>11</v>
      </c>
    </row>
    <row r="4589" spans="1:5" ht="15.75" customHeight="1">
      <c r="A4589" s="1">
        <v>870322</v>
      </c>
      <c r="B4589" s="1" t="s">
        <v>4620</v>
      </c>
      <c r="C4589" s="1" t="s">
        <v>11</v>
      </c>
      <c r="D4589" s="1" t="s">
        <v>11</v>
      </c>
      <c r="E4589" s="1" t="s">
        <v>11</v>
      </c>
    </row>
    <row r="4590" spans="1:5" ht="15.75" customHeight="1">
      <c r="A4590" s="1">
        <v>870323</v>
      </c>
      <c r="B4590" s="1" t="s">
        <v>4621</v>
      </c>
      <c r="C4590" s="1" t="s">
        <v>11</v>
      </c>
      <c r="D4590" s="1" t="s">
        <v>11</v>
      </c>
      <c r="E4590" s="1" t="s">
        <v>11</v>
      </c>
    </row>
    <row r="4591" spans="1:5" ht="15.75" customHeight="1">
      <c r="A4591" s="1">
        <v>870324</v>
      </c>
      <c r="B4591" s="1" t="s">
        <v>4622</v>
      </c>
      <c r="C4591" s="1" t="s">
        <v>11</v>
      </c>
      <c r="D4591" s="1" t="s">
        <v>11</v>
      </c>
      <c r="E4591" s="1" t="s">
        <v>11</v>
      </c>
    </row>
    <row r="4592" spans="1:5" ht="15.75" customHeight="1">
      <c r="A4592" s="1">
        <v>870331</v>
      </c>
      <c r="B4592" s="1" t="s">
        <v>4623</v>
      </c>
      <c r="C4592" s="1" t="s">
        <v>11</v>
      </c>
      <c r="D4592" s="1" t="s">
        <v>11</v>
      </c>
      <c r="E4592" s="1" t="s">
        <v>11</v>
      </c>
    </row>
    <row r="4593" spans="1:5" ht="15.75" customHeight="1">
      <c r="A4593" s="1">
        <v>870332</v>
      </c>
      <c r="B4593" s="1" t="s">
        <v>4624</v>
      </c>
      <c r="C4593" s="1" t="s">
        <v>11</v>
      </c>
      <c r="D4593" s="1" t="s">
        <v>11</v>
      </c>
      <c r="E4593" s="1" t="s">
        <v>11</v>
      </c>
    </row>
    <row r="4594" spans="1:5" ht="15.75" customHeight="1">
      <c r="A4594" s="1">
        <v>870333</v>
      </c>
      <c r="B4594" s="1" t="s">
        <v>4625</v>
      </c>
      <c r="C4594" s="1" t="s">
        <v>11</v>
      </c>
      <c r="D4594" s="1" t="s">
        <v>11</v>
      </c>
      <c r="E4594" s="1" t="s">
        <v>11</v>
      </c>
    </row>
    <row r="4595" spans="1:5" ht="15.75" customHeight="1">
      <c r="A4595" s="1">
        <v>870390</v>
      </c>
      <c r="B4595" s="1" t="s">
        <v>4626</v>
      </c>
      <c r="C4595" s="1" t="s">
        <v>11</v>
      </c>
      <c r="D4595" s="1" t="s">
        <v>11</v>
      </c>
      <c r="E4595" s="1" t="s">
        <v>11</v>
      </c>
    </row>
    <row r="4596" spans="1:5" ht="15.75" customHeight="1">
      <c r="A4596" s="1">
        <v>870410</v>
      </c>
      <c r="B4596" s="1" t="s">
        <v>4627</v>
      </c>
      <c r="C4596" s="1" t="s">
        <v>11</v>
      </c>
      <c r="D4596" s="1" t="s">
        <v>11</v>
      </c>
      <c r="E4596" s="1" t="s">
        <v>11</v>
      </c>
    </row>
    <row r="4597" spans="1:5" ht="15.75" customHeight="1">
      <c r="A4597" s="1">
        <v>870421</v>
      </c>
      <c r="B4597" s="1" t="s">
        <v>4628</v>
      </c>
      <c r="C4597" s="1" t="s">
        <v>11</v>
      </c>
      <c r="D4597" s="1" t="s">
        <v>11</v>
      </c>
      <c r="E4597" s="1" t="s">
        <v>11</v>
      </c>
    </row>
    <row r="4598" spans="1:5" ht="15.75" customHeight="1">
      <c r="A4598" s="1">
        <v>870422</v>
      </c>
      <c r="B4598" s="1" t="s">
        <v>4629</v>
      </c>
      <c r="C4598" s="1" t="s">
        <v>11</v>
      </c>
      <c r="D4598" s="1" t="s">
        <v>11</v>
      </c>
      <c r="E4598" s="1" t="s">
        <v>11</v>
      </c>
    </row>
    <row r="4599" spans="1:5" ht="15.75" customHeight="1">
      <c r="A4599" s="1">
        <v>870423</v>
      </c>
      <c r="B4599" s="1" t="s">
        <v>4630</v>
      </c>
      <c r="C4599" s="1" t="s">
        <v>11</v>
      </c>
      <c r="D4599" s="1" t="s">
        <v>11</v>
      </c>
      <c r="E4599" s="1" t="s">
        <v>11</v>
      </c>
    </row>
    <row r="4600" spans="1:5" ht="15.75" customHeight="1">
      <c r="A4600" s="1">
        <v>870431</v>
      </c>
      <c r="B4600" s="1" t="s">
        <v>4631</v>
      </c>
      <c r="C4600" s="1" t="s">
        <v>11</v>
      </c>
      <c r="D4600" s="1" t="s">
        <v>11</v>
      </c>
      <c r="E4600" s="1" t="s">
        <v>11</v>
      </c>
    </row>
    <row r="4601" spans="1:5" ht="15.75" customHeight="1">
      <c r="A4601" s="1">
        <v>870432</v>
      </c>
      <c r="B4601" s="1" t="s">
        <v>4632</v>
      </c>
      <c r="C4601" s="1" t="s">
        <v>11</v>
      </c>
      <c r="D4601" s="1" t="s">
        <v>11</v>
      </c>
      <c r="E4601" s="1" t="s">
        <v>11</v>
      </c>
    </row>
    <row r="4602" spans="1:5" ht="15.75" customHeight="1">
      <c r="A4602" s="1">
        <v>870490</v>
      </c>
      <c r="B4602" s="1" t="s">
        <v>4633</v>
      </c>
      <c r="C4602" s="1" t="s">
        <v>11</v>
      </c>
      <c r="D4602" s="1" t="s">
        <v>11</v>
      </c>
      <c r="E4602" s="1" t="s">
        <v>11</v>
      </c>
    </row>
    <row r="4603" spans="1:5" ht="15.75" customHeight="1">
      <c r="A4603" s="1">
        <v>870510</v>
      </c>
      <c r="B4603" s="1" t="s">
        <v>4634</v>
      </c>
      <c r="C4603" s="1" t="s">
        <v>11</v>
      </c>
      <c r="D4603" s="1" t="s">
        <v>11</v>
      </c>
      <c r="E4603" s="1" t="s">
        <v>11</v>
      </c>
    </row>
    <row r="4604" spans="1:5" ht="15.75" customHeight="1">
      <c r="A4604" s="1">
        <v>870520</v>
      </c>
      <c r="B4604" s="1" t="s">
        <v>4635</v>
      </c>
      <c r="C4604" s="1" t="s">
        <v>11</v>
      </c>
      <c r="D4604" s="1" t="s">
        <v>11</v>
      </c>
      <c r="E4604" s="1" t="s">
        <v>11</v>
      </c>
    </row>
    <row r="4605" spans="1:5" ht="15.75" customHeight="1">
      <c r="A4605" s="1">
        <v>870530</v>
      </c>
      <c r="B4605" s="1" t="s">
        <v>4636</v>
      </c>
      <c r="C4605" s="1" t="s">
        <v>11</v>
      </c>
      <c r="D4605" s="1" t="s">
        <v>11</v>
      </c>
      <c r="E4605" s="1" t="s">
        <v>11</v>
      </c>
    </row>
    <row r="4606" spans="1:5" ht="15.75" customHeight="1">
      <c r="A4606" s="1">
        <v>870540</v>
      </c>
      <c r="B4606" s="1" t="s">
        <v>4637</v>
      </c>
      <c r="C4606" s="1" t="s">
        <v>11</v>
      </c>
      <c r="D4606" s="1" t="s">
        <v>11</v>
      </c>
      <c r="E4606" s="1" t="s">
        <v>11</v>
      </c>
    </row>
    <row r="4607" spans="1:5" ht="15.75" customHeight="1">
      <c r="A4607" s="1">
        <v>870590</v>
      </c>
      <c r="B4607" s="1" t="s">
        <v>4638</v>
      </c>
      <c r="C4607" s="1" t="s">
        <v>11</v>
      </c>
      <c r="D4607" s="1" t="s">
        <v>11</v>
      </c>
      <c r="E4607" s="1" t="s">
        <v>11</v>
      </c>
    </row>
    <row r="4608" spans="1:5" ht="15.75" customHeight="1">
      <c r="A4608" s="1">
        <v>870600</v>
      </c>
      <c r="B4608" s="1" t="s">
        <v>4639</v>
      </c>
      <c r="C4608" s="1" t="s">
        <v>11</v>
      </c>
      <c r="D4608" s="1" t="s">
        <v>11</v>
      </c>
      <c r="E4608" s="1" t="s">
        <v>11</v>
      </c>
    </row>
    <row r="4609" spans="1:5" ht="15.75" customHeight="1">
      <c r="A4609" s="1">
        <v>870710</v>
      </c>
      <c r="B4609" s="1" t="s">
        <v>4640</v>
      </c>
      <c r="C4609" s="1" t="s">
        <v>11</v>
      </c>
      <c r="D4609" s="1" t="s">
        <v>11</v>
      </c>
      <c r="E4609" s="1" t="s">
        <v>11</v>
      </c>
    </row>
    <row r="4610" spans="1:5" ht="15.75" customHeight="1">
      <c r="A4610" s="1">
        <v>870790</v>
      </c>
      <c r="B4610" s="1" t="s">
        <v>4641</v>
      </c>
      <c r="C4610" s="1" t="s">
        <v>11</v>
      </c>
      <c r="D4610" s="1" t="s">
        <v>11</v>
      </c>
      <c r="E4610" s="1" t="s">
        <v>11</v>
      </c>
    </row>
    <row r="4611" spans="1:5" ht="15.75" customHeight="1">
      <c r="A4611" s="1">
        <v>870810</v>
      </c>
      <c r="B4611" s="1" t="s">
        <v>4642</v>
      </c>
      <c r="C4611" s="1" t="s">
        <v>11</v>
      </c>
      <c r="D4611" s="1" t="s">
        <v>11</v>
      </c>
      <c r="E4611" s="1" t="s">
        <v>11</v>
      </c>
    </row>
    <row r="4612" spans="1:5" ht="15.75" customHeight="1">
      <c r="A4612" s="1">
        <v>870821</v>
      </c>
      <c r="B4612" s="1" t="s">
        <v>4643</v>
      </c>
      <c r="C4612" s="1" t="s">
        <v>11</v>
      </c>
      <c r="D4612" s="1" t="s">
        <v>11</v>
      </c>
      <c r="E4612" s="1" t="s">
        <v>11</v>
      </c>
    </row>
    <row r="4613" spans="1:5" ht="15.75" customHeight="1">
      <c r="A4613" s="1">
        <v>870829</v>
      </c>
      <c r="B4613" s="1" t="s">
        <v>4644</v>
      </c>
      <c r="C4613" s="1" t="s">
        <v>11</v>
      </c>
      <c r="D4613" s="1" t="s">
        <v>11</v>
      </c>
      <c r="E4613" s="1" t="s">
        <v>11</v>
      </c>
    </row>
    <row r="4614" spans="1:5" ht="15.75" customHeight="1">
      <c r="A4614" s="1">
        <v>870830</v>
      </c>
      <c r="B4614" s="1" t="s">
        <v>4645</v>
      </c>
      <c r="C4614" s="1" t="s">
        <v>11</v>
      </c>
      <c r="D4614" s="1" t="s">
        <v>11</v>
      </c>
      <c r="E4614" s="1" t="s">
        <v>11</v>
      </c>
    </row>
    <row r="4615" spans="1:5" ht="15.75" customHeight="1">
      <c r="A4615" s="1">
        <v>870840</v>
      </c>
      <c r="B4615" s="1" t="s">
        <v>4646</v>
      </c>
      <c r="C4615" s="1" t="s">
        <v>11</v>
      </c>
      <c r="D4615" s="1" t="s">
        <v>11</v>
      </c>
      <c r="E4615" s="1" t="s">
        <v>11</v>
      </c>
    </row>
    <row r="4616" spans="1:5" ht="15.75" customHeight="1">
      <c r="A4616" s="1">
        <v>870850</v>
      </c>
      <c r="B4616" s="1" t="s">
        <v>4647</v>
      </c>
      <c r="C4616" s="1" t="s">
        <v>11</v>
      </c>
      <c r="D4616" s="1" t="s">
        <v>11</v>
      </c>
      <c r="E4616" s="1" t="s">
        <v>11</v>
      </c>
    </row>
    <row r="4617" spans="1:5" ht="15.75" customHeight="1">
      <c r="A4617" s="1">
        <v>870870</v>
      </c>
      <c r="B4617" s="1" t="s">
        <v>4648</v>
      </c>
      <c r="C4617" s="1" t="s">
        <v>11</v>
      </c>
      <c r="D4617" s="1" t="s">
        <v>11</v>
      </c>
      <c r="E4617" s="1" t="s">
        <v>11</v>
      </c>
    </row>
    <row r="4618" spans="1:5" ht="15.75" customHeight="1">
      <c r="A4618" s="1">
        <v>870880</v>
      </c>
      <c r="B4618" s="1" t="s">
        <v>4649</v>
      </c>
      <c r="C4618" s="1" t="s">
        <v>11</v>
      </c>
      <c r="D4618" s="1" t="s">
        <v>11</v>
      </c>
      <c r="E4618" s="1" t="s">
        <v>11</v>
      </c>
    </row>
    <row r="4619" spans="1:5" ht="15.75" customHeight="1">
      <c r="A4619" s="1">
        <v>870891</v>
      </c>
      <c r="B4619" s="1" t="s">
        <v>4650</v>
      </c>
      <c r="C4619" s="1" t="s">
        <v>11</v>
      </c>
      <c r="D4619" s="1" t="s">
        <v>11</v>
      </c>
      <c r="E4619" s="1" t="s">
        <v>11</v>
      </c>
    </row>
    <row r="4620" spans="1:5" ht="15.75" customHeight="1">
      <c r="A4620" s="1">
        <v>870892</v>
      </c>
      <c r="B4620" s="1" t="s">
        <v>4651</v>
      </c>
      <c r="C4620" s="1" t="s">
        <v>11</v>
      </c>
      <c r="D4620" s="1" t="s">
        <v>11</v>
      </c>
      <c r="E4620" s="1" t="s">
        <v>11</v>
      </c>
    </row>
    <row r="4621" spans="1:5" ht="15.75" customHeight="1">
      <c r="A4621" s="1">
        <v>870893</v>
      </c>
      <c r="B4621" s="1" t="s">
        <v>4652</v>
      </c>
      <c r="C4621" s="1" t="s">
        <v>11</v>
      </c>
      <c r="D4621" s="1" t="s">
        <v>11</v>
      </c>
      <c r="E4621" s="1" t="s">
        <v>11</v>
      </c>
    </row>
    <row r="4622" spans="1:5" ht="15.75" customHeight="1">
      <c r="A4622" s="1">
        <v>870894</v>
      </c>
      <c r="B4622" s="1" t="s">
        <v>4653</v>
      </c>
      <c r="C4622" s="1" t="s">
        <v>11</v>
      </c>
      <c r="D4622" s="1" t="s">
        <v>11</v>
      </c>
      <c r="E4622" s="1" t="s">
        <v>11</v>
      </c>
    </row>
    <row r="4623" spans="1:5" ht="15.75" customHeight="1">
      <c r="A4623" s="1">
        <v>870895</v>
      </c>
      <c r="B4623" s="1" t="s">
        <v>4654</v>
      </c>
      <c r="C4623" s="1" t="s">
        <v>11</v>
      </c>
      <c r="D4623" s="1" t="s">
        <v>11</v>
      </c>
      <c r="E4623" s="1" t="s">
        <v>11</v>
      </c>
    </row>
    <row r="4624" spans="1:5" ht="15.75" customHeight="1">
      <c r="A4624" s="1">
        <v>870899</v>
      </c>
      <c r="B4624" s="1" t="s">
        <v>4655</v>
      </c>
      <c r="C4624" s="1" t="s">
        <v>11</v>
      </c>
      <c r="D4624" s="1" t="s">
        <v>11</v>
      </c>
      <c r="E4624" s="1" t="s">
        <v>11</v>
      </c>
    </row>
    <row r="4625" spans="1:6" ht="15.75" customHeight="1">
      <c r="A4625" s="1">
        <v>870911</v>
      </c>
      <c r="B4625" s="1" t="s">
        <v>4656</v>
      </c>
      <c r="C4625" s="1" t="s">
        <v>11</v>
      </c>
      <c r="D4625" s="1" t="s">
        <v>11</v>
      </c>
      <c r="E4625" s="1" t="s">
        <v>11</v>
      </c>
    </row>
    <row r="4626" spans="1:6" ht="15.75" customHeight="1">
      <c r="A4626" s="1">
        <v>870919</v>
      </c>
      <c r="B4626" s="1" t="s">
        <v>4657</v>
      </c>
      <c r="C4626" s="1" t="s">
        <v>11</v>
      </c>
      <c r="D4626" s="1" t="s">
        <v>11</v>
      </c>
      <c r="E4626" s="1" t="s">
        <v>11</v>
      </c>
    </row>
    <row r="4627" spans="1:6" ht="15.75" customHeight="1">
      <c r="A4627" s="1">
        <v>870990</v>
      </c>
      <c r="B4627" s="1" t="s">
        <v>4658</v>
      </c>
      <c r="C4627" s="1" t="s">
        <v>11</v>
      </c>
      <c r="D4627" s="1" t="s">
        <v>11</v>
      </c>
      <c r="E4627" s="1" t="s">
        <v>11</v>
      </c>
    </row>
    <row r="4628" spans="1:6" ht="15.75" customHeight="1">
      <c r="A4628" s="1">
        <v>871000</v>
      </c>
      <c r="B4628" s="1" t="s">
        <v>4659</v>
      </c>
      <c r="C4628" s="1" t="s">
        <v>11</v>
      </c>
      <c r="D4628" s="1" t="s">
        <v>11</v>
      </c>
      <c r="E4628" s="1" t="s">
        <v>11</v>
      </c>
    </row>
    <row r="4629" spans="1:6" ht="15.75" customHeight="1">
      <c r="A4629" s="1">
        <v>871110</v>
      </c>
      <c r="B4629" s="1" t="s">
        <v>4660</v>
      </c>
      <c r="C4629" s="1" t="s">
        <v>11</v>
      </c>
      <c r="D4629" s="1" t="s">
        <v>11</v>
      </c>
      <c r="E4629" s="1" t="s">
        <v>11</v>
      </c>
    </row>
    <row r="4630" spans="1:6" ht="15.75" customHeight="1">
      <c r="A4630" s="1">
        <v>871120</v>
      </c>
      <c r="B4630" s="1" t="s">
        <v>4661</v>
      </c>
      <c r="C4630" s="1" t="s">
        <v>11</v>
      </c>
      <c r="D4630" s="1" t="s">
        <v>11</v>
      </c>
      <c r="E4630" s="1" t="s">
        <v>11</v>
      </c>
    </row>
    <row r="4631" spans="1:6" ht="15.75" customHeight="1">
      <c r="A4631" s="1">
        <v>871130</v>
      </c>
      <c r="B4631" s="1" t="s">
        <v>4662</v>
      </c>
      <c r="C4631" s="1" t="s">
        <v>11</v>
      </c>
      <c r="D4631" s="1" t="s">
        <v>11</v>
      </c>
      <c r="E4631" s="1" t="s">
        <v>11</v>
      </c>
    </row>
    <row r="4632" spans="1:6" ht="15.75" customHeight="1">
      <c r="A4632" s="1">
        <v>871140</v>
      </c>
      <c r="B4632" s="1" t="s">
        <v>4663</v>
      </c>
      <c r="C4632" s="1" t="s">
        <v>11</v>
      </c>
      <c r="D4632" s="1" t="s">
        <v>11</v>
      </c>
      <c r="E4632" s="1" t="s">
        <v>11</v>
      </c>
    </row>
    <row r="4633" spans="1:6" ht="15.75" customHeight="1">
      <c r="A4633" s="1">
        <v>871150</v>
      </c>
      <c r="B4633" s="1" t="s">
        <v>4664</v>
      </c>
      <c r="C4633" s="1" t="s">
        <v>11</v>
      </c>
      <c r="D4633" s="1" t="s">
        <v>11</v>
      </c>
      <c r="E4633" s="1" t="s">
        <v>11</v>
      </c>
    </row>
    <row r="4634" spans="1:6" ht="15.75" customHeight="1">
      <c r="A4634" s="1">
        <v>871190</v>
      </c>
      <c r="B4634" s="1" t="s">
        <v>4665</v>
      </c>
      <c r="C4634" s="1" t="s">
        <v>11</v>
      </c>
      <c r="D4634" s="1" t="s">
        <v>11</v>
      </c>
      <c r="E4634" s="1" t="s">
        <v>11</v>
      </c>
    </row>
    <row r="4635" spans="1:6" ht="15.75" customHeight="1">
      <c r="A4635" s="1">
        <v>871200</v>
      </c>
      <c r="B4635" s="1" t="s">
        <v>4666</v>
      </c>
      <c r="C4635" s="1" t="s">
        <v>11</v>
      </c>
      <c r="D4635" s="1" t="s">
        <v>11</v>
      </c>
      <c r="E4635" s="1" t="s">
        <v>11</v>
      </c>
    </row>
    <row r="4636" spans="1:6" ht="15.75" customHeight="1">
      <c r="A4636" s="1">
        <v>871310</v>
      </c>
      <c r="B4636" s="1" t="s">
        <v>4667</v>
      </c>
      <c r="C4636" s="1">
        <v>1</v>
      </c>
      <c r="D4636" s="1" t="s">
        <v>1418</v>
      </c>
      <c r="E4636" s="1" t="s">
        <v>1418</v>
      </c>
      <c r="F4636" s="2" t="s">
        <v>1419</v>
      </c>
    </row>
    <row r="4637" spans="1:6" ht="15.75" customHeight="1">
      <c r="A4637" s="1">
        <v>871390</v>
      </c>
      <c r="B4637" s="1" t="s">
        <v>4668</v>
      </c>
      <c r="C4637" s="1">
        <v>1</v>
      </c>
      <c r="D4637" s="1" t="s">
        <v>1418</v>
      </c>
      <c r="E4637" s="1" t="s">
        <v>1418</v>
      </c>
      <c r="F4637" s="2" t="s">
        <v>1419</v>
      </c>
    </row>
    <row r="4638" spans="1:6" ht="15.75" customHeight="1">
      <c r="A4638" s="1">
        <v>871411</v>
      </c>
      <c r="B4638" s="1" t="s">
        <v>4669</v>
      </c>
      <c r="C4638" s="1" t="s">
        <v>11</v>
      </c>
      <c r="D4638" s="1" t="s">
        <v>11</v>
      </c>
      <c r="E4638" s="1" t="s">
        <v>11</v>
      </c>
    </row>
    <row r="4639" spans="1:6" ht="15.75" customHeight="1">
      <c r="A4639" s="1">
        <v>871419</v>
      </c>
      <c r="B4639" s="1" t="s">
        <v>4670</v>
      </c>
      <c r="C4639" s="1" t="s">
        <v>11</v>
      </c>
      <c r="D4639" s="1" t="s">
        <v>11</v>
      </c>
      <c r="E4639" s="1" t="s">
        <v>11</v>
      </c>
    </row>
    <row r="4640" spans="1:6" ht="15.75" customHeight="1">
      <c r="A4640" s="1">
        <v>871420</v>
      </c>
      <c r="B4640" s="1" t="s">
        <v>4671</v>
      </c>
      <c r="C4640" s="1">
        <v>1</v>
      </c>
      <c r="D4640" s="1" t="s">
        <v>1418</v>
      </c>
      <c r="E4640" s="1" t="s">
        <v>1418</v>
      </c>
      <c r="F4640" s="2" t="s">
        <v>1419</v>
      </c>
    </row>
    <row r="4641" spans="1:5" ht="15.75" customHeight="1">
      <c r="A4641" s="1">
        <v>871491</v>
      </c>
      <c r="B4641" s="1" t="s">
        <v>4672</v>
      </c>
      <c r="C4641" s="1" t="s">
        <v>11</v>
      </c>
      <c r="D4641" s="1" t="s">
        <v>11</v>
      </c>
      <c r="E4641" s="1" t="s">
        <v>11</v>
      </c>
    </row>
    <row r="4642" spans="1:5" ht="15.75" customHeight="1">
      <c r="A4642" s="1">
        <v>871492</v>
      </c>
      <c r="B4642" s="1" t="s">
        <v>4673</v>
      </c>
      <c r="C4642" s="1" t="s">
        <v>11</v>
      </c>
      <c r="D4642" s="1" t="s">
        <v>11</v>
      </c>
      <c r="E4642" s="1" t="s">
        <v>11</v>
      </c>
    </row>
    <row r="4643" spans="1:5" ht="15.75" customHeight="1">
      <c r="A4643" s="1">
        <v>871493</v>
      </c>
      <c r="B4643" s="1" t="s">
        <v>4674</v>
      </c>
      <c r="C4643" s="1" t="s">
        <v>11</v>
      </c>
      <c r="D4643" s="1" t="s">
        <v>11</v>
      </c>
      <c r="E4643" s="1" t="s">
        <v>11</v>
      </c>
    </row>
    <row r="4644" spans="1:5" ht="15.75" customHeight="1">
      <c r="A4644" s="1">
        <v>871494</v>
      </c>
      <c r="B4644" s="1" t="s">
        <v>4675</v>
      </c>
      <c r="C4644" s="1" t="s">
        <v>11</v>
      </c>
      <c r="D4644" s="1" t="s">
        <v>11</v>
      </c>
      <c r="E4644" s="1" t="s">
        <v>11</v>
      </c>
    </row>
    <row r="4645" spans="1:5" ht="15.75" customHeight="1">
      <c r="A4645" s="1">
        <v>871495</v>
      </c>
      <c r="B4645" s="1" t="s">
        <v>4676</v>
      </c>
      <c r="C4645" s="1" t="s">
        <v>11</v>
      </c>
      <c r="D4645" s="1" t="s">
        <v>11</v>
      </c>
      <c r="E4645" s="1" t="s">
        <v>11</v>
      </c>
    </row>
    <row r="4646" spans="1:5" ht="15.75" customHeight="1">
      <c r="A4646" s="1">
        <v>871496</v>
      </c>
      <c r="B4646" s="1" t="s">
        <v>4677</v>
      </c>
      <c r="C4646" s="1" t="s">
        <v>11</v>
      </c>
      <c r="D4646" s="1" t="s">
        <v>11</v>
      </c>
      <c r="E4646" s="1" t="s">
        <v>11</v>
      </c>
    </row>
    <row r="4647" spans="1:5" ht="15.75" customHeight="1">
      <c r="A4647" s="1">
        <v>871499</v>
      </c>
      <c r="B4647" s="1" t="s">
        <v>4678</v>
      </c>
      <c r="C4647" s="1" t="s">
        <v>11</v>
      </c>
      <c r="D4647" s="1" t="s">
        <v>11</v>
      </c>
      <c r="E4647" s="1" t="s">
        <v>11</v>
      </c>
    </row>
    <row r="4648" spans="1:5" ht="15.75" customHeight="1">
      <c r="A4648" s="1">
        <v>871500</v>
      </c>
      <c r="B4648" s="1" t="s">
        <v>4679</v>
      </c>
      <c r="C4648" s="1" t="s">
        <v>11</v>
      </c>
      <c r="D4648" s="1" t="s">
        <v>11</v>
      </c>
      <c r="E4648" s="1" t="s">
        <v>11</v>
      </c>
    </row>
    <row r="4649" spans="1:5" ht="15.75" customHeight="1">
      <c r="A4649" s="1">
        <v>871610</v>
      </c>
      <c r="B4649" s="1" t="s">
        <v>4680</v>
      </c>
      <c r="C4649" s="1" t="s">
        <v>11</v>
      </c>
      <c r="D4649" s="1" t="s">
        <v>11</v>
      </c>
      <c r="E4649" s="1" t="s">
        <v>11</v>
      </c>
    </row>
    <row r="4650" spans="1:5" ht="15.75" customHeight="1">
      <c r="A4650" s="1">
        <v>871620</v>
      </c>
      <c r="B4650" s="1" t="s">
        <v>4681</v>
      </c>
      <c r="C4650" s="1" t="s">
        <v>11</v>
      </c>
      <c r="D4650" s="1" t="s">
        <v>11</v>
      </c>
      <c r="E4650" s="1" t="s">
        <v>11</v>
      </c>
    </row>
    <row r="4651" spans="1:5" ht="15.75" customHeight="1">
      <c r="A4651" s="1">
        <v>871631</v>
      </c>
      <c r="B4651" s="1" t="s">
        <v>4682</v>
      </c>
      <c r="C4651" s="1" t="s">
        <v>11</v>
      </c>
      <c r="D4651" s="1" t="s">
        <v>11</v>
      </c>
      <c r="E4651" s="1" t="s">
        <v>11</v>
      </c>
    </row>
    <row r="4652" spans="1:5" ht="15.75" customHeight="1">
      <c r="A4652" s="1">
        <v>871639</v>
      </c>
      <c r="B4652" s="1" t="s">
        <v>4683</v>
      </c>
      <c r="C4652" s="1" t="s">
        <v>11</v>
      </c>
      <c r="D4652" s="1" t="s">
        <v>11</v>
      </c>
      <c r="E4652" s="1" t="s">
        <v>11</v>
      </c>
    </row>
    <row r="4653" spans="1:5" ht="15.75" customHeight="1">
      <c r="A4653" s="1">
        <v>871640</v>
      </c>
      <c r="B4653" s="1" t="s">
        <v>4684</v>
      </c>
      <c r="C4653" s="1" t="s">
        <v>11</v>
      </c>
      <c r="D4653" s="1" t="s">
        <v>11</v>
      </c>
      <c r="E4653" s="1" t="s">
        <v>11</v>
      </c>
    </row>
    <row r="4654" spans="1:5" ht="15.75" customHeight="1">
      <c r="A4654" s="1">
        <v>871680</v>
      </c>
      <c r="B4654" s="1" t="s">
        <v>4685</v>
      </c>
      <c r="C4654" s="1" t="s">
        <v>11</v>
      </c>
      <c r="D4654" s="1" t="s">
        <v>11</v>
      </c>
      <c r="E4654" s="1" t="s">
        <v>11</v>
      </c>
    </row>
    <row r="4655" spans="1:5" ht="15.75" customHeight="1">
      <c r="A4655" s="1">
        <v>871690</v>
      </c>
      <c r="B4655" s="1" t="s">
        <v>4686</v>
      </c>
      <c r="C4655" s="1" t="s">
        <v>11</v>
      </c>
      <c r="D4655" s="1" t="s">
        <v>11</v>
      </c>
      <c r="E4655" s="1" t="s">
        <v>11</v>
      </c>
    </row>
    <row r="4656" spans="1:5" ht="15.75" customHeight="1">
      <c r="A4656" s="1">
        <v>880100</v>
      </c>
      <c r="B4656" s="1" t="s">
        <v>4687</v>
      </c>
      <c r="C4656" s="1" t="s">
        <v>11</v>
      </c>
      <c r="D4656" s="1" t="s">
        <v>11</v>
      </c>
      <c r="E4656" s="1" t="s">
        <v>11</v>
      </c>
    </row>
    <row r="4657" spans="1:5" ht="15.75" customHeight="1">
      <c r="A4657" s="1">
        <v>880211</v>
      </c>
      <c r="B4657" s="1" t="s">
        <v>4688</v>
      </c>
      <c r="C4657" s="1" t="s">
        <v>11</v>
      </c>
      <c r="D4657" s="1" t="s">
        <v>11</v>
      </c>
      <c r="E4657" s="1" t="s">
        <v>11</v>
      </c>
    </row>
    <row r="4658" spans="1:5" ht="15.75" customHeight="1">
      <c r="A4658" s="1">
        <v>880212</v>
      </c>
      <c r="B4658" s="1" t="s">
        <v>4689</v>
      </c>
      <c r="C4658" s="1" t="s">
        <v>11</v>
      </c>
      <c r="D4658" s="1" t="s">
        <v>11</v>
      </c>
      <c r="E4658" s="1" t="s">
        <v>11</v>
      </c>
    </row>
    <row r="4659" spans="1:5" ht="15.75" customHeight="1">
      <c r="A4659" s="1">
        <v>880220</v>
      </c>
      <c r="B4659" s="1" t="s">
        <v>4690</v>
      </c>
      <c r="C4659" s="1" t="s">
        <v>11</v>
      </c>
      <c r="D4659" s="1" t="s">
        <v>11</v>
      </c>
      <c r="E4659" s="1" t="s">
        <v>11</v>
      </c>
    </row>
    <row r="4660" spans="1:5" ht="15.75" customHeight="1">
      <c r="A4660" s="1">
        <v>880230</v>
      </c>
      <c r="B4660" s="1" t="s">
        <v>4691</v>
      </c>
      <c r="C4660" s="1" t="s">
        <v>11</v>
      </c>
      <c r="D4660" s="1" t="s">
        <v>11</v>
      </c>
      <c r="E4660" s="1" t="s">
        <v>11</v>
      </c>
    </row>
    <row r="4661" spans="1:5" ht="15.75" customHeight="1">
      <c r="A4661" s="1">
        <v>880240</v>
      </c>
      <c r="B4661" s="1" t="s">
        <v>4692</v>
      </c>
      <c r="C4661" s="1" t="s">
        <v>11</v>
      </c>
      <c r="D4661" s="1" t="s">
        <v>11</v>
      </c>
      <c r="E4661" s="1" t="s">
        <v>11</v>
      </c>
    </row>
    <row r="4662" spans="1:5" ht="15.75" customHeight="1">
      <c r="A4662" s="1">
        <v>880260</v>
      </c>
      <c r="B4662" s="1" t="s">
        <v>4693</v>
      </c>
      <c r="C4662" s="1" t="s">
        <v>11</v>
      </c>
      <c r="D4662" s="1" t="s">
        <v>11</v>
      </c>
      <c r="E4662" s="1" t="s">
        <v>11</v>
      </c>
    </row>
    <row r="4663" spans="1:5" ht="15.75" customHeight="1">
      <c r="A4663" s="1">
        <v>880310</v>
      </c>
      <c r="B4663" s="1" t="s">
        <v>4694</v>
      </c>
      <c r="C4663" s="1" t="s">
        <v>11</v>
      </c>
      <c r="D4663" s="1" t="s">
        <v>11</v>
      </c>
      <c r="E4663" s="1" t="s">
        <v>11</v>
      </c>
    </row>
    <row r="4664" spans="1:5" ht="15.75" customHeight="1">
      <c r="A4664" s="1">
        <v>880320</v>
      </c>
      <c r="B4664" s="1" t="s">
        <v>4695</v>
      </c>
      <c r="C4664" s="1" t="s">
        <v>11</v>
      </c>
      <c r="D4664" s="1" t="s">
        <v>11</v>
      </c>
      <c r="E4664" s="1" t="s">
        <v>11</v>
      </c>
    </row>
    <row r="4665" spans="1:5" ht="15.75" customHeight="1">
      <c r="A4665" s="1">
        <v>880330</v>
      </c>
      <c r="B4665" s="1" t="s">
        <v>4696</v>
      </c>
      <c r="C4665" s="1" t="s">
        <v>11</v>
      </c>
      <c r="D4665" s="1" t="s">
        <v>11</v>
      </c>
      <c r="E4665" s="1" t="s">
        <v>11</v>
      </c>
    </row>
    <row r="4666" spans="1:5" ht="15.75" customHeight="1">
      <c r="A4666" s="1">
        <v>880390</v>
      </c>
      <c r="B4666" s="1" t="s">
        <v>4697</v>
      </c>
      <c r="C4666" s="1" t="s">
        <v>11</v>
      </c>
      <c r="D4666" s="1" t="s">
        <v>11</v>
      </c>
      <c r="E4666" s="1" t="s">
        <v>11</v>
      </c>
    </row>
    <row r="4667" spans="1:5" ht="15.75" customHeight="1">
      <c r="A4667" s="1">
        <v>880400</v>
      </c>
      <c r="B4667" s="1" t="s">
        <v>4698</v>
      </c>
      <c r="C4667" s="1" t="s">
        <v>11</v>
      </c>
      <c r="D4667" s="1" t="s">
        <v>11</v>
      </c>
      <c r="E4667" s="1" t="s">
        <v>11</v>
      </c>
    </row>
    <row r="4668" spans="1:5" ht="15.75" customHeight="1">
      <c r="A4668" s="1">
        <v>880510</v>
      </c>
      <c r="B4668" s="1" t="s">
        <v>4699</v>
      </c>
      <c r="C4668" s="1" t="s">
        <v>11</v>
      </c>
      <c r="D4668" s="1" t="s">
        <v>11</v>
      </c>
      <c r="E4668" s="1" t="s">
        <v>11</v>
      </c>
    </row>
    <row r="4669" spans="1:5" ht="15.75" customHeight="1">
      <c r="A4669" s="1">
        <v>880521</v>
      </c>
      <c r="B4669" s="1" t="s">
        <v>4700</v>
      </c>
      <c r="C4669" s="1" t="s">
        <v>11</v>
      </c>
      <c r="D4669" s="1" t="s">
        <v>11</v>
      </c>
      <c r="E4669" s="1" t="s">
        <v>11</v>
      </c>
    </row>
    <row r="4670" spans="1:5" ht="15.75" customHeight="1">
      <c r="A4670" s="1">
        <v>880529</v>
      </c>
      <c r="B4670" s="1" t="s">
        <v>4701</v>
      </c>
      <c r="C4670" s="1" t="s">
        <v>11</v>
      </c>
      <c r="D4670" s="1" t="s">
        <v>11</v>
      </c>
      <c r="E4670" s="1" t="s">
        <v>11</v>
      </c>
    </row>
    <row r="4671" spans="1:5" ht="15.75" customHeight="1">
      <c r="A4671" s="1">
        <v>890110</v>
      </c>
      <c r="B4671" s="1" t="s">
        <v>4702</v>
      </c>
      <c r="C4671" s="1" t="s">
        <v>11</v>
      </c>
      <c r="D4671" s="1" t="s">
        <v>11</v>
      </c>
      <c r="E4671" s="1" t="s">
        <v>11</v>
      </c>
    </row>
    <row r="4672" spans="1:5" ht="15.75" customHeight="1">
      <c r="A4672" s="1">
        <v>890120</v>
      </c>
      <c r="B4672" s="1" t="s">
        <v>4703</v>
      </c>
      <c r="C4672" s="1" t="s">
        <v>11</v>
      </c>
      <c r="D4672" s="1" t="s">
        <v>11</v>
      </c>
      <c r="E4672" s="1" t="s">
        <v>11</v>
      </c>
    </row>
    <row r="4673" spans="1:5" ht="15.75" customHeight="1">
      <c r="A4673" s="1">
        <v>890130</v>
      </c>
      <c r="B4673" s="1" t="s">
        <v>4704</v>
      </c>
      <c r="C4673" s="1" t="s">
        <v>11</v>
      </c>
      <c r="D4673" s="1" t="s">
        <v>11</v>
      </c>
      <c r="E4673" s="1" t="s">
        <v>11</v>
      </c>
    </row>
    <row r="4674" spans="1:5" ht="15.75" customHeight="1">
      <c r="A4674" s="1">
        <v>890190</v>
      </c>
      <c r="B4674" s="1" t="s">
        <v>4705</v>
      </c>
      <c r="C4674" s="1" t="s">
        <v>11</v>
      </c>
      <c r="D4674" s="1" t="s">
        <v>11</v>
      </c>
      <c r="E4674" s="1" t="s">
        <v>11</v>
      </c>
    </row>
    <row r="4675" spans="1:5" ht="15.75" customHeight="1">
      <c r="A4675" s="1">
        <v>890200</v>
      </c>
      <c r="B4675" s="1" t="s">
        <v>4706</v>
      </c>
      <c r="C4675" s="1" t="s">
        <v>11</v>
      </c>
      <c r="D4675" s="1" t="s">
        <v>11</v>
      </c>
      <c r="E4675" s="1" t="s">
        <v>11</v>
      </c>
    </row>
    <row r="4676" spans="1:5" ht="15.75" customHeight="1">
      <c r="A4676" s="1">
        <v>890310</v>
      </c>
      <c r="B4676" s="1" t="s">
        <v>4707</v>
      </c>
      <c r="C4676" s="1" t="s">
        <v>11</v>
      </c>
      <c r="D4676" s="1" t="s">
        <v>11</v>
      </c>
      <c r="E4676" s="1" t="s">
        <v>11</v>
      </c>
    </row>
    <row r="4677" spans="1:5" ht="15.75" customHeight="1">
      <c r="A4677" s="1">
        <v>890391</v>
      </c>
      <c r="B4677" s="1" t="s">
        <v>4708</v>
      </c>
      <c r="C4677" s="1" t="s">
        <v>11</v>
      </c>
      <c r="D4677" s="1" t="s">
        <v>11</v>
      </c>
      <c r="E4677" s="1" t="s">
        <v>11</v>
      </c>
    </row>
    <row r="4678" spans="1:5" ht="15.75" customHeight="1">
      <c r="A4678" s="1">
        <v>890392</v>
      </c>
      <c r="B4678" s="1" t="s">
        <v>4709</v>
      </c>
      <c r="C4678" s="1" t="s">
        <v>11</v>
      </c>
      <c r="D4678" s="1" t="s">
        <v>11</v>
      </c>
      <c r="E4678" s="1" t="s">
        <v>11</v>
      </c>
    </row>
    <row r="4679" spans="1:5" ht="15.75" customHeight="1">
      <c r="A4679" s="1">
        <v>890399</v>
      </c>
      <c r="B4679" s="1" t="s">
        <v>4710</v>
      </c>
      <c r="C4679" s="1" t="s">
        <v>11</v>
      </c>
      <c r="D4679" s="1" t="s">
        <v>11</v>
      </c>
      <c r="E4679" s="1" t="s">
        <v>11</v>
      </c>
    </row>
    <row r="4680" spans="1:5" ht="15.75" customHeight="1">
      <c r="A4680" s="1">
        <v>890400</v>
      </c>
      <c r="B4680" s="1" t="s">
        <v>4711</v>
      </c>
      <c r="C4680" s="1" t="s">
        <v>11</v>
      </c>
      <c r="D4680" s="1" t="s">
        <v>11</v>
      </c>
      <c r="E4680" s="1" t="s">
        <v>11</v>
      </c>
    </row>
    <row r="4681" spans="1:5" ht="15.75" customHeight="1">
      <c r="A4681" s="1">
        <v>890510</v>
      </c>
      <c r="B4681" s="1" t="s">
        <v>4712</v>
      </c>
      <c r="C4681" s="1" t="s">
        <v>11</v>
      </c>
      <c r="D4681" s="1" t="s">
        <v>11</v>
      </c>
      <c r="E4681" s="1" t="s">
        <v>11</v>
      </c>
    </row>
    <row r="4682" spans="1:5" ht="15.75" customHeight="1">
      <c r="A4682" s="1">
        <v>890520</v>
      </c>
      <c r="B4682" s="1" t="s">
        <v>4713</v>
      </c>
      <c r="C4682" s="1" t="s">
        <v>11</v>
      </c>
      <c r="D4682" s="1" t="s">
        <v>11</v>
      </c>
      <c r="E4682" s="1" t="s">
        <v>11</v>
      </c>
    </row>
    <row r="4683" spans="1:5" ht="15.75" customHeight="1">
      <c r="A4683" s="1">
        <v>890590</v>
      </c>
      <c r="B4683" s="1" t="s">
        <v>4714</v>
      </c>
      <c r="C4683" s="1" t="s">
        <v>11</v>
      </c>
      <c r="D4683" s="1" t="s">
        <v>11</v>
      </c>
      <c r="E4683" s="1" t="s">
        <v>11</v>
      </c>
    </row>
    <row r="4684" spans="1:5" ht="15.75" customHeight="1">
      <c r="A4684" s="1">
        <v>890610</v>
      </c>
      <c r="B4684" s="1" t="s">
        <v>4715</v>
      </c>
      <c r="C4684" s="1" t="s">
        <v>11</v>
      </c>
      <c r="D4684" s="1" t="s">
        <v>11</v>
      </c>
      <c r="E4684" s="1" t="s">
        <v>11</v>
      </c>
    </row>
    <row r="4685" spans="1:5" ht="15.75" customHeight="1">
      <c r="A4685" s="1">
        <v>890690</v>
      </c>
      <c r="B4685" s="1" t="s">
        <v>4716</v>
      </c>
      <c r="C4685" s="1" t="s">
        <v>11</v>
      </c>
      <c r="D4685" s="1" t="s">
        <v>11</v>
      </c>
      <c r="E4685" s="1" t="s">
        <v>11</v>
      </c>
    </row>
    <row r="4686" spans="1:5" ht="15.75" customHeight="1">
      <c r="A4686" s="1">
        <v>890710</v>
      </c>
      <c r="B4686" s="1" t="s">
        <v>4717</v>
      </c>
      <c r="C4686" s="1" t="s">
        <v>11</v>
      </c>
      <c r="D4686" s="1" t="s">
        <v>11</v>
      </c>
      <c r="E4686" s="1" t="s">
        <v>11</v>
      </c>
    </row>
    <row r="4687" spans="1:5" ht="15.75" customHeight="1">
      <c r="A4687" s="1">
        <v>890790</v>
      </c>
      <c r="B4687" s="1" t="s">
        <v>4718</v>
      </c>
      <c r="C4687" s="1" t="s">
        <v>11</v>
      </c>
      <c r="D4687" s="1" t="s">
        <v>11</v>
      </c>
      <c r="E4687" s="1" t="s">
        <v>11</v>
      </c>
    </row>
    <row r="4688" spans="1:5" ht="15.75" customHeight="1">
      <c r="A4688" s="1">
        <v>890800</v>
      </c>
      <c r="B4688" s="1" t="s">
        <v>4719</v>
      </c>
      <c r="C4688" s="1" t="s">
        <v>11</v>
      </c>
      <c r="D4688" s="1" t="s">
        <v>11</v>
      </c>
      <c r="E4688" s="1" t="s">
        <v>11</v>
      </c>
    </row>
    <row r="4689" spans="1:6" ht="15.75" customHeight="1">
      <c r="A4689" s="1">
        <v>900110</v>
      </c>
      <c r="B4689" s="1" t="s">
        <v>4720</v>
      </c>
      <c r="C4689" s="1" t="s">
        <v>11</v>
      </c>
      <c r="D4689" s="1" t="s">
        <v>11</v>
      </c>
      <c r="E4689" s="1" t="s">
        <v>11</v>
      </c>
    </row>
    <row r="4690" spans="1:6" ht="15.75" customHeight="1">
      <c r="A4690" s="1">
        <v>900120</v>
      </c>
      <c r="B4690" s="1" t="s">
        <v>4721</v>
      </c>
      <c r="C4690" s="1" t="s">
        <v>11</v>
      </c>
      <c r="D4690" s="1" t="s">
        <v>11</v>
      </c>
      <c r="E4690" s="1" t="s">
        <v>11</v>
      </c>
    </row>
    <row r="4691" spans="1:6" ht="15.75" customHeight="1">
      <c r="A4691" s="1">
        <v>900130</v>
      </c>
      <c r="B4691" s="1" t="s">
        <v>4722</v>
      </c>
      <c r="C4691" s="1">
        <v>1</v>
      </c>
      <c r="D4691" s="1" t="s">
        <v>1418</v>
      </c>
      <c r="E4691" s="1" t="s">
        <v>1418</v>
      </c>
      <c r="F4691" s="2" t="s">
        <v>1419</v>
      </c>
    </row>
    <row r="4692" spans="1:6" ht="15.75" customHeight="1">
      <c r="A4692" s="1">
        <v>900140</v>
      </c>
      <c r="B4692" s="1" t="s">
        <v>4723</v>
      </c>
      <c r="C4692" s="1">
        <v>1</v>
      </c>
      <c r="D4692" s="1" t="s">
        <v>1418</v>
      </c>
      <c r="E4692" s="1" t="s">
        <v>1418</v>
      </c>
      <c r="F4692" s="2" t="s">
        <v>1419</v>
      </c>
    </row>
    <row r="4693" spans="1:6" ht="15.75" customHeight="1">
      <c r="A4693" s="1">
        <v>900150</v>
      </c>
      <c r="B4693" s="1" t="s">
        <v>4724</v>
      </c>
      <c r="C4693" s="1">
        <v>1</v>
      </c>
      <c r="D4693" s="1" t="s">
        <v>1418</v>
      </c>
      <c r="E4693" s="1" t="s">
        <v>1418</v>
      </c>
      <c r="F4693" s="2" t="s">
        <v>1419</v>
      </c>
    </row>
    <row r="4694" spans="1:6" ht="15.75" customHeight="1">
      <c r="A4694" s="1">
        <v>900190</v>
      </c>
      <c r="B4694" s="1" t="s">
        <v>4725</v>
      </c>
      <c r="C4694" s="1" t="s">
        <v>11</v>
      </c>
      <c r="D4694" s="1" t="s">
        <v>11</v>
      </c>
      <c r="E4694" s="1" t="s">
        <v>11</v>
      </c>
    </row>
    <row r="4695" spans="1:6" ht="15.75" customHeight="1">
      <c r="A4695" s="1">
        <v>900211</v>
      </c>
      <c r="B4695" s="1" t="s">
        <v>4726</v>
      </c>
      <c r="C4695" s="1" t="s">
        <v>11</v>
      </c>
      <c r="D4695" s="1" t="s">
        <v>11</v>
      </c>
      <c r="E4695" s="1" t="s">
        <v>11</v>
      </c>
    </row>
    <row r="4696" spans="1:6" ht="15.75" customHeight="1">
      <c r="A4696" s="1">
        <v>900219</v>
      </c>
      <c r="B4696" s="1" t="s">
        <v>4727</v>
      </c>
      <c r="C4696" s="1" t="s">
        <v>11</v>
      </c>
      <c r="D4696" s="1" t="s">
        <v>11</v>
      </c>
      <c r="E4696" s="1" t="s">
        <v>11</v>
      </c>
    </row>
    <row r="4697" spans="1:6" ht="15.75" customHeight="1">
      <c r="A4697" s="1">
        <v>900220</v>
      </c>
      <c r="B4697" s="1" t="s">
        <v>4728</v>
      </c>
      <c r="C4697" s="1" t="s">
        <v>11</v>
      </c>
      <c r="D4697" s="1" t="s">
        <v>11</v>
      </c>
      <c r="E4697" s="1" t="s">
        <v>11</v>
      </c>
    </row>
    <row r="4698" spans="1:6" ht="15.75" customHeight="1">
      <c r="A4698" s="1">
        <v>900290</v>
      </c>
      <c r="B4698" s="1" t="s">
        <v>4729</v>
      </c>
      <c r="C4698" s="1" t="s">
        <v>11</v>
      </c>
      <c r="D4698" s="1" t="s">
        <v>11</v>
      </c>
      <c r="E4698" s="1" t="s">
        <v>11</v>
      </c>
    </row>
    <row r="4699" spans="1:6" ht="15.75" customHeight="1">
      <c r="A4699" s="1">
        <v>900311</v>
      </c>
      <c r="B4699" s="1" t="s">
        <v>4730</v>
      </c>
      <c r="C4699" s="1">
        <v>1</v>
      </c>
      <c r="D4699" s="1" t="s">
        <v>1418</v>
      </c>
      <c r="E4699" s="1" t="s">
        <v>1418</v>
      </c>
      <c r="F4699" s="2" t="s">
        <v>1419</v>
      </c>
    </row>
    <row r="4700" spans="1:6" ht="15.75" customHeight="1">
      <c r="A4700" s="1">
        <v>900319</v>
      </c>
      <c r="B4700" s="1" t="s">
        <v>4731</v>
      </c>
      <c r="C4700" s="1">
        <v>1</v>
      </c>
      <c r="D4700" s="1" t="s">
        <v>1418</v>
      </c>
      <c r="E4700" s="1" t="s">
        <v>1418</v>
      </c>
      <c r="F4700" s="2" t="s">
        <v>1419</v>
      </c>
    </row>
    <row r="4701" spans="1:6" ht="15.75" customHeight="1">
      <c r="A4701" s="1">
        <v>900390</v>
      </c>
      <c r="B4701" s="1" t="s">
        <v>4732</v>
      </c>
      <c r="C4701" s="1">
        <v>1</v>
      </c>
      <c r="D4701" s="1" t="s">
        <v>1418</v>
      </c>
      <c r="E4701" s="1" t="s">
        <v>1418</v>
      </c>
      <c r="F4701" s="2" t="s">
        <v>1419</v>
      </c>
    </row>
    <row r="4702" spans="1:6" ht="15.75" customHeight="1">
      <c r="A4702" s="1">
        <v>900410</v>
      </c>
      <c r="B4702" s="1" t="s">
        <v>4733</v>
      </c>
      <c r="C4702" s="1">
        <v>1</v>
      </c>
      <c r="D4702" s="1" t="s">
        <v>1418</v>
      </c>
      <c r="E4702" s="1" t="s">
        <v>1418</v>
      </c>
      <c r="F4702" s="2" t="s">
        <v>1419</v>
      </c>
    </row>
    <row r="4703" spans="1:6" ht="15.75" customHeight="1">
      <c r="A4703" s="1">
        <v>900490</v>
      </c>
      <c r="B4703" s="1" t="s">
        <v>4734</v>
      </c>
      <c r="C4703" s="1" t="s">
        <v>11</v>
      </c>
      <c r="D4703" s="1" t="s">
        <v>11</v>
      </c>
      <c r="E4703" s="1" t="s">
        <v>11</v>
      </c>
    </row>
    <row r="4704" spans="1:6" ht="15.75" customHeight="1">
      <c r="A4704" s="1">
        <v>900510</v>
      </c>
      <c r="B4704" s="1" t="s">
        <v>4735</v>
      </c>
      <c r="C4704" s="1" t="s">
        <v>11</v>
      </c>
      <c r="D4704" s="1" t="s">
        <v>11</v>
      </c>
      <c r="E4704" s="1" t="s">
        <v>11</v>
      </c>
    </row>
    <row r="4705" spans="1:5" ht="15.75" customHeight="1">
      <c r="A4705" s="1">
        <v>900580</v>
      </c>
      <c r="B4705" s="1" t="s">
        <v>4736</v>
      </c>
      <c r="C4705" s="1" t="s">
        <v>11</v>
      </c>
      <c r="D4705" s="1" t="s">
        <v>11</v>
      </c>
      <c r="E4705" s="1" t="s">
        <v>11</v>
      </c>
    </row>
    <row r="4706" spans="1:5" ht="15.75" customHeight="1">
      <c r="A4706" s="1">
        <v>900590</v>
      </c>
      <c r="B4706" s="1" t="s">
        <v>4737</v>
      </c>
      <c r="C4706" s="1" t="s">
        <v>11</v>
      </c>
      <c r="D4706" s="1" t="s">
        <v>11</v>
      </c>
      <c r="E4706" s="1" t="s">
        <v>11</v>
      </c>
    </row>
    <row r="4707" spans="1:5" ht="15.75" customHeight="1">
      <c r="A4707" s="1">
        <v>900610</v>
      </c>
      <c r="B4707" s="1" t="s">
        <v>4738</v>
      </c>
      <c r="C4707" s="1" t="s">
        <v>11</v>
      </c>
      <c r="D4707" s="1" t="s">
        <v>11</v>
      </c>
      <c r="E4707" s="1" t="s">
        <v>11</v>
      </c>
    </row>
    <row r="4708" spans="1:5" ht="15.75" customHeight="1">
      <c r="A4708" s="1">
        <v>900630</v>
      </c>
      <c r="B4708" s="1" t="s">
        <v>4739</v>
      </c>
      <c r="C4708" s="1" t="s">
        <v>11</v>
      </c>
      <c r="D4708" s="1" t="s">
        <v>11</v>
      </c>
      <c r="E4708" s="1" t="s">
        <v>11</v>
      </c>
    </row>
    <row r="4709" spans="1:5" ht="15.75" customHeight="1">
      <c r="A4709" s="1">
        <v>900640</v>
      </c>
      <c r="B4709" s="1" t="s">
        <v>4740</v>
      </c>
      <c r="C4709" s="1" t="s">
        <v>11</v>
      </c>
      <c r="D4709" s="1" t="s">
        <v>11</v>
      </c>
      <c r="E4709" s="1" t="s">
        <v>11</v>
      </c>
    </row>
    <row r="4710" spans="1:5" ht="15.75" customHeight="1">
      <c r="A4710" s="1">
        <v>900651</v>
      </c>
      <c r="B4710" s="1" t="s">
        <v>4741</v>
      </c>
      <c r="C4710" s="1" t="s">
        <v>11</v>
      </c>
      <c r="D4710" s="1" t="s">
        <v>11</v>
      </c>
      <c r="E4710" s="1" t="s">
        <v>11</v>
      </c>
    </row>
    <row r="4711" spans="1:5" ht="15.75" customHeight="1">
      <c r="A4711" s="1">
        <v>900652</v>
      </c>
      <c r="B4711" s="1" t="s">
        <v>4742</v>
      </c>
      <c r="C4711" s="1" t="s">
        <v>11</v>
      </c>
      <c r="D4711" s="1" t="s">
        <v>11</v>
      </c>
      <c r="E4711" s="1" t="s">
        <v>11</v>
      </c>
    </row>
    <row r="4712" spans="1:5" ht="15.75" customHeight="1">
      <c r="A4712" s="1">
        <v>900653</v>
      </c>
      <c r="B4712" s="1" t="s">
        <v>4743</v>
      </c>
      <c r="C4712" s="1" t="s">
        <v>11</v>
      </c>
      <c r="D4712" s="1" t="s">
        <v>11</v>
      </c>
      <c r="E4712" s="1" t="s">
        <v>11</v>
      </c>
    </row>
    <row r="4713" spans="1:5" ht="15.75" customHeight="1">
      <c r="A4713" s="1">
        <v>900659</v>
      </c>
      <c r="B4713" s="1" t="s">
        <v>4744</v>
      </c>
      <c r="C4713" s="1" t="s">
        <v>11</v>
      </c>
      <c r="D4713" s="1" t="s">
        <v>11</v>
      </c>
      <c r="E4713" s="1" t="s">
        <v>11</v>
      </c>
    </row>
    <row r="4714" spans="1:5" ht="15.75" customHeight="1">
      <c r="A4714" s="1">
        <v>900661</v>
      </c>
      <c r="B4714" s="1" t="s">
        <v>4745</v>
      </c>
      <c r="C4714" s="1" t="s">
        <v>11</v>
      </c>
      <c r="D4714" s="1" t="s">
        <v>11</v>
      </c>
      <c r="E4714" s="1" t="s">
        <v>11</v>
      </c>
    </row>
    <row r="4715" spans="1:5" ht="15.75" customHeight="1">
      <c r="A4715" s="1">
        <v>900669</v>
      </c>
      <c r="B4715" s="1" t="s">
        <v>4746</v>
      </c>
      <c r="C4715" s="1" t="s">
        <v>11</v>
      </c>
      <c r="D4715" s="1" t="s">
        <v>11</v>
      </c>
      <c r="E4715" s="1" t="s">
        <v>11</v>
      </c>
    </row>
    <row r="4716" spans="1:5" ht="15.75" customHeight="1">
      <c r="A4716" s="1">
        <v>900691</v>
      </c>
      <c r="B4716" s="1" t="s">
        <v>4747</v>
      </c>
      <c r="C4716" s="1" t="s">
        <v>11</v>
      </c>
      <c r="D4716" s="1" t="s">
        <v>11</v>
      </c>
      <c r="E4716" s="1" t="s">
        <v>11</v>
      </c>
    </row>
    <row r="4717" spans="1:5" ht="15.75" customHeight="1">
      <c r="A4717" s="1">
        <v>900699</v>
      </c>
      <c r="B4717" s="1" t="s">
        <v>4748</v>
      </c>
      <c r="C4717" s="1" t="s">
        <v>11</v>
      </c>
      <c r="D4717" s="1" t="s">
        <v>11</v>
      </c>
      <c r="E4717" s="1" t="s">
        <v>11</v>
      </c>
    </row>
    <row r="4718" spans="1:5" ht="15.75" customHeight="1">
      <c r="A4718" s="1">
        <v>900711</v>
      </c>
      <c r="B4718" s="1" t="s">
        <v>4749</v>
      </c>
      <c r="C4718" s="1" t="s">
        <v>11</v>
      </c>
      <c r="D4718" s="1" t="s">
        <v>11</v>
      </c>
      <c r="E4718" s="1" t="s">
        <v>11</v>
      </c>
    </row>
    <row r="4719" spans="1:5" ht="15.75" customHeight="1">
      <c r="A4719" s="1">
        <v>900719</v>
      </c>
      <c r="B4719" s="1" t="s">
        <v>4750</v>
      </c>
      <c r="C4719" s="1" t="s">
        <v>11</v>
      </c>
      <c r="D4719" s="1" t="s">
        <v>11</v>
      </c>
      <c r="E4719" s="1" t="s">
        <v>11</v>
      </c>
    </row>
    <row r="4720" spans="1:5" ht="15.75" customHeight="1">
      <c r="A4720" s="1">
        <v>900720</v>
      </c>
      <c r="B4720" s="1" t="s">
        <v>4751</v>
      </c>
      <c r="C4720" s="1" t="s">
        <v>11</v>
      </c>
      <c r="D4720" s="1" t="s">
        <v>11</v>
      </c>
      <c r="E4720" s="1" t="s">
        <v>11</v>
      </c>
    </row>
    <row r="4721" spans="1:10" ht="15.75" customHeight="1">
      <c r="A4721" s="1">
        <v>900791</v>
      </c>
      <c r="B4721" s="1" t="s">
        <v>4752</v>
      </c>
      <c r="C4721" s="1" t="s">
        <v>11</v>
      </c>
      <c r="D4721" s="1" t="s">
        <v>11</v>
      </c>
      <c r="E4721" s="1" t="s">
        <v>11</v>
      </c>
    </row>
    <row r="4722" spans="1:10" ht="15.75" customHeight="1">
      <c r="A4722" s="1">
        <v>900792</v>
      </c>
      <c r="B4722" s="1" t="s">
        <v>4753</v>
      </c>
      <c r="C4722" s="1" t="s">
        <v>11</v>
      </c>
      <c r="D4722" s="1" t="s">
        <v>11</v>
      </c>
      <c r="E4722" s="1" t="s">
        <v>11</v>
      </c>
    </row>
    <row r="4723" spans="1:10" ht="15.75" customHeight="1">
      <c r="A4723" s="1">
        <v>900810</v>
      </c>
      <c r="B4723" s="1" t="s">
        <v>4754</v>
      </c>
      <c r="C4723" s="1" t="s">
        <v>11</v>
      </c>
      <c r="D4723" s="1" t="s">
        <v>11</v>
      </c>
      <c r="E4723" s="1" t="s">
        <v>11</v>
      </c>
    </row>
    <row r="4724" spans="1:10" ht="15.75" customHeight="1">
      <c r="A4724" s="1">
        <v>900820</v>
      </c>
      <c r="B4724" s="1" t="s">
        <v>4755</v>
      </c>
      <c r="C4724" s="1" t="s">
        <v>11</v>
      </c>
      <c r="D4724" s="1" t="s">
        <v>11</v>
      </c>
      <c r="E4724" s="1" t="s">
        <v>11</v>
      </c>
    </row>
    <row r="4725" spans="1:10" ht="15.75" customHeight="1">
      <c r="A4725" s="1">
        <v>900830</v>
      </c>
      <c r="B4725" s="1" t="s">
        <v>4756</v>
      </c>
      <c r="C4725" s="1" t="s">
        <v>11</v>
      </c>
      <c r="D4725" s="1" t="s">
        <v>11</v>
      </c>
      <c r="E4725" s="1" t="s">
        <v>11</v>
      </c>
    </row>
    <row r="4726" spans="1:10" ht="15.75" customHeight="1">
      <c r="A4726" s="1">
        <v>900840</v>
      </c>
      <c r="B4726" s="1" t="s">
        <v>4757</v>
      </c>
      <c r="C4726" s="1" t="s">
        <v>11</v>
      </c>
      <c r="D4726" s="1" t="s">
        <v>11</v>
      </c>
      <c r="E4726" s="1" t="s">
        <v>11</v>
      </c>
    </row>
    <row r="4727" spans="1:10" ht="15.75" customHeight="1">
      <c r="A4727" s="1">
        <v>900890</v>
      </c>
      <c r="B4727" s="1" t="s">
        <v>4758</v>
      </c>
      <c r="C4727" s="1" t="s">
        <v>11</v>
      </c>
      <c r="D4727" s="1" t="s">
        <v>11</v>
      </c>
      <c r="E4727" s="1" t="s">
        <v>11</v>
      </c>
    </row>
    <row r="4728" spans="1:10" ht="15.75" customHeight="1">
      <c r="A4728" s="1">
        <v>901010</v>
      </c>
      <c r="B4728" s="1" t="s">
        <v>4759</v>
      </c>
      <c r="C4728" s="1" t="s">
        <v>11</v>
      </c>
      <c r="D4728" s="1" t="s">
        <v>11</v>
      </c>
      <c r="E4728" s="1" t="s">
        <v>11</v>
      </c>
    </row>
    <row r="4729" spans="1:10" ht="15.75" customHeight="1">
      <c r="A4729" s="1">
        <v>901050</v>
      </c>
      <c r="B4729" s="1" t="s">
        <v>4760</v>
      </c>
      <c r="C4729" s="1" t="s">
        <v>11</v>
      </c>
      <c r="D4729" s="1" t="s">
        <v>11</v>
      </c>
      <c r="E4729" s="1" t="s">
        <v>11</v>
      </c>
    </row>
    <row r="4730" spans="1:10" ht="15.75" customHeight="1">
      <c r="A4730" s="1">
        <v>901060</v>
      </c>
      <c r="B4730" s="1" t="s">
        <v>4761</v>
      </c>
      <c r="C4730" s="1" t="s">
        <v>11</v>
      </c>
      <c r="D4730" s="1" t="s">
        <v>11</v>
      </c>
      <c r="E4730" s="1" t="s">
        <v>11</v>
      </c>
    </row>
    <row r="4731" spans="1:10" ht="15.75" customHeight="1">
      <c r="A4731" s="1">
        <v>901090</v>
      </c>
      <c r="B4731" s="1" t="s">
        <v>4762</v>
      </c>
      <c r="C4731" s="1" t="s">
        <v>11</v>
      </c>
      <c r="D4731" s="1" t="s">
        <v>11</v>
      </c>
      <c r="E4731" s="1" t="s">
        <v>11</v>
      </c>
    </row>
    <row r="4732" spans="1:10" ht="15.75" customHeight="1">
      <c r="A4732" s="1">
        <v>901110</v>
      </c>
      <c r="B4732" s="1" t="s">
        <v>4763</v>
      </c>
      <c r="C4732" s="1" t="s">
        <v>11</v>
      </c>
      <c r="D4732" s="1" t="s">
        <v>11</v>
      </c>
      <c r="E4732" s="1" t="s">
        <v>11</v>
      </c>
    </row>
    <row r="4733" spans="1:10" ht="15.75" customHeight="1">
      <c r="A4733" s="1">
        <v>901120</v>
      </c>
      <c r="B4733" s="1" t="s">
        <v>4764</v>
      </c>
      <c r="C4733" s="1" t="s">
        <v>11</v>
      </c>
      <c r="D4733" s="1" t="s">
        <v>11</v>
      </c>
      <c r="E4733" s="1" t="s">
        <v>11</v>
      </c>
    </row>
    <row r="4734" spans="1:10" ht="15.75" customHeight="1">
      <c r="A4734" s="1">
        <v>901180</v>
      </c>
      <c r="B4734" s="2" t="s">
        <v>4765</v>
      </c>
      <c r="C4734" s="1">
        <v>1</v>
      </c>
      <c r="D4734" s="1" t="s">
        <v>1418</v>
      </c>
      <c r="E4734" s="1" t="s">
        <v>1418</v>
      </c>
      <c r="F4734" s="2" t="s">
        <v>1419</v>
      </c>
      <c r="I4734" s="2" t="s">
        <v>1399</v>
      </c>
      <c r="J4734" s="2" t="s">
        <v>4766</v>
      </c>
    </row>
    <row r="4735" spans="1:10" ht="15.75" customHeight="1">
      <c r="A4735" s="1">
        <v>901190</v>
      </c>
      <c r="B4735" s="1" t="s">
        <v>4767</v>
      </c>
      <c r="C4735" s="1" t="s">
        <v>11</v>
      </c>
      <c r="D4735" s="1" t="s">
        <v>11</v>
      </c>
      <c r="E4735" s="1" t="s">
        <v>11</v>
      </c>
    </row>
    <row r="4736" spans="1:10" ht="15.75" customHeight="1">
      <c r="A4736" s="1">
        <v>901210</v>
      </c>
      <c r="B4736" s="1" t="s">
        <v>4768</v>
      </c>
      <c r="C4736" s="1" t="s">
        <v>11</v>
      </c>
      <c r="D4736" s="1" t="s">
        <v>11</v>
      </c>
      <c r="E4736" s="1" t="s">
        <v>11</v>
      </c>
    </row>
    <row r="4737" spans="1:5" ht="15.75" customHeight="1">
      <c r="A4737" s="1">
        <v>901290</v>
      </c>
      <c r="B4737" s="1" t="s">
        <v>4769</v>
      </c>
      <c r="C4737" s="1" t="s">
        <v>11</v>
      </c>
      <c r="D4737" s="1" t="s">
        <v>11</v>
      </c>
      <c r="E4737" s="1" t="s">
        <v>11</v>
      </c>
    </row>
    <row r="4738" spans="1:5" ht="15.75" customHeight="1">
      <c r="A4738" s="1">
        <v>901310</v>
      </c>
      <c r="B4738" s="1" t="s">
        <v>4770</v>
      </c>
      <c r="C4738" s="1" t="s">
        <v>11</v>
      </c>
      <c r="D4738" s="1" t="s">
        <v>11</v>
      </c>
      <c r="E4738" s="1" t="s">
        <v>11</v>
      </c>
    </row>
    <row r="4739" spans="1:5" ht="15.75" customHeight="1">
      <c r="A4739" s="1">
        <v>901320</v>
      </c>
      <c r="B4739" s="1" t="s">
        <v>4771</v>
      </c>
      <c r="C4739" s="1" t="s">
        <v>11</v>
      </c>
      <c r="D4739" s="1" t="s">
        <v>11</v>
      </c>
      <c r="E4739" s="1" t="s">
        <v>11</v>
      </c>
    </row>
    <row r="4740" spans="1:5" ht="15.75" customHeight="1">
      <c r="A4740" s="1">
        <v>901380</v>
      </c>
      <c r="B4740" s="1" t="s">
        <v>4772</v>
      </c>
      <c r="C4740" s="1" t="s">
        <v>11</v>
      </c>
      <c r="D4740" s="1" t="s">
        <v>11</v>
      </c>
      <c r="E4740" s="1" t="s">
        <v>11</v>
      </c>
    </row>
    <row r="4741" spans="1:5" ht="15.75" customHeight="1">
      <c r="A4741" s="1">
        <v>901390</v>
      </c>
      <c r="B4741" s="1" t="s">
        <v>4773</v>
      </c>
      <c r="C4741" s="1" t="s">
        <v>11</v>
      </c>
      <c r="D4741" s="1" t="s">
        <v>11</v>
      </c>
      <c r="E4741" s="1" t="s">
        <v>11</v>
      </c>
    </row>
    <row r="4742" spans="1:5" ht="15.75" customHeight="1">
      <c r="A4742" s="1">
        <v>901410</v>
      </c>
      <c r="B4742" s="1" t="s">
        <v>4774</v>
      </c>
      <c r="C4742" s="1" t="s">
        <v>11</v>
      </c>
      <c r="D4742" s="1" t="s">
        <v>11</v>
      </c>
      <c r="E4742" s="1" t="s">
        <v>11</v>
      </c>
    </row>
    <row r="4743" spans="1:5" ht="15.75" customHeight="1">
      <c r="A4743" s="1">
        <v>901420</v>
      </c>
      <c r="B4743" s="1" t="s">
        <v>4775</v>
      </c>
      <c r="C4743" s="1" t="s">
        <v>11</v>
      </c>
      <c r="D4743" s="1" t="s">
        <v>11</v>
      </c>
      <c r="E4743" s="1" t="s">
        <v>11</v>
      </c>
    </row>
    <row r="4744" spans="1:5" ht="15.75" customHeight="1">
      <c r="A4744" s="1">
        <v>901480</v>
      </c>
      <c r="B4744" s="1" t="s">
        <v>4776</v>
      </c>
      <c r="C4744" s="1" t="s">
        <v>11</v>
      </c>
      <c r="D4744" s="1" t="s">
        <v>11</v>
      </c>
      <c r="E4744" s="1" t="s">
        <v>11</v>
      </c>
    </row>
    <row r="4745" spans="1:5" ht="15.75" customHeight="1">
      <c r="A4745" s="1">
        <v>901490</v>
      </c>
      <c r="B4745" s="1" t="s">
        <v>4777</v>
      </c>
      <c r="C4745" s="1" t="s">
        <v>11</v>
      </c>
      <c r="D4745" s="1" t="s">
        <v>11</v>
      </c>
      <c r="E4745" s="1" t="s">
        <v>11</v>
      </c>
    </row>
    <row r="4746" spans="1:5" ht="15.75" customHeight="1">
      <c r="A4746" s="1">
        <v>901510</v>
      </c>
      <c r="B4746" s="1" t="s">
        <v>4778</v>
      </c>
      <c r="C4746" s="1" t="s">
        <v>11</v>
      </c>
      <c r="D4746" s="1" t="s">
        <v>11</v>
      </c>
      <c r="E4746" s="1" t="s">
        <v>11</v>
      </c>
    </row>
    <row r="4747" spans="1:5" ht="15.75" customHeight="1">
      <c r="A4747" s="1">
        <v>901520</v>
      </c>
      <c r="B4747" s="1" t="s">
        <v>4779</v>
      </c>
      <c r="C4747" s="1" t="s">
        <v>11</v>
      </c>
      <c r="D4747" s="1" t="s">
        <v>11</v>
      </c>
      <c r="E4747" s="1" t="s">
        <v>11</v>
      </c>
    </row>
    <row r="4748" spans="1:5" ht="15.75" customHeight="1">
      <c r="A4748" s="1">
        <v>901530</v>
      </c>
      <c r="B4748" s="1" t="s">
        <v>4780</v>
      </c>
      <c r="C4748" s="1" t="s">
        <v>11</v>
      </c>
      <c r="D4748" s="1" t="s">
        <v>11</v>
      </c>
      <c r="E4748" s="1" t="s">
        <v>11</v>
      </c>
    </row>
    <row r="4749" spans="1:5" ht="15.75" customHeight="1">
      <c r="A4749" s="1">
        <v>901540</v>
      </c>
      <c r="B4749" s="1" t="s">
        <v>4781</v>
      </c>
      <c r="C4749" s="1" t="s">
        <v>11</v>
      </c>
      <c r="D4749" s="1" t="s">
        <v>11</v>
      </c>
      <c r="E4749" s="1" t="s">
        <v>11</v>
      </c>
    </row>
    <row r="4750" spans="1:5" ht="15.75" customHeight="1">
      <c r="A4750" s="1">
        <v>901580</v>
      </c>
      <c r="B4750" s="1" t="s">
        <v>4782</v>
      </c>
      <c r="C4750" s="1" t="s">
        <v>11</v>
      </c>
      <c r="D4750" s="1" t="s">
        <v>11</v>
      </c>
      <c r="E4750" s="1" t="s">
        <v>11</v>
      </c>
    </row>
    <row r="4751" spans="1:5" ht="15.75" customHeight="1">
      <c r="A4751" s="1">
        <v>901590</v>
      </c>
      <c r="B4751" s="1" t="s">
        <v>4783</v>
      </c>
      <c r="C4751" s="1" t="s">
        <v>11</v>
      </c>
      <c r="D4751" s="1" t="s">
        <v>11</v>
      </c>
      <c r="E4751" s="1" t="s">
        <v>11</v>
      </c>
    </row>
    <row r="4752" spans="1:5" ht="15.75" customHeight="1">
      <c r="A4752" s="1">
        <v>901600</v>
      </c>
      <c r="B4752" s="1" t="s">
        <v>4784</v>
      </c>
      <c r="C4752" s="1" t="s">
        <v>11</v>
      </c>
      <c r="D4752" s="1" t="s">
        <v>11</v>
      </c>
      <c r="E4752" s="1" t="s">
        <v>11</v>
      </c>
    </row>
    <row r="4753" spans="1:9" ht="15.75" customHeight="1">
      <c r="A4753" s="1">
        <v>901710</v>
      </c>
      <c r="B4753" s="1" t="s">
        <v>4785</v>
      </c>
      <c r="C4753" s="1" t="s">
        <v>11</v>
      </c>
      <c r="D4753" s="1" t="s">
        <v>11</v>
      </c>
      <c r="E4753" s="1" t="s">
        <v>11</v>
      </c>
    </row>
    <row r="4754" spans="1:9" ht="15.75" customHeight="1">
      <c r="A4754" s="1">
        <v>901720</v>
      </c>
      <c r="B4754" s="1" t="s">
        <v>4786</v>
      </c>
      <c r="C4754" s="1" t="s">
        <v>11</v>
      </c>
      <c r="D4754" s="1" t="s">
        <v>11</v>
      </c>
      <c r="E4754" s="1" t="s">
        <v>11</v>
      </c>
    </row>
    <row r="4755" spans="1:9" ht="15.75" customHeight="1">
      <c r="A4755" s="1">
        <v>901730</v>
      </c>
      <c r="B4755" s="1" t="s">
        <v>4787</v>
      </c>
      <c r="C4755" s="1" t="s">
        <v>11</v>
      </c>
      <c r="D4755" s="1" t="s">
        <v>11</v>
      </c>
      <c r="E4755" s="1" t="s">
        <v>11</v>
      </c>
    </row>
    <row r="4756" spans="1:9" ht="15.75" customHeight="1">
      <c r="A4756" s="1">
        <v>901780</v>
      </c>
      <c r="B4756" s="1" t="s">
        <v>4788</v>
      </c>
      <c r="C4756" s="1" t="s">
        <v>11</v>
      </c>
      <c r="D4756" s="1" t="s">
        <v>11</v>
      </c>
      <c r="E4756" s="1" t="s">
        <v>11</v>
      </c>
    </row>
    <row r="4757" spans="1:9" ht="15.75" customHeight="1">
      <c r="A4757" s="1">
        <v>901790</v>
      </c>
      <c r="B4757" s="1" t="s">
        <v>4789</v>
      </c>
      <c r="C4757" s="1" t="s">
        <v>11</v>
      </c>
      <c r="D4757" s="1" t="s">
        <v>11</v>
      </c>
      <c r="E4757" s="1" t="s">
        <v>11</v>
      </c>
    </row>
    <row r="4758" spans="1:9" ht="15.75" customHeight="1">
      <c r="A4758" s="1">
        <v>901811</v>
      </c>
      <c r="B4758" s="1" t="s">
        <v>4790</v>
      </c>
      <c r="C4758" s="1">
        <v>1</v>
      </c>
      <c r="D4758" s="1" t="s">
        <v>1418</v>
      </c>
      <c r="E4758" s="1" t="s">
        <v>1418</v>
      </c>
      <c r="F4758" s="2" t="s">
        <v>1419</v>
      </c>
      <c r="I4758" s="2" t="s">
        <v>4791</v>
      </c>
    </row>
    <row r="4759" spans="1:9" ht="15.75" customHeight="1">
      <c r="A4759" s="1">
        <v>901812</v>
      </c>
      <c r="B4759" s="1" t="s">
        <v>4792</v>
      </c>
      <c r="C4759" s="1">
        <v>1</v>
      </c>
      <c r="D4759" s="1" t="s">
        <v>1418</v>
      </c>
      <c r="E4759" s="1" t="s">
        <v>1418</v>
      </c>
      <c r="F4759" s="2" t="s">
        <v>1419</v>
      </c>
      <c r="I4759" s="2" t="s">
        <v>4791</v>
      </c>
    </row>
    <row r="4760" spans="1:9" ht="15.75" customHeight="1">
      <c r="A4760" s="1">
        <v>901813</v>
      </c>
      <c r="B4760" s="1" t="s">
        <v>4793</v>
      </c>
      <c r="C4760" s="1">
        <v>1</v>
      </c>
      <c r="D4760" s="1" t="s">
        <v>1418</v>
      </c>
      <c r="E4760" s="1" t="s">
        <v>1418</v>
      </c>
      <c r="F4760" s="2" t="s">
        <v>1419</v>
      </c>
      <c r="I4760" s="2" t="s">
        <v>4791</v>
      </c>
    </row>
    <row r="4761" spans="1:9" ht="15.75" customHeight="1">
      <c r="A4761" s="1">
        <v>901814</v>
      </c>
      <c r="B4761" s="1" t="s">
        <v>4794</v>
      </c>
      <c r="C4761" s="1">
        <v>1</v>
      </c>
      <c r="D4761" s="1" t="s">
        <v>1418</v>
      </c>
      <c r="E4761" s="1" t="s">
        <v>1418</v>
      </c>
      <c r="F4761" s="2" t="s">
        <v>1419</v>
      </c>
      <c r="I4761" s="2" t="s">
        <v>4791</v>
      </c>
    </row>
    <row r="4762" spans="1:9" ht="15.75" customHeight="1">
      <c r="A4762" s="1">
        <v>901819</v>
      </c>
      <c r="B4762" s="1" t="s">
        <v>4795</v>
      </c>
      <c r="C4762" s="1">
        <v>1</v>
      </c>
      <c r="D4762" s="1" t="s">
        <v>1418</v>
      </c>
      <c r="E4762" s="1" t="s">
        <v>1418</v>
      </c>
      <c r="F4762" s="2" t="s">
        <v>1419</v>
      </c>
      <c r="I4762" s="2" t="s">
        <v>4791</v>
      </c>
    </row>
    <row r="4763" spans="1:9" ht="15.75" customHeight="1">
      <c r="A4763" s="1">
        <v>901820</v>
      </c>
      <c r="B4763" s="1" t="s">
        <v>4796</v>
      </c>
      <c r="C4763" s="1">
        <v>1</v>
      </c>
      <c r="D4763" s="1" t="s">
        <v>1418</v>
      </c>
      <c r="E4763" s="1" t="s">
        <v>1418</v>
      </c>
      <c r="F4763" s="2" t="s">
        <v>1419</v>
      </c>
      <c r="I4763" s="2"/>
    </row>
    <row r="4764" spans="1:9" ht="15.75" customHeight="1">
      <c r="A4764" s="1">
        <v>901831</v>
      </c>
      <c r="B4764" s="1" t="s">
        <v>4797</v>
      </c>
      <c r="C4764" s="1">
        <v>1</v>
      </c>
      <c r="D4764" s="1" t="s">
        <v>1418</v>
      </c>
      <c r="E4764" s="1" t="s">
        <v>1418</v>
      </c>
      <c r="F4764" s="2" t="s">
        <v>1419</v>
      </c>
    </row>
    <row r="4765" spans="1:9" ht="15.75" customHeight="1">
      <c r="A4765" s="1">
        <v>901832</v>
      </c>
      <c r="B4765" s="1" t="s">
        <v>4798</v>
      </c>
      <c r="C4765" s="1">
        <v>1</v>
      </c>
      <c r="D4765" s="1" t="s">
        <v>1418</v>
      </c>
      <c r="E4765" s="1" t="s">
        <v>1418</v>
      </c>
      <c r="F4765" s="2" t="s">
        <v>1419</v>
      </c>
    </row>
    <row r="4766" spans="1:9" ht="15.75" customHeight="1">
      <c r="A4766" s="1">
        <v>901839</v>
      </c>
      <c r="B4766" s="1" t="s">
        <v>4799</v>
      </c>
      <c r="C4766" s="1">
        <v>1</v>
      </c>
      <c r="D4766" s="1" t="s">
        <v>1418</v>
      </c>
      <c r="E4766" s="1" t="s">
        <v>1418</v>
      </c>
      <c r="F4766" s="2" t="s">
        <v>1419</v>
      </c>
    </row>
    <row r="4767" spans="1:9" ht="15.75" customHeight="1">
      <c r="A4767" s="1">
        <v>901841</v>
      </c>
      <c r="B4767" s="1" t="s">
        <v>4800</v>
      </c>
      <c r="C4767" s="1">
        <v>1</v>
      </c>
      <c r="D4767" s="1" t="s">
        <v>1418</v>
      </c>
      <c r="E4767" s="1" t="s">
        <v>1418</v>
      </c>
      <c r="F4767" s="2" t="s">
        <v>1419</v>
      </c>
    </row>
    <row r="4768" spans="1:9" ht="15.75" customHeight="1">
      <c r="A4768" s="1">
        <v>901849</v>
      </c>
      <c r="B4768" s="1" t="s">
        <v>4801</v>
      </c>
      <c r="C4768" s="1">
        <v>1</v>
      </c>
      <c r="D4768" s="1" t="s">
        <v>1418</v>
      </c>
      <c r="E4768" s="1" t="s">
        <v>1418</v>
      </c>
      <c r="F4768" s="2" t="s">
        <v>1419</v>
      </c>
    </row>
    <row r="4769" spans="1:17" ht="15.75" customHeight="1">
      <c r="A4769" s="1">
        <v>901850</v>
      </c>
      <c r="B4769" s="1" t="s">
        <v>4802</v>
      </c>
      <c r="C4769" s="1">
        <v>1</v>
      </c>
      <c r="D4769" s="1" t="s">
        <v>1418</v>
      </c>
      <c r="E4769" s="1" t="s">
        <v>1418</v>
      </c>
      <c r="F4769" s="2" t="s">
        <v>1419</v>
      </c>
    </row>
    <row r="4770" spans="1:17" ht="15.75" customHeight="1">
      <c r="A4770" s="1">
        <v>901890</v>
      </c>
      <c r="B4770" s="1" t="s">
        <v>4803</v>
      </c>
      <c r="C4770" s="1">
        <v>1</v>
      </c>
      <c r="D4770" s="1" t="s">
        <v>1418</v>
      </c>
      <c r="E4770" s="1" t="s">
        <v>1418</v>
      </c>
      <c r="F4770" s="2" t="s">
        <v>1419</v>
      </c>
    </row>
    <row r="4771" spans="1:17" ht="15.75" customHeight="1">
      <c r="A4771" s="1">
        <v>901910</v>
      </c>
      <c r="B4771" s="1" t="s">
        <v>4804</v>
      </c>
      <c r="C4771" s="1">
        <v>1</v>
      </c>
      <c r="D4771" s="1" t="s">
        <v>1418</v>
      </c>
      <c r="E4771" s="1" t="s">
        <v>1418</v>
      </c>
      <c r="F4771" s="2" t="s">
        <v>1419</v>
      </c>
    </row>
    <row r="4772" spans="1:17" ht="15.75" customHeight="1">
      <c r="A4772" s="1">
        <v>901920</v>
      </c>
      <c r="B4772" s="1" t="s">
        <v>4805</v>
      </c>
      <c r="C4772" s="1">
        <v>1</v>
      </c>
      <c r="D4772" s="1" t="s">
        <v>1418</v>
      </c>
      <c r="E4772" s="1" t="s">
        <v>1418</v>
      </c>
      <c r="F4772" s="2" t="s">
        <v>1419</v>
      </c>
    </row>
    <row r="4773" spans="1:17" ht="15.75" customHeight="1">
      <c r="A4773" s="1">
        <v>902000</v>
      </c>
      <c r="B4773" s="1" t="s">
        <v>4806</v>
      </c>
      <c r="C4773" s="1" t="s">
        <v>11</v>
      </c>
      <c r="D4773" s="1" t="s">
        <v>11</v>
      </c>
      <c r="E4773" s="1" t="s">
        <v>11</v>
      </c>
    </row>
    <row r="4774" spans="1:17" ht="15.75" customHeight="1">
      <c r="A4774" s="1">
        <v>902110</v>
      </c>
      <c r="B4774" s="1" t="s">
        <v>4807</v>
      </c>
      <c r="C4774" s="1">
        <v>1</v>
      </c>
      <c r="D4774" s="1" t="s">
        <v>1418</v>
      </c>
      <c r="E4774" s="1" t="s">
        <v>1418</v>
      </c>
      <c r="F4774" s="2" t="s">
        <v>1419</v>
      </c>
    </row>
    <row r="4775" spans="1:17" ht="15.75" customHeight="1">
      <c r="A4775" s="1">
        <v>902121</v>
      </c>
      <c r="B4775" s="1" t="s">
        <v>4808</v>
      </c>
      <c r="C4775" s="1">
        <v>1</v>
      </c>
      <c r="D4775" s="1" t="s">
        <v>1418</v>
      </c>
      <c r="E4775" s="1" t="s">
        <v>1418</v>
      </c>
      <c r="F4775" s="2" t="s">
        <v>1419</v>
      </c>
    </row>
    <row r="4776" spans="1:17" ht="15.75" customHeight="1">
      <c r="A4776" s="1">
        <v>902129</v>
      </c>
      <c r="B4776" s="1" t="s">
        <v>4809</v>
      </c>
      <c r="C4776" s="1">
        <v>1</v>
      </c>
      <c r="D4776" s="1" t="s">
        <v>1418</v>
      </c>
      <c r="E4776" s="1" t="s">
        <v>1418</v>
      </c>
      <c r="F4776" s="2" t="s">
        <v>1419</v>
      </c>
    </row>
    <row r="4777" spans="1:17" ht="15.75" customHeight="1">
      <c r="A4777" s="1">
        <v>902131</v>
      </c>
      <c r="B4777" s="1" t="s">
        <v>4810</v>
      </c>
      <c r="C4777" s="1">
        <v>1</v>
      </c>
      <c r="D4777" s="1" t="s">
        <v>1418</v>
      </c>
      <c r="E4777" s="1" t="s">
        <v>1418</v>
      </c>
      <c r="F4777" s="2" t="s">
        <v>1419</v>
      </c>
    </row>
    <row r="4778" spans="1:17" ht="15.75" customHeight="1">
      <c r="A4778" s="1">
        <v>902139</v>
      </c>
      <c r="B4778" s="1" t="s">
        <v>4811</v>
      </c>
      <c r="C4778" s="1">
        <v>1</v>
      </c>
      <c r="D4778" s="1" t="s">
        <v>1418</v>
      </c>
      <c r="E4778" s="1" t="s">
        <v>1418</v>
      </c>
      <c r="F4778" s="2" t="s">
        <v>1419</v>
      </c>
    </row>
    <row r="4779" spans="1:17" ht="15.75" customHeight="1">
      <c r="A4779" s="1">
        <v>902140</v>
      </c>
      <c r="B4779" s="1" t="s">
        <v>4812</v>
      </c>
      <c r="C4779" s="1">
        <v>1</v>
      </c>
      <c r="D4779" s="1" t="s">
        <v>1418</v>
      </c>
      <c r="E4779" s="1" t="s">
        <v>1418</v>
      </c>
      <c r="F4779" s="2" t="s">
        <v>1419</v>
      </c>
    </row>
    <row r="4780" spans="1:17" ht="15.75" customHeight="1">
      <c r="A4780" s="1">
        <v>902150</v>
      </c>
      <c r="B4780" s="1" t="s">
        <v>4813</v>
      </c>
      <c r="C4780" s="1">
        <v>1</v>
      </c>
      <c r="D4780" s="1" t="s">
        <v>1418</v>
      </c>
      <c r="E4780" s="1" t="s">
        <v>1418</v>
      </c>
      <c r="F4780" s="2" t="s">
        <v>1419</v>
      </c>
    </row>
    <row r="4781" spans="1:17" ht="15.75" customHeight="1">
      <c r="A4781" s="1">
        <v>902190</v>
      </c>
      <c r="B4781" s="1" t="s">
        <v>4814</v>
      </c>
      <c r="C4781" s="1">
        <v>1</v>
      </c>
      <c r="D4781" s="1" t="s">
        <v>1418</v>
      </c>
      <c r="E4781" s="1" t="s">
        <v>1418</v>
      </c>
      <c r="F4781" s="2" t="s">
        <v>1419</v>
      </c>
    </row>
    <row r="4782" spans="1:17" ht="15.75" customHeight="1">
      <c r="A4782" s="1">
        <v>902212</v>
      </c>
      <c r="B4782" s="1" t="s">
        <v>4815</v>
      </c>
      <c r="C4782" s="1">
        <v>1</v>
      </c>
      <c r="D4782" s="1" t="s">
        <v>1418</v>
      </c>
      <c r="E4782" s="1" t="s">
        <v>1418</v>
      </c>
      <c r="F4782" s="2" t="s">
        <v>1419</v>
      </c>
      <c r="I4782" s="2" t="s">
        <v>4816</v>
      </c>
    </row>
    <row r="4783" spans="1:17" ht="15.75" customHeight="1">
      <c r="A4783" s="1">
        <v>902213</v>
      </c>
      <c r="B4783" s="1" t="s">
        <v>4817</v>
      </c>
      <c r="C4783" s="1">
        <v>1</v>
      </c>
      <c r="D4783" s="1" t="s">
        <v>1418</v>
      </c>
      <c r="E4783" s="1" t="s">
        <v>1418</v>
      </c>
      <c r="F4783" s="2" t="s">
        <v>1419</v>
      </c>
      <c r="I4783" s="2" t="s">
        <v>4791</v>
      </c>
      <c r="J4783" s="7"/>
      <c r="K4783" s="7"/>
      <c r="L4783" s="7"/>
      <c r="M4783" s="7"/>
      <c r="N4783" s="7"/>
      <c r="O4783" s="7"/>
      <c r="P4783" s="7"/>
      <c r="Q4783" s="7"/>
    </row>
    <row r="4784" spans="1:17" ht="15.75" customHeight="1">
      <c r="A4784" s="1">
        <v>902214</v>
      </c>
      <c r="B4784" s="1" t="s">
        <v>4818</v>
      </c>
      <c r="C4784" s="1">
        <v>1</v>
      </c>
      <c r="D4784" s="1" t="s">
        <v>1418</v>
      </c>
      <c r="E4784" s="1" t="s">
        <v>1418</v>
      </c>
      <c r="F4784" s="2" t="s">
        <v>1419</v>
      </c>
      <c r="I4784" s="2" t="s">
        <v>4791</v>
      </c>
    </row>
    <row r="4785" spans="1:17" ht="15.75" customHeight="1">
      <c r="A4785" s="8">
        <v>902219</v>
      </c>
      <c r="B4785" s="8" t="s">
        <v>4819</v>
      </c>
      <c r="C4785" s="8">
        <v>1</v>
      </c>
      <c r="D4785" s="8" t="s">
        <v>1418</v>
      </c>
      <c r="E4785" s="8" t="s">
        <v>1418</v>
      </c>
      <c r="F4785" s="8"/>
      <c r="G4785" s="9" t="s">
        <v>1378</v>
      </c>
      <c r="H4785" s="8" t="s">
        <v>1228</v>
      </c>
      <c r="I4785" s="8"/>
      <c r="J4785" s="10"/>
      <c r="K4785" s="10"/>
      <c r="L4785" s="10"/>
      <c r="M4785" s="10"/>
      <c r="N4785" s="10"/>
      <c r="O4785" s="10"/>
      <c r="P4785" s="10"/>
      <c r="Q4785" s="10"/>
    </row>
    <row r="4786" spans="1:17" ht="15.75" customHeight="1">
      <c r="A4786" s="1">
        <v>902221</v>
      </c>
      <c r="B4786" s="1" t="s">
        <v>4820</v>
      </c>
      <c r="C4786" s="1">
        <v>1</v>
      </c>
      <c r="D4786" s="1" t="s">
        <v>1418</v>
      </c>
      <c r="E4786" s="1" t="s">
        <v>1418</v>
      </c>
      <c r="F4786" s="2" t="s">
        <v>1419</v>
      </c>
      <c r="I4786" s="2" t="s">
        <v>4791</v>
      </c>
    </row>
    <row r="4787" spans="1:17" ht="15.75" customHeight="1">
      <c r="A4787" s="8">
        <v>902229</v>
      </c>
      <c r="B4787" s="8" t="s">
        <v>4821</v>
      </c>
      <c r="C4787" s="8" t="s">
        <v>11</v>
      </c>
      <c r="D4787" s="8" t="s">
        <v>11</v>
      </c>
      <c r="E4787" s="8" t="s">
        <v>11</v>
      </c>
      <c r="F4787" s="8"/>
      <c r="G4787" s="8"/>
      <c r="H4787" s="8" t="s">
        <v>1228</v>
      </c>
      <c r="I4787" s="8"/>
      <c r="J4787" s="8"/>
      <c r="K4787" s="8"/>
      <c r="L4787" s="8"/>
      <c r="M4787" s="8"/>
      <c r="N4787" s="8"/>
      <c r="O4787" s="8"/>
      <c r="P4787" s="8"/>
      <c r="Q4787" s="8"/>
    </row>
    <row r="4788" spans="1:17" ht="15.75" customHeight="1">
      <c r="A4788" s="1">
        <v>902230</v>
      </c>
      <c r="B4788" s="1" t="s">
        <v>4822</v>
      </c>
      <c r="C4788" s="1">
        <v>1</v>
      </c>
      <c r="D4788" s="1" t="s">
        <v>1418</v>
      </c>
      <c r="E4788" s="1" t="s">
        <v>1418</v>
      </c>
      <c r="F4788" s="2" t="s">
        <v>1419</v>
      </c>
      <c r="I4788" s="2"/>
    </row>
    <row r="4789" spans="1:17" ht="15.75" customHeight="1">
      <c r="A4789" s="1">
        <v>902290</v>
      </c>
      <c r="B4789" s="1" t="s">
        <v>4823</v>
      </c>
      <c r="C4789" s="1">
        <v>1</v>
      </c>
      <c r="D4789" s="1" t="s">
        <v>1418</v>
      </c>
      <c r="E4789" s="1" t="s">
        <v>1418</v>
      </c>
      <c r="F4789" s="2" t="s">
        <v>1419</v>
      </c>
      <c r="I4789" s="2" t="s">
        <v>4791</v>
      </c>
      <c r="J4789" s="7"/>
      <c r="K4789" s="7"/>
      <c r="L4789" s="7"/>
      <c r="M4789" s="7"/>
      <c r="N4789" s="7"/>
      <c r="O4789" s="7"/>
      <c r="P4789" s="7"/>
      <c r="Q4789" s="7"/>
    </row>
    <row r="4790" spans="1:17" ht="15.75" customHeight="1">
      <c r="A4790" s="1">
        <v>902300</v>
      </c>
      <c r="B4790" s="1" t="s">
        <v>4824</v>
      </c>
      <c r="C4790" s="1" t="s">
        <v>11</v>
      </c>
      <c r="D4790" s="1" t="s">
        <v>11</v>
      </c>
      <c r="E4790" s="1" t="s">
        <v>11</v>
      </c>
    </row>
    <row r="4791" spans="1:17" ht="15.75" customHeight="1">
      <c r="A4791" s="1">
        <v>902410</v>
      </c>
      <c r="B4791" s="1" t="s">
        <v>4825</v>
      </c>
      <c r="C4791" s="1" t="s">
        <v>11</v>
      </c>
      <c r="D4791" s="1" t="s">
        <v>11</v>
      </c>
      <c r="E4791" s="1" t="s">
        <v>11</v>
      </c>
    </row>
    <row r="4792" spans="1:17" ht="15.75" customHeight="1">
      <c r="A4792" s="1">
        <v>902480</v>
      </c>
      <c r="B4792" s="1" t="s">
        <v>4826</v>
      </c>
      <c r="C4792" s="1" t="s">
        <v>11</v>
      </c>
      <c r="D4792" s="1" t="s">
        <v>11</v>
      </c>
      <c r="E4792" s="1" t="s">
        <v>11</v>
      </c>
    </row>
    <row r="4793" spans="1:17" ht="15.75" customHeight="1">
      <c r="A4793" s="1">
        <v>902490</v>
      </c>
      <c r="B4793" s="1" t="s">
        <v>4827</v>
      </c>
      <c r="C4793" s="1" t="s">
        <v>11</v>
      </c>
      <c r="D4793" s="1" t="s">
        <v>11</v>
      </c>
      <c r="E4793" s="1" t="s">
        <v>11</v>
      </c>
    </row>
    <row r="4794" spans="1:17" ht="15.75" customHeight="1">
      <c r="A4794" s="1">
        <v>902511</v>
      </c>
      <c r="B4794" s="1" t="s">
        <v>4828</v>
      </c>
      <c r="C4794" s="1" t="s">
        <v>11</v>
      </c>
      <c r="D4794" s="1" t="s">
        <v>11</v>
      </c>
      <c r="E4794" s="1" t="s">
        <v>11</v>
      </c>
    </row>
    <row r="4795" spans="1:17" ht="15.75" customHeight="1">
      <c r="A4795" s="1">
        <v>902519</v>
      </c>
      <c r="B4795" s="1" t="s">
        <v>4829</v>
      </c>
      <c r="C4795" s="1" t="s">
        <v>11</v>
      </c>
      <c r="D4795" s="1" t="s">
        <v>11</v>
      </c>
      <c r="E4795" s="1" t="s">
        <v>11</v>
      </c>
    </row>
    <row r="4796" spans="1:17" ht="15.75" customHeight="1">
      <c r="A4796" s="1">
        <v>902580</v>
      </c>
      <c r="B4796" s="1" t="s">
        <v>4830</v>
      </c>
      <c r="C4796" s="1" t="s">
        <v>11</v>
      </c>
      <c r="D4796" s="1" t="s">
        <v>11</v>
      </c>
      <c r="E4796" s="1" t="s">
        <v>11</v>
      </c>
    </row>
    <row r="4797" spans="1:17" ht="15.75" customHeight="1">
      <c r="A4797" s="1">
        <v>902590</v>
      </c>
      <c r="B4797" s="1" t="s">
        <v>4831</v>
      </c>
      <c r="C4797" s="1" t="s">
        <v>11</v>
      </c>
      <c r="D4797" s="1" t="s">
        <v>11</v>
      </c>
      <c r="E4797" s="1" t="s">
        <v>11</v>
      </c>
    </row>
    <row r="4798" spans="1:17" ht="15.75" customHeight="1">
      <c r="A4798" s="1">
        <v>902610</v>
      </c>
      <c r="B4798" s="1" t="s">
        <v>4832</v>
      </c>
      <c r="C4798" s="1" t="s">
        <v>11</v>
      </c>
      <c r="D4798" s="1" t="s">
        <v>11</v>
      </c>
      <c r="E4798" s="1" t="s">
        <v>11</v>
      </c>
    </row>
    <row r="4799" spans="1:17" ht="15.75" customHeight="1">
      <c r="A4799" s="1">
        <v>902620</v>
      </c>
      <c r="B4799" s="1" t="s">
        <v>4833</v>
      </c>
      <c r="C4799" s="1" t="s">
        <v>11</v>
      </c>
      <c r="D4799" s="1" t="s">
        <v>11</v>
      </c>
      <c r="E4799" s="1" t="s">
        <v>11</v>
      </c>
    </row>
    <row r="4800" spans="1:17" ht="15.75" customHeight="1">
      <c r="A4800" s="1">
        <v>902680</v>
      </c>
      <c r="B4800" s="1" t="s">
        <v>4834</v>
      </c>
      <c r="C4800" s="1" t="s">
        <v>11</v>
      </c>
      <c r="D4800" s="1" t="s">
        <v>11</v>
      </c>
      <c r="E4800" s="1" t="s">
        <v>11</v>
      </c>
    </row>
    <row r="4801" spans="1:5" ht="15.75" customHeight="1">
      <c r="A4801" s="1">
        <v>902690</v>
      </c>
      <c r="B4801" s="1" t="s">
        <v>4835</v>
      </c>
      <c r="C4801" s="1" t="s">
        <v>11</v>
      </c>
      <c r="D4801" s="1" t="s">
        <v>11</v>
      </c>
      <c r="E4801" s="1" t="s">
        <v>11</v>
      </c>
    </row>
    <row r="4802" spans="1:5" ht="15.75" customHeight="1">
      <c r="A4802" s="1">
        <v>902710</v>
      </c>
      <c r="B4802" s="1" t="s">
        <v>4836</v>
      </c>
      <c r="C4802" s="1" t="s">
        <v>11</v>
      </c>
      <c r="D4802" s="1" t="s">
        <v>11</v>
      </c>
      <c r="E4802" s="1" t="s">
        <v>11</v>
      </c>
    </row>
    <row r="4803" spans="1:5" ht="15.75" customHeight="1">
      <c r="A4803" s="1">
        <v>902720</v>
      </c>
      <c r="B4803" s="1" t="s">
        <v>4837</v>
      </c>
      <c r="C4803" s="1" t="s">
        <v>11</v>
      </c>
      <c r="D4803" s="1" t="s">
        <v>11</v>
      </c>
      <c r="E4803" s="1" t="s">
        <v>11</v>
      </c>
    </row>
    <row r="4804" spans="1:5" ht="15.75" customHeight="1">
      <c r="A4804" s="1">
        <v>902730</v>
      </c>
      <c r="B4804" s="1" t="s">
        <v>4838</v>
      </c>
      <c r="C4804" s="1" t="s">
        <v>11</v>
      </c>
      <c r="D4804" s="1" t="s">
        <v>11</v>
      </c>
      <c r="E4804" s="1" t="s">
        <v>11</v>
      </c>
    </row>
    <row r="4805" spans="1:5" ht="15.75" customHeight="1">
      <c r="A4805" s="1">
        <v>902750</v>
      </c>
      <c r="B4805" s="1" t="s">
        <v>4839</v>
      </c>
    </row>
    <row r="4806" spans="1:5" ht="15.75" customHeight="1">
      <c r="A4806" s="1">
        <v>902780</v>
      </c>
      <c r="B4806" s="1" t="s">
        <v>4840</v>
      </c>
      <c r="C4806" s="13" t="s">
        <v>11</v>
      </c>
      <c r="D4806" s="1" t="s">
        <v>11</v>
      </c>
      <c r="E4806" s="1" t="s">
        <v>11</v>
      </c>
    </row>
    <row r="4807" spans="1:5" ht="15.75" customHeight="1">
      <c r="A4807" s="1">
        <v>902790</v>
      </c>
      <c r="B4807" s="1" t="s">
        <v>4841</v>
      </c>
      <c r="C4807" s="1" t="s">
        <v>11</v>
      </c>
      <c r="D4807" s="1" t="s">
        <v>11</v>
      </c>
      <c r="E4807" s="1" t="s">
        <v>11</v>
      </c>
    </row>
    <row r="4808" spans="1:5" ht="15.75" customHeight="1">
      <c r="A4808" s="1">
        <v>902810</v>
      </c>
      <c r="B4808" s="1" t="s">
        <v>4842</v>
      </c>
      <c r="C4808" s="1" t="s">
        <v>11</v>
      </c>
      <c r="D4808" s="1" t="s">
        <v>11</v>
      </c>
      <c r="E4808" s="1" t="s">
        <v>11</v>
      </c>
    </row>
    <row r="4809" spans="1:5" ht="15.75" customHeight="1">
      <c r="A4809" s="1">
        <v>902820</v>
      </c>
      <c r="B4809" s="1" t="s">
        <v>4843</v>
      </c>
      <c r="C4809" s="1" t="s">
        <v>11</v>
      </c>
      <c r="D4809" s="1" t="s">
        <v>11</v>
      </c>
      <c r="E4809" s="1" t="s">
        <v>11</v>
      </c>
    </row>
    <row r="4810" spans="1:5" ht="15.75" customHeight="1">
      <c r="A4810" s="1">
        <v>902830</v>
      </c>
      <c r="B4810" s="1" t="s">
        <v>4844</v>
      </c>
      <c r="C4810" s="1" t="s">
        <v>11</v>
      </c>
      <c r="D4810" s="1" t="s">
        <v>11</v>
      </c>
      <c r="E4810" s="1" t="s">
        <v>11</v>
      </c>
    </row>
    <row r="4811" spans="1:5" ht="15.75" customHeight="1">
      <c r="A4811" s="1">
        <v>902890</v>
      </c>
      <c r="B4811" s="1" t="s">
        <v>4845</v>
      </c>
      <c r="C4811" s="1" t="s">
        <v>11</v>
      </c>
      <c r="D4811" s="1" t="s">
        <v>11</v>
      </c>
      <c r="E4811" s="1" t="s">
        <v>11</v>
      </c>
    </row>
    <row r="4812" spans="1:5" ht="15.75" customHeight="1">
      <c r="A4812" s="1">
        <v>902910</v>
      </c>
      <c r="B4812" s="1" t="s">
        <v>4846</v>
      </c>
      <c r="C4812" s="1" t="s">
        <v>11</v>
      </c>
      <c r="D4812" s="1" t="s">
        <v>11</v>
      </c>
      <c r="E4812" s="1" t="s">
        <v>11</v>
      </c>
    </row>
    <row r="4813" spans="1:5" ht="15.75" customHeight="1">
      <c r="A4813" s="1">
        <v>902920</v>
      </c>
      <c r="B4813" s="1" t="s">
        <v>4847</v>
      </c>
      <c r="C4813" s="1" t="s">
        <v>11</v>
      </c>
      <c r="D4813" s="1" t="s">
        <v>11</v>
      </c>
      <c r="E4813" s="1" t="s">
        <v>11</v>
      </c>
    </row>
    <row r="4814" spans="1:5" ht="15.75" customHeight="1">
      <c r="A4814" s="1">
        <v>902990</v>
      </c>
      <c r="B4814" s="1" t="s">
        <v>4848</v>
      </c>
      <c r="C4814" s="1" t="s">
        <v>11</v>
      </c>
      <c r="D4814" s="1" t="s">
        <v>11</v>
      </c>
      <c r="E4814" s="1" t="s">
        <v>11</v>
      </c>
    </row>
    <row r="4815" spans="1:5" ht="15.75" customHeight="1">
      <c r="A4815" s="1">
        <v>903010</v>
      </c>
      <c r="B4815" s="1" t="s">
        <v>4849</v>
      </c>
      <c r="C4815" s="1" t="s">
        <v>11</v>
      </c>
      <c r="D4815" s="1" t="s">
        <v>11</v>
      </c>
      <c r="E4815" s="1" t="s">
        <v>11</v>
      </c>
    </row>
    <row r="4816" spans="1:5" ht="15.75" customHeight="1">
      <c r="A4816" s="1">
        <v>903020</v>
      </c>
      <c r="B4816" s="1" t="s">
        <v>4850</v>
      </c>
      <c r="C4816" s="1" t="s">
        <v>11</v>
      </c>
      <c r="D4816" s="1" t="s">
        <v>11</v>
      </c>
      <c r="E4816" s="1" t="s">
        <v>11</v>
      </c>
    </row>
    <row r="4817" spans="1:5" ht="15.75" customHeight="1">
      <c r="A4817" s="1">
        <v>903031</v>
      </c>
      <c r="B4817" s="1" t="s">
        <v>4851</v>
      </c>
      <c r="C4817" s="1" t="s">
        <v>11</v>
      </c>
      <c r="D4817" s="1" t="s">
        <v>11</v>
      </c>
      <c r="E4817" s="1" t="s">
        <v>11</v>
      </c>
    </row>
    <row r="4818" spans="1:5" ht="15.75" customHeight="1">
      <c r="A4818" s="1">
        <v>903032</v>
      </c>
      <c r="B4818" s="1" t="s">
        <v>4852</v>
      </c>
      <c r="C4818" s="1" t="s">
        <v>11</v>
      </c>
      <c r="D4818" s="1" t="s">
        <v>11</v>
      </c>
      <c r="E4818" s="1" t="s">
        <v>11</v>
      </c>
    </row>
    <row r="4819" spans="1:5" ht="15.75" customHeight="1">
      <c r="A4819" s="1">
        <v>903033</v>
      </c>
      <c r="B4819" s="1" t="s">
        <v>4853</v>
      </c>
      <c r="C4819" s="1" t="s">
        <v>11</v>
      </c>
      <c r="D4819" s="1" t="s">
        <v>11</v>
      </c>
      <c r="E4819" s="1" t="s">
        <v>11</v>
      </c>
    </row>
    <row r="4820" spans="1:5" ht="15.75" customHeight="1">
      <c r="A4820" s="1">
        <v>903039</v>
      </c>
      <c r="B4820" s="1" t="s">
        <v>4854</v>
      </c>
      <c r="C4820" s="1" t="s">
        <v>11</v>
      </c>
      <c r="D4820" s="1" t="s">
        <v>11</v>
      </c>
      <c r="E4820" s="1" t="s">
        <v>11</v>
      </c>
    </row>
    <row r="4821" spans="1:5" ht="15.75" customHeight="1">
      <c r="A4821" s="1">
        <v>903040</v>
      </c>
      <c r="B4821" s="1" t="s">
        <v>4855</v>
      </c>
      <c r="C4821" s="1" t="s">
        <v>11</v>
      </c>
      <c r="D4821" s="1" t="s">
        <v>11</v>
      </c>
      <c r="E4821" s="1" t="s">
        <v>11</v>
      </c>
    </row>
    <row r="4822" spans="1:5" ht="15.75" customHeight="1">
      <c r="A4822" s="1">
        <v>903082</v>
      </c>
      <c r="B4822" s="1" t="s">
        <v>4856</v>
      </c>
      <c r="C4822" s="1" t="s">
        <v>11</v>
      </c>
      <c r="D4822" s="1" t="s">
        <v>11</v>
      </c>
      <c r="E4822" s="1" t="s">
        <v>11</v>
      </c>
    </row>
    <row r="4823" spans="1:5" ht="15.75" customHeight="1">
      <c r="A4823" s="1">
        <v>903084</v>
      </c>
      <c r="B4823" s="1" t="s">
        <v>4857</v>
      </c>
      <c r="C4823" s="1" t="s">
        <v>11</v>
      </c>
      <c r="D4823" s="1" t="s">
        <v>11</v>
      </c>
      <c r="E4823" s="1" t="s">
        <v>11</v>
      </c>
    </row>
    <row r="4824" spans="1:5" ht="15.75" customHeight="1">
      <c r="A4824" s="1">
        <v>903089</v>
      </c>
      <c r="B4824" s="1" t="s">
        <v>4858</v>
      </c>
      <c r="C4824" s="1" t="s">
        <v>11</v>
      </c>
      <c r="D4824" s="1" t="s">
        <v>11</v>
      </c>
      <c r="E4824" s="1" t="s">
        <v>11</v>
      </c>
    </row>
    <row r="4825" spans="1:5" ht="15.75" customHeight="1">
      <c r="A4825" s="1">
        <v>903090</v>
      </c>
      <c r="B4825" s="1" t="s">
        <v>4859</v>
      </c>
      <c r="C4825" s="1" t="s">
        <v>11</v>
      </c>
      <c r="D4825" s="1" t="s">
        <v>11</v>
      </c>
      <c r="E4825" s="1" t="s">
        <v>11</v>
      </c>
    </row>
    <row r="4826" spans="1:5" ht="15.75" customHeight="1">
      <c r="A4826" s="1">
        <v>903110</v>
      </c>
      <c r="B4826" s="1" t="s">
        <v>4860</v>
      </c>
      <c r="C4826" s="1" t="s">
        <v>11</v>
      </c>
      <c r="D4826" s="1" t="s">
        <v>11</v>
      </c>
      <c r="E4826" s="1" t="s">
        <v>11</v>
      </c>
    </row>
    <row r="4827" spans="1:5" ht="15.75" customHeight="1">
      <c r="A4827" s="1">
        <v>903120</v>
      </c>
      <c r="B4827" s="1" t="s">
        <v>4861</v>
      </c>
      <c r="C4827" s="1" t="s">
        <v>11</v>
      </c>
      <c r="D4827" s="1" t="s">
        <v>11</v>
      </c>
      <c r="E4827" s="1" t="s">
        <v>11</v>
      </c>
    </row>
    <row r="4828" spans="1:5" ht="15.75" customHeight="1">
      <c r="A4828" s="1">
        <v>903141</v>
      </c>
      <c r="B4828" s="1" t="s">
        <v>4862</v>
      </c>
      <c r="C4828" s="1" t="s">
        <v>11</v>
      </c>
      <c r="D4828" s="1" t="s">
        <v>11</v>
      </c>
      <c r="E4828" s="1" t="s">
        <v>11</v>
      </c>
    </row>
    <row r="4829" spans="1:5" ht="15.75" customHeight="1">
      <c r="A4829" s="1">
        <v>903149</v>
      </c>
      <c r="B4829" s="1" t="s">
        <v>4863</v>
      </c>
      <c r="C4829" s="1" t="s">
        <v>11</v>
      </c>
      <c r="D4829" s="1" t="s">
        <v>11</v>
      </c>
      <c r="E4829" s="1" t="s">
        <v>11</v>
      </c>
    </row>
    <row r="4830" spans="1:5" ht="15.75" customHeight="1">
      <c r="A4830" s="1">
        <v>903180</v>
      </c>
      <c r="B4830" s="1" t="s">
        <v>4864</v>
      </c>
      <c r="C4830" s="1" t="s">
        <v>11</v>
      </c>
      <c r="D4830" s="1" t="s">
        <v>11</v>
      </c>
      <c r="E4830" s="1" t="s">
        <v>11</v>
      </c>
    </row>
    <row r="4831" spans="1:5" ht="15.75" customHeight="1">
      <c r="A4831" s="1">
        <v>903190</v>
      </c>
      <c r="B4831" s="1" t="s">
        <v>4865</v>
      </c>
      <c r="C4831" s="1" t="s">
        <v>11</v>
      </c>
      <c r="D4831" s="1" t="s">
        <v>11</v>
      </c>
      <c r="E4831" s="1" t="s">
        <v>11</v>
      </c>
    </row>
    <row r="4832" spans="1:5" ht="15.75" customHeight="1">
      <c r="A4832" s="1">
        <v>903210</v>
      </c>
      <c r="B4832" s="1" t="s">
        <v>4866</v>
      </c>
      <c r="C4832" s="1" t="s">
        <v>11</v>
      </c>
      <c r="D4832" s="1" t="s">
        <v>11</v>
      </c>
      <c r="E4832" s="1" t="s">
        <v>11</v>
      </c>
    </row>
    <row r="4833" spans="1:5" ht="15.75" customHeight="1">
      <c r="A4833" s="1">
        <v>903220</v>
      </c>
      <c r="B4833" s="1" t="s">
        <v>4867</v>
      </c>
      <c r="C4833" s="1" t="s">
        <v>11</v>
      </c>
      <c r="D4833" s="1" t="s">
        <v>11</v>
      </c>
      <c r="E4833" s="1" t="s">
        <v>11</v>
      </c>
    </row>
    <row r="4834" spans="1:5" ht="15.75" customHeight="1">
      <c r="A4834" s="1">
        <v>903281</v>
      </c>
      <c r="B4834" s="1" t="s">
        <v>4868</v>
      </c>
      <c r="C4834" s="1" t="s">
        <v>11</v>
      </c>
      <c r="D4834" s="1" t="s">
        <v>11</v>
      </c>
      <c r="E4834" s="1" t="s">
        <v>11</v>
      </c>
    </row>
    <row r="4835" spans="1:5" ht="15.75" customHeight="1">
      <c r="A4835" s="1">
        <v>903289</v>
      </c>
      <c r="B4835" s="1" t="s">
        <v>4869</v>
      </c>
      <c r="C4835" s="1" t="s">
        <v>11</v>
      </c>
      <c r="D4835" s="1" t="s">
        <v>11</v>
      </c>
      <c r="E4835" s="1" t="s">
        <v>11</v>
      </c>
    </row>
    <row r="4836" spans="1:5" ht="15.75" customHeight="1">
      <c r="A4836" s="1">
        <v>903290</v>
      </c>
      <c r="B4836" s="1" t="s">
        <v>4870</v>
      </c>
      <c r="C4836" s="1" t="s">
        <v>11</v>
      </c>
      <c r="D4836" s="1" t="s">
        <v>11</v>
      </c>
      <c r="E4836" s="1" t="s">
        <v>11</v>
      </c>
    </row>
    <row r="4837" spans="1:5" ht="15.75" customHeight="1">
      <c r="A4837" s="1">
        <v>903300</v>
      </c>
      <c r="B4837" s="1" t="s">
        <v>4871</v>
      </c>
      <c r="C4837" s="1" t="s">
        <v>11</v>
      </c>
      <c r="D4837" s="1" t="s">
        <v>11</v>
      </c>
      <c r="E4837" s="1" t="s">
        <v>11</v>
      </c>
    </row>
    <row r="4838" spans="1:5" ht="15.75" customHeight="1">
      <c r="A4838" s="1">
        <v>910111</v>
      </c>
      <c r="B4838" s="1" t="s">
        <v>4872</v>
      </c>
      <c r="C4838" s="1" t="s">
        <v>11</v>
      </c>
      <c r="D4838" s="1" t="s">
        <v>11</v>
      </c>
      <c r="E4838" s="1" t="s">
        <v>11</v>
      </c>
    </row>
    <row r="4839" spans="1:5" ht="15.75" customHeight="1">
      <c r="A4839" s="1">
        <v>910119</v>
      </c>
      <c r="B4839" s="1" t="s">
        <v>4873</v>
      </c>
      <c r="C4839" s="1" t="s">
        <v>11</v>
      </c>
      <c r="D4839" s="1" t="s">
        <v>11</v>
      </c>
      <c r="E4839" s="1" t="s">
        <v>11</v>
      </c>
    </row>
    <row r="4840" spans="1:5" ht="15.75" customHeight="1">
      <c r="A4840" s="1">
        <v>910121</v>
      </c>
      <c r="B4840" s="1" t="s">
        <v>4874</v>
      </c>
      <c r="C4840" s="1" t="s">
        <v>11</v>
      </c>
      <c r="D4840" s="1" t="s">
        <v>11</v>
      </c>
      <c r="E4840" s="1" t="s">
        <v>11</v>
      </c>
    </row>
    <row r="4841" spans="1:5" ht="15.75" customHeight="1">
      <c r="A4841" s="1">
        <v>910129</v>
      </c>
      <c r="B4841" s="1" t="s">
        <v>4875</v>
      </c>
      <c r="C4841" s="1" t="s">
        <v>11</v>
      </c>
      <c r="D4841" s="1" t="s">
        <v>11</v>
      </c>
      <c r="E4841" s="1" t="s">
        <v>11</v>
      </c>
    </row>
    <row r="4842" spans="1:5" ht="15.75" customHeight="1">
      <c r="A4842" s="1">
        <v>910191</v>
      </c>
      <c r="B4842" s="1" t="s">
        <v>4876</v>
      </c>
      <c r="C4842" s="1" t="s">
        <v>11</v>
      </c>
      <c r="D4842" s="1" t="s">
        <v>11</v>
      </c>
      <c r="E4842" s="1" t="s">
        <v>11</v>
      </c>
    </row>
    <row r="4843" spans="1:5" ht="15.75" customHeight="1">
      <c r="A4843" s="1">
        <v>910199</v>
      </c>
      <c r="B4843" s="1" t="s">
        <v>4877</v>
      </c>
      <c r="C4843" s="1" t="s">
        <v>11</v>
      </c>
      <c r="D4843" s="1" t="s">
        <v>11</v>
      </c>
      <c r="E4843" s="1" t="s">
        <v>11</v>
      </c>
    </row>
    <row r="4844" spans="1:5" ht="15.75" customHeight="1">
      <c r="A4844" s="1">
        <v>910211</v>
      </c>
      <c r="B4844" s="1" t="s">
        <v>4878</v>
      </c>
      <c r="C4844" s="1" t="s">
        <v>11</v>
      </c>
      <c r="D4844" s="1" t="s">
        <v>11</v>
      </c>
      <c r="E4844" s="1" t="s">
        <v>11</v>
      </c>
    </row>
    <row r="4845" spans="1:5" ht="15.75" customHeight="1">
      <c r="A4845" s="1">
        <v>910212</v>
      </c>
      <c r="B4845" s="1" t="s">
        <v>4879</v>
      </c>
      <c r="C4845" s="1" t="s">
        <v>11</v>
      </c>
      <c r="D4845" s="1" t="s">
        <v>11</v>
      </c>
      <c r="E4845" s="1" t="s">
        <v>11</v>
      </c>
    </row>
    <row r="4846" spans="1:5" ht="15.75" customHeight="1">
      <c r="A4846" s="1">
        <v>910219</v>
      </c>
      <c r="B4846" s="1" t="s">
        <v>4880</v>
      </c>
      <c r="C4846" s="1" t="s">
        <v>11</v>
      </c>
      <c r="D4846" s="1" t="s">
        <v>11</v>
      </c>
      <c r="E4846" s="1" t="s">
        <v>11</v>
      </c>
    </row>
    <row r="4847" spans="1:5" ht="15.75" customHeight="1">
      <c r="A4847" s="1">
        <v>910221</v>
      </c>
      <c r="B4847" s="1" t="s">
        <v>4881</v>
      </c>
      <c r="C4847" s="1" t="s">
        <v>11</v>
      </c>
      <c r="D4847" s="1" t="s">
        <v>11</v>
      </c>
      <c r="E4847" s="1" t="s">
        <v>11</v>
      </c>
    </row>
    <row r="4848" spans="1:5" ht="15.75" customHeight="1">
      <c r="A4848" s="1">
        <v>910229</v>
      </c>
      <c r="B4848" s="1" t="s">
        <v>4882</v>
      </c>
      <c r="C4848" s="1" t="s">
        <v>11</v>
      </c>
      <c r="D4848" s="1" t="s">
        <v>11</v>
      </c>
      <c r="E4848" s="1" t="s">
        <v>11</v>
      </c>
    </row>
    <row r="4849" spans="1:5" ht="15.75" customHeight="1">
      <c r="A4849" s="1">
        <v>910291</v>
      </c>
      <c r="B4849" s="1" t="s">
        <v>4883</v>
      </c>
      <c r="C4849" s="1" t="s">
        <v>11</v>
      </c>
      <c r="D4849" s="1" t="s">
        <v>11</v>
      </c>
      <c r="E4849" s="1" t="s">
        <v>11</v>
      </c>
    </row>
    <row r="4850" spans="1:5" ht="15.75" customHeight="1">
      <c r="A4850" s="1">
        <v>910299</v>
      </c>
      <c r="B4850" s="1" t="s">
        <v>4884</v>
      </c>
      <c r="C4850" s="1" t="s">
        <v>11</v>
      </c>
      <c r="D4850" s="1" t="s">
        <v>11</v>
      </c>
      <c r="E4850" s="1" t="s">
        <v>11</v>
      </c>
    </row>
    <row r="4851" spans="1:5" ht="15.75" customHeight="1">
      <c r="A4851" s="1">
        <v>910310</v>
      </c>
      <c r="B4851" s="1" t="s">
        <v>4885</v>
      </c>
      <c r="C4851" s="1" t="s">
        <v>11</v>
      </c>
      <c r="D4851" s="1" t="s">
        <v>11</v>
      </c>
      <c r="E4851" s="1" t="s">
        <v>11</v>
      </c>
    </row>
    <row r="4852" spans="1:5" ht="15.75" customHeight="1">
      <c r="A4852" s="1">
        <v>910390</v>
      </c>
      <c r="B4852" s="1" t="s">
        <v>4886</v>
      </c>
      <c r="C4852" s="1" t="s">
        <v>11</v>
      </c>
      <c r="D4852" s="1" t="s">
        <v>11</v>
      </c>
      <c r="E4852" s="1" t="s">
        <v>11</v>
      </c>
    </row>
    <row r="4853" spans="1:5" ht="15.75" customHeight="1">
      <c r="A4853" s="1">
        <v>910400</v>
      </c>
      <c r="B4853" s="1" t="s">
        <v>4887</v>
      </c>
      <c r="C4853" s="1" t="s">
        <v>11</v>
      </c>
      <c r="D4853" s="1" t="s">
        <v>11</v>
      </c>
      <c r="E4853" s="1" t="s">
        <v>11</v>
      </c>
    </row>
    <row r="4854" spans="1:5" ht="15.75" customHeight="1">
      <c r="A4854" s="1">
        <v>910511</v>
      </c>
      <c r="B4854" s="1" t="s">
        <v>4888</v>
      </c>
      <c r="C4854" s="1" t="s">
        <v>11</v>
      </c>
      <c r="D4854" s="1" t="s">
        <v>11</v>
      </c>
      <c r="E4854" s="1" t="s">
        <v>11</v>
      </c>
    </row>
    <row r="4855" spans="1:5" ht="15.75" customHeight="1">
      <c r="A4855" s="1">
        <v>910519</v>
      </c>
      <c r="B4855" s="1" t="s">
        <v>4889</v>
      </c>
      <c r="C4855" s="1" t="s">
        <v>11</v>
      </c>
      <c r="D4855" s="1" t="s">
        <v>11</v>
      </c>
      <c r="E4855" s="1" t="s">
        <v>11</v>
      </c>
    </row>
    <row r="4856" spans="1:5" ht="15.75" customHeight="1">
      <c r="A4856" s="1">
        <v>910521</v>
      </c>
      <c r="B4856" s="1" t="s">
        <v>4890</v>
      </c>
      <c r="C4856" s="1" t="s">
        <v>11</v>
      </c>
      <c r="D4856" s="1" t="s">
        <v>11</v>
      </c>
      <c r="E4856" s="1" t="s">
        <v>11</v>
      </c>
    </row>
    <row r="4857" spans="1:5" ht="15.75" customHeight="1">
      <c r="A4857" s="1">
        <v>910529</v>
      </c>
      <c r="B4857" s="1" t="s">
        <v>4891</v>
      </c>
      <c r="C4857" s="1" t="s">
        <v>11</v>
      </c>
      <c r="D4857" s="1" t="s">
        <v>11</v>
      </c>
      <c r="E4857" s="1" t="s">
        <v>11</v>
      </c>
    </row>
    <row r="4858" spans="1:5" ht="15.75" customHeight="1">
      <c r="A4858" s="1">
        <v>910591</v>
      </c>
      <c r="B4858" s="1" t="s">
        <v>4892</v>
      </c>
      <c r="C4858" s="1" t="s">
        <v>11</v>
      </c>
      <c r="D4858" s="1" t="s">
        <v>11</v>
      </c>
      <c r="E4858" s="1" t="s">
        <v>11</v>
      </c>
    </row>
    <row r="4859" spans="1:5" ht="15.75" customHeight="1">
      <c r="A4859" s="1">
        <v>910599</v>
      </c>
      <c r="B4859" s="1" t="s">
        <v>4893</v>
      </c>
      <c r="C4859" s="1" t="s">
        <v>11</v>
      </c>
      <c r="D4859" s="1" t="s">
        <v>11</v>
      </c>
      <c r="E4859" s="1" t="s">
        <v>11</v>
      </c>
    </row>
    <row r="4860" spans="1:5" ht="15.75" customHeight="1">
      <c r="A4860" s="1">
        <v>910610</v>
      </c>
      <c r="B4860" s="1" t="s">
        <v>4894</v>
      </c>
      <c r="C4860" s="1" t="s">
        <v>11</v>
      </c>
      <c r="D4860" s="1" t="s">
        <v>11</v>
      </c>
      <c r="E4860" s="1" t="s">
        <v>11</v>
      </c>
    </row>
    <row r="4861" spans="1:5" ht="15.75" customHeight="1">
      <c r="A4861" s="1">
        <v>910690</v>
      </c>
      <c r="B4861" s="1" t="s">
        <v>4895</v>
      </c>
      <c r="C4861" s="1" t="s">
        <v>11</v>
      </c>
      <c r="D4861" s="1" t="s">
        <v>11</v>
      </c>
      <c r="E4861" s="1" t="s">
        <v>11</v>
      </c>
    </row>
    <row r="4862" spans="1:5" ht="15.75" customHeight="1">
      <c r="A4862" s="1">
        <v>910700</v>
      </c>
      <c r="B4862" s="1" t="s">
        <v>4896</v>
      </c>
      <c r="C4862" s="1" t="s">
        <v>11</v>
      </c>
      <c r="D4862" s="1" t="s">
        <v>11</v>
      </c>
      <c r="E4862" s="1" t="s">
        <v>11</v>
      </c>
    </row>
    <row r="4863" spans="1:5" ht="15.75" customHeight="1">
      <c r="A4863" s="1">
        <v>910811</v>
      </c>
      <c r="B4863" s="1" t="s">
        <v>4897</v>
      </c>
      <c r="C4863" s="1" t="s">
        <v>11</v>
      </c>
      <c r="D4863" s="1" t="s">
        <v>11</v>
      </c>
      <c r="E4863" s="1" t="s">
        <v>11</v>
      </c>
    </row>
    <row r="4864" spans="1:5" ht="15.75" customHeight="1">
      <c r="A4864" s="1">
        <v>910812</v>
      </c>
      <c r="B4864" s="1" t="s">
        <v>4898</v>
      </c>
      <c r="C4864" s="1" t="s">
        <v>11</v>
      </c>
      <c r="D4864" s="1" t="s">
        <v>11</v>
      </c>
      <c r="E4864" s="1" t="s">
        <v>11</v>
      </c>
    </row>
    <row r="4865" spans="1:5" ht="15.75" customHeight="1">
      <c r="A4865" s="1">
        <v>910819</v>
      </c>
      <c r="B4865" s="1" t="s">
        <v>4899</v>
      </c>
      <c r="C4865" s="1" t="s">
        <v>11</v>
      </c>
      <c r="D4865" s="1" t="s">
        <v>11</v>
      </c>
      <c r="E4865" s="1" t="s">
        <v>11</v>
      </c>
    </row>
    <row r="4866" spans="1:5" ht="15.75" customHeight="1">
      <c r="A4866" s="1">
        <v>910820</v>
      </c>
      <c r="B4866" s="1" t="s">
        <v>4900</v>
      </c>
      <c r="C4866" s="1" t="s">
        <v>11</v>
      </c>
      <c r="D4866" s="1" t="s">
        <v>11</v>
      </c>
      <c r="E4866" s="1" t="s">
        <v>11</v>
      </c>
    </row>
    <row r="4867" spans="1:5" ht="15.75" customHeight="1">
      <c r="A4867" s="1">
        <v>910890</v>
      </c>
      <c r="B4867" s="1" t="s">
        <v>4901</v>
      </c>
      <c r="C4867" s="1" t="s">
        <v>11</v>
      </c>
      <c r="D4867" s="1" t="s">
        <v>11</v>
      </c>
      <c r="E4867" s="1" t="s">
        <v>11</v>
      </c>
    </row>
    <row r="4868" spans="1:5" ht="15.75" customHeight="1">
      <c r="A4868" s="1">
        <v>910911</v>
      </c>
      <c r="B4868" s="1" t="s">
        <v>4902</v>
      </c>
      <c r="C4868" s="1" t="s">
        <v>11</v>
      </c>
      <c r="D4868" s="1" t="s">
        <v>11</v>
      </c>
      <c r="E4868" s="1" t="s">
        <v>11</v>
      </c>
    </row>
    <row r="4869" spans="1:5" ht="15.75" customHeight="1">
      <c r="A4869" s="1">
        <v>910919</v>
      </c>
      <c r="B4869" s="1" t="s">
        <v>4903</v>
      </c>
      <c r="C4869" s="1" t="s">
        <v>11</v>
      </c>
      <c r="D4869" s="1" t="s">
        <v>11</v>
      </c>
      <c r="E4869" s="1" t="s">
        <v>11</v>
      </c>
    </row>
    <row r="4870" spans="1:5" ht="15.75" customHeight="1">
      <c r="A4870" s="1">
        <v>910990</v>
      </c>
      <c r="B4870" s="1" t="s">
        <v>4904</v>
      </c>
      <c r="C4870" s="1" t="s">
        <v>11</v>
      </c>
      <c r="D4870" s="1" t="s">
        <v>11</v>
      </c>
      <c r="E4870" s="1" t="s">
        <v>11</v>
      </c>
    </row>
    <row r="4871" spans="1:5" ht="15.75" customHeight="1">
      <c r="A4871" s="1">
        <v>911011</v>
      </c>
      <c r="B4871" s="1" t="s">
        <v>4905</v>
      </c>
      <c r="C4871" s="1" t="s">
        <v>11</v>
      </c>
      <c r="D4871" s="1" t="s">
        <v>11</v>
      </c>
      <c r="E4871" s="1" t="s">
        <v>11</v>
      </c>
    </row>
    <row r="4872" spans="1:5" ht="15.75" customHeight="1">
      <c r="A4872" s="1">
        <v>911012</v>
      </c>
      <c r="B4872" s="1" t="s">
        <v>4906</v>
      </c>
      <c r="C4872" s="1" t="s">
        <v>11</v>
      </c>
      <c r="D4872" s="1" t="s">
        <v>11</v>
      </c>
      <c r="E4872" s="1" t="s">
        <v>11</v>
      </c>
    </row>
    <row r="4873" spans="1:5" ht="15.75" customHeight="1">
      <c r="A4873" s="1">
        <v>911019</v>
      </c>
      <c r="B4873" s="1" t="s">
        <v>4907</v>
      </c>
      <c r="C4873" s="1" t="s">
        <v>11</v>
      </c>
      <c r="D4873" s="1" t="s">
        <v>11</v>
      </c>
      <c r="E4873" s="1" t="s">
        <v>11</v>
      </c>
    </row>
    <row r="4874" spans="1:5" ht="15.75" customHeight="1">
      <c r="A4874" s="1">
        <v>911090</v>
      </c>
      <c r="B4874" s="1" t="s">
        <v>4908</v>
      </c>
      <c r="C4874" s="1" t="s">
        <v>11</v>
      </c>
      <c r="D4874" s="1" t="s">
        <v>11</v>
      </c>
      <c r="E4874" s="1" t="s">
        <v>11</v>
      </c>
    </row>
    <row r="4875" spans="1:5" ht="15.75" customHeight="1">
      <c r="A4875" s="1">
        <v>911110</v>
      </c>
      <c r="B4875" s="1" t="s">
        <v>4909</v>
      </c>
      <c r="C4875" s="1" t="s">
        <v>11</v>
      </c>
      <c r="D4875" s="1" t="s">
        <v>11</v>
      </c>
      <c r="E4875" s="1" t="s">
        <v>11</v>
      </c>
    </row>
    <row r="4876" spans="1:5" ht="15.75" customHeight="1">
      <c r="A4876" s="1">
        <v>911120</v>
      </c>
      <c r="B4876" s="1" t="s">
        <v>4910</v>
      </c>
      <c r="C4876" s="1" t="s">
        <v>11</v>
      </c>
      <c r="D4876" s="1" t="s">
        <v>11</v>
      </c>
      <c r="E4876" s="1" t="s">
        <v>11</v>
      </c>
    </row>
    <row r="4877" spans="1:5" ht="15.75" customHeight="1">
      <c r="A4877" s="1">
        <v>911180</v>
      </c>
      <c r="B4877" s="1" t="s">
        <v>4911</v>
      </c>
      <c r="C4877" s="1" t="s">
        <v>11</v>
      </c>
      <c r="D4877" s="1" t="s">
        <v>11</v>
      </c>
      <c r="E4877" s="1" t="s">
        <v>11</v>
      </c>
    </row>
    <row r="4878" spans="1:5" ht="15.75" customHeight="1">
      <c r="A4878" s="1">
        <v>911190</v>
      </c>
      <c r="B4878" s="1" t="s">
        <v>4912</v>
      </c>
      <c r="C4878" s="1" t="s">
        <v>11</v>
      </c>
      <c r="D4878" s="1" t="s">
        <v>11</v>
      </c>
      <c r="E4878" s="1" t="s">
        <v>11</v>
      </c>
    </row>
    <row r="4879" spans="1:5" ht="15.75" customHeight="1">
      <c r="A4879" s="1">
        <v>911220</v>
      </c>
      <c r="B4879" s="1" t="s">
        <v>4913</v>
      </c>
      <c r="C4879" s="1" t="s">
        <v>11</v>
      </c>
      <c r="D4879" s="1" t="s">
        <v>11</v>
      </c>
      <c r="E4879" s="1" t="s">
        <v>11</v>
      </c>
    </row>
    <row r="4880" spans="1:5" ht="15.75" customHeight="1">
      <c r="A4880" s="1">
        <v>911290</v>
      </c>
      <c r="B4880" s="1" t="s">
        <v>4914</v>
      </c>
      <c r="C4880" s="1" t="s">
        <v>11</v>
      </c>
      <c r="D4880" s="1" t="s">
        <v>11</v>
      </c>
      <c r="E4880" s="1" t="s">
        <v>11</v>
      </c>
    </row>
    <row r="4881" spans="1:5" ht="15.75" customHeight="1">
      <c r="A4881" s="1">
        <v>911310</v>
      </c>
      <c r="B4881" s="1" t="s">
        <v>4915</v>
      </c>
      <c r="C4881" s="1" t="s">
        <v>11</v>
      </c>
      <c r="D4881" s="1" t="s">
        <v>11</v>
      </c>
      <c r="E4881" s="1" t="s">
        <v>11</v>
      </c>
    </row>
    <row r="4882" spans="1:5" ht="15.75" customHeight="1">
      <c r="A4882" s="1">
        <v>911320</v>
      </c>
      <c r="B4882" s="1" t="s">
        <v>4916</v>
      </c>
      <c r="C4882" s="1" t="s">
        <v>11</v>
      </c>
      <c r="D4882" s="1" t="s">
        <v>11</v>
      </c>
      <c r="E4882" s="1" t="s">
        <v>11</v>
      </c>
    </row>
    <row r="4883" spans="1:5" ht="15.75" customHeight="1">
      <c r="A4883" s="1">
        <v>911390</v>
      </c>
      <c r="B4883" s="1" t="s">
        <v>4917</v>
      </c>
      <c r="C4883" s="1" t="s">
        <v>11</v>
      </c>
      <c r="D4883" s="1" t="s">
        <v>11</v>
      </c>
      <c r="E4883" s="1" t="s">
        <v>11</v>
      </c>
    </row>
    <row r="4884" spans="1:5" ht="15.75" customHeight="1">
      <c r="A4884" s="1">
        <v>911410</v>
      </c>
      <c r="B4884" s="1" t="s">
        <v>4918</v>
      </c>
      <c r="C4884" s="1" t="s">
        <v>11</v>
      </c>
      <c r="D4884" s="1" t="s">
        <v>11</v>
      </c>
      <c r="E4884" s="1" t="s">
        <v>11</v>
      </c>
    </row>
    <row r="4885" spans="1:5" ht="15.75" customHeight="1">
      <c r="A4885" s="1">
        <v>911420</v>
      </c>
      <c r="B4885" s="1" t="s">
        <v>4919</v>
      </c>
      <c r="C4885" s="1" t="s">
        <v>11</v>
      </c>
      <c r="D4885" s="1" t="s">
        <v>11</v>
      </c>
      <c r="E4885" s="1" t="s">
        <v>11</v>
      </c>
    </row>
    <row r="4886" spans="1:5" ht="15.75" customHeight="1">
      <c r="A4886" s="1">
        <v>911430</v>
      </c>
      <c r="B4886" s="1" t="s">
        <v>4920</v>
      </c>
      <c r="C4886" s="1" t="s">
        <v>11</v>
      </c>
      <c r="D4886" s="1" t="s">
        <v>11</v>
      </c>
      <c r="E4886" s="1" t="s">
        <v>11</v>
      </c>
    </row>
    <row r="4887" spans="1:5" ht="15.75" customHeight="1">
      <c r="A4887" s="1">
        <v>911440</v>
      </c>
      <c r="B4887" s="1" t="s">
        <v>4921</v>
      </c>
      <c r="C4887" s="1" t="s">
        <v>11</v>
      </c>
      <c r="D4887" s="1" t="s">
        <v>11</v>
      </c>
      <c r="E4887" s="1" t="s">
        <v>11</v>
      </c>
    </row>
    <row r="4888" spans="1:5" ht="15.75" customHeight="1">
      <c r="A4888" s="1">
        <v>911490</v>
      </c>
      <c r="B4888" s="1" t="s">
        <v>4922</v>
      </c>
      <c r="C4888" s="1" t="s">
        <v>11</v>
      </c>
      <c r="D4888" s="1" t="s">
        <v>11</v>
      </c>
      <c r="E4888" s="1" t="s">
        <v>11</v>
      </c>
    </row>
    <row r="4889" spans="1:5" ht="15.75" customHeight="1">
      <c r="A4889" s="1">
        <v>920110</v>
      </c>
      <c r="B4889" s="1" t="s">
        <v>4923</v>
      </c>
      <c r="C4889" s="1" t="s">
        <v>11</v>
      </c>
      <c r="D4889" s="1" t="s">
        <v>11</v>
      </c>
      <c r="E4889" s="1" t="s">
        <v>11</v>
      </c>
    </row>
    <row r="4890" spans="1:5" ht="15.75" customHeight="1">
      <c r="A4890" s="1">
        <v>920120</v>
      </c>
      <c r="B4890" s="1" t="s">
        <v>4924</v>
      </c>
      <c r="C4890" s="1" t="s">
        <v>11</v>
      </c>
      <c r="D4890" s="1" t="s">
        <v>11</v>
      </c>
      <c r="E4890" s="1" t="s">
        <v>11</v>
      </c>
    </row>
    <row r="4891" spans="1:5" ht="15.75" customHeight="1">
      <c r="A4891" s="1">
        <v>920190</v>
      </c>
      <c r="B4891" s="1" t="s">
        <v>4925</v>
      </c>
      <c r="C4891" s="1" t="s">
        <v>11</v>
      </c>
      <c r="D4891" s="1" t="s">
        <v>11</v>
      </c>
      <c r="E4891" s="1" t="s">
        <v>11</v>
      </c>
    </row>
    <row r="4892" spans="1:5" ht="15.75" customHeight="1">
      <c r="A4892" s="1">
        <v>920210</v>
      </c>
      <c r="B4892" s="1" t="s">
        <v>4926</v>
      </c>
      <c r="C4892" s="1" t="s">
        <v>11</v>
      </c>
      <c r="D4892" s="1" t="s">
        <v>11</v>
      </c>
      <c r="E4892" s="1" t="s">
        <v>11</v>
      </c>
    </row>
    <row r="4893" spans="1:5" ht="15.75" customHeight="1">
      <c r="A4893" s="1">
        <v>920290</v>
      </c>
      <c r="B4893" s="1" t="s">
        <v>4927</v>
      </c>
      <c r="C4893" s="1" t="s">
        <v>11</v>
      </c>
      <c r="D4893" s="1" t="s">
        <v>11</v>
      </c>
      <c r="E4893" s="1" t="s">
        <v>11</v>
      </c>
    </row>
    <row r="4894" spans="1:5" ht="15.75" customHeight="1">
      <c r="A4894" s="1">
        <v>920510</v>
      </c>
      <c r="B4894" s="1" t="s">
        <v>4928</v>
      </c>
      <c r="C4894" s="1" t="s">
        <v>11</v>
      </c>
      <c r="D4894" s="1" t="s">
        <v>11</v>
      </c>
      <c r="E4894" s="1" t="s">
        <v>11</v>
      </c>
    </row>
    <row r="4895" spans="1:5" ht="15.75" customHeight="1">
      <c r="A4895" s="1">
        <v>920590</v>
      </c>
      <c r="B4895" s="1" t="s">
        <v>4929</v>
      </c>
      <c r="C4895" s="1" t="s">
        <v>11</v>
      </c>
      <c r="D4895" s="1" t="s">
        <v>11</v>
      </c>
      <c r="E4895" s="1" t="s">
        <v>11</v>
      </c>
    </row>
    <row r="4896" spans="1:5" ht="15.75" customHeight="1">
      <c r="A4896" s="1">
        <v>920600</v>
      </c>
      <c r="B4896" s="1" t="s">
        <v>4930</v>
      </c>
      <c r="C4896" s="1" t="s">
        <v>11</v>
      </c>
      <c r="D4896" s="1" t="s">
        <v>11</v>
      </c>
      <c r="E4896" s="1" t="s">
        <v>11</v>
      </c>
    </row>
    <row r="4897" spans="1:5" ht="15.75" customHeight="1">
      <c r="A4897" s="1">
        <v>920710</v>
      </c>
      <c r="B4897" s="1" t="s">
        <v>4931</v>
      </c>
      <c r="C4897" s="1" t="s">
        <v>11</v>
      </c>
      <c r="D4897" s="1" t="s">
        <v>11</v>
      </c>
      <c r="E4897" s="1" t="s">
        <v>11</v>
      </c>
    </row>
    <row r="4898" spans="1:5" ht="15.75" customHeight="1">
      <c r="A4898" s="1">
        <v>920790</v>
      </c>
      <c r="B4898" s="1" t="s">
        <v>4932</v>
      </c>
      <c r="C4898" s="1" t="s">
        <v>11</v>
      </c>
      <c r="D4898" s="1" t="s">
        <v>11</v>
      </c>
      <c r="E4898" s="1" t="s">
        <v>11</v>
      </c>
    </row>
    <row r="4899" spans="1:5" ht="15.75" customHeight="1">
      <c r="A4899" s="1">
        <v>920810</v>
      </c>
      <c r="B4899" s="1" t="s">
        <v>4933</v>
      </c>
      <c r="C4899" s="1" t="s">
        <v>11</v>
      </c>
      <c r="D4899" s="1" t="s">
        <v>11</v>
      </c>
      <c r="E4899" s="1" t="s">
        <v>11</v>
      </c>
    </row>
    <row r="4900" spans="1:5" ht="15.75" customHeight="1">
      <c r="A4900" s="1">
        <v>920890</v>
      </c>
      <c r="B4900" s="1" t="s">
        <v>4934</v>
      </c>
      <c r="C4900" s="1" t="s">
        <v>11</v>
      </c>
      <c r="D4900" s="1" t="s">
        <v>11</v>
      </c>
      <c r="E4900" s="1" t="s">
        <v>11</v>
      </c>
    </row>
    <row r="4901" spans="1:5" ht="15.75" customHeight="1">
      <c r="A4901" s="1">
        <v>920930</v>
      </c>
      <c r="B4901" s="1" t="s">
        <v>4935</v>
      </c>
      <c r="C4901" s="1" t="s">
        <v>11</v>
      </c>
      <c r="D4901" s="1" t="s">
        <v>11</v>
      </c>
      <c r="E4901" s="1" t="s">
        <v>11</v>
      </c>
    </row>
    <row r="4902" spans="1:5" ht="15.75" customHeight="1">
      <c r="A4902" s="1">
        <v>920991</v>
      </c>
      <c r="B4902" s="1" t="s">
        <v>4936</v>
      </c>
      <c r="C4902" s="1" t="s">
        <v>11</v>
      </c>
      <c r="D4902" s="1" t="s">
        <v>11</v>
      </c>
      <c r="E4902" s="1" t="s">
        <v>11</v>
      </c>
    </row>
    <row r="4903" spans="1:5" ht="15.75" customHeight="1">
      <c r="A4903" s="1">
        <v>920992</v>
      </c>
      <c r="B4903" s="1" t="s">
        <v>4937</v>
      </c>
      <c r="C4903" s="1" t="s">
        <v>11</v>
      </c>
      <c r="D4903" s="1" t="s">
        <v>11</v>
      </c>
      <c r="E4903" s="1" t="s">
        <v>11</v>
      </c>
    </row>
    <row r="4904" spans="1:5" ht="15.75" customHeight="1">
      <c r="A4904" s="1">
        <v>920994</v>
      </c>
      <c r="B4904" s="1" t="s">
        <v>4938</v>
      </c>
      <c r="C4904" s="1" t="s">
        <v>11</v>
      </c>
      <c r="D4904" s="1" t="s">
        <v>11</v>
      </c>
      <c r="E4904" s="1" t="s">
        <v>11</v>
      </c>
    </row>
    <row r="4905" spans="1:5" ht="15.75" customHeight="1">
      <c r="A4905" s="1">
        <v>920999</v>
      </c>
      <c r="B4905" s="1" t="s">
        <v>4939</v>
      </c>
      <c r="C4905" s="1" t="s">
        <v>11</v>
      </c>
      <c r="D4905" s="1" t="s">
        <v>11</v>
      </c>
      <c r="E4905" s="1" t="s">
        <v>11</v>
      </c>
    </row>
    <row r="4906" spans="1:5" ht="15.75" customHeight="1">
      <c r="A4906" s="1">
        <v>930111</v>
      </c>
      <c r="B4906" s="1" t="s">
        <v>4940</v>
      </c>
      <c r="C4906" s="1" t="s">
        <v>11</v>
      </c>
      <c r="D4906" s="1" t="s">
        <v>11</v>
      </c>
      <c r="E4906" s="1" t="s">
        <v>11</v>
      </c>
    </row>
    <row r="4907" spans="1:5" ht="15.75" customHeight="1">
      <c r="A4907" s="1">
        <v>930119</v>
      </c>
      <c r="B4907" s="1" t="s">
        <v>4941</v>
      </c>
      <c r="C4907" s="1" t="s">
        <v>11</v>
      </c>
      <c r="D4907" s="1" t="s">
        <v>11</v>
      </c>
      <c r="E4907" s="1" t="s">
        <v>11</v>
      </c>
    </row>
    <row r="4908" spans="1:5" ht="15.75" customHeight="1">
      <c r="A4908" s="1">
        <v>930120</v>
      </c>
      <c r="B4908" s="1" t="s">
        <v>4942</v>
      </c>
      <c r="C4908" s="1" t="s">
        <v>11</v>
      </c>
      <c r="D4908" s="1" t="s">
        <v>11</v>
      </c>
      <c r="E4908" s="1" t="s">
        <v>11</v>
      </c>
    </row>
    <row r="4909" spans="1:5" ht="15.75" customHeight="1">
      <c r="A4909" s="1">
        <v>930190</v>
      </c>
      <c r="B4909" s="1" t="s">
        <v>4943</v>
      </c>
      <c r="C4909" s="1" t="s">
        <v>11</v>
      </c>
      <c r="D4909" s="1" t="s">
        <v>11</v>
      </c>
      <c r="E4909" s="1" t="s">
        <v>11</v>
      </c>
    </row>
    <row r="4910" spans="1:5" ht="15.75" customHeight="1">
      <c r="A4910" s="1">
        <v>930200</v>
      </c>
      <c r="B4910" s="1" t="s">
        <v>4944</v>
      </c>
      <c r="C4910" s="1" t="s">
        <v>11</v>
      </c>
      <c r="D4910" s="1" t="s">
        <v>11</v>
      </c>
      <c r="E4910" s="1" t="s">
        <v>11</v>
      </c>
    </row>
    <row r="4911" spans="1:5" ht="15.75" customHeight="1">
      <c r="A4911" s="1">
        <v>930310</v>
      </c>
      <c r="B4911" s="1" t="s">
        <v>4945</v>
      </c>
      <c r="C4911" s="1" t="s">
        <v>11</v>
      </c>
      <c r="D4911" s="1" t="s">
        <v>11</v>
      </c>
      <c r="E4911" s="1" t="s">
        <v>11</v>
      </c>
    </row>
    <row r="4912" spans="1:5" ht="15.75" customHeight="1">
      <c r="A4912" s="1">
        <v>930320</v>
      </c>
      <c r="B4912" s="1" t="s">
        <v>4946</v>
      </c>
      <c r="C4912" s="1" t="s">
        <v>11</v>
      </c>
      <c r="D4912" s="1" t="s">
        <v>11</v>
      </c>
      <c r="E4912" s="1" t="s">
        <v>11</v>
      </c>
    </row>
    <row r="4913" spans="1:5" ht="15.75" customHeight="1">
      <c r="A4913" s="1">
        <v>930330</v>
      </c>
      <c r="B4913" s="1" t="s">
        <v>4947</v>
      </c>
      <c r="C4913" s="1" t="s">
        <v>11</v>
      </c>
      <c r="D4913" s="1" t="s">
        <v>11</v>
      </c>
      <c r="E4913" s="1" t="s">
        <v>11</v>
      </c>
    </row>
    <row r="4914" spans="1:5" ht="15.75" customHeight="1">
      <c r="A4914" s="1">
        <v>930390</v>
      </c>
      <c r="B4914" s="1" t="s">
        <v>4948</v>
      </c>
      <c r="C4914" s="1" t="s">
        <v>11</v>
      </c>
      <c r="D4914" s="1" t="s">
        <v>11</v>
      </c>
      <c r="E4914" s="1" t="s">
        <v>11</v>
      </c>
    </row>
    <row r="4915" spans="1:5" ht="15.75" customHeight="1">
      <c r="A4915" s="1">
        <v>930400</v>
      </c>
      <c r="B4915" s="1" t="s">
        <v>4949</v>
      </c>
      <c r="C4915" s="1" t="s">
        <v>11</v>
      </c>
      <c r="D4915" s="1" t="s">
        <v>11</v>
      </c>
      <c r="E4915" s="1" t="s">
        <v>11</v>
      </c>
    </row>
    <row r="4916" spans="1:5" ht="15.75" customHeight="1">
      <c r="A4916" s="1">
        <v>930510</v>
      </c>
      <c r="B4916" s="1" t="s">
        <v>4950</v>
      </c>
      <c r="C4916" s="1" t="s">
        <v>11</v>
      </c>
      <c r="D4916" s="1" t="s">
        <v>11</v>
      </c>
      <c r="E4916" s="1" t="s">
        <v>11</v>
      </c>
    </row>
    <row r="4917" spans="1:5" ht="15.75" customHeight="1">
      <c r="A4917" s="1">
        <v>930521</v>
      </c>
      <c r="B4917" s="1" t="s">
        <v>4951</v>
      </c>
      <c r="C4917" s="1" t="s">
        <v>11</v>
      </c>
      <c r="D4917" s="1" t="s">
        <v>11</v>
      </c>
      <c r="E4917" s="1" t="s">
        <v>11</v>
      </c>
    </row>
    <row r="4918" spans="1:5" ht="15.75" customHeight="1">
      <c r="A4918" s="1">
        <v>930529</v>
      </c>
      <c r="B4918" s="1" t="s">
        <v>4952</v>
      </c>
      <c r="C4918" s="1" t="s">
        <v>11</v>
      </c>
      <c r="D4918" s="1" t="s">
        <v>11</v>
      </c>
      <c r="E4918" s="1" t="s">
        <v>11</v>
      </c>
    </row>
    <row r="4919" spans="1:5" ht="15.75" customHeight="1">
      <c r="A4919" s="1">
        <v>930591</v>
      </c>
      <c r="B4919" s="1" t="s">
        <v>4953</v>
      </c>
      <c r="C4919" s="1" t="s">
        <v>11</v>
      </c>
      <c r="D4919" s="1" t="s">
        <v>11</v>
      </c>
      <c r="E4919" s="1" t="s">
        <v>11</v>
      </c>
    </row>
    <row r="4920" spans="1:5" ht="15.75" customHeight="1">
      <c r="A4920" s="1">
        <v>930599</v>
      </c>
      <c r="B4920" s="1" t="s">
        <v>4954</v>
      </c>
      <c r="C4920" s="1" t="s">
        <v>11</v>
      </c>
      <c r="D4920" s="1" t="s">
        <v>11</v>
      </c>
      <c r="E4920" s="1" t="s">
        <v>11</v>
      </c>
    </row>
    <row r="4921" spans="1:5" ht="15.75" customHeight="1">
      <c r="A4921" s="1">
        <v>930621</v>
      </c>
      <c r="B4921" s="1" t="s">
        <v>4955</v>
      </c>
      <c r="C4921" s="1" t="s">
        <v>11</v>
      </c>
      <c r="D4921" s="1" t="s">
        <v>11</v>
      </c>
      <c r="E4921" s="1" t="s">
        <v>11</v>
      </c>
    </row>
    <row r="4922" spans="1:5" ht="15.75" customHeight="1">
      <c r="A4922" s="1">
        <v>930629</v>
      </c>
      <c r="B4922" s="1" t="s">
        <v>4956</v>
      </c>
      <c r="C4922" s="1" t="s">
        <v>11</v>
      </c>
      <c r="D4922" s="1" t="s">
        <v>11</v>
      </c>
      <c r="E4922" s="1" t="s">
        <v>11</v>
      </c>
    </row>
    <row r="4923" spans="1:5" ht="15.75" customHeight="1">
      <c r="A4923" s="1">
        <v>930630</v>
      </c>
      <c r="B4923" s="1" t="s">
        <v>4957</v>
      </c>
      <c r="C4923" s="1" t="s">
        <v>11</v>
      </c>
      <c r="D4923" s="1" t="s">
        <v>11</v>
      </c>
      <c r="E4923" s="1" t="s">
        <v>11</v>
      </c>
    </row>
    <row r="4924" spans="1:5" ht="15.75" customHeight="1">
      <c r="A4924" s="1">
        <v>930690</v>
      </c>
      <c r="B4924" s="1" t="s">
        <v>4958</v>
      </c>
      <c r="C4924" s="1" t="s">
        <v>11</v>
      </c>
      <c r="D4924" s="1" t="s">
        <v>11</v>
      </c>
      <c r="E4924" s="1" t="s">
        <v>11</v>
      </c>
    </row>
    <row r="4925" spans="1:5" ht="15.75" customHeight="1">
      <c r="A4925" s="1">
        <v>930700</v>
      </c>
      <c r="B4925" s="1" t="s">
        <v>4959</v>
      </c>
      <c r="C4925" s="1" t="s">
        <v>11</v>
      </c>
      <c r="D4925" s="1" t="s">
        <v>11</v>
      </c>
      <c r="E4925" s="1" t="s">
        <v>11</v>
      </c>
    </row>
    <row r="4926" spans="1:5" ht="15.75" customHeight="1">
      <c r="A4926" s="1">
        <v>940110</v>
      </c>
      <c r="B4926" s="1" t="s">
        <v>4960</v>
      </c>
      <c r="C4926" s="1" t="s">
        <v>11</v>
      </c>
      <c r="D4926" s="1" t="s">
        <v>11</v>
      </c>
      <c r="E4926" s="1" t="s">
        <v>11</v>
      </c>
    </row>
    <row r="4927" spans="1:5" ht="15.75" customHeight="1">
      <c r="A4927" s="1">
        <v>940120</v>
      </c>
      <c r="B4927" s="1" t="s">
        <v>4961</v>
      </c>
      <c r="C4927" s="1" t="s">
        <v>11</v>
      </c>
      <c r="D4927" s="1" t="s">
        <v>11</v>
      </c>
      <c r="E4927" s="1" t="s">
        <v>11</v>
      </c>
    </row>
    <row r="4928" spans="1:5" ht="15.75" customHeight="1">
      <c r="A4928" s="1">
        <v>940130</v>
      </c>
      <c r="B4928" s="1" t="s">
        <v>4962</v>
      </c>
      <c r="C4928" s="1" t="s">
        <v>11</v>
      </c>
      <c r="D4928" s="1" t="s">
        <v>11</v>
      </c>
      <c r="E4928" s="1" t="s">
        <v>11</v>
      </c>
    </row>
    <row r="4929" spans="1:17" ht="15.75" customHeight="1">
      <c r="A4929" s="1">
        <v>940140</v>
      </c>
      <c r="B4929" s="1" t="s">
        <v>4963</v>
      </c>
      <c r="C4929" s="1" t="s">
        <v>11</v>
      </c>
      <c r="D4929" s="1" t="s">
        <v>11</v>
      </c>
      <c r="E4929" s="1" t="s">
        <v>11</v>
      </c>
    </row>
    <row r="4930" spans="1:17" ht="15.75" customHeight="1">
      <c r="A4930" s="1">
        <v>940151</v>
      </c>
      <c r="B4930" s="1" t="s">
        <v>4964</v>
      </c>
      <c r="C4930" s="1" t="s">
        <v>11</v>
      </c>
      <c r="D4930" s="1" t="s">
        <v>11</v>
      </c>
      <c r="E4930" s="1" t="s">
        <v>11</v>
      </c>
    </row>
    <row r="4931" spans="1:17" ht="15.75" customHeight="1">
      <c r="A4931" s="1">
        <v>940159</v>
      </c>
      <c r="B4931" s="1" t="s">
        <v>4965</v>
      </c>
      <c r="C4931" s="1" t="s">
        <v>11</v>
      </c>
      <c r="D4931" s="1" t="s">
        <v>11</v>
      </c>
      <c r="E4931" s="1" t="s">
        <v>11</v>
      </c>
    </row>
    <row r="4932" spans="1:17" ht="15.75" customHeight="1">
      <c r="A4932" s="1">
        <v>940161</v>
      </c>
      <c r="B4932" s="1" t="s">
        <v>4966</v>
      </c>
      <c r="C4932" s="1" t="s">
        <v>11</v>
      </c>
      <c r="D4932" s="1" t="s">
        <v>11</v>
      </c>
      <c r="E4932" s="1" t="s">
        <v>11</v>
      </c>
    </row>
    <row r="4933" spans="1:17" ht="15.75" customHeight="1">
      <c r="A4933" s="1">
        <v>940169</v>
      </c>
      <c r="B4933" s="1" t="s">
        <v>4967</v>
      </c>
      <c r="C4933" s="1" t="s">
        <v>11</v>
      </c>
      <c r="D4933" s="1" t="s">
        <v>11</v>
      </c>
      <c r="E4933" s="1" t="s">
        <v>11</v>
      </c>
    </row>
    <row r="4934" spans="1:17" ht="15.75" customHeight="1">
      <c r="A4934" s="1">
        <v>940171</v>
      </c>
      <c r="B4934" s="1" t="s">
        <v>4968</v>
      </c>
      <c r="C4934" s="1" t="s">
        <v>11</v>
      </c>
      <c r="D4934" s="1" t="s">
        <v>11</v>
      </c>
      <c r="E4934" s="1" t="s">
        <v>11</v>
      </c>
    </row>
    <row r="4935" spans="1:17" ht="15.75" customHeight="1">
      <c r="A4935" s="1">
        <v>940179</v>
      </c>
      <c r="B4935" s="1" t="s">
        <v>4969</v>
      </c>
      <c r="C4935" s="1" t="s">
        <v>11</v>
      </c>
      <c r="D4935" s="1" t="s">
        <v>11</v>
      </c>
      <c r="E4935" s="1" t="s">
        <v>11</v>
      </c>
    </row>
    <row r="4936" spans="1:17" ht="15.75" customHeight="1">
      <c r="A4936" s="1">
        <v>940180</v>
      </c>
      <c r="B4936" s="1" t="s">
        <v>4970</v>
      </c>
      <c r="C4936" s="1" t="s">
        <v>11</v>
      </c>
      <c r="D4936" s="1" t="s">
        <v>11</v>
      </c>
      <c r="E4936" s="1" t="s">
        <v>11</v>
      </c>
    </row>
    <row r="4937" spans="1:17" ht="15.75" customHeight="1">
      <c r="A4937" s="1">
        <v>940190</v>
      </c>
      <c r="B4937" s="1" t="s">
        <v>4971</v>
      </c>
      <c r="C4937" s="1" t="s">
        <v>11</v>
      </c>
      <c r="D4937" s="1" t="s">
        <v>11</v>
      </c>
      <c r="E4937" s="1" t="s">
        <v>11</v>
      </c>
    </row>
    <row r="4938" spans="1:17" ht="15.75" customHeight="1">
      <c r="A4938" s="1">
        <v>940210</v>
      </c>
      <c r="B4938" s="1" t="s">
        <v>4972</v>
      </c>
      <c r="C4938" s="1" t="s">
        <v>11</v>
      </c>
      <c r="D4938" s="1" t="s">
        <v>11</v>
      </c>
      <c r="E4938" s="1" t="s">
        <v>11</v>
      </c>
      <c r="H4938" s="1" t="s">
        <v>4973</v>
      </c>
    </row>
    <row r="4939" spans="1:17" ht="15.75" customHeight="1">
      <c r="A4939" s="8">
        <v>940290</v>
      </c>
      <c r="B4939" s="8" t="s">
        <v>4974</v>
      </c>
      <c r="C4939" s="8">
        <v>1</v>
      </c>
      <c r="D4939" s="8" t="s">
        <v>1418</v>
      </c>
      <c r="E4939" s="8" t="s">
        <v>1418</v>
      </c>
      <c r="F4939" s="8"/>
      <c r="G4939" s="9" t="s">
        <v>1378</v>
      </c>
      <c r="H4939" s="8" t="s">
        <v>4975</v>
      </c>
      <c r="I4939" s="8"/>
      <c r="J4939" s="10"/>
      <c r="K4939" s="10"/>
      <c r="L4939" s="10"/>
      <c r="M4939" s="10"/>
      <c r="N4939" s="10"/>
      <c r="O4939" s="10"/>
      <c r="P4939" s="10"/>
      <c r="Q4939" s="10"/>
    </row>
    <row r="4940" spans="1:17" ht="15.75" customHeight="1">
      <c r="A4940" s="1">
        <v>940310</v>
      </c>
      <c r="B4940" s="1" t="s">
        <v>4976</v>
      </c>
      <c r="C4940" s="1" t="s">
        <v>11</v>
      </c>
      <c r="D4940" s="1" t="s">
        <v>11</v>
      </c>
      <c r="E4940" s="1" t="s">
        <v>11</v>
      </c>
    </row>
    <row r="4941" spans="1:17" ht="15.75" customHeight="1">
      <c r="A4941" s="1">
        <v>940320</v>
      </c>
      <c r="B4941" s="1" t="s">
        <v>4977</v>
      </c>
      <c r="C4941" s="1" t="s">
        <v>11</v>
      </c>
      <c r="D4941" s="1" t="s">
        <v>11</v>
      </c>
      <c r="E4941" s="1" t="s">
        <v>11</v>
      </c>
    </row>
    <row r="4942" spans="1:17" ht="15.75" customHeight="1">
      <c r="A4942" s="1">
        <v>940330</v>
      </c>
      <c r="B4942" s="1" t="s">
        <v>4978</v>
      </c>
      <c r="C4942" s="1" t="s">
        <v>11</v>
      </c>
      <c r="D4942" s="1" t="s">
        <v>11</v>
      </c>
      <c r="E4942" s="1" t="s">
        <v>11</v>
      </c>
    </row>
    <row r="4943" spans="1:17" ht="15.75" customHeight="1">
      <c r="A4943" s="1">
        <v>940340</v>
      </c>
      <c r="B4943" s="1" t="s">
        <v>4979</v>
      </c>
      <c r="C4943" s="1" t="s">
        <v>11</v>
      </c>
      <c r="D4943" s="1" t="s">
        <v>11</v>
      </c>
      <c r="E4943" s="1" t="s">
        <v>11</v>
      </c>
    </row>
    <row r="4944" spans="1:17" ht="15.75" customHeight="1">
      <c r="A4944" s="1">
        <v>940350</v>
      </c>
      <c r="B4944" s="1" t="s">
        <v>4980</v>
      </c>
      <c r="C4944" s="1" t="s">
        <v>11</v>
      </c>
      <c r="D4944" s="1" t="s">
        <v>11</v>
      </c>
      <c r="E4944" s="1" t="s">
        <v>11</v>
      </c>
    </row>
    <row r="4945" spans="1:5" ht="15.75" customHeight="1">
      <c r="A4945" s="1">
        <v>940360</v>
      </c>
      <c r="B4945" s="1" t="s">
        <v>4981</v>
      </c>
      <c r="C4945" s="1" t="s">
        <v>11</v>
      </c>
      <c r="D4945" s="1" t="s">
        <v>11</v>
      </c>
      <c r="E4945" s="1" t="s">
        <v>11</v>
      </c>
    </row>
    <row r="4946" spans="1:5" ht="15.75" customHeight="1">
      <c r="A4946" s="1">
        <v>940370</v>
      </c>
      <c r="B4946" s="1" t="s">
        <v>4982</v>
      </c>
      <c r="C4946" s="1" t="s">
        <v>11</v>
      </c>
      <c r="D4946" s="1" t="s">
        <v>11</v>
      </c>
      <c r="E4946" s="1" t="s">
        <v>11</v>
      </c>
    </row>
    <row r="4947" spans="1:5" ht="15.75" customHeight="1">
      <c r="A4947" s="1">
        <v>940381</v>
      </c>
      <c r="B4947" s="1" t="s">
        <v>4983</v>
      </c>
      <c r="C4947" s="1" t="s">
        <v>11</v>
      </c>
      <c r="D4947" s="1" t="s">
        <v>11</v>
      </c>
      <c r="E4947" s="1" t="s">
        <v>11</v>
      </c>
    </row>
    <row r="4948" spans="1:5" ht="15.75" customHeight="1">
      <c r="A4948" s="1">
        <v>940389</v>
      </c>
      <c r="B4948" s="1" t="s">
        <v>4984</v>
      </c>
      <c r="C4948" s="1" t="s">
        <v>11</v>
      </c>
      <c r="D4948" s="1" t="s">
        <v>11</v>
      </c>
      <c r="E4948" s="1" t="s">
        <v>11</v>
      </c>
    </row>
    <row r="4949" spans="1:5" ht="15.75" customHeight="1">
      <c r="A4949" s="1">
        <v>940390</v>
      </c>
      <c r="B4949" s="1" t="s">
        <v>4985</v>
      </c>
      <c r="C4949" s="1" t="s">
        <v>11</v>
      </c>
      <c r="D4949" s="1" t="s">
        <v>11</v>
      </c>
      <c r="E4949" s="1" t="s">
        <v>11</v>
      </c>
    </row>
    <row r="4950" spans="1:5" ht="15.75" customHeight="1">
      <c r="A4950" s="1">
        <v>940410</v>
      </c>
      <c r="B4950" s="1" t="s">
        <v>4986</v>
      </c>
      <c r="C4950" s="1" t="s">
        <v>11</v>
      </c>
      <c r="D4950" s="1" t="s">
        <v>11</v>
      </c>
      <c r="E4950" s="1" t="s">
        <v>11</v>
      </c>
    </row>
    <row r="4951" spans="1:5" ht="15.75" customHeight="1">
      <c r="A4951" s="1">
        <v>940421</v>
      </c>
      <c r="B4951" s="1" t="s">
        <v>4987</v>
      </c>
      <c r="C4951" s="1" t="s">
        <v>11</v>
      </c>
      <c r="D4951" s="1" t="s">
        <v>11</v>
      </c>
      <c r="E4951" s="1" t="s">
        <v>11</v>
      </c>
    </row>
    <row r="4952" spans="1:5" ht="15.75" customHeight="1">
      <c r="A4952" s="1">
        <v>940429</v>
      </c>
      <c r="B4952" s="1" t="s">
        <v>4988</v>
      </c>
      <c r="C4952" s="1" t="s">
        <v>11</v>
      </c>
      <c r="D4952" s="1" t="s">
        <v>11</v>
      </c>
      <c r="E4952" s="1" t="s">
        <v>11</v>
      </c>
    </row>
    <row r="4953" spans="1:5" ht="15.75" customHeight="1">
      <c r="A4953" s="1">
        <v>940430</v>
      </c>
      <c r="B4953" s="1" t="s">
        <v>4989</v>
      </c>
      <c r="C4953" s="1" t="s">
        <v>11</v>
      </c>
      <c r="D4953" s="1" t="s">
        <v>11</v>
      </c>
      <c r="E4953" s="1" t="s">
        <v>11</v>
      </c>
    </row>
    <row r="4954" spans="1:5" ht="15.75" customHeight="1">
      <c r="A4954" s="1">
        <v>940490</v>
      </c>
      <c r="B4954" s="1" t="s">
        <v>4990</v>
      </c>
      <c r="C4954" s="1" t="s">
        <v>11</v>
      </c>
      <c r="D4954" s="1" t="s">
        <v>11</v>
      </c>
      <c r="E4954" s="1" t="s">
        <v>11</v>
      </c>
    </row>
    <row r="4955" spans="1:5" ht="15.75" customHeight="1">
      <c r="A4955" s="1">
        <v>940510</v>
      </c>
      <c r="B4955" s="1" t="s">
        <v>4991</v>
      </c>
      <c r="C4955" s="1" t="s">
        <v>11</v>
      </c>
      <c r="D4955" s="1" t="s">
        <v>11</v>
      </c>
      <c r="E4955" s="1" t="s">
        <v>11</v>
      </c>
    </row>
    <row r="4956" spans="1:5" ht="15.75" customHeight="1">
      <c r="A4956" s="1">
        <v>940520</v>
      </c>
      <c r="B4956" s="1" t="s">
        <v>4992</v>
      </c>
      <c r="C4956" s="1" t="s">
        <v>11</v>
      </c>
      <c r="D4956" s="1" t="s">
        <v>11</v>
      </c>
      <c r="E4956" s="1" t="s">
        <v>11</v>
      </c>
    </row>
    <row r="4957" spans="1:5" ht="15.75" customHeight="1">
      <c r="A4957" s="1">
        <v>940530</v>
      </c>
      <c r="B4957" s="1" t="s">
        <v>4993</v>
      </c>
      <c r="C4957" s="1" t="s">
        <v>11</v>
      </c>
      <c r="D4957" s="1" t="s">
        <v>11</v>
      </c>
      <c r="E4957" s="1" t="s">
        <v>11</v>
      </c>
    </row>
    <row r="4958" spans="1:5" ht="15.75" customHeight="1">
      <c r="A4958" s="1">
        <v>940540</v>
      </c>
      <c r="B4958" s="1" t="s">
        <v>4994</v>
      </c>
      <c r="C4958" s="1" t="s">
        <v>11</v>
      </c>
      <c r="D4958" s="1" t="s">
        <v>11</v>
      </c>
      <c r="E4958" s="1" t="s">
        <v>11</v>
      </c>
    </row>
    <row r="4959" spans="1:5" ht="15.75" customHeight="1">
      <c r="A4959" s="1">
        <v>940550</v>
      </c>
      <c r="B4959" s="1" t="s">
        <v>4995</v>
      </c>
      <c r="C4959" s="1" t="s">
        <v>11</v>
      </c>
      <c r="D4959" s="1" t="s">
        <v>11</v>
      </c>
      <c r="E4959" s="1" t="s">
        <v>11</v>
      </c>
    </row>
    <row r="4960" spans="1:5" ht="15.75" customHeight="1">
      <c r="A4960" s="1">
        <v>940560</v>
      </c>
      <c r="B4960" s="1" t="s">
        <v>4996</v>
      </c>
      <c r="C4960" s="1" t="s">
        <v>11</v>
      </c>
      <c r="D4960" s="1" t="s">
        <v>11</v>
      </c>
      <c r="E4960" s="1" t="s">
        <v>11</v>
      </c>
    </row>
    <row r="4961" spans="1:5" ht="15.75" customHeight="1">
      <c r="A4961" s="1">
        <v>940591</v>
      </c>
      <c r="B4961" s="1" t="s">
        <v>4997</v>
      </c>
      <c r="C4961" s="1" t="s">
        <v>11</v>
      </c>
      <c r="D4961" s="1" t="s">
        <v>11</v>
      </c>
      <c r="E4961" s="1" t="s">
        <v>11</v>
      </c>
    </row>
    <row r="4962" spans="1:5" ht="15.75" customHeight="1">
      <c r="A4962" s="1">
        <v>940592</v>
      </c>
      <c r="B4962" s="1" t="s">
        <v>4998</v>
      </c>
      <c r="C4962" s="1" t="s">
        <v>11</v>
      </c>
      <c r="D4962" s="1" t="s">
        <v>11</v>
      </c>
      <c r="E4962" s="1" t="s">
        <v>11</v>
      </c>
    </row>
    <row r="4963" spans="1:5" ht="15.75" customHeight="1">
      <c r="A4963" s="1">
        <v>940599</v>
      </c>
      <c r="B4963" s="1" t="s">
        <v>4999</v>
      </c>
      <c r="C4963" s="1" t="s">
        <v>11</v>
      </c>
      <c r="D4963" s="1" t="s">
        <v>11</v>
      </c>
      <c r="E4963" s="1" t="s">
        <v>11</v>
      </c>
    </row>
    <row r="4964" spans="1:5" ht="15.75" customHeight="1">
      <c r="A4964" s="1">
        <v>940600</v>
      </c>
      <c r="B4964" s="1" t="s">
        <v>5000</v>
      </c>
      <c r="C4964" s="1" t="s">
        <v>11</v>
      </c>
      <c r="D4964" s="1" t="s">
        <v>11</v>
      </c>
      <c r="E4964" s="1" t="s">
        <v>11</v>
      </c>
    </row>
    <row r="4965" spans="1:5" ht="15.75" customHeight="1">
      <c r="A4965" s="1">
        <v>950300</v>
      </c>
      <c r="B4965" s="1" t="s">
        <v>5001</v>
      </c>
      <c r="C4965" s="1" t="s">
        <v>11</v>
      </c>
      <c r="D4965" s="1" t="s">
        <v>11</v>
      </c>
      <c r="E4965" s="1" t="s">
        <v>11</v>
      </c>
    </row>
    <row r="4966" spans="1:5" ht="15.75" customHeight="1">
      <c r="A4966" s="1">
        <v>950410</v>
      </c>
      <c r="B4966" s="1" t="s">
        <v>5002</v>
      </c>
      <c r="C4966" s="1" t="s">
        <v>11</v>
      </c>
      <c r="D4966" s="1" t="s">
        <v>11</v>
      </c>
      <c r="E4966" s="1" t="s">
        <v>11</v>
      </c>
    </row>
    <row r="4967" spans="1:5" ht="15.75" customHeight="1">
      <c r="A4967" s="1">
        <v>950420</v>
      </c>
      <c r="B4967" s="1" t="s">
        <v>5003</v>
      </c>
      <c r="C4967" s="1" t="s">
        <v>11</v>
      </c>
      <c r="D4967" s="1" t="s">
        <v>11</v>
      </c>
      <c r="E4967" s="1" t="s">
        <v>11</v>
      </c>
    </row>
    <row r="4968" spans="1:5" ht="15.75" customHeight="1">
      <c r="A4968" s="1">
        <v>950430</v>
      </c>
      <c r="B4968" s="1" t="s">
        <v>5004</v>
      </c>
      <c r="C4968" s="1" t="s">
        <v>11</v>
      </c>
      <c r="D4968" s="1" t="s">
        <v>11</v>
      </c>
      <c r="E4968" s="1" t="s">
        <v>11</v>
      </c>
    </row>
    <row r="4969" spans="1:5" ht="15.75" customHeight="1">
      <c r="A4969" s="1">
        <v>950440</v>
      </c>
      <c r="B4969" s="1" t="s">
        <v>5005</v>
      </c>
      <c r="C4969" s="1" t="s">
        <v>11</v>
      </c>
      <c r="D4969" s="1" t="s">
        <v>11</v>
      </c>
      <c r="E4969" s="1" t="s">
        <v>11</v>
      </c>
    </row>
    <row r="4970" spans="1:5" ht="15.75" customHeight="1">
      <c r="A4970" s="1">
        <v>950490</v>
      </c>
      <c r="B4970" s="1" t="s">
        <v>5006</v>
      </c>
      <c r="C4970" s="1" t="s">
        <v>11</v>
      </c>
      <c r="D4970" s="1" t="s">
        <v>11</v>
      </c>
      <c r="E4970" s="1" t="s">
        <v>11</v>
      </c>
    </row>
    <row r="4971" spans="1:5" ht="15.75" customHeight="1">
      <c r="A4971" s="1">
        <v>950510</v>
      </c>
      <c r="B4971" s="1" t="s">
        <v>5007</v>
      </c>
      <c r="C4971" s="1" t="s">
        <v>11</v>
      </c>
      <c r="D4971" s="1" t="s">
        <v>11</v>
      </c>
      <c r="E4971" s="1" t="s">
        <v>11</v>
      </c>
    </row>
    <row r="4972" spans="1:5" ht="15.75" customHeight="1">
      <c r="A4972" s="1">
        <v>950590</v>
      </c>
      <c r="B4972" s="1" t="s">
        <v>5008</v>
      </c>
      <c r="C4972" s="1" t="s">
        <v>11</v>
      </c>
      <c r="D4972" s="1" t="s">
        <v>11</v>
      </c>
      <c r="E4972" s="1" t="s">
        <v>11</v>
      </c>
    </row>
    <row r="4973" spans="1:5" ht="15.75" customHeight="1">
      <c r="A4973" s="1">
        <v>950611</v>
      </c>
      <c r="B4973" s="1" t="s">
        <v>5009</v>
      </c>
      <c r="C4973" s="1" t="s">
        <v>11</v>
      </c>
      <c r="D4973" s="1" t="s">
        <v>11</v>
      </c>
      <c r="E4973" s="1" t="s">
        <v>11</v>
      </c>
    </row>
    <row r="4974" spans="1:5" ht="15.75" customHeight="1">
      <c r="A4974" s="1">
        <v>950612</v>
      </c>
      <c r="B4974" s="1" t="s">
        <v>5010</v>
      </c>
      <c r="C4974" s="1" t="s">
        <v>11</v>
      </c>
      <c r="D4974" s="1" t="s">
        <v>11</v>
      </c>
      <c r="E4974" s="1" t="s">
        <v>11</v>
      </c>
    </row>
    <row r="4975" spans="1:5" ht="15.75" customHeight="1">
      <c r="A4975" s="1">
        <v>950619</v>
      </c>
      <c r="B4975" s="1" t="s">
        <v>5011</v>
      </c>
      <c r="C4975" s="1" t="s">
        <v>11</v>
      </c>
      <c r="D4975" s="1" t="s">
        <v>11</v>
      </c>
      <c r="E4975" s="1" t="s">
        <v>11</v>
      </c>
    </row>
    <row r="4976" spans="1:5" ht="15.75" customHeight="1">
      <c r="A4976" s="1">
        <v>950621</v>
      </c>
      <c r="B4976" s="1" t="s">
        <v>5012</v>
      </c>
      <c r="C4976" s="1" t="s">
        <v>11</v>
      </c>
      <c r="D4976" s="1" t="s">
        <v>11</v>
      </c>
      <c r="E4976" s="1" t="s">
        <v>11</v>
      </c>
    </row>
    <row r="4977" spans="1:5" ht="15.75" customHeight="1">
      <c r="A4977" s="1">
        <v>950629</v>
      </c>
      <c r="B4977" s="1" t="s">
        <v>5013</v>
      </c>
      <c r="C4977" s="1" t="s">
        <v>11</v>
      </c>
      <c r="D4977" s="1" t="s">
        <v>11</v>
      </c>
      <c r="E4977" s="1" t="s">
        <v>11</v>
      </c>
    </row>
    <row r="4978" spans="1:5" ht="15.75" customHeight="1">
      <c r="A4978" s="1">
        <v>950631</v>
      </c>
      <c r="B4978" s="1" t="s">
        <v>5014</v>
      </c>
      <c r="C4978" s="1" t="s">
        <v>11</v>
      </c>
      <c r="D4978" s="1" t="s">
        <v>11</v>
      </c>
      <c r="E4978" s="1" t="s">
        <v>11</v>
      </c>
    </row>
    <row r="4979" spans="1:5" ht="15.75" customHeight="1">
      <c r="A4979" s="1">
        <v>950632</v>
      </c>
      <c r="B4979" s="1" t="s">
        <v>5015</v>
      </c>
      <c r="C4979" s="1" t="s">
        <v>11</v>
      </c>
      <c r="D4979" s="1" t="s">
        <v>11</v>
      </c>
      <c r="E4979" s="1" t="s">
        <v>11</v>
      </c>
    </row>
    <row r="4980" spans="1:5" ht="15.75" customHeight="1">
      <c r="A4980" s="1">
        <v>950639</v>
      </c>
      <c r="B4980" s="1" t="s">
        <v>5016</v>
      </c>
      <c r="C4980" s="1" t="s">
        <v>11</v>
      </c>
      <c r="D4980" s="1" t="s">
        <v>11</v>
      </c>
      <c r="E4980" s="1" t="s">
        <v>11</v>
      </c>
    </row>
    <row r="4981" spans="1:5" ht="15.75" customHeight="1">
      <c r="A4981" s="1">
        <v>950640</v>
      </c>
      <c r="B4981" s="1" t="s">
        <v>5017</v>
      </c>
      <c r="C4981" s="1" t="s">
        <v>11</v>
      </c>
      <c r="D4981" s="1" t="s">
        <v>11</v>
      </c>
      <c r="E4981" s="1" t="s">
        <v>11</v>
      </c>
    </row>
    <row r="4982" spans="1:5" ht="15.75" customHeight="1">
      <c r="A4982" s="1">
        <v>950651</v>
      </c>
      <c r="B4982" s="1" t="s">
        <v>5018</v>
      </c>
      <c r="C4982" s="1" t="s">
        <v>11</v>
      </c>
      <c r="D4982" s="1" t="s">
        <v>11</v>
      </c>
      <c r="E4982" s="1" t="s">
        <v>11</v>
      </c>
    </row>
    <row r="4983" spans="1:5" ht="15.75" customHeight="1">
      <c r="A4983" s="1">
        <v>950659</v>
      </c>
      <c r="B4983" s="1" t="s">
        <v>5019</v>
      </c>
      <c r="C4983" s="1" t="s">
        <v>11</v>
      </c>
      <c r="D4983" s="1" t="s">
        <v>11</v>
      </c>
      <c r="E4983" s="1" t="s">
        <v>11</v>
      </c>
    </row>
    <row r="4984" spans="1:5" ht="15.75" customHeight="1">
      <c r="A4984" s="1">
        <v>950661</v>
      </c>
      <c r="B4984" s="1" t="s">
        <v>5020</v>
      </c>
      <c r="C4984" s="1" t="s">
        <v>11</v>
      </c>
      <c r="D4984" s="1" t="s">
        <v>11</v>
      </c>
      <c r="E4984" s="1" t="s">
        <v>11</v>
      </c>
    </row>
    <row r="4985" spans="1:5" ht="15.75" customHeight="1">
      <c r="A4985" s="1">
        <v>950662</v>
      </c>
      <c r="B4985" s="1" t="s">
        <v>5021</v>
      </c>
      <c r="C4985" s="1" t="s">
        <v>11</v>
      </c>
      <c r="D4985" s="1" t="s">
        <v>11</v>
      </c>
      <c r="E4985" s="1" t="s">
        <v>11</v>
      </c>
    </row>
    <row r="4986" spans="1:5" ht="15.75" customHeight="1">
      <c r="A4986" s="1">
        <v>950669</v>
      </c>
      <c r="B4986" s="1" t="s">
        <v>5022</v>
      </c>
      <c r="C4986" s="1" t="s">
        <v>11</v>
      </c>
      <c r="D4986" s="1" t="s">
        <v>11</v>
      </c>
      <c r="E4986" s="1" t="s">
        <v>11</v>
      </c>
    </row>
    <row r="4987" spans="1:5" ht="15.75" customHeight="1">
      <c r="A4987" s="1">
        <v>950670</v>
      </c>
      <c r="B4987" s="1" t="s">
        <v>5023</v>
      </c>
      <c r="C4987" s="1" t="s">
        <v>11</v>
      </c>
      <c r="D4987" s="1" t="s">
        <v>11</v>
      </c>
      <c r="E4987" s="1" t="s">
        <v>11</v>
      </c>
    </row>
    <row r="4988" spans="1:5" ht="15.75" customHeight="1">
      <c r="A4988" s="1">
        <v>950691</v>
      </c>
      <c r="B4988" s="1" t="s">
        <v>5024</v>
      </c>
      <c r="C4988" s="1" t="s">
        <v>11</v>
      </c>
      <c r="D4988" s="1" t="s">
        <v>11</v>
      </c>
      <c r="E4988" s="1" t="s">
        <v>11</v>
      </c>
    </row>
    <row r="4989" spans="1:5" ht="15.75" customHeight="1">
      <c r="A4989" s="1">
        <v>950699</v>
      </c>
      <c r="B4989" s="1" t="s">
        <v>5025</v>
      </c>
      <c r="C4989" s="1" t="s">
        <v>11</v>
      </c>
      <c r="D4989" s="1" t="s">
        <v>11</v>
      </c>
      <c r="E4989" s="1" t="s">
        <v>11</v>
      </c>
    </row>
    <row r="4990" spans="1:5" ht="15.75" customHeight="1">
      <c r="A4990" s="1">
        <v>950710</v>
      </c>
      <c r="B4990" s="1" t="s">
        <v>5026</v>
      </c>
      <c r="C4990" s="1" t="s">
        <v>11</v>
      </c>
      <c r="D4990" s="1" t="s">
        <v>11</v>
      </c>
      <c r="E4990" s="1" t="s">
        <v>11</v>
      </c>
    </row>
    <row r="4991" spans="1:5" ht="15.75" customHeight="1">
      <c r="A4991" s="1">
        <v>950720</v>
      </c>
      <c r="B4991" s="1" t="s">
        <v>5027</v>
      </c>
      <c r="C4991" s="1" t="s">
        <v>11</v>
      </c>
      <c r="D4991" s="1" t="s">
        <v>11</v>
      </c>
      <c r="E4991" s="1" t="s">
        <v>11</v>
      </c>
    </row>
    <row r="4992" spans="1:5" ht="15.75" customHeight="1">
      <c r="A4992" s="1">
        <v>950730</v>
      </c>
      <c r="B4992" s="1" t="s">
        <v>5028</v>
      </c>
      <c r="C4992" s="1" t="s">
        <v>11</v>
      </c>
      <c r="D4992" s="1" t="s">
        <v>11</v>
      </c>
      <c r="E4992" s="1" t="s">
        <v>11</v>
      </c>
    </row>
    <row r="4993" spans="1:5" ht="15.75" customHeight="1">
      <c r="A4993" s="1">
        <v>950790</v>
      </c>
      <c r="B4993" s="1" t="s">
        <v>5029</v>
      </c>
      <c r="C4993" s="1" t="s">
        <v>11</v>
      </c>
      <c r="D4993" s="1" t="s">
        <v>11</v>
      </c>
      <c r="E4993" s="1" t="s">
        <v>11</v>
      </c>
    </row>
    <row r="4994" spans="1:5" ht="15.75" customHeight="1">
      <c r="A4994" s="1">
        <v>950810</v>
      </c>
      <c r="B4994" s="1" t="s">
        <v>5030</v>
      </c>
      <c r="C4994" s="1" t="s">
        <v>11</v>
      </c>
      <c r="D4994" s="1" t="s">
        <v>11</v>
      </c>
      <c r="E4994" s="1" t="s">
        <v>11</v>
      </c>
    </row>
    <row r="4995" spans="1:5" ht="15.75" customHeight="1">
      <c r="A4995" s="1">
        <v>950890</v>
      </c>
      <c r="B4995" s="1" t="s">
        <v>5031</v>
      </c>
      <c r="C4995" s="1" t="s">
        <v>11</v>
      </c>
      <c r="D4995" s="1" t="s">
        <v>11</v>
      </c>
      <c r="E4995" s="1" t="s">
        <v>11</v>
      </c>
    </row>
    <row r="4996" spans="1:5" ht="15.75" customHeight="1">
      <c r="A4996" s="1">
        <v>960110</v>
      </c>
      <c r="B4996" s="1" t="s">
        <v>5032</v>
      </c>
      <c r="C4996" s="1" t="s">
        <v>11</v>
      </c>
      <c r="D4996" s="1" t="s">
        <v>11</v>
      </c>
      <c r="E4996" s="1" t="s">
        <v>11</v>
      </c>
    </row>
    <row r="4997" spans="1:5" ht="15.75" customHeight="1">
      <c r="A4997" s="1">
        <v>960190</v>
      </c>
      <c r="B4997" s="1" t="s">
        <v>5033</v>
      </c>
      <c r="C4997" s="1" t="s">
        <v>11</v>
      </c>
      <c r="D4997" s="1" t="s">
        <v>11</v>
      </c>
      <c r="E4997" s="1" t="s">
        <v>11</v>
      </c>
    </row>
    <row r="4998" spans="1:5" ht="15.75" customHeight="1">
      <c r="A4998" s="1">
        <v>960200</v>
      </c>
      <c r="B4998" s="1" t="s">
        <v>5034</v>
      </c>
      <c r="C4998" s="1" t="s">
        <v>11</v>
      </c>
      <c r="D4998" s="1" t="s">
        <v>11</v>
      </c>
      <c r="E4998" s="1" t="s">
        <v>11</v>
      </c>
    </row>
    <row r="4999" spans="1:5" ht="15.75" customHeight="1">
      <c r="A4999" s="1">
        <v>960310</v>
      </c>
      <c r="B4999" s="1" t="s">
        <v>5035</v>
      </c>
      <c r="C4999" s="1" t="s">
        <v>11</v>
      </c>
      <c r="D4999" s="1" t="s">
        <v>11</v>
      </c>
      <c r="E4999" s="1" t="s">
        <v>11</v>
      </c>
    </row>
    <row r="5000" spans="1:5" ht="15.75" customHeight="1">
      <c r="A5000" s="1">
        <v>960321</v>
      </c>
      <c r="B5000" s="1" t="s">
        <v>5036</v>
      </c>
      <c r="C5000" s="1" t="s">
        <v>11</v>
      </c>
      <c r="D5000" s="1" t="s">
        <v>11</v>
      </c>
      <c r="E5000" s="1" t="s">
        <v>11</v>
      </c>
    </row>
    <row r="5001" spans="1:5" ht="15.75" customHeight="1">
      <c r="A5001" s="1">
        <v>960329</v>
      </c>
      <c r="B5001" s="1" t="s">
        <v>5037</v>
      </c>
      <c r="C5001" s="1" t="s">
        <v>11</v>
      </c>
      <c r="D5001" s="1" t="s">
        <v>11</v>
      </c>
      <c r="E5001" s="1" t="s">
        <v>11</v>
      </c>
    </row>
    <row r="5002" spans="1:5" ht="15.75" customHeight="1">
      <c r="A5002" s="1">
        <v>960330</v>
      </c>
      <c r="B5002" s="1" t="s">
        <v>5038</v>
      </c>
      <c r="C5002" s="1" t="s">
        <v>11</v>
      </c>
      <c r="D5002" s="1" t="s">
        <v>11</v>
      </c>
      <c r="E5002" s="1" t="s">
        <v>11</v>
      </c>
    </row>
    <row r="5003" spans="1:5" ht="15.75" customHeight="1">
      <c r="A5003" s="1">
        <v>960340</v>
      </c>
      <c r="B5003" s="1" t="s">
        <v>5039</v>
      </c>
      <c r="C5003" s="1" t="s">
        <v>11</v>
      </c>
      <c r="D5003" s="1" t="s">
        <v>11</v>
      </c>
      <c r="E5003" s="1" t="s">
        <v>11</v>
      </c>
    </row>
    <row r="5004" spans="1:5" ht="15.75" customHeight="1">
      <c r="A5004" s="1">
        <v>960350</v>
      </c>
      <c r="B5004" s="1" t="s">
        <v>5040</v>
      </c>
      <c r="C5004" s="1" t="s">
        <v>11</v>
      </c>
      <c r="D5004" s="1" t="s">
        <v>11</v>
      </c>
      <c r="E5004" s="1" t="s">
        <v>11</v>
      </c>
    </row>
    <row r="5005" spans="1:5" ht="15.75" customHeight="1">
      <c r="A5005" s="1">
        <v>960390</v>
      </c>
      <c r="B5005" s="1" t="s">
        <v>5041</v>
      </c>
      <c r="C5005" s="1" t="s">
        <v>11</v>
      </c>
      <c r="D5005" s="1" t="s">
        <v>11</v>
      </c>
      <c r="E5005" s="1" t="s">
        <v>11</v>
      </c>
    </row>
    <row r="5006" spans="1:5" ht="15.75" customHeight="1">
      <c r="A5006" s="1">
        <v>960400</v>
      </c>
      <c r="B5006" s="1" t="s">
        <v>5042</v>
      </c>
      <c r="C5006" s="1" t="s">
        <v>11</v>
      </c>
      <c r="D5006" s="1" t="s">
        <v>11</v>
      </c>
      <c r="E5006" s="1" t="s">
        <v>11</v>
      </c>
    </row>
    <row r="5007" spans="1:5" ht="15.75" customHeight="1">
      <c r="A5007" s="1">
        <v>960500</v>
      </c>
      <c r="B5007" s="1" t="s">
        <v>5043</v>
      </c>
      <c r="C5007" s="1" t="s">
        <v>11</v>
      </c>
      <c r="D5007" s="1" t="s">
        <v>11</v>
      </c>
      <c r="E5007" s="1" t="s">
        <v>11</v>
      </c>
    </row>
    <row r="5008" spans="1:5" ht="15.75" customHeight="1">
      <c r="A5008" s="1">
        <v>960610</v>
      </c>
      <c r="B5008" s="1" t="s">
        <v>5044</v>
      </c>
      <c r="C5008" s="1" t="s">
        <v>11</v>
      </c>
      <c r="D5008" s="1" t="s">
        <v>11</v>
      </c>
      <c r="E5008" s="1" t="s">
        <v>11</v>
      </c>
    </row>
    <row r="5009" spans="1:5" ht="15.75" customHeight="1">
      <c r="A5009" s="1">
        <v>960621</v>
      </c>
      <c r="B5009" s="1" t="s">
        <v>5045</v>
      </c>
      <c r="C5009" s="1" t="s">
        <v>11</v>
      </c>
      <c r="D5009" s="1" t="s">
        <v>11</v>
      </c>
      <c r="E5009" s="1" t="s">
        <v>11</v>
      </c>
    </row>
    <row r="5010" spans="1:5" ht="15.75" customHeight="1">
      <c r="A5010" s="1">
        <v>960622</v>
      </c>
      <c r="B5010" s="1" t="s">
        <v>5046</v>
      </c>
      <c r="C5010" s="1" t="s">
        <v>11</v>
      </c>
      <c r="D5010" s="1" t="s">
        <v>11</v>
      </c>
      <c r="E5010" s="1" t="s">
        <v>11</v>
      </c>
    </row>
    <row r="5011" spans="1:5" ht="15.75" customHeight="1">
      <c r="A5011" s="1">
        <v>960629</v>
      </c>
      <c r="B5011" s="1" t="s">
        <v>5047</v>
      </c>
      <c r="C5011" s="1" t="s">
        <v>11</v>
      </c>
      <c r="D5011" s="1" t="s">
        <v>11</v>
      </c>
      <c r="E5011" s="1" t="s">
        <v>11</v>
      </c>
    </row>
    <row r="5012" spans="1:5" ht="15.75" customHeight="1">
      <c r="A5012" s="1">
        <v>960630</v>
      </c>
      <c r="B5012" s="1" t="s">
        <v>5048</v>
      </c>
      <c r="C5012" s="1" t="s">
        <v>11</v>
      </c>
      <c r="D5012" s="1" t="s">
        <v>11</v>
      </c>
      <c r="E5012" s="1" t="s">
        <v>11</v>
      </c>
    </row>
    <row r="5013" spans="1:5" ht="15.75" customHeight="1">
      <c r="A5013" s="1">
        <v>960711</v>
      </c>
      <c r="B5013" s="1" t="s">
        <v>5049</v>
      </c>
      <c r="C5013" s="1" t="s">
        <v>11</v>
      </c>
      <c r="D5013" s="1" t="s">
        <v>11</v>
      </c>
      <c r="E5013" s="1" t="s">
        <v>11</v>
      </c>
    </row>
    <row r="5014" spans="1:5" ht="15.75" customHeight="1">
      <c r="A5014" s="1">
        <v>960719</v>
      </c>
      <c r="B5014" s="1" t="s">
        <v>5050</v>
      </c>
      <c r="C5014" s="1" t="s">
        <v>11</v>
      </c>
      <c r="D5014" s="1" t="s">
        <v>11</v>
      </c>
      <c r="E5014" s="1" t="s">
        <v>11</v>
      </c>
    </row>
    <row r="5015" spans="1:5" ht="15.75" customHeight="1">
      <c r="A5015" s="1">
        <v>960720</v>
      </c>
      <c r="B5015" s="1" t="s">
        <v>5051</v>
      </c>
      <c r="C5015" s="1" t="s">
        <v>11</v>
      </c>
      <c r="D5015" s="1" t="s">
        <v>11</v>
      </c>
      <c r="E5015" s="1" t="s">
        <v>11</v>
      </c>
    </row>
    <row r="5016" spans="1:5" ht="15.75" customHeight="1">
      <c r="A5016" s="1">
        <v>960810</v>
      </c>
      <c r="B5016" s="1" t="s">
        <v>5052</v>
      </c>
      <c r="C5016" s="1" t="s">
        <v>11</v>
      </c>
      <c r="D5016" s="1" t="s">
        <v>11</v>
      </c>
      <c r="E5016" s="1" t="s">
        <v>11</v>
      </c>
    </row>
    <row r="5017" spans="1:5" ht="15.75" customHeight="1">
      <c r="A5017" s="1">
        <v>960820</v>
      </c>
      <c r="B5017" s="1" t="s">
        <v>5053</v>
      </c>
      <c r="C5017" s="1" t="s">
        <v>11</v>
      </c>
      <c r="D5017" s="1" t="s">
        <v>11</v>
      </c>
      <c r="E5017" s="1" t="s">
        <v>11</v>
      </c>
    </row>
    <row r="5018" spans="1:5" ht="15.75" customHeight="1">
      <c r="A5018" s="1">
        <v>960831</v>
      </c>
      <c r="B5018" s="1" t="s">
        <v>5054</v>
      </c>
      <c r="C5018" s="1" t="s">
        <v>11</v>
      </c>
      <c r="D5018" s="1" t="s">
        <v>11</v>
      </c>
      <c r="E5018" s="1" t="s">
        <v>11</v>
      </c>
    </row>
    <row r="5019" spans="1:5" ht="15.75" customHeight="1">
      <c r="A5019" s="1">
        <v>960839</v>
      </c>
      <c r="B5019" s="1" t="s">
        <v>5055</v>
      </c>
      <c r="C5019" s="1" t="s">
        <v>11</v>
      </c>
      <c r="D5019" s="1" t="s">
        <v>11</v>
      </c>
      <c r="E5019" s="1" t="s">
        <v>11</v>
      </c>
    </row>
    <row r="5020" spans="1:5" ht="15.75" customHeight="1">
      <c r="A5020" s="1">
        <v>960840</v>
      </c>
      <c r="B5020" s="1" t="s">
        <v>5056</v>
      </c>
      <c r="C5020" s="1" t="s">
        <v>11</v>
      </c>
      <c r="D5020" s="1" t="s">
        <v>11</v>
      </c>
      <c r="E5020" s="1" t="s">
        <v>11</v>
      </c>
    </row>
    <row r="5021" spans="1:5" ht="15.75" customHeight="1">
      <c r="A5021" s="1">
        <v>960850</v>
      </c>
      <c r="B5021" s="1" t="s">
        <v>5057</v>
      </c>
      <c r="C5021" s="1" t="s">
        <v>11</v>
      </c>
      <c r="D5021" s="1" t="s">
        <v>11</v>
      </c>
      <c r="E5021" s="1" t="s">
        <v>11</v>
      </c>
    </row>
    <row r="5022" spans="1:5" ht="15.75" customHeight="1">
      <c r="A5022" s="1">
        <v>960860</v>
      </c>
      <c r="B5022" s="1" t="s">
        <v>5058</v>
      </c>
      <c r="C5022" s="1" t="s">
        <v>11</v>
      </c>
      <c r="D5022" s="1" t="s">
        <v>11</v>
      </c>
      <c r="E5022" s="1" t="s">
        <v>11</v>
      </c>
    </row>
    <row r="5023" spans="1:5" ht="15.75" customHeight="1">
      <c r="A5023" s="1">
        <v>960891</v>
      </c>
      <c r="B5023" s="1" t="s">
        <v>5059</v>
      </c>
      <c r="C5023" s="1" t="s">
        <v>11</v>
      </c>
      <c r="D5023" s="1" t="s">
        <v>11</v>
      </c>
      <c r="E5023" s="1" t="s">
        <v>11</v>
      </c>
    </row>
    <row r="5024" spans="1:5" ht="15.75" customHeight="1">
      <c r="A5024" s="1">
        <v>960899</v>
      </c>
      <c r="B5024" s="1" t="s">
        <v>5060</v>
      </c>
      <c r="C5024" s="1" t="s">
        <v>11</v>
      </c>
      <c r="D5024" s="1" t="s">
        <v>11</v>
      </c>
      <c r="E5024" s="1" t="s">
        <v>11</v>
      </c>
    </row>
    <row r="5025" spans="1:5" ht="15.75" customHeight="1">
      <c r="A5025" s="1">
        <v>960910</v>
      </c>
      <c r="B5025" s="1" t="s">
        <v>5061</v>
      </c>
      <c r="C5025" s="1" t="s">
        <v>11</v>
      </c>
      <c r="D5025" s="1" t="s">
        <v>11</v>
      </c>
      <c r="E5025" s="1" t="s">
        <v>11</v>
      </c>
    </row>
    <row r="5026" spans="1:5" ht="15.75" customHeight="1">
      <c r="A5026" s="1">
        <v>960920</v>
      </c>
      <c r="B5026" s="1" t="s">
        <v>5062</v>
      </c>
      <c r="C5026" s="1" t="s">
        <v>11</v>
      </c>
      <c r="D5026" s="1" t="s">
        <v>11</v>
      </c>
      <c r="E5026" s="1" t="s">
        <v>11</v>
      </c>
    </row>
    <row r="5027" spans="1:5" ht="15.75" customHeight="1">
      <c r="A5027" s="1">
        <v>960990</v>
      </c>
      <c r="B5027" s="1" t="s">
        <v>5063</v>
      </c>
      <c r="C5027" s="1" t="s">
        <v>11</v>
      </c>
      <c r="D5027" s="1" t="s">
        <v>11</v>
      </c>
      <c r="E5027" s="1" t="s">
        <v>11</v>
      </c>
    </row>
    <row r="5028" spans="1:5" ht="15.75" customHeight="1">
      <c r="A5028" s="1">
        <v>961000</v>
      </c>
      <c r="B5028" s="1" t="s">
        <v>5064</v>
      </c>
      <c r="C5028" s="1" t="s">
        <v>11</v>
      </c>
      <c r="D5028" s="1" t="s">
        <v>11</v>
      </c>
      <c r="E5028" s="1" t="s">
        <v>11</v>
      </c>
    </row>
    <row r="5029" spans="1:5" ht="15.75" customHeight="1">
      <c r="A5029" s="1">
        <v>961100</v>
      </c>
      <c r="B5029" s="1" t="s">
        <v>5065</v>
      </c>
      <c r="C5029" s="1" t="s">
        <v>11</v>
      </c>
      <c r="D5029" s="1" t="s">
        <v>11</v>
      </c>
      <c r="E5029" s="1" t="s">
        <v>11</v>
      </c>
    </row>
    <row r="5030" spans="1:5" ht="15.75" customHeight="1">
      <c r="A5030" s="1">
        <v>961210</v>
      </c>
      <c r="B5030" s="1" t="s">
        <v>5066</v>
      </c>
      <c r="C5030" s="1" t="s">
        <v>11</v>
      </c>
      <c r="D5030" s="1" t="s">
        <v>11</v>
      </c>
      <c r="E5030" s="1" t="s">
        <v>11</v>
      </c>
    </row>
    <row r="5031" spans="1:5" ht="15.75" customHeight="1">
      <c r="A5031" s="1">
        <v>961220</v>
      </c>
      <c r="B5031" s="1" t="s">
        <v>5067</v>
      </c>
      <c r="C5031" s="1" t="s">
        <v>11</v>
      </c>
      <c r="D5031" s="1" t="s">
        <v>11</v>
      </c>
      <c r="E5031" s="1" t="s">
        <v>11</v>
      </c>
    </row>
    <row r="5032" spans="1:5" ht="15.75" customHeight="1">
      <c r="A5032" s="1">
        <v>961310</v>
      </c>
      <c r="B5032" s="1" t="s">
        <v>5068</v>
      </c>
      <c r="C5032" s="1" t="s">
        <v>11</v>
      </c>
      <c r="D5032" s="1" t="s">
        <v>11</v>
      </c>
      <c r="E5032" s="1" t="s">
        <v>11</v>
      </c>
    </row>
    <row r="5033" spans="1:5" ht="15.75" customHeight="1">
      <c r="A5033" s="1">
        <v>961320</v>
      </c>
      <c r="B5033" s="1" t="s">
        <v>5069</v>
      </c>
      <c r="C5033" s="1" t="s">
        <v>11</v>
      </c>
      <c r="D5033" s="1" t="s">
        <v>11</v>
      </c>
      <c r="E5033" s="1" t="s">
        <v>11</v>
      </c>
    </row>
    <row r="5034" spans="1:5" ht="15.75" customHeight="1">
      <c r="A5034" s="1">
        <v>961380</v>
      </c>
      <c r="B5034" s="1" t="s">
        <v>5070</v>
      </c>
      <c r="C5034" s="1" t="s">
        <v>11</v>
      </c>
      <c r="D5034" s="1" t="s">
        <v>11</v>
      </c>
      <c r="E5034" s="1" t="s">
        <v>11</v>
      </c>
    </row>
    <row r="5035" spans="1:5" ht="15.75" customHeight="1">
      <c r="A5035" s="1">
        <v>961390</v>
      </c>
      <c r="B5035" s="1" t="s">
        <v>5071</v>
      </c>
      <c r="C5035" s="1" t="s">
        <v>11</v>
      </c>
      <c r="D5035" s="1" t="s">
        <v>11</v>
      </c>
      <c r="E5035" s="1" t="s">
        <v>11</v>
      </c>
    </row>
    <row r="5036" spans="1:5" ht="15.75" customHeight="1">
      <c r="A5036" s="1">
        <v>961400</v>
      </c>
      <c r="B5036" s="1" t="s">
        <v>5072</v>
      </c>
      <c r="C5036" s="1" t="s">
        <v>11</v>
      </c>
      <c r="D5036" s="1" t="s">
        <v>11</v>
      </c>
      <c r="E5036" s="1" t="s">
        <v>11</v>
      </c>
    </row>
    <row r="5037" spans="1:5" ht="15.75" customHeight="1">
      <c r="A5037" s="1">
        <v>961511</v>
      </c>
      <c r="B5037" s="1" t="s">
        <v>5073</v>
      </c>
      <c r="C5037" s="1" t="s">
        <v>11</v>
      </c>
      <c r="D5037" s="1" t="s">
        <v>11</v>
      </c>
      <c r="E5037" s="1" t="s">
        <v>11</v>
      </c>
    </row>
    <row r="5038" spans="1:5" ht="15.75" customHeight="1">
      <c r="A5038" s="1">
        <v>961519</v>
      </c>
      <c r="B5038" s="1" t="s">
        <v>5074</v>
      </c>
      <c r="C5038" s="1" t="s">
        <v>11</v>
      </c>
      <c r="D5038" s="1" t="s">
        <v>11</v>
      </c>
      <c r="E5038" s="1" t="s">
        <v>11</v>
      </c>
    </row>
    <row r="5039" spans="1:5" ht="15.75" customHeight="1">
      <c r="A5039" s="1">
        <v>961590</v>
      </c>
      <c r="B5039" s="1" t="s">
        <v>5075</v>
      </c>
      <c r="C5039" s="1" t="s">
        <v>11</v>
      </c>
      <c r="D5039" s="1" t="s">
        <v>11</v>
      </c>
      <c r="E5039" s="1" t="s">
        <v>11</v>
      </c>
    </row>
    <row r="5040" spans="1:5" ht="15.75" customHeight="1">
      <c r="A5040" s="1">
        <v>961610</v>
      </c>
      <c r="B5040" s="1" t="s">
        <v>5076</v>
      </c>
      <c r="C5040" s="1" t="s">
        <v>11</v>
      </c>
      <c r="D5040" s="1" t="s">
        <v>11</v>
      </c>
      <c r="E5040" s="1" t="s">
        <v>11</v>
      </c>
    </row>
    <row r="5041" spans="1:5" ht="15.75" customHeight="1">
      <c r="A5041" s="1">
        <v>961620</v>
      </c>
      <c r="B5041" s="1" t="s">
        <v>5077</v>
      </c>
      <c r="C5041" s="1" t="s">
        <v>11</v>
      </c>
      <c r="D5041" s="1" t="s">
        <v>11</v>
      </c>
      <c r="E5041" s="1" t="s">
        <v>11</v>
      </c>
    </row>
    <row r="5042" spans="1:5" ht="15.75" customHeight="1">
      <c r="A5042" s="1">
        <v>961700</v>
      </c>
      <c r="B5042" s="1" t="s">
        <v>5078</v>
      </c>
      <c r="C5042" s="1" t="s">
        <v>11</v>
      </c>
      <c r="D5042" s="1" t="s">
        <v>11</v>
      </c>
      <c r="E5042" s="1" t="s">
        <v>11</v>
      </c>
    </row>
    <row r="5043" spans="1:5" ht="15.75" customHeight="1">
      <c r="A5043" s="1">
        <v>961800</v>
      </c>
      <c r="B5043" s="1" t="s">
        <v>5079</v>
      </c>
      <c r="C5043" s="1" t="s">
        <v>11</v>
      </c>
      <c r="D5043" s="1" t="s">
        <v>11</v>
      </c>
      <c r="E5043" s="1" t="s">
        <v>11</v>
      </c>
    </row>
    <row r="5044" spans="1:5" ht="15.75" customHeight="1">
      <c r="A5044" s="1">
        <v>970110</v>
      </c>
      <c r="B5044" s="1" t="s">
        <v>5080</v>
      </c>
      <c r="C5044" s="1" t="s">
        <v>11</v>
      </c>
      <c r="D5044" s="1" t="s">
        <v>11</v>
      </c>
      <c r="E5044" s="1" t="s">
        <v>11</v>
      </c>
    </row>
    <row r="5045" spans="1:5" ht="15.75" customHeight="1">
      <c r="A5045" s="1">
        <v>970190</v>
      </c>
      <c r="B5045" s="1" t="s">
        <v>5081</v>
      </c>
      <c r="C5045" s="1" t="s">
        <v>11</v>
      </c>
      <c r="D5045" s="1" t="s">
        <v>11</v>
      </c>
      <c r="E5045" s="1" t="s">
        <v>11</v>
      </c>
    </row>
    <row r="5046" spans="1:5" ht="15.75" customHeight="1">
      <c r="A5046" s="1">
        <v>970200</v>
      </c>
      <c r="B5046" s="1" t="s">
        <v>5082</v>
      </c>
      <c r="C5046" s="1" t="s">
        <v>11</v>
      </c>
      <c r="D5046" s="1" t="s">
        <v>11</v>
      </c>
      <c r="E5046" s="1" t="s">
        <v>11</v>
      </c>
    </row>
    <row r="5047" spans="1:5" ht="15.75" customHeight="1">
      <c r="A5047" s="1">
        <v>970300</v>
      </c>
      <c r="B5047" s="1" t="s">
        <v>5083</v>
      </c>
      <c r="C5047" s="1" t="s">
        <v>11</v>
      </c>
      <c r="D5047" s="1" t="s">
        <v>11</v>
      </c>
      <c r="E5047" s="1" t="s">
        <v>11</v>
      </c>
    </row>
    <row r="5048" spans="1:5" ht="15.75" customHeight="1">
      <c r="A5048" s="1">
        <v>970400</v>
      </c>
      <c r="B5048" s="1" t="s">
        <v>5084</v>
      </c>
      <c r="C5048" s="1" t="s">
        <v>11</v>
      </c>
      <c r="D5048" s="1" t="s">
        <v>11</v>
      </c>
      <c r="E5048" s="1" t="s">
        <v>11</v>
      </c>
    </row>
    <row r="5049" spans="1:5" ht="15.75" customHeight="1">
      <c r="A5049" s="1">
        <v>970500</v>
      </c>
      <c r="B5049" s="1" t="s">
        <v>5085</v>
      </c>
      <c r="C5049" s="1" t="s">
        <v>11</v>
      </c>
      <c r="D5049" s="1" t="s">
        <v>11</v>
      </c>
      <c r="E5049" s="1" t="s">
        <v>11</v>
      </c>
    </row>
    <row r="5050" spans="1:5" ht="15.75" customHeight="1">
      <c r="A5050" s="1">
        <v>970600</v>
      </c>
      <c r="B5050" s="1" t="s">
        <v>5086</v>
      </c>
      <c r="C5050" s="1" t="s">
        <v>11</v>
      </c>
      <c r="D5050" s="1" t="s">
        <v>11</v>
      </c>
      <c r="E5050" s="1" t="s">
        <v>11</v>
      </c>
    </row>
    <row r="5051" spans="1:5" ht="15.75" customHeight="1">
      <c r="A5051" s="1">
        <v>999999</v>
      </c>
      <c r="B5051" s="1" t="s">
        <v>5087</v>
      </c>
      <c r="C5051" s="1" t="s">
        <v>11</v>
      </c>
      <c r="D5051" s="1" t="s">
        <v>11</v>
      </c>
      <c r="E5051" s="1" t="s">
        <v>11</v>
      </c>
    </row>
  </sheetData>
  <autoFilter ref="A1:Q5051" xr:uid="{00000000-0009-0000-0000-000000000000}"/>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K5051"/>
  <sheetViews>
    <sheetView tabSelected="1" topLeftCell="A122" zoomScale="105" zoomScaleNormal="105" workbookViewId="0">
      <selection activeCell="F134" sqref="F134"/>
    </sheetView>
  </sheetViews>
  <sheetFormatPr baseColWidth="10" defaultColWidth="12.5703125" defaultRowHeight="15" customHeight="1"/>
  <cols>
    <col min="1" max="1" width="7.7109375" style="20" customWidth="1"/>
    <col min="2" max="2" width="45.42578125" style="20" customWidth="1"/>
    <col min="3" max="3" width="30.85546875" style="20" customWidth="1"/>
    <col min="4" max="4" width="8.140625" style="20" customWidth="1"/>
    <col min="5" max="5" width="19.42578125" style="20" customWidth="1"/>
    <col min="6" max="6" width="29.28515625" style="20" customWidth="1"/>
    <col min="7" max="11" width="8.85546875" style="20" customWidth="1"/>
    <col min="12" max="16384" width="12.5703125" style="20"/>
  </cols>
  <sheetData>
    <row r="1" spans="1:6">
      <c r="A1" s="20" t="s">
        <v>0</v>
      </c>
      <c r="B1" s="20" t="s">
        <v>1</v>
      </c>
      <c r="C1" s="20" t="s">
        <v>5088</v>
      </c>
      <c r="D1" s="20" t="s">
        <v>2</v>
      </c>
      <c r="E1" s="20" t="s">
        <v>3</v>
      </c>
      <c r="F1" s="20" t="s">
        <v>4</v>
      </c>
    </row>
    <row r="2" spans="1:6" s="21" customFormat="1">
      <c r="A2" s="20">
        <v>291821</v>
      </c>
      <c r="B2" s="20" t="s">
        <v>1222</v>
      </c>
      <c r="C2" s="20" t="s">
        <v>5097</v>
      </c>
      <c r="D2" s="20">
        <v>1</v>
      </c>
      <c r="E2" s="20" t="s">
        <v>5089</v>
      </c>
      <c r="F2" s="20" t="s">
        <v>1224</v>
      </c>
    </row>
    <row r="3" spans="1:6" s="21" customFormat="1">
      <c r="A3" s="20">
        <v>291822</v>
      </c>
      <c r="B3" s="20" t="s">
        <v>1225</v>
      </c>
      <c r="C3" s="20" t="s">
        <v>5097</v>
      </c>
      <c r="D3" s="20">
        <v>1</v>
      </c>
      <c r="E3" s="20" t="s">
        <v>5089</v>
      </c>
      <c r="F3" s="20" t="s">
        <v>1224</v>
      </c>
    </row>
    <row r="4" spans="1:6" s="21" customFormat="1">
      <c r="A4" s="20">
        <v>291823</v>
      </c>
      <c r="B4" s="20" t="s">
        <v>1226</v>
      </c>
      <c r="C4" s="20" t="s">
        <v>5097</v>
      </c>
      <c r="D4" s="20">
        <v>1</v>
      </c>
      <c r="E4" s="20" t="s">
        <v>5089</v>
      </c>
      <c r="F4" s="20" t="s">
        <v>1224</v>
      </c>
    </row>
    <row r="5" spans="1:6" s="21" customFormat="1">
      <c r="A5" s="20">
        <v>292241</v>
      </c>
      <c r="B5" s="20" t="s">
        <v>1261</v>
      </c>
      <c r="C5" s="20" t="s">
        <v>5098</v>
      </c>
      <c r="D5" s="20">
        <v>1</v>
      </c>
      <c r="E5" s="20" t="s">
        <v>5089</v>
      </c>
      <c r="F5" s="20" t="s">
        <v>1224</v>
      </c>
    </row>
    <row r="6" spans="1:6" s="21" customFormat="1">
      <c r="A6" s="20">
        <v>292242</v>
      </c>
      <c r="B6" s="20" t="s">
        <v>1262</v>
      </c>
      <c r="C6" s="20" t="s">
        <v>5098</v>
      </c>
      <c r="D6" s="20">
        <v>1</v>
      </c>
      <c r="E6" s="20" t="s">
        <v>5089</v>
      </c>
      <c r="F6" s="20" t="s">
        <v>1224</v>
      </c>
    </row>
    <row r="7" spans="1:6" s="21" customFormat="1">
      <c r="A7" s="20">
        <v>292310</v>
      </c>
      <c r="B7" s="20" t="s">
        <v>1267</v>
      </c>
      <c r="C7" s="20" t="s">
        <v>5099</v>
      </c>
      <c r="D7" s="20">
        <v>1</v>
      </c>
      <c r="E7" s="20" t="s">
        <v>5089</v>
      </c>
      <c r="F7" s="20" t="s">
        <v>1224</v>
      </c>
    </row>
    <row r="8" spans="1:6" s="21" customFormat="1">
      <c r="A8" s="20">
        <v>292320</v>
      </c>
      <c r="B8" s="20" t="s">
        <v>1268</v>
      </c>
      <c r="C8" s="20" t="s">
        <v>1268</v>
      </c>
      <c r="D8" s="20">
        <v>1</v>
      </c>
      <c r="E8" s="20" t="s">
        <v>5089</v>
      </c>
      <c r="F8" s="20" t="s">
        <v>1224</v>
      </c>
    </row>
    <row r="9" spans="1:6" s="21" customFormat="1">
      <c r="A9" s="20">
        <v>292390</v>
      </c>
      <c r="B9" s="20" t="s">
        <v>1269</v>
      </c>
      <c r="C9" s="20" t="s">
        <v>5099</v>
      </c>
      <c r="D9" s="20">
        <v>1</v>
      </c>
      <c r="E9" s="20" t="s">
        <v>5089</v>
      </c>
      <c r="F9" s="20" t="s">
        <v>1224</v>
      </c>
    </row>
    <row r="10" spans="1:6" s="21" customFormat="1">
      <c r="A10" s="20">
        <v>292411</v>
      </c>
      <c r="B10" s="20" t="s">
        <v>1270</v>
      </c>
      <c r="C10" s="20" t="s">
        <v>5100</v>
      </c>
      <c r="D10" s="20">
        <v>1</v>
      </c>
      <c r="E10" s="20" t="s">
        <v>5089</v>
      </c>
      <c r="F10" s="20" t="s">
        <v>1224</v>
      </c>
    </row>
    <row r="11" spans="1:6" s="21" customFormat="1">
      <c r="A11" s="20">
        <v>292412</v>
      </c>
      <c r="B11" s="20" t="s">
        <v>1271</v>
      </c>
      <c r="C11" s="20" t="s">
        <v>5100</v>
      </c>
      <c r="D11" s="20">
        <v>1</v>
      </c>
      <c r="E11" s="20" t="s">
        <v>5089</v>
      </c>
      <c r="F11" s="20" t="s">
        <v>1224</v>
      </c>
    </row>
    <row r="12" spans="1:6" s="21" customFormat="1">
      <c r="A12" s="20">
        <v>292419</v>
      </c>
      <c r="B12" s="20" t="s">
        <v>1272</v>
      </c>
      <c r="C12" s="20" t="s">
        <v>5100</v>
      </c>
      <c r="D12" s="20">
        <v>1</v>
      </c>
      <c r="E12" s="20" t="s">
        <v>5089</v>
      </c>
      <c r="F12" s="20" t="s">
        <v>1224</v>
      </c>
    </row>
    <row r="13" spans="1:6" s="21" customFormat="1">
      <c r="A13" s="20">
        <v>292423</v>
      </c>
      <c r="B13" s="20" t="s">
        <v>1274</v>
      </c>
      <c r="C13" s="20" t="s">
        <v>5101</v>
      </c>
      <c r="D13" s="20">
        <v>1</v>
      </c>
      <c r="E13" s="20" t="s">
        <v>5089</v>
      </c>
      <c r="F13" s="20" t="s">
        <v>1224</v>
      </c>
    </row>
    <row r="14" spans="1:6" s="21" customFormat="1">
      <c r="A14" s="20">
        <v>292424</v>
      </c>
      <c r="B14" s="20" t="s">
        <v>1275</v>
      </c>
      <c r="C14" s="20" t="s">
        <v>5101</v>
      </c>
      <c r="D14" s="20">
        <v>1</v>
      </c>
      <c r="E14" s="20" t="s">
        <v>5089</v>
      </c>
      <c r="F14" s="20" t="s">
        <v>1224</v>
      </c>
    </row>
    <row r="15" spans="1:6" s="21" customFormat="1">
      <c r="A15" s="20">
        <v>292429</v>
      </c>
      <c r="B15" s="20" t="s">
        <v>1276</v>
      </c>
      <c r="C15" s="20" t="s">
        <v>5101</v>
      </c>
      <c r="D15" s="20">
        <v>1</v>
      </c>
      <c r="E15" s="20" t="s">
        <v>5089</v>
      </c>
      <c r="F15" s="20" t="s">
        <v>1224</v>
      </c>
    </row>
    <row r="16" spans="1:6" s="21" customFormat="1">
      <c r="A16" s="20">
        <v>293229</v>
      </c>
      <c r="B16" s="20" t="s">
        <v>1302</v>
      </c>
      <c r="C16" s="20" t="s">
        <v>5102</v>
      </c>
      <c r="D16" s="20">
        <v>1</v>
      </c>
      <c r="E16" s="20" t="s">
        <v>5089</v>
      </c>
      <c r="F16" s="20" t="s">
        <v>1224</v>
      </c>
    </row>
    <row r="17" spans="1:6" s="21" customFormat="1">
      <c r="A17" s="20">
        <v>293311</v>
      </c>
      <c r="B17" s="20" t="s">
        <v>1309</v>
      </c>
      <c r="C17" s="20" t="s">
        <v>5103</v>
      </c>
      <c r="D17" s="20">
        <v>1</v>
      </c>
      <c r="E17" s="20" t="s">
        <v>5089</v>
      </c>
      <c r="F17" s="20" t="s">
        <v>1224</v>
      </c>
    </row>
    <row r="18" spans="1:6" s="21" customFormat="1">
      <c r="A18" s="20">
        <v>293319</v>
      </c>
      <c r="B18" s="20" t="s">
        <v>1310</v>
      </c>
      <c r="C18" s="20" t="s">
        <v>5103</v>
      </c>
      <c r="D18" s="20">
        <v>1</v>
      </c>
      <c r="E18" s="20" t="s">
        <v>5089</v>
      </c>
      <c r="F18" s="20" t="s">
        <v>1224</v>
      </c>
    </row>
    <row r="19" spans="1:6" s="21" customFormat="1">
      <c r="A19" s="20">
        <v>293321</v>
      </c>
      <c r="B19" s="20" t="s">
        <v>1311</v>
      </c>
      <c r="C19" s="20" t="s">
        <v>5103</v>
      </c>
      <c r="D19" s="20">
        <v>1</v>
      </c>
      <c r="E19" s="20" t="s">
        <v>5089</v>
      </c>
      <c r="F19" s="20" t="s">
        <v>1224</v>
      </c>
    </row>
    <row r="20" spans="1:6" s="21" customFormat="1">
      <c r="A20" s="20">
        <v>293352</v>
      </c>
      <c r="B20" s="20" t="s">
        <v>1319</v>
      </c>
      <c r="C20" s="20" t="s">
        <v>5103</v>
      </c>
      <c r="D20" s="20">
        <v>1</v>
      </c>
      <c r="E20" s="20" t="s">
        <v>5089</v>
      </c>
      <c r="F20" s="20" t="s">
        <v>1224</v>
      </c>
    </row>
    <row r="21" spans="1:6" s="21" customFormat="1" ht="15.75" customHeight="1">
      <c r="A21" s="20">
        <v>293353</v>
      </c>
      <c r="B21" s="20" t="s">
        <v>1320</v>
      </c>
      <c r="C21" s="20" t="s">
        <v>5104</v>
      </c>
      <c r="D21" s="20">
        <v>1</v>
      </c>
      <c r="E21" s="20" t="s">
        <v>5089</v>
      </c>
      <c r="F21" s="20" t="s">
        <v>1224</v>
      </c>
    </row>
    <row r="22" spans="1:6" s="21" customFormat="1" ht="15.75" customHeight="1">
      <c r="A22" s="20">
        <v>293354</v>
      </c>
      <c r="B22" s="20" t="s">
        <v>1321</v>
      </c>
      <c r="C22" s="20" t="s">
        <v>5103</v>
      </c>
      <c r="D22" s="20">
        <v>1</v>
      </c>
      <c r="E22" s="20" t="s">
        <v>5089</v>
      </c>
      <c r="F22" s="20" t="s">
        <v>1224</v>
      </c>
    </row>
    <row r="23" spans="1:6" s="21" customFormat="1" ht="15.75" customHeight="1">
      <c r="A23" s="20">
        <v>293355</v>
      </c>
      <c r="B23" s="20" t="s">
        <v>1322</v>
      </c>
      <c r="C23" s="20" t="s">
        <v>5103</v>
      </c>
      <c r="D23" s="20">
        <v>1</v>
      </c>
      <c r="E23" s="20" t="s">
        <v>5089</v>
      </c>
      <c r="F23" s="20" t="s">
        <v>1224</v>
      </c>
    </row>
    <row r="24" spans="1:6" s="21" customFormat="1" ht="15.75" customHeight="1">
      <c r="A24" s="20">
        <v>293359</v>
      </c>
      <c r="B24" s="20" t="s">
        <v>1323</v>
      </c>
      <c r="C24" s="20" t="s">
        <v>5103</v>
      </c>
      <c r="D24" s="20">
        <v>1</v>
      </c>
      <c r="E24" s="20" t="s">
        <v>5089</v>
      </c>
      <c r="F24" s="20" t="s">
        <v>1224</v>
      </c>
    </row>
    <row r="25" spans="1:6" s="21" customFormat="1" ht="15.75" customHeight="1">
      <c r="A25" s="20">
        <v>293369</v>
      </c>
      <c r="B25" s="20" t="s">
        <v>1325</v>
      </c>
      <c r="C25" s="20" t="s">
        <v>5103</v>
      </c>
      <c r="D25" s="20">
        <v>1</v>
      </c>
      <c r="E25" s="20" t="s">
        <v>5089</v>
      </c>
      <c r="F25" s="20" t="s">
        <v>1224</v>
      </c>
    </row>
    <row r="26" spans="1:6" s="21" customFormat="1" ht="15.75" customHeight="1">
      <c r="A26" s="20">
        <v>293430</v>
      </c>
      <c r="B26" s="20" t="s">
        <v>1333</v>
      </c>
      <c r="C26" s="20" t="s">
        <v>5103</v>
      </c>
      <c r="D26" s="20">
        <v>1</v>
      </c>
      <c r="E26" s="20" t="s">
        <v>5089</v>
      </c>
      <c r="F26" s="20" t="s">
        <v>1224</v>
      </c>
    </row>
    <row r="27" spans="1:6" s="21" customFormat="1" ht="15.75" customHeight="1">
      <c r="A27" s="20">
        <v>293500</v>
      </c>
      <c r="B27" s="20" t="s">
        <v>1336</v>
      </c>
      <c r="C27" s="20" t="s">
        <v>1336</v>
      </c>
      <c r="D27" s="20">
        <v>1</v>
      </c>
      <c r="E27" s="20" t="s">
        <v>5089</v>
      </c>
      <c r="F27" s="20" t="s">
        <v>1224</v>
      </c>
    </row>
    <row r="28" spans="1:6" s="21" customFormat="1" ht="15.75" customHeight="1">
      <c r="A28" s="20">
        <v>293621</v>
      </c>
      <c r="B28" s="20" t="s">
        <v>1337</v>
      </c>
      <c r="C28" s="20" t="s">
        <v>5105</v>
      </c>
      <c r="D28" s="20">
        <v>1</v>
      </c>
      <c r="E28" s="20" t="s">
        <v>5089</v>
      </c>
      <c r="F28" s="20" t="s">
        <v>1224</v>
      </c>
    </row>
    <row r="29" spans="1:6" s="21" customFormat="1" ht="15.75" customHeight="1">
      <c r="A29" s="20">
        <v>293623</v>
      </c>
      <c r="B29" s="20" t="s">
        <v>1339</v>
      </c>
      <c r="C29" s="20" t="s">
        <v>5105</v>
      </c>
      <c r="D29" s="20">
        <v>1</v>
      </c>
      <c r="E29" s="20" t="s">
        <v>5089</v>
      </c>
      <c r="F29" s="20" t="s">
        <v>1224</v>
      </c>
    </row>
    <row r="30" spans="1:6" s="21" customFormat="1" ht="15.75" customHeight="1">
      <c r="A30" s="20">
        <v>293624</v>
      </c>
      <c r="B30" s="20" t="s">
        <v>1340</v>
      </c>
      <c r="C30" s="20" t="s">
        <v>5105</v>
      </c>
      <c r="D30" s="20">
        <v>1</v>
      </c>
      <c r="E30" s="20" t="s">
        <v>5089</v>
      </c>
      <c r="F30" s="20" t="s">
        <v>1224</v>
      </c>
    </row>
    <row r="31" spans="1:6" s="21" customFormat="1" ht="15.75" customHeight="1">
      <c r="A31" s="20">
        <v>293625</v>
      </c>
      <c r="B31" s="20" t="s">
        <v>1341</v>
      </c>
      <c r="C31" s="20" t="s">
        <v>5105</v>
      </c>
      <c r="D31" s="20">
        <v>1</v>
      </c>
      <c r="E31" s="20" t="s">
        <v>5089</v>
      </c>
      <c r="F31" s="20" t="s">
        <v>1224</v>
      </c>
    </row>
    <row r="32" spans="1:6" s="21" customFormat="1" ht="15.75" customHeight="1">
      <c r="A32" s="20">
        <v>293626</v>
      </c>
      <c r="B32" s="20" t="s">
        <v>1342</v>
      </c>
      <c r="C32" s="20" t="s">
        <v>5105</v>
      </c>
      <c r="D32" s="20">
        <v>1</v>
      </c>
      <c r="E32" s="20" t="s">
        <v>5089</v>
      </c>
      <c r="F32" s="20" t="s">
        <v>1224</v>
      </c>
    </row>
    <row r="33" spans="1:6" s="21" customFormat="1" ht="15.75" customHeight="1">
      <c r="A33" s="20">
        <v>293627</v>
      </c>
      <c r="B33" s="20" t="s">
        <v>1343</v>
      </c>
      <c r="C33" s="20" t="s">
        <v>5105</v>
      </c>
      <c r="D33" s="20">
        <v>1</v>
      </c>
      <c r="E33" s="20" t="s">
        <v>5089</v>
      </c>
      <c r="F33" s="20" t="s">
        <v>1224</v>
      </c>
    </row>
    <row r="34" spans="1:6" s="21" customFormat="1" ht="15.75" customHeight="1">
      <c r="A34" s="20">
        <v>293628</v>
      </c>
      <c r="B34" s="20" t="s">
        <v>1344</v>
      </c>
      <c r="C34" s="20" t="s">
        <v>5105</v>
      </c>
      <c r="D34" s="20">
        <v>1</v>
      </c>
      <c r="E34" s="20" t="s">
        <v>5089</v>
      </c>
      <c r="F34" s="20" t="s">
        <v>1224</v>
      </c>
    </row>
    <row r="35" spans="1:6" s="21" customFormat="1" ht="15.75" customHeight="1">
      <c r="A35" s="20">
        <v>293629</v>
      </c>
      <c r="B35" s="20" t="s">
        <v>1345</v>
      </c>
      <c r="C35" s="20" t="s">
        <v>5105</v>
      </c>
      <c r="D35" s="20">
        <v>1</v>
      </c>
      <c r="E35" s="20" t="s">
        <v>5089</v>
      </c>
      <c r="F35" s="20" t="s">
        <v>1224</v>
      </c>
    </row>
    <row r="36" spans="1:6" s="21" customFormat="1" ht="15.75" customHeight="1">
      <c r="A36" s="20">
        <v>293690</v>
      </c>
      <c r="B36" s="20" t="s">
        <v>1346</v>
      </c>
      <c r="C36" s="20" t="s">
        <v>5105</v>
      </c>
      <c r="D36" s="20">
        <v>1</v>
      </c>
      <c r="E36" s="20" t="s">
        <v>5089</v>
      </c>
      <c r="F36" s="20" t="s">
        <v>1224</v>
      </c>
    </row>
    <row r="37" spans="1:6" s="21" customFormat="1" ht="15.75" customHeight="1">
      <c r="A37" s="20">
        <v>293711</v>
      </c>
      <c r="B37" s="20" t="s">
        <v>1347</v>
      </c>
      <c r="C37" s="20" t="s">
        <v>5106</v>
      </c>
      <c r="D37" s="20">
        <v>1</v>
      </c>
      <c r="E37" s="20" t="s">
        <v>5089</v>
      </c>
      <c r="F37" s="20" t="s">
        <v>1224</v>
      </c>
    </row>
    <row r="38" spans="1:6" s="21" customFormat="1" ht="15.75" customHeight="1">
      <c r="A38" s="20">
        <v>293712</v>
      </c>
      <c r="B38" s="20" t="s">
        <v>1348</v>
      </c>
      <c r="C38" s="20" t="s">
        <v>5106</v>
      </c>
      <c r="D38" s="20">
        <v>1</v>
      </c>
      <c r="E38" s="20" t="s">
        <v>5089</v>
      </c>
      <c r="F38" s="20" t="s">
        <v>1224</v>
      </c>
    </row>
    <row r="39" spans="1:6" s="21" customFormat="1" ht="15.75" customHeight="1">
      <c r="A39" s="20">
        <v>293719</v>
      </c>
      <c r="B39" s="20" t="s">
        <v>1349</v>
      </c>
      <c r="C39" s="20" t="s">
        <v>5106</v>
      </c>
      <c r="D39" s="20">
        <v>1</v>
      </c>
      <c r="E39" s="20" t="s">
        <v>5089</v>
      </c>
      <c r="F39" s="20" t="s">
        <v>1224</v>
      </c>
    </row>
    <row r="40" spans="1:6" s="21" customFormat="1" ht="15.75" customHeight="1">
      <c r="A40" s="20">
        <v>293721</v>
      </c>
      <c r="B40" s="20" t="s">
        <v>1350</v>
      </c>
      <c r="C40" s="20" t="s">
        <v>5107</v>
      </c>
      <c r="D40" s="20">
        <v>1</v>
      </c>
      <c r="E40" s="20" t="s">
        <v>5089</v>
      </c>
      <c r="F40" s="20" t="s">
        <v>1224</v>
      </c>
    </row>
    <row r="41" spans="1:6" s="21" customFormat="1" ht="15.75" customHeight="1">
      <c r="A41" s="20">
        <v>293722</v>
      </c>
      <c r="B41" s="20" t="s">
        <v>1351</v>
      </c>
      <c r="C41" s="20" t="s">
        <v>5107</v>
      </c>
      <c r="D41" s="20">
        <v>1</v>
      </c>
      <c r="E41" s="20" t="s">
        <v>5089</v>
      </c>
      <c r="F41" s="20" t="s">
        <v>1224</v>
      </c>
    </row>
    <row r="42" spans="1:6" s="21" customFormat="1" ht="15.75" customHeight="1">
      <c r="A42" s="20">
        <v>293723</v>
      </c>
      <c r="B42" s="20" t="s">
        <v>1352</v>
      </c>
      <c r="C42" s="20" t="s">
        <v>5107</v>
      </c>
      <c r="D42" s="20">
        <v>1</v>
      </c>
      <c r="E42" s="20" t="s">
        <v>5089</v>
      </c>
      <c r="F42" s="20" t="s">
        <v>1224</v>
      </c>
    </row>
    <row r="43" spans="1:6" s="21" customFormat="1" ht="15.75" customHeight="1">
      <c r="A43" s="20">
        <v>293729</v>
      </c>
      <c r="B43" s="20" t="s">
        <v>1353</v>
      </c>
      <c r="C43" s="20" t="s">
        <v>5107</v>
      </c>
      <c r="D43" s="20">
        <v>1</v>
      </c>
      <c r="E43" s="20" t="s">
        <v>5089</v>
      </c>
      <c r="F43" s="20" t="s">
        <v>1224</v>
      </c>
    </row>
    <row r="44" spans="1:6" s="21" customFormat="1" ht="15.75" customHeight="1">
      <c r="A44" s="20">
        <v>293731</v>
      </c>
      <c r="B44" s="20" t="s">
        <v>1354</v>
      </c>
      <c r="C44" s="20" t="s">
        <v>5108</v>
      </c>
      <c r="D44" s="20">
        <v>1</v>
      </c>
      <c r="E44" s="20" t="s">
        <v>5089</v>
      </c>
      <c r="F44" s="20" t="s">
        <v>1224</v>
      </c>
    </row>
    <row r="45" spans="1:6" s="21" customFormat="1" ht="15.75" customHeight="1">
      <c r="A45" s="20">
        <v>293739</v>
      </c>
      <c r="B45" s="20" t="s">
        <v>1355</v>
      </c>
      <c r="C45" s="20" t="s">
        <v>5108</v>
      </c>
      <c r="D45" s="20">
        <v>1</v>
      </c>
      <c r="E45" s="20" t="s">
        <v>5089</v>
      </c>
      <c r="F45" s="20" t="s">
        <v>1224</v>
      </c>
    </row>
    <row r="46" spans="1:6" s="21" customFormat="1" ht="15.75" customHeight="1">
      <c r="A46" s="20">
        <v>293740</v>
      </c>
      <c r="B46" s="20" t="s">
        <v>1356</v>
      </c>
      <c r="C46" s="20" t="s">
        <v>5108</v>
      </c>
      <c r="D46" s="20">
        <v>1</v>
      </c>
      <c r="E46" s="20" t="s">
        <v>5089</v>
      </c>
      <c r="F46" s="20" t="s">
        <v>1224</v>
      </c>
    </row>
    <row r="47" spans="1:6" s="21" customFormat="1" ht="15.75" customHeight="1">
      <c r="A47" s="20">
        <v>293750</v>
      </c>
      <c r="B47" s="20" t="s">
        <v>1357</v>
      </c>
      <c r="C47" s="20" t="s">
        <v>1357</v>
      </c>
      <c r="D47" s="20">
        <v>1</v>
      </c>
      <c r="E47" s="20" t="s">
        <v>5089</v>
      </c>
      <c r="F47" s="20" t="s">
        <v>1224</v>
      </c>
    </row>
    <row r="48" spans="1:6" s="21" customFormat="1" ht="15.75" customHeight="1">
      <c r="A48" s="20">
        <v>293790</v>
      </c>
      <c r="B48" s="20" t="s">
        <v>1358</v>
      </c>
      <c r="C48" s="20" t="s">
        <v>5109</v>
      </c>
      <c r="D48" s="20">
        <v>1</v>
      </c>
      <c r="E48" s="20" t="s">
        <v>5089</v>
      </c>
      <c r="F48" s="20" t="s">
        <v>1224</v>
      </c>
    </row>
    <row r="49" spans="1:6" s="21" customFormat="1" ht="15.75" customHeight="1">
      <c r="A49" s="20">
        <v>293810</v>
      </c>
      <c r="B49" s="20" t="s">
        <v>1359</v>
      </c>
      <c r="C49" s="20" t="s">
        <v>5110</v>
      </c>
      <c r="D49" s="20">
        <v>1</v>
      </c>
      <c r="E49" s="20" t="s">
        <v>5089</v>
      </c>
      <c r="F49" s="20" t="s">
        <v>1224</v>
      </c>
    </row>
    <row r="50" spans="1:6" s="21" customFormat="1" ht="15.75" customHeight="1">
      <c r="A50" s="20">
        <v>293890</v>
      </c>
      <c r="B50" s="20" t="s">
        <v>1360</v>
      </c>
      <c r="C50" s="20" t="s">
        <v>5110</v>
      </c>
      <c r="D50" s="20">
        <v>1</v>
      </c>
      <c r="E50" s="20" t="s">
        <v>5089</v>
      </c>
      <c r="F50" s="20" t="s">
        <v>1224</v>
      </c>
    </row>
    <row r="51" spans="1:6" s="21" customFormat="1" ht="15.75" customHeight="1">
      <c r="A51" s="20">
        <v>293911</v>
      </c>
      <c r="B51" s="20" t="s">
        <v>1361</v>
      </c>
      <c r="C51" s="20" t="s">
        <v>5111</v>
      </c>
      <c r="D51" s="20">
        <v>1</v>
      </c>
      <c r="E51" s="20" t="s">
        <v>5089</v>
      </c>
      <c r="F51" s="20" t="s">
        <v>1224</v>
      </c>
    </row>
    <row r="52" spans="1:6" s="21" customFormat="1" ht="15.75" customHeight="1">
      <c r="A52" s="20">
        <v>293919</v>
      </c>
      <c r="B52" s="20" t="s">
        <v>1362</v>
      </c>
      <c r="C52" s="20" t="s">
        <v>5111</v>
      </c>
      <c r="D52" s="20">
        <v>1</v>
      </c>
      <c r="E52" s="20" t="s">
        <v>5089</v>
      </c>
      <c r="F52" s="20" t="s">
        <v>1224</v>
      </c>
    </row>
    <row r="53" spans="1:6" s="21" customFormat="1" ht="15.75" customHeight="1">
      <c r="A53" s="20">
        <v>293920</v>
      </c>
      <c r="B53" s="20" t="s">
        <v>1363</v>
      </c>
      <c r="C53" s="20" t="s">
        <v>5111</v>
      </c>
      <c r="D53" s="20">
        <v>1</v>
      </c>
      <c r="E53" s="20" t="s">
        <v>5089</v>
      </c>
      <c r="F53" s="20" t="s">
        <v>1224</v>
      </c>
    </row>
    <row r="54" spans="1:6" s="21" customFormat="1" ht="15.75" customHeight="1">
      <c r="A54" s="20">
        <v>293930</v>
      </c>
      <c r="B54" s="20" t="s">
        <v>1364</v>
      </c>
      <c r="C54" s="20" t="s">
        <v>5111</v>
      </c>
      <c r="D54" s="20">
        <v>1</v>
      </c>
      <c r="E54" s="20" t="s">
        <v>5089</v>
      </c>
      <c r="F54" s="20" t="s">
        <v>1224</v>
      </c>
    </row>
    <row r="55" spans="1:6" s="21" customFormat="1" ht="15.75" customHeight="1">
      <c r="A55" s="20">
        <v>293941</v>
      </c>
      <c r="B55" s="20" t="s">
        <v>1365</v>
      </c>
      <c r="C55" s="20" t="s">
        <v>5111</v>
      </c>
      <c r="D55" s="20">
        <v>1</v>
      </c>
      <c r="E55" s="20" t="s">
        <v>5089</v>
      </c>
      <c r="F55" s="20" t="s">
        <v>1224</v>
      </c>
    </row>
    <row r="56" spans="1:6" s="21" customFormat="1" ht="15.75" customHeight="1">
      <c r="A56" s="20">
        <v>293942</v>
      </c>
      <c r="B56" s="20" t="s">
        <v>1366</v>
      </c>
      <c r="C56" s="20" t="s">
        <v>5111</v>
      </c>
      <c r="D56" s="20">
        <v>1</v>
      </c>
      <c r="E56" s="20" t="s">
        <v>5089</v>
      </c>
      <c r="F56" s="20" t="s">
        <v>1224</v>
      </c>
    </row>
    <row r="57" spans="1:6" s="21" customFormat="1" ht="15.75" customHeight="1">
      <c r="A57" s="20">
        <v>293943</v>
      </c>
      <c r="B57" s="20" t="s">
        <v>1367</v>
      </c>
      <c r="C57" s="20" t="s">
        <v>5111</v>
      </c>
      <c r="D57" s="20">
        <v>1</v>
      </c>
      <c r="E57" s="20" t="s">
        <v>5089</v>
      </c>
      <c r="F57" s="20" t="s">
        <v>1224</v>
      </c>
    </row>
    <row r="58" spans="1:6" s="21" customFormat="1" ht="15.75" customHeight="1">
      <c r="A58" s="20">
        <v>293949</v>
      </c>
      <c r="B58" s="20" t="s">
        <v>1368</v>
      </c>
      <c r="C58" s="20" t="s">
        <v>5111</v>
      </c>
      <c r="D58" s="20">
        <v>1</v>
      </c>
      <c r="E58" s="20" t="s">
        <v>5089</v>
      </c>
      <c r="F58" s="20" t="s">
        <v>1224</v>
      </c>
    </row>
    <row r="59" spans="1:6" s="21" customFormat="1" ht="15.75" customHeight="1">
      <c r="A59" s="20">
        <v>293951</v>
      </c>
      <c r="B59" s="20" t="s">
        <v>1369</v>
      </c>
      <c r="C59" s="20" t="s">
        <v>5112</v>
      </c>
      <c r="D59" s="20">
        <v>1</v>
      </c>
      <c r="E59" s="20" t="s">
        <v>5089</v>
      </c>
      <c r="F59" s="20" t="s">
        <v>1224</v>
      </c>
    </row>
    <row r="60" spans="1:6" s="21" customFormat="1" ht="15.75" customHeight="1">
      <c r="A60" s="20">
        <v>293959</v>
      </c>
      <c r="B60" s="20" t="s">
        <v>1370</v>
      </c>
      <c r="C60" s="20" t="s">
        <v>5112</v>
      </c>
      <c r="D60" s="20">
        <v>1</v>
      </c>
      <c r="E60" s="20" t="s">
        <v>5089</v>
      </c>
      <c r="F60" s="20" t="s">
        <v>1224</v>
      </c>
    </row>
    <row r="61" spans="1:6" s="21" customFormat="1" ht="15.75" customHeight="1">
      <c r="A61" s="20">
        <v>293961</v>
      </c>
      <c r="B61" s="20" t="s">
        <v>1371</v>
      </c>
      <c r="C61" s="20" t="s">
        <v>5111</v>
      </c>
      <c r="D61" s="20">
        <v>1</v>
      </c>
      <c r="E61" s="20" t="s">
        <v>5089</v>
      </c>
      <c r="F61" s="20" t="s">
        <v>1224</v>
      </c>
    </row>
    <row r="62" spans="1:6" s="21" customFormat="1" ht="15.75" customHeight="1">
      <c r="A62" s="20">
        <v>293962</v>
      </c>
      <c r="B62" s="20" t="s">
        <v>1372</v>
      </c>
      <c r="C62" s="20" t="s">
        <v>5111</v>
      </c>
      <c r="D62" s="20">
        <v>1</v>
      </c>
      <c r="E62" s="20" t="s">
        <v>5089</v>
      </c>
      <c r="F62" s="20" t="s">
        <v>1224</v>
      </c>
    </row>
    <row r="63" spans="1:6" s="21" customFormat="1" ht="15.75" customHeight="1">
      <c r="A63" s="20">
        <v>293963</v>
      </c>
      <c r="B63" s="20" t="s">
        <v>1373</v>
      </c>
      <c r="C63" s="20" t="s">
        <v>5111</v>
      </c>
      <c r="D63" s="20">
        <v>1</v>
      </c>
      <c r="E63" s="20" t="s">
        <v>5089</v>
      </c>
      <c r="F63" s="20" t="s">
        <v>1224</v>
      </c>
    </row>
    <row r="64" spans="1:6" s="21" customFormat="1" ht="15.75" customHeight="1">
      <c r="A64" s="20">
        <v>293969</v>
      </c>
      <c r="B64" s="20" t="s">
        <v>1374</v>
      </c>
      <c r="C64" s="20" t="s">
        <v>5111</v>
      </c>
      <c r="D64" s="20">
        <v>1</v>
      </c>
      <c r="E64" s="20" t="s">
        <v>5089</v>
      </c>
      <c r="F64" s="20" t="s">
        <v>1224</v>
      </c>
    </row>
    <row r="65" spans="1:6" s="21" customFormat="1" ht="15.75" customHeight="1">
      <c r="A65" s="20">
        <v>293991</v>
      </c>
      <c r="B65" s="20" t="s">
        <v>1375</v>
      </c>
      <c r="C65" s="20" t="s">
        <v>5111</v>
      </c>
      <c r="D65" s="20">
        <v>1</v>
      </c>
      <c r="E65" s="20" t="s">
        <v>5089</v>
      </c>
      <c r="F65" s="20" t="s">
        <v>1224</v>
      </c>
    </row>
    <row r="66" spans="1:6" s="21" customFormat="1" ht="15.75" customHeight="1">
      <c r="A66" s="20">
        <v>293999</v>
      </c>
      <c r="B66" s="20" t="s">
        <v>1376</v>
      </c>
      <c r="C66" s="20" t="s">
        <v>5111</v>
      </c>
      <c r="D66" s="20">
        <v>1</v>
      </c>
      <c r="E66" s="20" t="s">
        <v>5089</v>
      </c>
      <c r="F66" s="20" t="s">
        <v>1224</v>
      </c>
    </row>
    <row r="67" spans="1:6" s="21" customFormat="1" ht="15.75" customHeight="1">
      <c r="A67" s="20">
        <v>294110</v>
      </c>
      <c r="B67" s="20" t="s">
        <v>1380</v>
      </c>
      <c r="C67" s="20" t="s">
        <v>5113</v>
      </c>
      <c r="D67" s="20">
        <v>1</v>
      </c>
      <c r="E67" s="20" t="s">
        <v>5089</v>
      </c>
      <c r="F67" s="20" t="s">
        <v>1224</v>
      </c>
    </row>
    <row r="68" spans="1:6" s="21" customFormat="1" ht="15.75" customHeight="1">
      <c r="A68" s="20">
        <v>294120</v>
      </c>
      <c r="B68" s="20" t="s">
        <v>1381</v>
      </c>
      <c r="C68" s="20" t="s">
        <v>5113</v>
      </c>
      <c r="D68" s="20">
        <v>1</v>
      </c>
      <c r="E68" s="20" t="s">
        <v>5089</v>
      </c>
      <c r="F68" s="20" t="s">
        <v>1224</v>
      </c>
    </row>
    <row r="69" spans="1:6" s="21" customFormat="1" ht="15.75" customHeight="1">
      <c r="A69" s="20">
        <v>294130</v>
      </c>
      <c r="B69" s="20" t="s">
        <v>1382</v>
      </c>
      <c r="C69" s="20" t="s">
        <v>5113</v>
      </c>
      <c r="D69" s="20">
        <v>1</v>
      </c>
      <c r="E69" s="20" t="s">
        <v>5089</v>
      </c>
      <c r="F69" s="20" t="s">
        <v>1224</v>
      </c>
    </row>
    <row r="70" spans="1:6" s="21" customFormat="1" ht="15.75" customHeight="1">
      <c r="A70" s="20">
        <v>294140</v>
      </c>
      <c r="B70" s="20" t="s">
        <v>1383</v>
      </c>
      <c r="C70" s="20" t="s">
        <v>5113</v>
      </c>
      <c r="D70" s="20">
        <v>1</v>
      </c>
      <c r="E70" s="20" t="s">
        <v>5089</v>
      </c>
      <c r="F70" s="20" t="s">
        <v>1224</v>
      </c>
    </row>
    <row r="71" spans="1:6" s="21" customFormat="1" ht="15.75" customHeight="1">
      <c r="A71" s="20">
        <v>294150</v>
      </c>
      <c r="B71" s="20" t="s">
        <v>1384</v>
      </c>
      <c r="C71" s="20" t="s">
        <v>5113</v>
      </c>
      <c r="D71" s="20">
        <v>1</v>
      </c>
      <c r="E71" s="20" t="s">
        <v>5089</v>
      </c>
      <c r="F71" s="20" t="s">
        <v>1224</v>
      </c>
    </row>
    <row r="72" spans="1:6" s="21" customFormat="1" ht="15.75" customHeight="1">
      <c r="A72" s="20">
        <v>294190</v>
      </c>
      <c r="B72" s="20" t="s">
        <v>1385</v>
      </c>
      <c r="C72" s="20" t="s">
        <v>5113</v>
      </c>
      <c r="D72" s="20">
        <v>1</v>
      </c>
      <c r="E72" s="20" t="s">
        <v>5089</v>
      </c>
      <c r="F72" s="20" t="s">
        <v>1224</v>
      </c>
    </row>
    <row r="73" spans="1:6" s="21" customFormat="1" ht="15.75" customHeight="1">
      <c r="A73" s="20">
        <v>300120</v>
      </c>
      <c r="B73" s="20" t="s">
        <v>1387</v>
      </c>
      <c r="C73" s="20" t="s">
        <v>5141</v>
      </c>
      <c r="D73" s="20">
        <v>1</v>
      </c>
      <c r="E73" s="20" t="s">
        <v>6261</v>
      </c>
      <c r="F73" s="20" t="s">
        <v>6261</v>
      </c>
    </row>
    <row r="74" spans="1:6" s="21" customFormat="1" ht="15.75" customHeight="1">
      <c r="A74" s="20">
        <v>300190</v>
      </c>
      <c r="B74" s="20" t="s">
        <v>1390</v>
      </c>
      <c r="C74" s="20" t="s">
        <v>5141</v>
      </c>
      <c r="D74" s="20">
        <v>1</v>
      </c>
      <c r="E74" s="20" t="s">
        <v>6261</v>
      </c>
      <c r="F74" s="20" t="s">
        <v>6261</v>
      </c>
    </row>
    <row r="75" spans="1:6" s="21" customFormat="1" ht="15.75" customHeight="1">
      <c r="A75" s="20">
        <v>300210</v>
      </c>
      <c r="B75" s="20" t="s">
        <v>1391</v>
      </c>
      <c r="C75" s="20" t="s">
        <v>5116</v>
      </c>
      <c r="D75" s="20">
        <v>1</v>
      </c>
      <c r="E75" s="20" t="s">
        <v>6260</v>
      </c>
      <c r="F75" s="20" t="s">
        <v>6260</v>
      </c>
    </row>
    <row r="76" spans="1:6" s="21" customFormat="1" ht="15.75" customHeight="1">
      <c r="A76" s="20">
        <v>300220</v>
      </c>
      <c r="B76" s="20" t="s">
        <v>1392</v>
      </c>
      <c r="C76" s="20" t="s">
        <v>5115</v>
      </c>
      <c r="D76" s="20">
        <v>1</v>
      </c>
      <c r="E76" s="20" t="s">
        <v>5089</v>
      </c>
      <c r="F76" s="20" t="s">
        <v>1393</v>
      </c>
    </row>
    <row r="77" spans="1:6" s="21" customFormat="1" ht="15.75" hidden="1" customHeight="1">
      <c r="A77" s="21">
        <v>300290</v>
      </c>
      <c r="B77" s="21" t="s">
        <v>1397</v>
      </c>
      <c r="C77" s="21" t="s">
        <v>1397</v>
      </c>
      <c r="E77" s="20"/>
      <c r="F77" s="20"/>
    </row>
    <row r="78" spans="1:6" s="21" customFormat="1" ht="15.75" customHeight="1">
      <c r="A78" s="20">
        <v>300310</v>
      </c>
      <c r="B78" s="20" t="s">
        <v>1401</v>
      </c>
      <c r="C78" s="20" t="s">
        <v>5114</v>
      </c>
      <c r="D78" s="20">
        <v>1</v>
      </c>
      <c r="E78" s="20" t="s">
        <v>5089</v>
      </c>
      <c r="F78" s="20" t="s">
        <v>1402</v>
      </c>
    </row>
    <row r="79" spans="1:6" s="21" customFormat="1" ht="15.75" customHeight="1">
      <c r="A79" s="20">
        <v>300320</v>
      </c>
      <c r="B79" s="20" t="s">
        <v>1403</v>
      </c>
      <c r="C79" s="20" t="s">
        <v>5114</v>
      </c>
      <c r="D79" s="20">
        <v>1</v>
      </c>
      <c r="E79" s="20" t="s">
        <v>5089</v>
      </c>
      <c r="F79" s="20" t="s">
        <v>1402</v>
      </c>
    </row>
    <row r="80" spans="1:6" s="21" customFormat="1" ht="15.75" customHeight="1">
      <c r="A80" s="20">
        <v>300331</v>
      </c>
      <c r="B80" s="20" t="s">
        <v>1404</v>
      </c>
      <c r="C80" s="20" t="s">
        <v>5114</v>
      </c>
      <c r="D80" s="20">
        <v>1</v>
      </c>
      <c r="E80" s="20" t="s">
        <v>5089</v>
      </c>
      <c r="F80" s="20" t="s">
        <v>1402</v>
      </c>
    </row>
    <row r="81" spans="1:6" s="21" customFormat="1" ht="15.75" customHeight="1">
      <c r="A81" s="20">
        <v>300339</v>
      </c>
      <c r="B81" s="20" t="s">
        <v>1406</v>
      </c>
      <c r="C81" s="20" t="s">
        <v>5114</v>
      </c>
      <c r="D81" s="20">
        <v>1</v>
      </c>
      <c r="E81" s="20" t="s">
        <v>5089</v>
      </c>
      <c r="F81" s="20" t="s">
        <v>1402</v>
      </c>
    </row>
    <row r="82" spans="1:6" s="21" customFormat="1" ht="15.75" customHeight="1">
      <c r="A82" s="20">
        <v>300340</v>
      </c>
      <c r="B82" s="20" t="s">
        <v>1407</v>
      </c>
      <c r="C82" s="20" t="s">
        <v>5114</v>
      </c>
      <c r="D82" s="20">
        <v>1</v>
      </c>
      <c r="E82" s="20" t="s">
        <v>5089</v>
      </c>
      <c r="F82" s="20" t="s">
        <v>1402</v>
      </c>
    </row>
    <row r="83" spans="1:6" s="21" customFormat="1" ht="15.75" customHeight="1">
      <c r="A83" s="20">
        <v>300390</v>
      </c>
      <c r="B83" s="20" t="s">
        <v>1408</v>
      </c>
      <c r="C83" s="20" t="s">
        <v>5114</v>
      </c>
      <c r="D83" s="20">
        <v>1</v>
      </c>
      <c r="E83" s="20" t="s">
        <v>5089</v>
      </c>
      <c r="F83" s="20" t="s">
        <v>1402</v>
      </c>
    </row>
    <row r="84" spans="1:6" s="21" customFormat="1" ht="15.75" customHeight="1">
      <c r="A84" s="20">
        <v>300410</v>
      </c>
      <c r="B84" s="20" t="s">
        <v>1409</v>
      </c>
      <c r="C84" s="20" t="s">
        <v>5114</v>
      </c>
      <c r="D84" s="20">
        <v>1</v>
      </c>
      <c r="E84" s="20" t="s">
        <v>5089</v>
      </c>
      <c r="F84" s="20" t="s">
        <v>1402</v>
      </c>
    </row>
    <row r="85" spans="1:6" s="21" customFormat="1" ht="15.75" customHeight="1">
      <c r="A85" s="20">
        <v>300420</v>
      </c>
      <c r="B85" s="20" t="s">
        <v>1410</v>
      </c>
      <c r="C85" s="20" t="s">
        <v>5114</v>
      </c>
      <c r="D85" s="20">
        <v>1</v>
      </c>
      <c r="E85" s="20" t="s">
        <v>5089</v>
      </c>
      <c r="F85" s="20" t="s">
        <v>1402</v>
      </c>
    </row>
    <row r="86" spans="1:6" s="21" customFormat="1" ht="15.75" customHeight="1">
      <c r="A86" s="20">
        <v>300431</v>
      </c>
      <c r="B86" s="20" t="s">
        <v>1411</v>
      </c>
      <c r="C86" s="20" t="s">
        <v>5114</v>
      </c>
      <c r="D86" s="20">
        <v>1</v>
      </c>
      <c r="E86" s="20" t="s">
        <v>5089</v>
      </c>
      <c r="F86" s="20" t="s">
        <v>1402</v>
      </c>
    </row>
    <row r="87" spans="1:6" s="21" customFormat="1" ht="15.75" customHeight="1">
      <c r="A87" s="20">
        <v>300432</v>
      </c>
      <c r="B87" s="20" t="s">
        <v>1412</v>
      </c>
      <c r="C87" s="20" t="s">
        <v>5114</v>
      </c>
      <c r="D87" s="20">
        <v>1</v>
      </c>
      <c r="E87" s="20" t="s">
        <v>5089</v>
      </c>
      <c r="F87" s="20" t="s">
        <v>1402</v>
      </c>
    </row>
    <row r="88" spans="1:6" s="21" customFormat="1" ht="15.75" customHeight="1">
      <c r="A88" s="20">
        <v>300439</v>
      </c>
      <c r="B88" s="20" t="s">
        <v>1413</v>
      </c>
      <c r="C88" s="20" t="s">
        <v>5114</v>
      </c>
      <c r="D88" s="20">
        <v>1</v>
      </c>
      <c r="E88" s="20" t="s">
        <v>5089</v>
      </c>
      <c r="F88" s="20" t="s">
        <v>1402</v>
      </c>
    </row>
    <row r="89" spans="1:6" s="21" customFormat="1" ht="15.75" customHeight="1">
      <c r="A89" s="20">
        <v>300440</v>
      </c>
      <c r="B89" s="20" t="s">
        <v>1414</v>
      </c>
      <c r="C89" s="20" t="s">
        <v>5114</v>
      </c>
      <c r="D89" s="20">
        <v>1</v>
      </c>
      <c r="E89" s="20" t="s">
        <v>5089</v>
      </c>
      <c r="F89" s="20" t="s">
        <v>1402</v>
      </c>
    </row>
    <row r="90" spans="1:6" s="21" customFormat="1" ht="15.75" customHeight="1">
      <c r="A90" s="20">
        <v>300450</v>
      </c>
      <c r="B90" s="20" t="s">
        <v>1415</v>
      </c>
      <c r="C90" s="20" t="s">
        <v>5114</v>
      </c>
      <c r="D90" s="20">
        <v>1</v>
      </c>
      <c r="E90" s="20" t="s">
        <v>5089</v>
      </c>
      <c r="F90" s="20" t="s">
        <v>1402</v>
      </c>
    </row>
    <row r="91" spans="1:6" s="21" customFormat="1" ht="15.75" customHeight="1">
      <c r="A91" s="20">
        <v>300490</v>
      </c>
      <c r="B91" s="20" t="s">
        <v>1416</v>
      </c>
      <c r="C91" s="20" t="s">
        <v>5114</v>
      </c>
      <c r="D91" s="20">
        <v>1</v>
      </c>
      <c r="E91" s="20" t="s">
        <v>5089</v>
      </c>
      <c r="F91" s="20" t="s">
        <v>1402</v>
      </c>
    </row>
    <row r="92" spans="1:6" s="21" customFormat="1" ht="15.75" customHeight="1">
      <c r="A92" s="20">
        <v>300510</v>
      </c>
      <c r="B92" s="20" t="s">
        <v>1417</v>
      </c>
      <c r="C92" s="20" t="s">
        <v>5117</v>
      </c>
      <c r="D92" s="20">
        <v>1</v>
      </c>
      <c r="E92" s="20" t="s">
        <v>1419</v>
      </c>
      <c r="F92" s="20" t="s">
        <v>6251</v>
      </c>
    </row>
    <row r="93" spans="1:6" s="21" customFormat="1" ht="15.75" customHeight="1">
      <c r="A93" s="20">
        <v>300590</v>
      </c>
      <c r="B93" s="20" t="s">
        <v>1420</v>
      </c>
      <c r="C93" s="20" t="s">
        <v>5118</v>
      </c>
      <c r="D93" s="20">
        <v>1</v>
      </c>
      <c r="E93" s="20" t="s">
        <v>1419</v>
      </c>
      <c r="F93" s="20" t="s">
        <v>6251</v>
      </c>
    </row>
    <row r="94" spans="1:6" s="21" customFormat="1" ht="15.75" customHeight="1">
      <c r="A94" s="20">
        <v>300610</v>
      </c>
      <c r="B94" s="20" t="s">
        <v>1421</v>
      </c>
      <c r="C94" s="20" t="s">
        <v>5119</v>
      </c>
      <c r="D94" s="20">
        <v>1</v>
      </c>
      <c r="E94" s="20" t="s">
        <v>1419</v>
      </c>
      <c r="F94" s="20" t="s">
        <v>6247</v>
      </c>
    </row>
    <row r="95" spans="1:6" s="21" customFormat="1" ht="15.75" customHeight="1">
      <c r="A95" s="20">
        <v>300620</v>
      </c>
      <c r="B95" s="20" t="s">
        <v>1422</v>
      </c>
      <c r="C95" s="20" t="s">
        <v>5119</v>
      </c>
      <c r="D95" s="20">
        <v>1</v>
      </c>
      <c r="E95" s="20" t="s">
        <v>1419</v>
      </c>
      <c r="F95" s="20" t="s">
        <v>6252</v>
      </c>
    </row>
    <row r="96" spans="1:6" s="21" customFormat="1" ht="15.75" customHeight="1">
      <c r="A96" s="20">
        <v>300630</v>
      </c>
      <c r="B96" s="20" t="s">
        <v>1425</v>
      </c>
      <c r="C96" s="20" t="s">
        <v>5119</v>
      </c>
      <c r="D96" s="20">
        <v>1</v>
      </c>
      <c r="E96" s="20" t="s">
        <v>1419</v>
      </c>
      <c r="F96" s="20" t="s">
        <v>6252</v>
      </c>
    </row>
    <row r="97" spans="1:6" s="21" customFormat="1" ht="15.75" customHeight="1">
      <c r="A97" s="20">
        <v>300640</v>
      </c>
      <c r="B97" s="20" t="s">
        <v>1426</v>
      </c>
      <c r="C97" s="20" t="s">
        <v>5119</v>
      </c>
      <c r="D97" s="20">
        <v>1</v>
      </c>
      <c r="E97" s="20" t="s">
        <v>1419</v>
      </c>
      <c r="F97" s="20" t="s">
        <v>6248</v>
      </c>
    </row>
    <row r="98" spans="1:6" s="21" customFormat="1" ht="15.75" customHeight="1">
      <c r="A98" s="20">
        <v>300650</v>
      </c>
      <c r="B98" s="20" t="s">
        <v>1427</v>
      </c>
      <c r="C98" s="20" t="s">
        <v>5119</v>
      </c>
      <c r="D98" s="20">
        <v>1</v>
      </c>
      <c r="E98" s="20" t="s">
        <v>1419</v>
      </c>
      <c r="F98" s="20" t="s">
        <v>6249</v>
      </c>
    </row>
    <row r="99" spans="1:6" s="21" customFormat="1" ht="15.75" customHeight="1">
      <c r="A99" s="20">
        <v>300660</v>
      </c>
      <c r="B99" s="20" t="s">
        <v>1428</v>
      </c>
      <c r="C99" s="20" t="s">
        <v>5119</v>
      </c>
      <c r="D99" s="20">
        <v>1</v>
      </c>
      <c r="E99" s="20" t="s">
        <v>1419</v>
      </c>
      <c r="F99" s="20" t="s">
        <v>6249</v>
      </c>
    </row>
    <row r="100" spans="1:6" s="21" customFormat="1" ht="15.75" customHeight="1">
      <c r="A100" s="20">
        <v>300670</v>
      </c>
      <c r="B100" s="20" t="s">
        <v>1430</v>
      </c>
      <c r="C100" s="20" t="s">
        <v>5119</v>
      </c>
      <c r="D100" s="20">
        <v>1</v>
      </c>
      <c r="E100" s="20" t="s">
        <v>1419</v>
      </c>
      <c r="F100" s="20" t="s">
        <v>6249</v>
      </c>
    </row>
    <row r="101" spans="1:6" s="21" customFormat="1" ht="15.75" customHeight="1">
      <c r="A101" s="20">
        <v>300691</v>
      </c>
      <c r="B101" s="20" t="s">
        <v>1431</v>
      </c>
      <c r="C101" s="20" t="s">
        <v>5119</v>
      </c>
      <c r="D101" s="20">
        <v>1</v>
      </c>
      <c r="E101" s="20" t="s">
        <v>1419</v>
      </c>
      <c r="F101" s="20" t="s">
        <v>6249</v>
      </c>
    </row>
    <row r="102" spans="1:6" s="21" customFormat="1" ht="15.75" hidden="1" customHeight="1">
      <c r="A102" s="22">
        <v>300692</v>
      </c>
      <c r="B102" s="22" t="s">
        <v>1432</v>
      </c>
      <c r="C102" s="20" t="s">
        <v>5119</v>
      </c>
      <c r="D102" s="20" t="s">
        <v>6262</v>
      </c>
      <c r="E102" s="20"/>
      <c r="F102" s="20"/>
    </row>
    <row r="103" spans="1:6" s="21" customFormat="1" ht="15.75" customHeight="1">
      <c r="A103" s="20">
        <v>340700</v>
      </c>
      <c r="B103" s="20" t="s">
        <v>1552</v>
      </c>
      <c r="C103" s="20" t="s">
        <v>5120</v>
      </c>
      <c r="D103" s="20">
        <v>1</v>
      </c>
      <c r="E103" s="20" t="s">
        <v>1419</v>
      </c>
      <c r="F103" s="20" t="s">
        <v>6248</v>
      </c>
    </row>
    <row r="104" spans="1:6" s="21" customFormat="1" ht="15.75" customHeight="1">
      <c r="A104" s="21">
        <v>382100</v>
      </c>
      <c r="B104" s="21" t="s">
        <v>1655</v>
      </c>
      <c r="C104" s="21" t="s">
        <v>1655</v>
      </c>
      <c r="D104" s="20">
        <v>1</v>
      </c>
      <c r="E104" s="21" t="s">
        <v>1419</v>
      </c>
      <c r="F104" s="20" t="s">
        <v>6252</v>
      </c>
    </row>
    <row r="105" spans="1:6" s="21" customFormat="1" ht="15.75" customHeight="1">
      <c r="A105" s="21">
        <v>382200</v>
      </c>
      <c r="B105" s="20" t="s">
        <v>1657</v>
      </c>
      <c r="C105" s="20" t="s">
        <v>5140</v>
      </c>
      <c r="D105" s="20">
        <v>1</v>
      </c>
      <c r="E105" s="20" t="s">
        <v>1419</v>
      </c>
      <c r="F105" s="20" t="s">
        <v>6252</v>
      </c>
    </row>
    <row r="106" spans="1:6" s="21" customFormat="1" ht="15.75" customHeight="1">
      <c r="A106" s="20">
        <v>401490</v>
      </c>
      <c r="B106" s="20" t="s">
        <v>1889</v>
      </c>
      <c r="C106" s="20" t="s">
        <v>5121</v>
      </c>
      <c r="D106" s="20">
        <v>1</v>
      </c>
      <c r="E106" s="20" t="s">
        <v>1419</v>
      </c>
      <c r="F106" s="21" t="s">
        <v>6249</v>
      </c>
    </row>
    <row r="107" spans="1:6" s="21" customFormat="1" ht="15.75" customHeight="1">
      <c r="A107" s="20">
        <v>401511</v>
      </c>
      <c r="B107" s="20" t="s">
        <v>1890</v>
      </c>
      <c r="C107" s="20" t="s">
        <v>5121</v>
      </c>
      <c r="D107" s="20">
        <v>1</v>
      </c>
      <c r="E107" s="20" t="s">
        <v>1419</v>
      </c>
      <c r="F107" s="20" t="s">
        <v>6251</v>
      </c>
    </row>
    <row r="108" spans="1:6" s="21" customFormat="1" ht="15.75" customHeight="1">
      <c r="A108" s="20">
        <v>611510</v>
      </c>
      <c r="B108" s="20" t="s">
        <v>2825</v>
      </c>
      <c r="C108" s="20" t="s">
        <v>2825</v>
      </c>
      <c r="D108" s="20">
        <v>1</v>
      </c>
      <c r="E108" s="20" t="s">
        <v>1419</v>
      </c>
      <c r="F108" s="20" t="s">
        <v>6253</v>
      </c>
    </row>
    <row r="109" spans="1:6" s="21" customFormat="1" ht="15.75" customHeight="1">
      <c r="A109" s="20">
        <v>841920</v>
      </c>
      <c r="B109" s="20" t="s">
        <v>3920</v>
      </c>
      <c r="C109" s="20" t="s">
        <v>5122</v>
      </c>
      <c r="D109" s="20">
        <v>1</v>
      </c>
      <c r="E109" s="20" t="s">
        <v>1419</v>
      </c>
      <c r="F109" s="20" t="s">
        <v>6254</v>
      </c>
    </row>
    <row r="110" spans="1:6" s="21" customFormat="1" ht="15.75" customHeight="1">
      <c r="A110" s="20">
        <v>871310</v>
      </c>
      <c r="B110" s="20" t="s">
        <v>4667</v>
      </c>
      <c r="C110" s="20" t="s">
        <v>5123</v>
      </c>
      <c r="D110" s="20">
        <v>1</v>
      </c>
      <c r="E110" s="20" t="s">
        <v>1419</v>
      </c>
      <c r="F110" s="20" t="s">
        <v>6253</v>
      </c>
    </row>
    <row r="111" spans="1:6" s="21" customFormat="1" ht="15.75" customHeight="1">
      <c r="A111" s="20">
        <v>871390</v>
      </c>
      <c r="B111" s="20" t="s">
        <v>4668</v>
      </c>
      <c r="C111" s="20" t="s">
        <v>5123</v>
      </c>
      <c r="D111" s="20">
        <v>1</v>
      </c>
      <c r="E111" s="20" t="s">
        <v>1419</v>
      </c>
      <c r="F111" s="20" t="s">
        <v>6253</v>
      </c>
    </row>
    <row r="112" spans="1:6" s="21" customFormat="1" ht="15.75" customHeight="1">
      <c r="A112" s="20">
        <v>871420</v>
      </c>
      <c r="B112" s="20" t="s">
        <v>4671</v>
      </c>
      <c r="C112" s="20" t="s">
        <v>5123</v>
      </c>
      <c r="D112" s="20">
        <v>1</v>
      </c>
      <c r="E112" s="20" t="s">
        <v>1419</v>
      </c>
      <c r="F112" s="20" t="s">
        <v>6253</v>
      </c>
    </row>
    <row r="113" spans="1:6" s="21" customFormat="1" ht="15.75" customHeight="1">
      <c r="A113" s="20">
        <v>900130</v>
      </c>
      <c r="B113" s="20" t="s">
        <v>4722</v>
      </c>
      <c r="C113" s="20" t="s">
        <v>5124</v>
      </c>
      <c r="D113" s="20">
        <v>1</v>
      </c>
      <c r="E113" s="20" t="s">
        <v>1419</v>
      </c>
      <c r="F113" s="20" t="s">
        <v>6253</v>
      </c>
    </row>
    <row r="114" spans="1:6" s="21" customFormat="1" ht="15.75" customHeight="1">
      <c r="A114" s="20">
        <v>900140</v>
      </c>
      <c r="B114" s="20" t="s">
        <v>4723</v>
      </c>
      <c r="C114" s="20" t="s">
        <v>5125</v>
      </c>
      <c r="D114" s="20">
        <v>1</v>
      </c>
      <c r="E114" s="20" t="s">
        <v>1419</v>
      </c>
      <c r="F114" s="20" t="s">
        <v>6253</v>
      </c>
    </row>
    <row r="115" spans="1:6" s="21" customFormat="1" ht="15.75" customHeight="1">
      <c r="A115" s="20">
        <v>900150</v>
      </c>
      <c r="B115" s="20" t="s">
        <v>4724</v>
      </c>
      <c r="C115" s="20" t="s">
        <v>5125</v>
      </c>
      <c r="D115" s="20">
        <v>1</v>
      </c>
      <c r="E115" s="20" t="s">
        <v>1419</v>
      </c>
      <c r="F115" s="20" t="s">
        <v>6253</v>
      </c>
    </row>
    <row r="116" spans="1:6" s="21" customFormat="1" ht="15.75" customHeight="1">
      <c r="A116" s="20">
        <v>900311</v>
      </c>
      <c r="B116" s="20" t="s">
        <v>4730</v>
      </c>
      <c r="C116" s="20" t="s">
        <v>5126</v>
      </c>
      <c r="D116" s="20">
        <v>1</v>
      </c>
      <c r="E116" s="20" t="s">
        <v>1419</v>
      </c>
      <c r="F116" s="20" t="s">
        <v>6253</v>
      </c>
    </row>
    <row r="117" spans="1:6" s="21" customFormat="1" ht="15.75" customHeight="1">
      <c r="A117" s="20">
        <v>900319</v>
      </c>
      <c r="B117" s="20" t="s">
        <v>4731</v>
      </c>
      <c r="C117" s="20" t="s">
        <v>5126</v>
      </c>
      <c r="D117" s="20">
        <v>1</v>
      </c>
      <c r="E117" s="20" t="s">
        <v>1419</v>
      </c>
      <c r="F117" s="20" t="s">
        <v>6253</v>
      </c>
    </row>
    <row r="118" spans="1:6" s="21" customFormat="1" ht="15.75" customHeight="1">
      <c r="A118" s="20">
        <v>900390</v>
      </c>
      <c r="B118" s="20" t="s">
        <v>4732</v>
      </c>
      <c r="C118" s="20" t="s">
        <v>5126</v>
      </c>
      <c r="D118" s="20">
        <v>1</v>
      </c>
      <c r="E118" s="20" t="s">
        <v>1419</v>
      </c>
      <c r="F118" s="20" t="s">
        <v>6253</v>
      </c>
    </row>
    <row r="119" spans="1:6" s="21" customFormat="1" ht="15.75" customHeight="1">
      <c r="A119" s="20">
        <v>900410</v>
      </c>
      <c r="B119" s="20" t="s">
        <v>4733</v>
      </c>
      <c r="C119" s="20" t="s">
        <v>5127</v>
      </c>
      <c r="D119" s="20">
        <v>1</v>
      </c>
      <c r="E119" s="20" t="s">
        <v>1419</v>
      </c>
      <c r="F119" s="20" t="s">
        <v>6253</v>
      </c>
    </row>
    <row r="120" spans="1:6" s="21" customFormat="1" ht="15.75" customHeight="1">
      <c r="A120" s="21">
        <v>901110</v>
      </c>
      <c r="B120" s="21" t="s">
        <v>4763</v>
      </c>
      <c r="C120" s="21" t="s">
        <v>5128</v>
      </c>
      <c r="D120" s="20">
        <v>1</v>
      </c>
      <c r="E120" s="20" t="s">
        <v>1419</v>
      </c>
      <c r="F120" s="20" t="s">
        <v>6250</v>
      </c>
    </row>
    <row r="121" spans="1:6" s="21" customFormat="1" ht="15.75" customHeight="1">
      <c r="A121" s="21">
        <v>901120</v>
      </c>
      <c r="B121" s="21" t="s">
        <v>4764</v>
      </c>
      <c r="C121" s="21" t="s">
        <v>5128</v>
      </c>
      <c r="D121" s="20">
        <v>1</v>
      </c>
      <c r="E121" s="20" t="s">
        <v>1419</v>
      </c>
      <c r="F121" s="20" t="s">
        <v>6250</v>
      </c>
    </row>
    <row r="122" spans="1:6" s="21" customFormat="1" ht="15.75" customHeight="1">
      <c r="A122" s="20">
        <v>901180</v>
      </c>
      <c r="B122" s="20" t="s">
        <v>4765</v>
      </c>
      <c r="C122" s="20" t="s">
        <v>5128</v>
      </c>
      <c r="D122" s="20">
        <v>1</v>
      </c>
      <c r="E122" s="20" t="s">
        <v>1419</v>
      </c>
      <c r="F122" s="20" t="s">
        <v>6250</v>
      </c>
    </row>
    <row r="123" spans="1:6" s="21" customFormat="1" ht="15.75" customHeight="1">
      <c r="A123" s="20">
        <v>901811</v>
      </c>
      <c r="B123" s="20" t="s">
        <v>4790</v>
      </c>
      <c r="C123" s="20" t="s">
        <v>5129</v>
      </c>
      <c r="D123" s="20">
        <v>1</v>
      </c>
      <c r="E123" s="20" t="s">
        <v>1419</v>
      </c>
      <c r="F123" s="20" t="s">
        <v>6255</v>
      </c>
    </row>
    <row r="124" spans="1:6" s="21" customFormat="1" ht="15.75" customHeight="1">
      <c r="A124" s="20">
        <v>901812</v>
      </c>
      <c r="B124" s="20" t="s">
        <v>4792</v>
      </c>
      <c r="C124" s="20" t="s">
        <v>5129</v>
      </c>
      <c r="D124" s="20">
        <v>1</v>
      </c>
      <c r="E124" s="20" t="s">
        <v>1419</v>
      </c>
      <c r="F124" s="20" t="s">
        <v>6256</v>
      </c>
    </row>
    <row r="125" spans="1:6" s="21" customFormat="1" ht="15.75" customHeight="1">
      <c r="A125" s="20">
        <v>901813</v>
      </c>
      <c r="B125" s="20" t="s">
        <v>4793</v>
      </c>
      <c r="C125" s="20" t="s">
        <v>5129</v>
      </c>
      <c r="D125" s="20">
        <v>1</v>
      </c>
      <c r="E125" s="20" t="s">
        <v>1419</v>
      </c>
      <c r="F125" s="20" t="s">
        <v>6256</v>
      </c>
    </row>
    <row r="126" spans="1:6" s="21" customFormat="1" ht="15.75" customHeight="1">
      <c r="A126" s="20">
        <v>901814</v>
      </c>
      <c r="B126" s="20" t="s">
        <v>4794</v>
      </c>
      <c r="C126" s="20" t="s">
        <v>5129</v>
      </c>
      <c r="D126" s="20">
        <v>1</v>
      </c>
      <c r="E126" s="20" t="s">
        <v>1419</v>
      </c>
      <c r="F126" s="20" t="s">
        <v>6256</v>
      </c>
    </row>
    <row r="127" spans="1:6" s="21" customFormat="1" ht="15.75" customHeight="1">
      <c r="A127" s="20">
        <v>901819</v>
      </c>
      <c r="B127" s="20" t="s">
        <v>4795</v>
      </c>
      <c r="C127" s="20" t="s">
        <v>5129</v>
      </c>
      <c r="D127" s="20">
        <v>1</v>
      </c>
      <c r="E127" s="20" t="s">
        <v>1419</v>
      </c>
      <c r="F127" s="20" t="s">
        <v>6255</v>
      </c>
    </row>
    <row r="128" spans="1:6" s="21" customFormat="1" ht="15.75" customHeight="1">
      <c r="A128" s="20">
        <v>901820</v>
      </c>
      <c r="B128" s="20" t="s">
        <v>4796</v>
      </c>
      <c r="C128" s="20" t="s">
        <v>5129</v>
      </c>
      <c r="D128" s="20">
        <v>1</v>
      </c>
      <c r="E128" s="20" t="s">
        <v>1419</v>
      </c>
      <c r="F128" s="20" t="s">
        <v>6257</v>
      </c>
    </row>
    <row r="129" spans="1:6" s="21" customFormat="1" ht="15.75" customHeight="1">
      <c r="A129" s="20">
        <v>901831</v>
      </c>
      <c r="B129" s="20" t="s">
        <v>4797</v>
      </c>
      <c r="C129" s="20" t="s">
        <v>5129</v>
      </c>
      <c r="D129" s="20">
        <v>1</v>
      </c>
      <c r="E129" s="20" t="s">
        <v>1419</v>
      </c>
      <c r="F129" s="20" t="s">
        <v>6247</v>
      </c>
    </row>
    <row r="130" spans="1:6" s="21" customFormat="1" ht="15.75" customHeight="1">
      <c r="A130" s="20">
        <v>901832</v>
      </c>
      <c r="B130" s="20" t="s">
        <v>4798</v>
      </c>
      <c r="C130" s="20" t="s">
        <v>5129</v>
      </c>
      <c r="D130" s="20">
        <v>1</v>
      </c>
      <c r="E130" s="20" t="s">
        <v>1419</v>
      </c>
      <c r="F130" s="20" t="s">
        <v>6247</v>
      </c>
    </row>
    <row r="131" spans="1:6" s="21" customFormat="1" ht="15.75" customHeight="1">
      <c r="A131" s="20">
        <v>901839</v>
      </c>
      <c r="B131" s="20" t="s">
        <v>4799</v>
      </c>
      <c r="C131" s="20" t="s">
        <v>5129</v>
      </c>
      <c r="D131" s="20">
        <v>1</v>
      </c>
      <c r="E131" s="20" t="s">
        <v>1419</v>
      </c>
      <c r="F131" s="20" t="s">
        <v>6247</v>
      </c>
    </row>
    <row r="132" spans="1:6" s="21" customFormat="1" ht="15.75" customHeight="1">
      <c r="A132" s="20">
        <v>901841</v>
      </c>
      <c r="B132" s="20" t="s">
        <v>4800</v>
      </c>
      <c r="C132" s="20" t="s">
        <v>5130</v>
      </c>
      <c r="D132" s="20">
        <v>1</v>
      </c>
      <c r="E132" s="20" t="s">
        <v>1419</v>
      </c>
      <c r="F132" s="20" t="s">
        <v>6248</v>
      </c>
    </row>
    <row r="133" spans="1:6" s="21" customFormat="1" ht="15.75" customHeight="1">
      <c r="A133" s="20">
        <v>901849</v>
      </c>
      <c r="B133" s="20" t="s">
        <v>4801</v>
      </c>
      <c r="C133" s="20" t="s">
        <v>5130</v>
      </c>
      <c r="D133" s="20">
        <v>1</v>
      </c>
      <c r="E133" s="20" t="s">
        <v>1419</v>
      </c>
      <c r="F133" s="20" t="s">
        <v>6248</v>
      </c>
    </row>
    <row r="134" spans="1:6" s="21" customFormat="1" ht="15.75" customHeight="1">
      <c r="A134" s="20">
        <v>901850</v>
      </c>
      <c r="B134" s="20" t="s">
        <v>4802</v>
      </c>
      <c r="C134" s="20" t="s">
        <v>4802</v>
      </c>
      <c r="D134" s="20">
        <v>1</v>
      </c>
      <c r="E134" s="20" t="s">
        <v>1419</v>
      </c>
      <c r="F134" s="20" t="s">
        <v>6253</v>
      </c>
    </row>
    <row r="135" spans="1:6" s="21" customFormat="1" ht="15.75" customHeight="1">
      <c r="A135" s="20">
        <v>901890</v>
      </c>
      <c r="B135" s="20" t="s">
        <v>4803</v>
      </c>
      <c r="C135" s="20" t="s">
        <v>5131</v>
      </c>
      <c r="D135" s="20">
        <v>1</v>
      </c>
      <c r="E135" s="20" t="s">
        <v>1419</v>
      </c>
      <c r="F135" s="20" t="s">
        <v>6247</v>
      </c>
    </row>
    <row r="136" spans="1:6" s="21" customFormat="1" ht="15.75" customHeight="1">
      <c r="A136" s="20">
        <v>901910</v>
      </c>
      <c r="B136" s="20" t="s">
        <v>4804</v>
      </c>
      <c r="C136" s="20" t="s">
        <v>5132</v>
      </c>
      <c r="D136" s="20">
        <v>1</v>
      </c>
      <c r="E136" s="20" t="s">
        <v>1419</v>
      </c>
      <c r="F136" s="20" t="s">
        <v>6253</v>
      </c>
    </row>
    <row r="137" spans="1:6" s="21" customFormat="1" ht="15.75" customHeight="1">
      <c r="A137" s="20">
        <v>901920</v>
      </c>
      <c r="B137" s="20" t="s">
        <v>4805</v>
      </c>
      <c r="C137" s="20" t="s">
        <v>5133</v>
      </c>
      <c r="D137" s="20">
        <v>1</v>
      </c>
      <c r="E137" s="20" t="s">
        <v>1419</v>
      </c>
      <c r="F137" s="20" t="s">
        <v>6253</v>
      </c>
    </row>
    <row r="138" spans="1:6" s="21" customFormat="1" ht="15.75" customHeight="1">
      <c r="A138" s="20">
        <v>902110</v>
      </c>
      <c r="B138" s="20" t="s">
        <v>4807</v>
      </c>
      <c r="C138" s="20" t="s">
        <v>4807</v>
      </c>
      <c r="D138" s="20">
        <v>1</v>
      </c>
      <c r="E138" s="20" t="s">
        <v>1419</v>
      </c>
      <c r="F138" s="20" t="s">
        <v>6253</v>
      </c>
    </row>
    <row r="139" spans="1:6" s="21" customFormat="1" ht="15.75" customHeight="1">
      <c r="A139" s="20">
        <v>902121</v>
      </c>
      <c r="B139" s="20" t="s">
        <v>4808</v>
      </c>
      <c r="C139" s="20" t="s">
        <v>5134</v>
      </c>
      <c r="D139" s="20">
        <v>1</v>
      </c>
      <c r="E139" s="20" t="s">
        <v>1419</v>
      </c>
      <c r="F139" s="20" t="s">
        <v>6248</v>
      </c>
    </row>
    <row r="140" spans="1:6" s="21" customFormat="1" ht="15.75" customHeight="1">
      <c r="A140" s="20">
        <v>902129</v>
      </c>
      <c r="B140" s="20" t="s">
        <v>4809</v>
      </c>
      <c r="C140" s="20" t="s">
        <v>5134</v>
      </c>
      <c r="D140" s="20">
        <v>1</v>
      </c>
      <c r="E140" s="20" t="s">
        <v>1419</v>
      </c>
      <c r="F140" s="20" t="s">
        <v>6248</v>
      </c>
    </row>
    <row r="141" spans="1:6" s="21" customFormat="1" ht="15.75" customHeight="1">
      <c r="A141" s="20">
        <v>902131</v>
      </c>
      <c r="B141" s="20" t="s">
        <v>4810</v>
      </c>
      <c r="C141" s="20" t="s">
        <v>4810</v>
      </c>
      <c r="D141" s="20">
        <v>1</v>
      </c>
      <c r="E141" s="20" t="s">
        <v>1419</v>
      </c>
      <c r="F141" s="20" t="s">
        <v>6253</v>
      </c>
    </row>
    <row r="142" spans="1:6" s="21" customFormat="1" ht="15.75" customHeight="1">
      <c r="A142" s="20">
        <v>902139</v>
      </c>
      <c r="B142" s="20" t="s">
        <v>4811</v>
      </c>
      <c r="C142" s="20" t="s">
        <v>4810</v>
      </c>
      <c r="D142" s="20">
        <v>1</v>
      </c>
      <c r="E142" s="20" t="s">
        <v>1419</v>
      </c>
      <c r="F142" s="20" t="s">
        <v>6253</v>
      </c>
    </row>
    <row r="143" spans="1:6" s="21" customFormat="1" ht="15.75" customHeight="1">
      <c r="A143" s="20">
        <v>902140</v>
      </c>
      <c r="B143" s="20" t="s">
        <v>4812</v>
      </c>
      <c r="C143" s="20" t="s">
        <v>4812</v>
      </c>
      <c r="D143" s="20">
        <v>1</v>
      </c>
      <c r="E143" s="20" t="s">
        <v>1419</v>
      </c>
      <c r="F143" s="20" t="s">
        <v>6253</v>
      </c>
    </row>
    <row r="144" spans="1:6" s="21" customFormat="1" ht="15.75" customHeight="1">
      <c r="A144" s="20">
        <v>902150</v>
      </c>
      <c r="B144" s="20" t="s">
        <v>4813</v>
      </c>
      <c r="C144" s="20" t="s">
        <v>5135</v>
      </c>
      <c r="D144" s="20">
        <v>1</v>
      </c>
      <c r="E144" s="20" t="s">
        <v>1419</v>
      </c>
      <c r="F144" s="20" t="s">
        <v>6258</v>
      </c>
    </row>
    <row r="145" spans="1:6" s="21" customFormat="1" ht="15.75" customHeight="1">
      <c r="A145" s="20">
        <v>902190</v>
      </c>
      <c r="B145" s="20" t="s">
        <v>4814</v>
      </c>
      <c r="C145" s="20" t="s">
        <v>5136</v>
      </c>
      <c r="D145" s="20">
        <v>1</v>
      </c>
      <c r="E145" s="20" t="s">
        <v>1419</v>
      </c>
      <c r="F145" s="20" t="s">
        <v>6253</v>
      </c>
    </row>
    <row r="146" spans="1:6" s="21" customFormat="1" ht="15.75" customHeight="1">
      <c r="A146" s="20">
        <v>902212</v>
      </c>
      <c r="B146" s="20" t="s">
        <v>4815</v>
      </c>
      <c r="C146" s="20" t="s">
        <v>5137</v>
      </c>
      <c r="D146" s="20">
        <v>1</v>
      </c>
      <c r="E146" s="20" t="s">
        <v>1419</v>
      </c>
      <c r="F146" s="20" t="s">
        <v>6256</v>
      </c>
    </row>
    <row r="147" spans="1:6" s="21" customFormat="1" ht="15.75" customHeight="1">
      <c r="A147" s="20">
        <v>902213</v>
      </c>
      <c r="B147" s="20" t="s">
        <v>4817</v>
      </c>
      <c r="C147" s="20" t="s">
        <v>5137</v>
      </c>
      <c r="D147" s="20">
        <v>1</v>
      </c>
      <c r="E147" s="20" t="s">
        <v>1419</v>
      </c>
      <c r="F147" s="20" t="s">
        <v>6256</v>
      </c>
    </row>
    <row r="148" spans="1:6" s="21" customFormat="1" ht="15.75" customHeight="1">
      <c r="A148" s="20">
        <v>902214</v>
      </c>
      <c r="B148" s="20" t="s">
        <v>4818</v>
      </c>
      <c r="C148" s="20" t="s">
        <v>5137</v>
      </c>
      <c r="D148" s="20">
        <v>1</v>
      </c>
      <c r="E148" s="20" t="s">
        <v>1419</v>
      </c>
      <c r="F148" s="20" t="s">
        <v>6256</v>
      </c>
    </row>
    <row r="149" spans="1:6" s="21" customFormat="1" ht="15.75" customHeight="1">
      <c r="A149" s="20">
        <v>902221</v>
      </c>
      <c r="B149" s="20" t="s">
        <v>4820</v>
      </c>
      <c r="C149" s="20" t="s">
        <v>5138</v>
      </c>
      <c r="D149" s="20">
        <v>1</v>
      </c>
      <c r="E149" s="20" t="s">
        <v>1419</v>
      </c>
      <c r="F149" s="20" t="s">
        <v>6256</v>
      </c>
    </row>
    <row r="150" spans="1:6" s="21" customFormat="1" ht="15.75" customHeight="1">
      <c r="A150" s="20">
        <v>902230</v>
      </c>
      <c r="B150" s="20" t="s">
        <v>4822</v>
      </c>
      <c r="C150" s="20" t="s">
        <v>4822</v>
      </c>
      <c r="D150" s="20">
        <v>1</v>
      </c>
      <c r="E150" s="20" t="s">
        <v>1419</v>
      </c>
      <c r="F150" s="20" t="s">
        <v>6256</v>
      </c>
    </row>
    <row r="151" spans="1:6" s="21" customFormat="1" ht="15.75" customHeight="1">
      <c r="A151" s="20">
        <v>902290</v>
      </c>
      <c r="B151" s="20" t="s">
        <v>4823</v>
      </c>
      <c r="C151" s="20" t="s">
        <v>5139</v>
      </c>
      <c r="D151" s="20">
        <v>1</v>
      </c>
      <c r="E151" s="20" t="s">
        <v>1419</v>
      </c>
      <c r="F151" s="20" t="s">
        <v>6256</v>
      </c>
    </row>
    <row r="152" spans="1:6" s="21" customFormat="1" ht="15.75" customHeight="1">
      <c r="A152" s="21">
        <v>940290</v>
      </c>
      <c r="B152" s="21" t="s">
        <v>4974</v>
      </c>
      <c r="C152" s="21" t="s">
        <v>6191</v>
      </c>
      <c r="D152" s="20">
        <v>1</v>
      </c>
      <c r="E152" s="21" t="s">
        <v>1419</v>
      </c>
      <c r="F152" s="20" t="s">
        <v>6259</v>
      </c>
    </row>
    <row r="153" spans="1:6" s="21" customFormat="1" ht="15.75" hidden="1" customHeight="1">
      <c r="A153" s="21">
        <v>10110</v>
      </c>
      <c r="B153" s="21" t="s">
        <v>10</v>
      </c>
      <c r="C153" s="21" t="s">
        <v>5142</v>
      </c>
      <c r="D153" s="21" t="s">
        <v>11</v>
      </c>
      <c r="E153" s="21" t="s">
        <v>11</v>
      </c>
      <c r="F153" s="20"/>
    </row>
    <row r="154" spans="1:6" s="21" customFormat="1" ht="15.75" hidden="1" customHeight="1">
      <c r="A154" s="21">
        <v>10190</v>
      </c>
      <c r="B154" s="21" t="s">
        <v>12</v>
      </c>
      <c r="C154" s="21" t="s">
        <v>5142</v>
      </c>
      <c r="D154" s="21" t="s">
        <v>11</v>
      </c>
      <c r="E154" s="21" t="s">
        <v>11</v>
      </c>
    </row>
    <row r="155" spans="1:6" s="21" customFormat="1" ht="15.75" hidden="1" customHeight="1">
      <c r="A155" s="21">
        <v>10210</v>
      </c>
      <c r="B155" s="21" t="s">
        <v>13</v>
      </c>
      <c r="C155" s="21" t="s">
        <v>5143</v>
      </c>
      <c r="D155" s="21" t="s">
        <v>11</v>
      </c>
      <c r="E155" s="21" t="s">
        <v>11</v>
      </c>
    </row>
    <row r="156" spans="1:6" s="21" customFormat="1" ht="15.75" hidden="1" customHeight="1">
      <c r="A156" s="21">
        <v>10290</v>
      </c>
      <c r="B156" s="21" t="s">
        <v>14</v>
      </c>
      <c r="C156" s="21" t="s">
        <v>5143</v>
      </c>
      <c r="D156" s="21" t="s">
        <v>11</v>
      </c>
      <c r="E156" s="21" t="s">
        <v>11</v>
      </c>
    </row>
    <row r="157" spans="1:6" s="21" customFormat="1" ht="15.75" hidden="1" customHeight="1">
      <c r="A157" s="21">
        <v>10310</v>
      </c>
      <c r="B157" s="21" t="s">
        <v>15</v>
      </c>
      <c r="C157" s="21" t="s">
        <v>5144</v>
      </c>
      <c r="D157" s="21" t="s">
        <v>11</v>
      </c>
      <c r="E157" s="21" t="s">
        <v>11</v>
      </c>
    </row>
    <row r="158" spans="1:6" s="21" customFormat="1" ht="15.75" hidden="1" customHeight="1">
      <c r="A158" s="21">
        <v>10391</v>
      </c>
      <c r="B158" s="21" t="s">
        <v>16</v>
      </c>
      <c r="C158" s="21" t="s">
        <v>5144</v>
      </c>
      <c r="D158" s="21" t="s">
        <v>11</v>
      </c>
      <c r="E158" s="21" t="s">
        <v>11</v>
      </c>
    </row>
    <row r="159" spans="1:6" s="21" customFormat="1" ht="15.75" hidden="1" customHeight="1">
      <c r="A159" s="21">
        <v>10392</v>
      </c>
      <c r="B159" s="21" t="s">
        <v>17</v>
      </c>
      <c r="C159" s="21" t="s">
        <v>5144</v>
      </c>
      <c r="D159" s="21" t="s">
        <v>11</v>
      </c>
      <c r="E159" s="21" t="s">
        <v>11</v>
      </c>
    </row>
    <row r="160" spans="1:6" s="21" customFormat="1" ht="15.75" hidden="1" customHeight="1">
      <c r="A160" s="21">
        <v>10410</v>
      </c>
      <c r="B160" s="21" t="s">
        <v>18</v>
      </c>
      <c r="C160" s="21" t="s">
        <v>5145</v>
      </c>
      <c r="D160" s="21" t="s">
        <v>11</v>
      </c>
      <c r="E160" s="21" t="s">
        <v>11</v>
      </c>
    </row>
    <row r="161" spans="1:5" s="21" customFormat="1" ht="15.75" hidden="1" customHeight="1">
      <c r="A161" s="21">
        <v>10420</v>
      </c>
      <c r="B161" s="21" t="s">
        <v>19</v>
      </c>
      <c r="C161" s="21" t="s">
        <v>5146</v>
      </c>
      <c r="D161" s="21" t="s">
        <v>11</v>
      </c>
      <c r="E161" s="21" t="s">
        <v>11</v>
      </c>
    </row>
    <row r="162" spans="1:5" s="21" customFormat="1" ht="15.75" hidden="1" customHeight="1">
      <c r="A162" s="21">
        <v>10511</v>
      </c>
      <c r="B162" s="21" t="s">
        <v>20</v>
      </c>
      <c r="C162" s="21" t="s">
        <v>5147</v>
      </c>
      <c r="D162" s="21" t="s">
        <v>11</v>
      </c>
      <c r="E162" s="21" t="s">
        <v>11</v>
      </c>
    </row>
    <row r="163" spans="1:5" s="21" customFormat="1" ht="15.75" hidden="1" customHeight="1">
      <c r="A163" s="21">
        <v>10512</v>
      </c>
      <c r="B163" s="21" t="s">
        <v>21</v>
      </c>
      <c r="C163" s="21" t="s">
        <v>5147</v>
      </c>
      <c r="D163" s="21" t="s">
        <v>11</v>
      </c>
      <c r="E163" s="21" t="s">
        <v>11</v>
      </c>
    </row>
    <row r="164" spans="1:5" s="21" customFormat="1" ht="15.75" hidden="1" customHeight="1">
      <c r="A164" s="21">
        <v>10519</v>
      </c>
      <c r="B164" s="21" t="s">
        <v>22</v>
      </c>
      <c r="C164" s="21" t="s">
        <v>5147</v>
      </c>
      <c r="D164" s="21" t="s">
        <v>11</v>
      </c>
      <c r="E164" s="21" t="s">
        <v>11</v>
      </c>
    </row>
    <row r="165" spans="1:5" s="21" customFormat="1" ht="15.75" hidden="1" customHeight="1">
      <c r="A165" s="21">
        <v>10594</v>
      </c>
      <c r="B165" s="21" t="s">
        <v>23</v>
      </c>
      <c r="C165" s="21" t="s">
        <v>5147</v>
      </c>
      <c r="D165" s="21" t="s">
        <v>11</v>
      </c>
      <c r="E165" s="21" t="s">
        <v>11</v>
      </c>
    </row>
    <row r="166" spans="1:5" s="21" customFormat="1" ht="15.75" hidden="1" customHeight="1">
      <c r="A166" s="21">
        <v>10599</v>
      </c>
      <c r="B166" s="21" t="s">
        <v>24</v>
      </c>
      <c r="C166" s="21" t="s">
        <v>5147</v>
      </c>
      <c r="D166" s="21" t="s">
        <v>11</v>
      </c>
      <c r="E166" s="21" t="s">
        <v>11</v>
      </c>
    </row>
    <row r="167" spans="1:5" s="21" customFormat="1" ht="15.75" hidden="1" customHeight="1">
      <c r="A167" s="21">
        <v>10611</v>
      </c>
      <c r="B167" s="21" t="s">
        <v>25</v>
      </c>
      <c r="C167" s="21" t="s">
        <v>5148</v>
      </c>
      <c r="D167" s="21" t="s">
        <v>11</v>
      </c>
      <c r="E167" s="21" t="s">
        <v>11</v>
      </c>
    </row>
    <row r="168" spans="1:5" s="21" customFormat="1" ht="15.75" hidden="1" customHeight="1">
      <c r="A168" s="21">
        <v>10612</v>
      </c>
      <c r="B168" s="21" t="s">
        <v>26</v>
      </c>
      <c r="C168" s="21" t="s">
        <v>5148</v>
      </c>
      <c r="D168" s="21" t="s">
        <v>11</v>
      </c>
      <c r="E168" s="21" t="s">
        <v>11</v>
      </c>
    </row>
    <row r="169" spans="1:5" s="21" customFormat="1" ht="15.75" hidden="1" customHeight="1">
      <c r="A169" s="21">
        <v>10619</v>
      </c>
      <c r="B169" s="21" t="s">
        <v>27</v>
      </c>
      <c r="C169" s="21" t="s">
        <v>5148</v>
      </c>
      <c r="D169" s="21" t="s">
        <v>11</v>
      </c>
      <c r="E169" s="21" t="s">
        <v>11</v>
      </c>
    </row>
    <row r="170" spans="1:5" s="21" customFormat="1" ht="15.75" hidden="1" customHeight="1">
      <c r="A170" s="21">
        <v>10620</v>
      </c>
      <c r="B170" s="21" t="s">
        <v>28</v>
      </c>
      <c r="C170" s="21" t="s">
        <v>5149</v>
      </c>
      <c r="D170" s="21" t="s">
        <v>11</v>
      </c>
      <c r="E170" s="21" t="s">
        <v>11</v>
      </c>
    </row>
    <row r="171" spans="1:5" s="21" customFormat="1" ht="15.75" hidden="1" customHeight="1">
      <c r="A171" s="21">
        <v>10631</v>
      </c>
      <c r="B171" s="21" t="s">
        <v>29</v>
      </c>
      <c r="C171" s="21" t="s">
        <v>5150</v>
      </c>
      <c r="D171" s="21" t="s">
        <v>11</v>
      </c>
      <c r="E171" s="21" t="s">
        <v>11</v>
      </c>
    </row>
    <row r="172" spans="1:5" s="21" customFormat="1" ht="15.75" hidden="1" customHeight="1">
      <c r="A172" s="21">
        <v>10632</v>
      </c>
      <c r="B172" s="21" t="s">
        <v>30</v>
      </c>
      <c r="C172" s="21" t="s">
        <v>5150</v>
      </c>
      <c r="D172" s="21" t="s">
        <v>11</v>
      </c>
      <c r="E172" s="21" t="s">
        <v>11</v>
      </c>
    </row>
    <row r="173" spans="1:5" s="21" customFormat="1" ht="15.75" hidden="1" customHeight="1">
      <c r="A173" s="21">
        <v>10639</v>
      </c>
      <c r="B173" s="21" t="s">
        <v>31</v>
      </c>
      <c r="C173" s="21" t="s">
        <v>5150</v>
      </c>
      <c r="D173" s="21" t="s">
        <v>11</v>
      </c>
      <c r="E173" s="21" t="s">
        <v>11</v>
      </c>
    </row>
    <row r="174" spans="1:5" s="21" customFormat="1" ht="15.75" hidden="1" customHeight="1">
      <c r="A174" s="21">
        <v>10690</v>
      </c>
      <c r="B174" s="21" t="s">
        <v>32</v>
      </c>
      <c r="C174" s="21" t="s">
        <v>5150</v>
      </c>
      <c r="D174" s="21" t="s">
        <v>11</v>
      </c>
      <c r="E174" s="21" t="s">
        <v>11</v>
      </c>
    </row>
    <row r="175" spans="1:5" s="21" customFormat="1" ht="15.75" hidden="1" customHeight="1">
      <c r="A175" s="21">
        <v>20110</v>
      </c>
      <c r="B175" s="21" t="s">
        <v>33</v>
      </c>
      <c r="C175" s="21" t="s">
        <v>5151</v>
      </c>
      <c r="D175" s="21" t="s">
        <v>11</v>
      </c>
      <c r="E175" s="21" t="s">
        <v>11</v>
      </c>
    </row>
    <row r="176" spans="1:5" s="21" customFormat="1" ht="15.75" hidden="1" customHeight="1">
      <c r="A176" s="21">
        <v>20120</v>
      </c>
      <c r="B176" s="21" t="s">
        <v>34</v>
      </c>
      <c r="C176" s="21" t="s">
        <v>5151</v>
      </c>
      <c r="D176" s="21" t="s">
        <v>11</v>
      </c>
      <c r="E176" s="21" t="s">
        <v>11</v>
      </c>
    </row>
    <row r="177" spans="1:5" s="21" customFormat="1" ht="15.75" hidden="1" customHeight="1">
      <c r="A177" s="21">
        <v>20130</v>
      </c>
      <c r="B177" s="21" t="s">
        <v>35</v>
      </c>
      <c r="C177" s="21" t="s">
        <v>5151</v>
      </c>
      <c r="D177" s="21" t="s">
        <v>11</v>
      </c>
      <c r="E177" s="21" t="s">
        <v>11</v>
      </c>
    </row>
    <row r="178" spans="1:5" s="21" customFormat="1" ht="15.75" hidden="1" customHeight="1">
      <c r="A178" s="21">
        <v>20210</v>
      </c>
      <c r="B178" s="21" t="s">
        <v>36</v>
      </c>
      <c r="C178" s="21" t="s">
        <v>5151</v>
      </c>
      <c r="D178" s="21" t="s">
        <v>11</v>
      </c>
      <c r="E178" s="21" t="s">
        <v>11</v>
      </c>
    </row>
    <row r="179" spans="1:5" s="21" customFormat="1" ht="15.75" hidden="1" customHeight="1">
      <c r="A179" s="21">
        <v>20220</v>
      </c>
      <c r="B179" s="21" t="s">
        <v>37</v>
      </c>
      <c r="C179" s="21" t="s">
        <v>5151</v>
      </c>
      <c r="D179" s="21" t="s">
        <v>11</v>
      </c>
      <c r="E179" s="21" t="s">
        <v>11</v>
      </c>
    </row>
    <row r="180" spans="1:5" s="21" customFormat="1" ht="15.75" hidden="1" customHeight="1">
      <c r="A180" s="21">
        <v>20230</v>
      </c>
      <c r="B180" s="21" t="s">
        <v>38</v>
      </c>
      <c r="C180" s="21" t="s">
        <v>5151</v>
      </c>
      <c r="D180" s="21" t="s">
        <v>11</v>
      </c>
      <c r="E180" s="21" t="s">
        <v>11</v>
      </c>
    </row>
    <row r="181" spans="1:5" s="21" customFormat="1" ht="15.75" hidden="1" customHeight="1">
      <c r="A181" s="21">
        <v>20311</v>
      </c>
      <c r="B181" s="21" t="s">
        <v>39</v>
      </c>
      <c r="C181" s="21" t="s">
        <v>5151</v>
      </c>
      <c r="D181" s="21" t="s">
        <v>11</v>
      </c>
      <c r="E181" s="21" t="s">
        <v>11</v>
      </c>
    </row>
    <row r="182" spans="1:5" s="21" customFormat="1" ht="15.75" hidden="1" customHeight="1">
      <c r="A182" s="21">
        <v>20312</v>
      </c>
      <c r="B182" s="21" t="s">
        <v>40</v>
      </c>
      <c r="C182" s="21" t="s">
        <v>5151</v>
      </c>
      <c r="D182" s="21" t="s">
        <v>11</v>
      </c>
      <c r="E182" s="21" t="s">
        <v>11</v>
      </c>
    </row>
    <row r="183" spans="1:5" s="21" customFormat="1" ht="15.75" hidden="1" customHeight="1">
      <c r="A183" s="21">
        <v>20319</v>
      </c>
      <c r="B183" s="21" t="s">
        <v>41</v>
      </c>
      <c r="C183" s="21" t="s">
        <v>5151</v>
      </c>
      <c r="D183" s="21" t="s">
        <v>11</v>
      </c>
      <c r="E183" s="21" t="s">
        <v>11</v>
      </c>
    </row>
    <row r="184" spans="1:5" s="21" customFormat="1" ht="15.75" hidden="1" customHeight="1">
      <c r="A184" s="21">
        <v>20321</v>
      </c>
      <c r="B184" s="21" t="s">
        <v>42</v>
      </c>
      <c r="C184" s="21" t="s">
        <v>5151</v>
      </c>
      <c r="D184" s="21" t="s">
        <v>11</v>
      </c>
      <c r="E184" s="21" t="s">
        <v>11</v>
      </c>
    </row>
    <row r="185" spans="1:5" s="21" customFormat="1" ht="15.75" hidden="1" customHeight="1">
      <c r="A185" s="21">
        <v>20322</v>
      </c>
      <c r="B185" s="21" t="s">
        <v>43</v>
      </c>
      <c r="C185" s="21" t="s">
        <v>5151</v>
      </c>
      <c r="D185" s="21" t="s">
        <v>11</v>
      </c>
      <c r="E185" s="21" t="s">
        <v>11</v>
      </c>
    </row>
    <row r="186" spans="1:5" s="21" customFormat="1" ht="15.75" hidden="1" customHeight="1">
      <c r="A186" s="21">
        <v>20329</v>
      </c>
      <c r="B186" s="21" t="s">
        <v>44</v>
      </c>
      <c r="C186" s="21" t="s">
        <v>5151</v>
      </c>
      <c r="D186" s="21" t="s">
        <v>11</v>
      </c>
      <c r="E186" s="21" t="s">
        <v>11</v>
      </c>
    </row>
    <row r="187" spans="1:5" s="21" customFormat="1" ht="15.75" hidden="1" customHeight="1">
      <c r="A187" s="21">
        <v>20410</v>
      </c>
      <c r="B187" s="21" t="s">
        <v>45</v>
      </c>
      <c r="C187" s="21" t="s">
        <v>5151</v>
      </c>
      <c r="D187" s="21" t="s">
        <v>11</v>
      </c>
      <c r="E187" s="21" t="s">
        <v>11</v>
      </c>
    </row>
    <row r="188" spans="1:5" s="21" customFormat="1" ht="15.75" hidden="1" customHeight="1">
      <c r="A188" s="21">
        <v>20421</v>
      </c>
      <c r="B188" s="21" t="s">
        <v>46</v>
      </c>
      <c r="C188" s="21" t="s">
        <v>5151</v>
      </c>
      <c r="D188" s="21" t="s">
        <v>11</v>
      </c>
      <c r="E188" s="21" t="s">
        <v>11</v>
      </c>
    </row>
    <row r="189" spans="1:5" s="21" customFormat="1" ht="15.75" hidden="1" customHeight="1">
      <c r="A189" s="21">
        <v>20422</v>
      </c>
      <c r="B189" s="21" t="s">
        <v>47</v>
      </c>
      <c r="C189" s="21" t="s">
        <v>5151</v>
      </c>
      <c r="D189" s="21" t="s">
        <v>11</v>
      </c>
      <c r="E189" s="21" t="s">
        <v>11</v>
      </c>
    </row>
    <row r="190" spans="1:5" s="21" customFormat="1" ht="15.75" hidden="1" customHeight="1">
      <c r="A190" s="21">
        <v>20423</v>
      </c>
      <c r="B190" s="21" t="s">
        <v>48</v>
      </c>
      <c r="C190" s="21" t="s">
        <v>5151</v>
      </c>
      <c r="D190" s="21" t="s">
        <v>11</v>
      </c>
      <c r="E190" s="21" t="s">
        <v>11</v>
      </c>
    </row>
    <row r="191" spans="1:5" s="21" customFormat="1" ht="15.75" hidden="1" customHeight="1">
      <c r="A191" s="21">
        <v>20430</v>
      </c>
      <c r="B191" s="21" t="s">
        <v>49</v>
      </c>
      <c r="C191" s="21" t="s">
        <v>5151</v>
      </c>
      <c r="D191" s="21" t="s">
        <v>11</v>
      </c>
      <c r="E191" s="21" t="s">
        <v>11</v>
      </c>
    </row>
    <row r="192" spans="1:5" s="21" customFormat="1" ht="15.75" hidden="1" customHeight="1">
      <c r="A192" s="21">
        <v>20441</v>
      </c>
      <c r="B192" s="21" t="s">
        <v>50</v>
      </c>
      <c r="C192" s="21" t="s">
        <v>5151</v>
      </c>
      <c r="D192" s="21" t="s">
        <v>11</v>
      </c>
      <c r="E192" s="21" t="s">
        <v>11</v>
      </c>
    </row>
    <row r="193" spans="1:5" s="21" customFormat="1" ht="15.75" hidden="1" customHeight="1">
      <c r="A193" s="21">
        <v>20442</v>
      </c>
      <c r="B193" s="21" t="s">
        <v>51</v>
      </c>
      <c r="C193" s="21" t="s">
        <v>5151</v>
      </c>
      <c r="D193" s="21" t="s">
        <v>11</v>
      </c>
      <c r="E193" s="21" t="s">
        <v>11</v>
      </c>
    </row>
    <row r="194" spans="1:5" s="21" customFormat="1" ht="15.75" hidden="1" customHeight="1">
      <c r="A194" s="21">
        <v>20443</v>
      </c>
      <c r="B194" s="21" t="s">
        <v>52</v>
      </c>
      <c r="C194" s="21" t="s">
        <v>5151</v>
      </c>
      <c r="D194" s="21" t="s">
        <v>11</v>
      </c>
      <c r="E194" s="21" t="s">
        <v>11</v>
      </c>
    </row>
    <row r="195" spans="1:5" s="21" customFormat="1" ht="15.75" hidden="1" customHeight="1">
      <c r="A195" s="21">
        <v>20450</v>
      </c>
      <c r="B195" s="21" t="s">
        <v>53</v>
      </c>
      <c r="C195" s="21" t="s">
        <v>5151</v>
      </c>
      <c r="D195" s="21" t="s">
        <v>11</v>
      </c>
      <c r="E195" s="21" t="s">
        <v>11</v>
      </c>
    </row>
    <row r="196" spans="1:5" s="21" customFormat="1" ht="15.75" hidden="1" customHeight="1">
      <c r="A196" s="21">
        <v>20500</v>
      </c>
      <c r="B196" s="21" t="s">
        <v>54</v>
      </c>
      <c r="C196" s="21" t="s">
        <v>5151</v>
      </c>
      <c r="D196" s="21" t="s">
        <v>11</v>
      </c>
      <c r="E196" s="21" t="s">
        <v>11</v>
      </c>
    </row>
    <row r="197" spans="1:5" s="21" customFormat="1" ht="15.75" hidden="1" customHeight="1">
      <c r="A197" s="21">
        <v>20610</v>
      </c>
      <c r="B197" s="21" t="s">
        <v>55</v>
      </c>
      <c r="C197" s="21" t="s">
        <v>5152</v>
      </c>
      <c r="D197" s="21" t="s">
        <v>11</v>
      </c>
      <c r="E197" s="21" t="s">
        <v>11</v>
      </c>
    </row>
    <row r="198" spans="1:5" s="21" customFormat="1" ht="15.75" hidden="1" customHeight="1">
      <c r="A198" s="21">
        <v>20621</v>
      </c>
      <c r="B198" s="21" t="s">
        <v>56</v>
      </c>
      <c r="C198" s="21" t="s">
        <v>5152</v>
      </c>
      <c r="D198" s="21" t="s">
        <v>11</v>
      </c>
      <c r="E198" s="21" t="s">
        <v>11</v>
      </c>
    </row>
    <row r="199" spans="1:5" s="21" customFormat="1" ht="15.75" hidden="1" customHeight="1">
      <c r="A199" s="21">
        <v>20622</v>
      </c>
      <c r="B199" s="21" t="s">
        <v>57</v>
      </c>
      <c r="C199" s="21" t="s">
        <v>5152</v>
      </c>
      <c r="D199" s="21" t="s">
        <v>11</v>
      </c>
      <c r="E199" s="21" t="s">
        <v>11</v>
      </c>
    </row>
    <row r="200" spans="1:5" s="21" customFormat="1" ht="15.75" hidden="1" customHeight="1">
      <c r="A200" s="21">
        <v>20629</v>
      </c>
      <c r="B200" s="21" t="s">
        <v>58</v>
      </c>
      <c r="C200" s="21" t="s">
        <v>5152</v>
      </c>
      <c r="D200" s="21" t="s">
        <v>11</v>
      </c>
      <c r="E200" s="21" t="s">
        <v>11</v>
      </c>
    </row>
    <row r="201" spans="1:5" s="21" customFormat="1" ht="15.75" hidden="1" customHeight="1">
      <c r="A201" s="21">
        <v>20630</v>
      </c>
      <c r="B201" s="21" t="s">
        <v>59</v>
      </c>
      <c r="C201" s="21" t="s">
        <v>5152</v>
      </c>
      <c r="D201" s="21" t="s">
        <v>11</v>
      </c>
      <c r="E201" s="21" t="s">
        <v>11</v>
      </c>
    </row>
    <row r="202" spans="1:5" s="21" customFormat="1" ht="15.75" hidden="1" customHeight="1">
      <c r="A202" s="21">
        <v>20641</v>
      </c>
      <c r="B202" s="21" t="s">
        <v>60</v>
      </c>
      <c r="C202" s="21" t="s">
        <v>5152</v>
      </c>
      <c r="D202" s="21" t="s">
        <v>11</v>
      </c>
      <c r="E202" s="21" t="s">
        <v>11</v>
      </c>
    </row>
    <row r="203" spans="1:5" s="21" customFormat="1" ht="15.75" hidden="1" customHeight="1">
      <c r="A203" s="21">
        <v>20649</v>
      </c>
      <c r="B203" s="21" t="s">
        <v>61</v>
      </c>
      <c r="C203" s="21" t="s">
        <v>5152</v>
      </c>
      <c r="D203" s="21" t="s">
        <v>11</v>
      </c>
      <c r="E203" s="21" t="s">
        <v>11</v>
      </c>
    </row>
    <row r="204" spans="1:5" s="21" customFormat="1" ht="15.75" hidden="1" customHeight="1">
      <c r="A204" s="21">
        <v>20680</v>
      </c>
      <c r="B204" s="21" t="s">
        <v>62</v>
      </c>
      <c r="C204" s="21" t="s">
        <v>5152</v>
      </c>
      <c r="D204" s="21" t="s">
        <v>11</v>
      </c>
      <c r="E204" s="21" t="s">
        <v>11</v>
      </c>
    </row>
    <row r="205" spans="1:5" s="21" customFormat="1" ht="15.75" hidden="1" customHeight="1">
      <c r="A205" s="21">
        <v>20690</v>
      </c>
      <c r="B205" s="21" t="s">
        <v>63</v>
      </c>
      <c r="C205" s="21" t="s">
        <v>5152</v>
      </c>
      <c r="D205" s="21" t="s">
        <v>11</v>
      </c>
      <c r="E205" s="21" t="s">
        <v>11</v>
      </c>
    </row>
    <row r="206" spans="1:5" s="21" customFormat="1" ht="15.75" hidden="1" customHeight="1">
      <c r="A206" s="21">
        <v>20711</v>
      </c>
      <c r="B206" s="21" t="s">
        <v>64</v>
      </c>
      <c r="C206" s="21" t="s">
        <v>5153</v>
      </c>
      <c r="D206" s="21" t="s">
        <v>11</v>
      </c>
      <c r="E206" s="21" t="s">
        <v>11</v>
      </c>
    </row>
    <row r="207" spans="1:5" s="21" customFormat="1" ht="15.75" hidden="1" customHeight="1">
      <c r="A207" s="21">
        <v>20712</v>
      </c>
      <c r="B207" s="21" t="s">
        <v>65</v>
      </c>
      <c r="C207" s="21" t="s">
        <v>5153</v>
      </c>
      <c r="D207" s="21" t="s">
        <v>11</v>
      </c>
      <c r="E207" s="21" t="s">
        <v>11</v>
      </c>
    </row>
    <row r="208" spans="1:5" s="21" customFormat="1" ht="15.75" hidden="1" customHeight="1">
      <c r="A208" s="21">
        <v>20713</v>
      </c>
      <c r="B208" s="21" t="s">
        <v>66</v>
      </c>
      <c r="C208" s="21" t="s">
        <v>5153</v>
      </c>
      <c r="D208" s="21" t="s">
        <v>11</v>
      </c>
      <c r="E208" s="21" t="s">
        <v>11</v>
      </c>
    </row>
    <row r="209" spans="1:5" s="21" customFormat="1" ht="15.75" hidden="1" customHeight="1">
      <c r="A209" s="21">
        <v>20714</v>
      </c>
      <c r="B209" s="21" t="s">
        <v>67</v>
      </c>
      <c r="C209" s="21" t="s">
        <v>5153</v>
      </c>
      <c r="D209" s="21" t="s">
        <v>11</v>
      </c>
      <c r="E209" s="21" t="s">
        <v>11</v>
      </c>
    </row>
    <row r="210" spans="1:5" s="21" customFormat="1" ht="15.75" hidden="1" customHeight="1">
      <c r="A210" s="21">
        <v>20724</v>
      </c>
      <c r="B210" s="21" t="s">
        <v>68</v>
      </c>
      <c r="C210" s="21" t="s">
        <v>5153</v>
      </c>
      <c r="D210" s="21" t="s">
        <v>11</v>
      </c>
      <c r="E210" s="21" t="s">
        <v>11</v>
      </c>
    </row>
    <row r="211" spans="1:5" s="21" customFormat="1" ht="15.75" hidden="1" customHeight="1">
      <c r="A211" s="21">
        <v>20725</v>
      </c>
      <c r="B211" s="21" t="s">
        <v>69</v>
      </c>
      <c r="C211" s="21" t="s">
        <v>5153</v>
      </c>
      <c r="D211" s="21" t="s">
        <v>11</v>
      </c>
      <c r="E211" s="21" t="s">
        <v>11</v>
      </c>
    </row>
    <row r="212" spans="1:5" s="21" customFormat="1" ht="15.75" hidden="1" customHeight="1">
      <c r="A212" s="21">
        <v>20726</v>
      </c>
      <c r="B212" s="21" t="s">
        <v>70</v>
      </c>
      <c r="C212" s="21" t="s">
        <v>5153</v>
      </c>
      <c r="D212" s="21" t="s">
        <v>11</v>
      </c>
      <c r="E212" s="21" t="s">
        <v>11</v>
      </c>
    </row>
    <row r="213" spans="1:5" s="21" customFormat="1" ht="15.75" hidden="1" customHeight="1">
      <c r="A213" s="21">
        <v>20727</v>
      </c>
      <c r="B213" s="21" t="s">
        <v>71</v>
      </c>
      <c r="C213" s="21" t="s">
        <v>5153</v>
      </c>
      <c r="D213" s="21" t="s">
        <v>11</v>
      </c>
      <c r="E213" s="21" t="s">
        <v>11</v>
      </c>
    </row>
    <row r="214" spans="1:5" s="21" customFormat="1" ht="15.75" hidden="1" customHeight="1">
      <c r="A214" s="21">
        <v>20732</v>
      </c>
      <c r="B214" s="21" t="s">
        <v>72</v>
      </c>
      <c r="C214" s="21" t="s">
        <v>5153</v>
      </c>
      <c r="D214" s="21" t="s">
        <v>11</v>
      </c>
      <c r="E214" s="21" t="s">
        <v>11</v>
      </c>
    </row>
    <row r="215" spans="1:5" s="21" customFormat="1" ht="15.75" hidden="1" customHeight="1">
      <c r="A215" s="21">
        <v>20733</v>
      </c>
      <c r="B215" s="21" t="s">
        <v>73</v>
      </c>
      <c r="C215" s="21" t="s">
        <v>5153</v>
      </c>
      <c r="D215" s="21" t="s">
        <v>11</v>
      </c>
      <c r="E215" s="21" t="s">
        <v>11</v>
      </c>
    </row>
    <row r="216" spans="1:5" s="21" customFormat="1" ht="15.75" hidden="1" customHeight="1">
      <c r="A216" s="21">
        <v>20734</v>
      </c>
      <c r="B216" s="21" t="s">
        <v>74</v>
      </c>
      <c r="C216" s="21" t="s">
        <v>5153</v>
      </c>
      <c r="D216" s="21" t="s">
        <v>11</v>
      </c>
      <c r="E216" s="21" t="s">
        <v>11</v>
      </c>
    </row>
    <row r="217" spans="1:5" s="21" customFormat="1" ht="15.75" hidden="1" customHeight="1">
      <c r="A217" s="21">
        <v>20735</v>
      </c>
      <c r="B217" s="21" t="s">
        <v>75</v>
      </c>
      <c r="C217" s="21" t="s">
        <v>5153</v>
      </c>
      <c r="D217" s="21" t="s">
        <v>11</v>
      </c>
      <c r="E217" s="21" t="s">
        <v>11</v>
      </c>
    </row>
    <row r="218" spans="1:5" s="21" customFormat="1" ht="15.75" hidden="1" customHeight="1">
      <c r="A218" s="21">
        <v>20736</v>
      </c>
      <c r="B218" s="21" t="s">
        <v>76</v>
      </c>
      <c r="C218" s="21" t="s">
        <v>5153</v>
      </c>
      <c r="D218" s="21" t="s">
        <v>11</v>
      </c>
      <c r="E218" s="21" t="s">
        <v>11</v>
      </c>
    </row>
    <row r="219" spans="1:5" s="21" customFormat="1" ht="15.75" hidden="1" customHeight="1">
      <c r="A219" s="21">
        <v>20810</v>
      </c>
      <c r="B219" s="21" t="s">
        <v>77</v>
      </c>
      <c r="C219" s="21" t="s">
        <v>5154</v>
      </c>
      <c r="D219" s="21" t="s">
        <v>11</v>
      </c>
      <c r="E219" s="21" t="s">
        <v>11</v>
      </c>
    </row>
    <row r="220" spans="1:5" s="21" customFormat="1" ht="15.75" hidden="1" customHeight="1">
      <c r="A220" s="21">
        <v>20830</v>
      </c>
      <c r="B220" s="21" t="s">
        <v>78</v>
      </c>
      <c r="C220" s="21" t="s">
        <v>5154</v>
      </c>
      <c r="D220" s="21" t="s">
        <v>11</v>
      </c>
      <c r="E220" s="21" t="s">
        <v>11</v>
      </c>
    </row>
    <row r="221" spans="1:5" s="21" customFormat="1" ht="15.75" hidden="1" customHeight="1">
      <c r="A221" s="21">
        <v>20840</v>
      </c>
      <c r="B221" s="21" t="s">
        <v>79</v>
      </c>
      <c r="C221" s="21" t="s">
        <v>5154</v>
      </c>
      <c r="D221" s="21" t="s">
        <v>11</v>
      </c>
      <c r="E221" s="21" t="s">
        <v>11</v>
      </c>
    </row>
    <row r="222" spans="1:5" s="21" customFormat="1" ht="15.75" hidden="1" customHeight="1">
      <c r="A222" s="21">
        <v>20850</v>
      </c>
      <c r="B222" s="21" t="s">
        <v>80</v>
      </c>
      <c r="C222" s="21" t="s">
        <v>5154</v>
      </c>
      <c r="D222" s="21" t="s">
        <v>11</v>
      </c>
      <c r="E222" s="21" t="s">
        <v>11</v>
      </c>
    </row>
    <row r="223" spans="1:5" s="21" customFormat="1" ht="15.75" hidden="1" customHeight="1">
      <c r="A223" s="21">
        <v>20890</v>
      </c>
      <c r="B223" s="21" t="s">
        <v>81</v>
      </c>
      <c r="C223" s="21" t="s">
        <v>5154</v>
      </c>
      <c r="D223" s="21" t="s">
        <v>11</v>
      </c>
      <c r="E223" s="21" t="s">
        <v>11</v>
      </c>
    </row>
    <row r="224" spans="1:5" s="21" customFormat="1" ht="15.75" hidden="1" customHeight="1">
      <c r="A224" s="21">
        <v>20900</v>
      </c>
      <c r="B224" s="21" t="s">
        <v>82</v>
      </c>
      <c r="C224" s="21" t="s">
        <v>5155</v>
      </c>
      <c r="D224" s="21" t="s">
        <v>11</v>
      </c>
      <c r="E224" s="21" t="s">
        <v>11</v>
      </c>
    </row>
    <row r="225" spans="1:5" s="21" customFormat="1" ht="15.75" hidden="1" customHeight="1">
      <c r="A225" s="21">
        <v>21011</v>
      </c>
      <c r="B225" s="21" t="s">
        <v>83</v>
      </c>
      <c r="C225" s="21" t="s">
        <v>5156</v>
      </c>
      <c r="D225" s="21" t="s">
        <v>11</v>
      </c>
      <c r="E225" s="21" t="s">
        <v>11</v>
      </c>
    </row>
    <row r="226" spans="1:5" s="21" customFormat="1" ht="15.75" hidden="1" customHeight="1">
      <c r="A226" s="21">
        <v>21012</v>
      </c>
      <c r="B226" s="21" t="s">
        <v>84</v>
      </c>
      <c r="C226" s="21" t="s">
        <v>5156</v>
      </c>
      <c r="D226" s="21" t="s">
        <v>11</v>
      </c>
      <c r="E226" s="21" t="s">
        <v>11</v>
      </c>
    </row>
    <row r="227" spans="1:5" s="21" customFormat="1" ht="15.75" hidden="1" customHeight="1">
      <c r="A227" s="21">
        <v>21019</v>
      </c>
      <c r="B227" s="21" t="s">
        <v>85</v>
      </c>
      <c r="C227" s="21" t="s">
        <v>5156</v>
      </c>
      <c r="D227" s="21" t="s">
        <v>11</v>
      </c>
      <c r="E227" s="21" t="s">
        <v>11</v>
      </c>
    </row>
    <row r="228" spans="1:5" s="21" customFormat="1" ht="15.75" hidden="1" customHeight="1">
      <c r="A228" s="21">
        <v>21020</v>
      </c>
      <c r="B228" s="21" t="s">
        <v>86</v>
      </c>
      <c r="C228" s="21" t="s">
        <v>5156</v>
      </c>
      <c r="D228" s="21" t="s">
        <v>11</v>
      </c>
      <c r="E228" s="21" t="s">
        <v>11</v>
      </c>
    </row>
    <row r="229" spans="1:5" s="21" customFormat="1" ht="15.75" hidden="1" customHeight="1">
      <c r="A229" s="21">
        <v>21091</v>
      </c>
      <c r="B229" s="21" t="s">
        <v>87</v>
      </c>
      <c r="C229" s="21" t="s">
        <v>5157</v>
      </c>
      <c r="D229" s="21" t="s">
        <v>11</v>
      </c>
      <c r="E229" s="21" t="s">
        <v>11</v>
      </c>
    </row>
    <row r="230" spans="1:5" s="21" customFormat="1" ht="15.75" hidden="1" customHeight="1">
      <c r="A230" s="21">
        <v>21092</v>
      </c>
      <c r="B230" s="21" t="s">
        <v>88</v>
      </c>
      <c r="C230" s="21" t="s">
        <v>5157</v>
      </c>
      <c r="D230" s="21" t="s">
        <v>11</v>
      </c>
      <c r="E230" s="21" t="s">
        <v>11</v>
      </c>
    </row>
    <row r="231" spans="1:5" s="21" customFormat="1" ht="15.75" hidden="1" customHeight="1">
      <c r="A231" s="21">
        <v>21093</v>
      </c>
      <c r="B231" s="21" t="s">
        <v>89</v>
      </c>
      <c r="C231" s="21" t="s">
        <v>5157</v>
      </c>
      <c r="D231" s="21" t="s">
        <v>11</v>
      </c>
      <c r="E231" s="21" t="s">
        <v>11</v>
      </c>
    </row>
    <row r="232" spans="1:5" s="21" customFormat="1" ht="15.75" hidden="1" customHeight="1">
      <c r="A232" s="21">
        <v>21099</v>
      </c>
      <c r="B232" s="21" t="s">
        <v>90</v>
      </c>
      <c r="C232" s="21" t="s">
        <v>5157</v>
      </c>
      <c r="D232" s="21" t="s">
        <v>11</v>
      </c>
      <c r="E232" s="21" t="s">
        <v>11</v>
      </c>
    </row>
    <row r="233" spans="1:5" s="21" customFormat="1" ht="15.75" hidden="1" customHeight="1">
      <c r="A233" s="21">
        <v>30110</v>
      </c>
      <c r="B233" s="21" t="s">
        <v>91</v>
      </c>
      <c r="C233" s="21" t="s">
        <v>5158</v>
      </c>
      <c r="D233" s="21" t="s">
        <v>11</v>
      </c>
      <c r="E233" s="21" t="s">
        <v>11</v>
      </c>
    </row>
    <row r="234" spans="1:5" s="21" customFormat="1" ht="15.75" hidden="1" customHeight="1">
      <c r="A234" s="21">
        <v>30191</v>
      </c>
      <c r="B234" s="21" t="s">
        <v>92</v>
      </c>
      <c r="C234" s="21" t="s">
        <v>5158</v>
      </c>
      <c r="D234" s="21" t="s">
        <v>11</v>
      </c>
      <c r="E234" s="21" t="s">
        <v>11</v>
      </c>
    </row>
    <row r="235" spans="1:5" s="21" customFormat="1" ht="15.75" hidden="1" customHeight="1">
      <c r="A235" s="21">
        <v>30192</v>
      </c>
      <c r="B235" s="21" t="s">
        <v>93</v>
      </c>
      <c r="C235" s="21" t="s">
        <v>5158</v>
      </c>
      <c r="D235" s="21" t="s">
        <v>11</v>
      </c>
      <c r="E235" s="21" t="s">
        <v>11</v>
      </c>
    </row>
    <row r="236" spans="1:5" s="21" customFormat="1" ht="15.75" hidden="1" customHeight="1">
      <c r="A236" s="21">
        <v>30193</v>
      </c>
      <c r="B236" s="21" t="s">
        <v>94</v>
      </c>
      <c r="C236" s="21" t="s">
        <v>5158</v>
      </c>
      <c r="D236" s="21" t="s">
        <v>11</v>
      </c>
      <c r="E236" s="21" t="s">
        <v>11</v>
      </c>
    </row>
    <row r="237" spans="1:5" s="21" customFormat="1" ht="15.75" hidden="1" customHeight="1">
      <c r="A237" s="21">
        <v>30194</v>
      </c>
      <c r="B237" s="21" t="s">
        <v>95</v>
      </c>
      <c r="C237" s="21" t="s">
        <v>5158</v>
      </c>
      <c r="D237" s="21" t="s">
        <v>11</v>
      </c>
      <c r="E237" s="21" t="s">
        <v>11</v>
      </c>
    </row>
    <row r="238" spans="1:5" s="21" customFormat="1" ht="15.75" hidden="1" customHeight="1">
      <c r="A238" s="21">
        <v>30195</v>
      </c>
      <c r="B238" s="21" t="s">
        <v>96</v>
      </c>
      <c r="C238" s="21" t="s">
        <v>5158</v>
      </c>
      <c r="D238" s="21" t="s">
        <v>11</v>
      </c>
      <c r="E238" s="21" t="s">
        <v>11</v>
      </c>
    </row>
    <row r="239" spans="1:5" s="21" customFormat="1" ht="15.75" hidden="1" customHeight="1">
      <c r="A239" s="21">
        <v>30199</v>
      </c>
      <c r="B239" s="21" t="s">
        <v>97</v>
      </c>
      <c r="C239" s="21" t="s">
        <v>5158</v>
      </c>
      <c r="D239" s="21" t="s">
        <v>11</v>
      </c>
      <c r="E239" s="21" t="s">
        <v>11</v>
      </c>
    </row>
    <row r="240" spans="1:5" s="21" customFormat="1" ht="15.75" hidden="1" customHeight="1">
      <c r="A240" s="21">
        <v>30211</v>
      </c>
      <c r="B240" s="21" t="s">
        <v>98</v>
      </c>
      <c r="C240" s="21" t="s">
        <v>5158</v>
      </c>
      <c r="D240" s="21" t="s">
        <v>11</v>
      </c>
      <c r="E240" s="21" t="s">
        <v>11</v>
      </c>
    </row>
    <row r="241" spans="1:5" s="21" customFormat="1" ht="15.75" hidden="1" customHeight="1">
      <c r="A241" s="21">
        <v>30212</v>
      </c>
      <c r="B241" s="21" t="s">
        <v>99</v>
      </c>
      <c r="C241" s="21" t="s">
        <v>5158</v>
      </c>
      <c r="D241" s="21" t="s">
        <v>11</v>
      </c>
      <c r="E241" s="21" t="s">
        <v>11</v>
      </c>
    </row>
    <row r="242" spans="1:5" s="21" customFormat="1" ht="15.75" hidden="1" customHeight="1">
      <c r="A242" s="21">
        <v>30219</v>
      </c>
      <c r="B242" s="21" t="s">
        <v>100</v>
      </c>
      <c r="C242" s="21" t="s">
        <v>5158</v>
      </c>
      <c r="D242" s="21" t="s">
        <v>11</v>
      </c>
      <c r="E242" s="21" t="s">
        <v>11</v>
      </c>
    </row>
    <row r="243" spans="1:5" s="21" customFormat="1" ht="15.75" hidden="1" customHeight="1">
      <c r="A243" s="21">
        <v>30221</v>
      </c>
      <c r="B243" s="21" t="s">
        <v>101</v>
      </c>
      <c r="C243" s="21" t="s">
        <v>5158</v>
      </c>
      <c r="D243" s="21" t="s">
        <v>11</v>
      </c>
      <c r="E243" s="21" t="s">
        <v>11</v>
      </c>
    </row>
    <row r="244" spans="1:5" s="21" customFormat="1" ht="15.75" hidden="1" customHeight="1">
      <c r="A244" s="21">
        <v>30222</v>
      </c>
      <c r="B244" s="21" t="s">
        <v>102</v>
      </c>
      <c r="C244" s="21" t="s">
        <v>5158</v>
      </c>
      <c r="D244" s="21" t="s">
        <v>11</v>
      </c>
      <c r="E244" s="21" t="s">
        <v>11</v>
      </c>
    </row>
    <row r="245" spans="1:5" s="21" customFormat="1" ht="15.75" hidden="1" customHeight="1">
      <c r="A245" s="21">
        <v>30223</v>
      </c>
      <c r="B245" s="21" t="s">
        <v>103</v>
      </c>
      <c r="C245" s="21" t="s">
        <v>5158</v>
      </c>
      <c r="D245" s="21" t="s">
        <v>11</v>
      </c>
      <c r="E245" s="21" t="s">
        <v>11</v>
      </c>
    </row>
    <row r="246" spans="1:5" s="21" customFormat="1" ht="15.75" hidden="1" customHeight="1">
      <c r="A246" s="21">
        <v>30229</v>
      </c>
      <c r="B246" s="21" t="s">
        <v>104</v>
      </c>
      <c r="C246" s="21" t="s">
        <v>5158</v>
      </c>
      <c r="D246" s="21" t="s">
        <v>11</v>
      </c>
      <c r="E246" s="21" t="s">
        <v>11</v>
      </c>
    </row>
    <row r="247" spans="1:5" s="21" customFormat="1" ht="15.75" hidden="1" customHeight="1">
      <c r="A247" s="21">
        <v>30231</v>
      </c>
      <c r="B247" s="21" t="s">
        <v>105</v>
      </c>
      <c r="C247" s="21" t="s">
        <v>5158</v>
      </c>
      <c r="D247" s="21" t="s">
        <v>11</v>
      </c>
      <c r="E247" s="21" t="s">
        <v>11</v>
      </c>
    </row>
    <row r="248" spans="1:5" s="21" customFormat="1" ht="15.75" hidden="1" customHeight="1">
      <c r="A248" s="21">
        <v>30232</v>
      </c>
      <c r="B248" s="21" t="s">
        <v>106</v>
      </c>
      <c r="C248" s="21" t="s">
        <v>5158</v>
      </c>
      <c r="D248" s="21" t="s">
        <v>11</v>
      </c>
      <c r="E248" s="21" t="s">
        <v>11</v>
      </c>
    </row>
    <row r="249" spans="1:5" s="21" customFormat="1" ht="15.75" hidden="1" customHeight="1">
      <c r="A249" s="21">
        <v>30233</v>
      </c>
      <c r="B249" s="21" t="s">
        <v>107</v>
      </c>
      <c r="C249" s="21" t="s">
        <v>5158</v>
      </c>
      <c r="D249" s="21" t="s">
        <v>11</v>
      </c>
      <c r="E249" s="21" t="s">
        <v>11</v>
      </c>
    </row>
    <row r="250" spans="1:5" s="21" customFormat="1" ht="15.75" hidden="1" customHeight="1">
      <c r="A250" s="21">
        <v>30234</v>
      </c>
      <c r="B250" s="21" t="s">
        <v>108</v>
      </c>
      <c r="C250" s="21" t="s">
        <v>5158</v>
      </c>
      <c r="D250" s="21" t="s">
        <v>11</v>
      </c>
      <c r="E250" s="21" t="s">
        <v>11</v>
      </c>
    </row>
    <row r="251" spans="1:5" s="21" customFormat="1" ht="15.75" hidden="1" customHeight="1">
      <c r="A251" s="21">
        <v>30235</v>
      </c>
      <c r="B251" s="21" t="s">
        <v>109</v>
      </c>
      <c r="C251" s="21" t="s">
        <v>5158</v>
      </c>
      <c r="D251" s="21" t="s">
        <v>11</v>
      </c>
      <c r="E251" s="21" t="s">
        <v>11</v>
      </c>
    </row>
    <row r="252" spans="1:5" s="21" customFormat="1" ht="15.75" hidden="1" customHeight="1">
      <c r="A252" s="21">
        <v>30236</v>
      </c>
      <c r="B252" s="21" t="s">
        <v>110</v>
      </c>
      <c r="C252" s="21" t="s">
        <v>5158</v>
      </c>
      <c r="D252" s="21" t="s">
        <v>11</v>
      </c>
      <c r="E252" s="21" t="s">
        <v>11</v>
      </c>
    </row>
    <row r="253" spans="1:5" s="21" customFormat="1" ht="15.75" hidden="1" customHeight="1">
      <c r="A253" s="21">
        <v>30239</v>
      </c>
      <c r="B253" s="21" t="s">
        <v>111</v>
      </c>
      <c r="C253" s="21" t="s">
        <v>5158</v>
      </c>
      <c r="D253" s="21" t="s">
        <v>11</v>
      </c>
      <c r="E253" s="21" t="s">
        <v>11</v>
      </c>
    </row>
    <row r="254" spans="1:5" s="21" customFormat="1" ht="15.75" hidden="1" customHeight="1">
      <c r="A254" s="21">
        <v>30240</v>
      </c>
      <c r="B254" s="21" t="s">
        <v>112</v>
      </c>
      <c r="C254" s="21" t="s">
        <v>5158</v>
      </c>
      <c r="D254" s="21" t="s">
        <v>11</v>
      </c>
      <c r="E254" s="21" t="s">
        <v>11</v>
      </c>
    </row>
    <row r="255" spans="1:5" s="21" customFormat="1" ht="15.75" hidden="1" customHeight="1">
      <c r="A255" s="21">
        <v>30250</v>
      </c>
      <c r="B255" s="21" t="s">
        <v>113</v>
      </c>
      <c r="C255" s="21" t="s">
        <v>5158</v>
      </c>
      <c r="D255" s="21" t="s">
        <v>11</v>
      </c>
      <c r="E255" s="21" t="s">
        <v>11</v>
      </c>
    </row>
    <row r="256" spans="1:5" s="21" customFormat="1" ht="15.75" hidden="1" customHeight="1">
      <c r="A256" s="21">
        <v>30261</v>
      </c>
      <c r="B256" s="21" t="s">
        <v>114</v>
      </c>
      <c r="C256" s="21" t="s">
        <v>5158</v>
      </c>
      <c r="D256" s="21" t="s">
        <v>11</v>
      </c>
      <c r="E256" s="21" t="s">
        <v>11</v>
      </c>
    </row>
    <row r="257" spans="1:5" s="21" customFormat="1" ht="15.75" hidden="1" customHeight="1">
      <c r="A257" s="21">
        <v>30262</v>
      </c>
      <c r="B257" s="21" t="s">
        <v>115</v>
      </c>
      <c r="C257" s="21" t="s">
        <v>5158</v>
      </c>
      <c r="D257" s="21" t="s">
        <v>11</v>
      </c>
      <c r="E257" s="21" t="s">
        <v>11</v>
      </c>
    </row>
    <row r="258" spans="1:5" s="21" customFormat="1" ht="15.75" hidden="1" customHeight="1">
      <c r="A258" s="21">
        <v>30263</v>
      </c>
      <c r="B258" s="21" t="s">
        <v>116</v>
      </c>
      <c r="C258" s="21" t="s">
        <v>5158</v>
      </c>
      <c r="D258" s="21" t="s">
        <v>11</v>
      </c>
      <c r="E258" s="21" t="s">
        <v>11</v>
      </c>
    </row>
    <row r="259" spans="1:5" s="21" customFormat="1" ht="15.75" hidden="1" customHeight="1">
      <c r="A259" s="21">
        <v>30264</v>
      </c>
      <c r="B259" s="21" t="s">
        <v>117</v>
      </c>
      <c r="C259" s="21" t="s">
        <v>5158</v>
      </c>
      <c r="D259" s="21" t="s">
        <v>11</v>
      </c>
      <c r="E259" s="21" t="s">
        <v>11</v>
      </c>
    </row>
    <row r="260" spans="1:5" s="21" customFormat="1" ht="15.75" hidden="1" customHeight="1">
      <c r="A260" s="21">
        <v>30265</v>
      </c>
      <c r="B260" s="21" t="s">
        <v>118</v>
      </c>
      <c r="C260" s="21" t="s">
        <v>5158</v>
      </c>
      <c r="D260" s="21" t="s">
        <v>11</v>
      </c>
      <c r="E260" s="21" t="s">
        <v>11</v>
      </c>
    </row>
    <row r="261" spans="1:5" s="21" customFormat="1" ht="15.75" hidden="1" customHeight="1">
      <c r="A261" s="21">
        <v>30266</v>
      </c>
      <c r="B261" s="21" t="s">
        <v>119</v>
      </c>
      <c r="C261" s="21" t="s">
        <v>5158</v>
      </c>
      <c r="D261" s="21" t="s">
        <v>11</v>
      </c>
      <c r="E261" s="21" t="s">
        <v>11</v>
      </c>
    </row>
    <row r="262" spans="1:5" s="21" customFormat="1" ht="15.75" hidden="1" customHeight="1">
      <c r="A262" s="21">
        <v>30267</v>
      </c>
      <c r="B262" s="21" t="s">
        <v>120</v>
      </c>
      <c r="C262" s="21" t="s">
        <v>5158</v>
      </c>
      <c r="D262" s="21" t="s">
        <v>11</v>
      </c>
      <c r="E262" s="21" t="s">
        <v>11</v>
      </c>
    </row>
    <row r="263" spans="1:5" s="21" customFormat="1" ht="15.75" hidden="1" customHeight="1">
      <c r="A263" s="21">
        <v>30268</v>
      </c>
      <c r="B263" s="21" t="s">
        <v>121</v>
      </c>
      <c r="C263" s="21" t="s">
        <v>5158</v>
      </c>
      <c r="D263" s="21" t="s">
        <v>11</v>
      </c>
      <c r="E263" s="21" t="s">
        <v>11</v>
      </c>
    </row>
    <row r="264" spans="1:5" s="21" customFormat="1" ht="15.75" hidden="1" customHeight="1">
      <c r="A264" s="21">
        <v>30269</v>
      </c>
      <c r="B264" s="21" t="s">
        <v>122</v>
      </c>
      <c r="C264" s="21" t="s">
        <v>5158</v>
      </c>
      <c r="D264" s="21" t="s">
        <v>11</v>
      </c>
      <c r="E264" s="21" t="s">
        <v>11</v>
      </c>
    </row>
    <row r="265" spans="1:5" s="21" customFormat="1" ht="15.75" hidden="1" customHeight="1">
      <c r="A265" s="21">
        <v>30270</v>
      </c>
      <c r="B265" s="21" t="s">
        <v>123</v>
      </c>
      <c r="C265" s="21" t="s">
        <v>5158</v>
      </c>
      <c r="D265" s="21" t="s">
        <v>11</v>
      </c>
      <c r="E265" s="21" t="s">
        <v>11</v>
      </c>
    </row>
    <row r="266" spans="1:5" s="21" customFormat="1" ht="15.75" hidden="1" customHeight="1">
      <c r="A266" s="21">
        <v>30311</v>
      </c>
      <c r="B266" s="21" t="s">
        <v>124</v>
      </c>
      <c r="C266" s="21" t="s">
        <v>5158</v>
      </c>
      <c r="D266" s="21" t="s">
        <v>11</v>
      </c>
      <c r="E266" s="21" t="s">
        <v>11</v>
      </c>
    </row>
    <row r="267" spans="1:5" s="21" customFormat="1" ht="15.75" hidden="1" customHeight="1">
      <c r="A267" s="21">
        <v>30319</v>
      </c>
      <c r="B267" s="21" t="s">
        <v>125</v>
      </c>
      <c r="C267" s="21" t="s">
        <v>5158</v>
      </c>
      <c r="D267" s="21" t="s">
        <v>11</v>
      </c>
      <c r="E267" s="21" t="s">
        <v>11</v>
      </c>
    </row>
    <row r="268" spans="1:5" s="21" customFormat="1" ht="15.75" hidden="1" customHeight="1">
      <c r="A268" s="21">
        <v>30321</v>
      </c>
      <c r="B268" s="21" t="s">
        <v>126</v>
      </c>
      <c r="C268" s="21" t="s">
        <v>5158</v>
      </c>
      <c r="D268" s="21" t="s">
        <v>11</v>
      </c>
      <c r="E268" s="21" t="s">
        <v>11</v>
      </c>
    </row>
    <row r="269" spans="1:5" s="21" customFormat="1" ht="15.75" hidden="1" customHeight="1">
      <c r="A269" s="21">
        <v>30322</v>
      </c>
      <c r="B269" s="21" t="s">
        <v>127</v>
      </c>
      <c r="C269" s="21" t="s">
        <v>5158</v>
      </c>
      <c r="D269" s="21" t="s">
        <v>11</v>
      </c>
      <c r="E269" s="21" t="s">
        <v>11</v>
      </c>
    </row>
    <row r="270" spans="1:5" s="21" customFormat="1" ht="15.75" hidden="1" customHeight="1">
      <c r="A270" s="21">
        <v>30329</v>
      </c>
      <c r="B270" s="21" t="s">
        <v>128</v>
      </c>
      <c r="C270" s="21" t="s">
        <v>5158</v>
      </c>
      <c r="D270" s="21" t="s">
        <v>11</v>
      </c>
      <c r="E270" s="21" t="s">
        <v>11</v>
      </c>
    </row>
    <row r="271" spans="1:5" s="21" customFormat="1" ht="15.75" hidden="1" customHeight="1">
      <c r="A271" s="21">
        <v>30331</v>
      </c>
      <c r="B271" s="21" t="s">
        <v>129</v>
      </c>
      <c r="C271" s="21" t="s">
        <v>5158</v>
      </c>
      <c r="D271" s="21" t="s">
        <v>11</v>
      </c>
      <c r="E271" s="21" t="s">
        <v>11</v>
      </c>
    </row>
    <row r="272" spans="1:5" s="21" customFormat="1" ht="15.75" hidden="1" customHeight="1">
      <c r="A272" s="21">
        <v>30332</v>
      </c>
      <c r="B272" s="21" t="s">
        <v>130</v>
      </c>
      <c r="C272" s="21" t="s">
        <v>5158</v>
      </c>
      <c r="D272" s="21" t="s">
        <v>11</v>
      </c>
      <c r="E272" s="21" t="s">
        <v>11</v>
      </c>
    </row>
    <row r="273" spans="1:5" s="21" customFormat="1" ht="15.75" hidden="1" customHeight="1">
      <c r="A273" s="21">
        <v>30333</v>
      </c>
      <c r="B273" s="21" t="s">
        <v>131</v>
      </c>
      <c r="C273" s="21" t="s">
        <v>5158</v>
      </c>
      <c r="D273" s="21" t="s">
        <v>11</v>
      </c>
      <c r="E273" s="21" t="s">
        <v>11</v>
      </c>
    </row>
    <row r="274" spans="1:5" s="21" customFormat="1" ht="15.75" hidden="1" customHeight="1">
      <c r="A274" s="21">
        <v>30339</v>
      </c>
      <c r="B274" s="21" t="s">
        <v>132</v>
      </c>
      <c r="C274" s="21" t="s">
        <v>5158</v>
      </c>
      <c r="D274" s="21" t="s">
        <v>11</v>
      </c>
      <c r="E274" s="21" t="s">
        <v>11</v>
      </c>
    </row>
    <row r="275" spans="1:5" s="21" customFormat="1" ht="15.75" hidden="1" customHeight="1">
      <c r="A275" s="21">
        <v>30341</v>
      </c>
      <c r="B275" s="21" t="s">
        <v>133</v>
      </c>
      <c r="C275" s="21" t="s">
        <v>5158</v>
      </c>
      <c r="D275" s="21" t="s">
        <v>11</v>
      </c>
      <c r="E275" s="21" t="s">
        <v>11</v>
      </c>
    </row>
    <row r="276" spans="1:5" s="21" customFormat="1" ht="15.75" hidden="1" customHeight="1">
      <c r="A276" s="21">
        <v>30342</v>
      </c>
      <c r="B276" s="21" t="s">
        <v>134</v>
      </c>
      <c r="C276" s="21" t="s">
        <v>5158</v>
      </c>
      <c r="D276" s="21" t="s">
        <v>11</v>
      </c>
      <c r="E276" s="21" t="s">
        <v>11</v>
      </c>
    </row>
    <row r="277" spans="1:5" s="21" customFormat="1" ht="15.75" hidden="1" customHeight="1">
      <c r="A277" s="21">
        <v>30343</v>
      </c>
      <c r="B277" s="21" t="s">
        <v>135</v>
      </c>
      <c r="C277" s="21" t="s">
        <v>5158</v>
      </c>
      <c r="D277" s="21" t="s">
        <v>11</v>
      </c>
      <c r="E277" s="21" t="s">
        <v>11</v>
      </c>
    </row>
    <row r="278" spans="1:5" s="21" customFormat="1" ht="15.75" hidden="1" customHeight="1">
      <c r="A278" s="21">
        <v>30344</v>
      </c>
      <c r="B278" s="21" t="s">
        <v>136</v>
      </c>
      <c r="C278" s="21" t="s">
        <v>5158</v>
      </c>
      <c r="D278" s="21" t="s">
        <v>11</v>
      </c>
      <c r="E278" s="21" t="s">
        <v>11</v>
      </c>
    </row>
    <row r="279" spans="1:5" s="21" customFormat="1" ht="15.75" hidden="1" customHeight="1">
      <c r="A279" s="21">
        <v>30345</v>
      </c>
      <c r="B279" s="21" t="s">
        <v>137</v>
      </c>
      <c r="C279" s="21" t="s">
        <v>5158</v>
      </c>
      <c r="D279" s="21" t="s">
        <v>11</v>
      </c>
      <c r="E279" s="21" t="s">
        <v>11</v>
      </c>
    </row>
    <row r="280" spans="1:5" s="21" customFormat="1" ht="15.75" hidden="1" customHeight="1">
      <c r="A280" s="21">
        <v>30346</v>
      </c>
      <c r="B280" s="21" t="s">
        <v>138</v>
      </c>
      <c r="C280" s="21" t="s">
        <v>5158</v>
      </c>
      <c r="D280" s="21" t="s">
        <v>11</v>
      </c>
      <c r="E280" s="21" t="s">
        <v>11</v>
      </c>
    </row>
    <row r="281" spans="1:5" s="21" customFormat="1" ht="15.75" hidden="1" customHeight="1">
      <c r="A281" s="21">
        <v>30349</v>
      </c>
      <c r="B281" s="21" t="s">
        <v>139</v>
      </c>
      <c r="C281" s="21" t="s">
        <v>5158</v>
      </c>
      <c r="D281" s="21" t="s">
        <v>11</v>
      </c>
      <c r="E281" s="21" t="s">
        <v>11</v>
      </c>
    </row>
    <row r="282" spans="1:5" s="21" customFormat="1" ht="15.75" hidden="1" customHeight="1">
      <c r="A282" s="21">
        <v>30351</v>
      </c>
      <c r="B282" s="21" t="s">
        <v>140</v>
      </c>
      <c r="C282" s="21" t="s">
        <v>5158</v>
      </c>
      <c r="D282" s="21" t="s">
        <v>11</v>
      </c>
      <c r="E282" s="21" t="s">
        <v>11</v>
      </c>
    </row>
    <row r="283" spans="1:5" s="21" customFormat="1" ht="15.75" hidden="1" customHeight="1">
      <c r="A283" s="21">
        <v>30352</v>
      </c>
      <c r="B283" s="21" t="s">
        <v>141</v>
      </c>
      <c r="C283" s="21" t="s">
        <v>5158</v>
      </c>
      <c r="D283" s="21" t="s">
        <v>11</v>
      </c>
      <c r="E283" s="21" t="s">
        <v>11</v>
      </c>
    </row>
    <row r="284" spans="1:5" s="21" customFormat="1" ht="15.75" hidden="1" customHeight="1">
      <c r="A284" s="21">
        <v>30361</v>
      </c>
      <c r="B284" s="21" t="s">
        <v>142</v>
      </c>
      <c r="C284" s="21" t="s">
        <v>5158</v>
      </c>
      <c r="D284" s="21" t="s">
        <v>11</v>
      </c>
      <c r="E284" s="21" t="s">
        <v>11</v>
      </c>
    </row>
    <row r="285" spans="1:5" s="21" customFormat="1" ht="15.75" hidden="1" customHeight="1">
      <c r="A285" s="21">
        <v>30362</v>
      </c>
      <c r="B285" s="21" t="s">
        <v>143</v>
      </c>
      <c r="C285" s="21" t="s">
        <v>5158</v>
      </c>
      <c r="D285" s="21" t="s">
        <v>11</v>
      </c>
      <c r="E285" s="21" t="s">
        <v>11</v>
      </c>
    </row>
    <row r="286" spans="1:5" s="21" customFormat="1" ht="15.75" hidden="1" customHeight="1">
      <c r="A286" s="21">
        <v>30371</v>
      </c>
      <c r="B286" s="21" t="s">
        <v>144</v>
      </c>
      <c r="C286" s="21" t="s">
        <v>5158</v>
      </c>
      <c r="D286" s="21" t="s">
        <v>11</v>
      </c>
      <c r="E286" s="21" t="s">
        <v>11</v>
      </c>
    </row>
    <row r="287" spans="1:5" s="21" customFormat="1" ht="15.75" hidden="1" customHeight="1">
      <c r="A287" s="21">
        <v>30372</v>
      </c>
      <c r="B287" s="21" t="s">
        <v>145</v>
      </c>
      <c r="C287" s="21" t="s">
        <v>5158</v>
      </c>
      <c r="D287" s="21" t="s">
        <v>11</v>
      </c>
      <c r="E287" s="21" t="s">
        <v>11</v>
      </c>
    </row>
    <row r="288" spans="1:5" s="21" customFormat="1" ht="15.75" hidden="1" customHeight="1">
      <c r="A288" s="21">
        <v>30373</v>
      </c>
      <c r="B288" s="21" t="s">
        <v>146</v>
      </c>
      <c r="C288" s="21" t="s">
        <v>5158</v>
      </c>
      <c r="D288" s="21" t="s">
        <v>11</v>
      </c>
      <c r="E288" s="21" t="s">
        <v>11</v>
      </c>
    </row>
    <row r="289" spans="1:5" s="21" customFormat="1" ht="15.75" hidden="1" customHeight="1">
      <c r="A289" s="21">
        <v>30374</v>
      </c>
      <c r="B289" s="21" t="s">
        <v>147</v>
      </c>
      <c r="C289" s="21" t="s">
        <v>5158</v>
      </c>
      <c r="D289" s="21" t="s">
        <v>11</v>
      </c>
      <c r="E289" s="21" t="s">
        <v>11</v>
      </c>
    </row>
    <row r="290" spans="1:5" s="21" customFormat="1" ht="15.75" hidden="1" customHeight="1">
      <c r="A290" s="21">
        <v>30375</v>
      </c>
      <c r="B290" s="21" t="s">
        <v>148</v>
      </c>
      <c r="C290" s="21" t="s">
        <v>5158</v>
      </c>
      <c r="D290" s="21" t="s">
        <v>11</v>
      </c>
      <c r="E290" s="21" t="s">
        <v>11</v>
      </c>
    </row>
    <row r="291" spans="1:5" s="21" customFormat="1" ht="15.75" hidden="1" customHeight="1">
      <c r="A291" s="21">
        <v>30376</v>
      </c>
      <c r="B291" s="21" t="s">
        <v>149</v>
      </c>
      <c r="C291" s="21" t="s">
        <v>5158</v>
      </c>
      <c r="D291" s="21" t="s">
        <v>11</v>
      </c>
      <c r="E291" s="21" t="s">
        <v>11</v>
      </c>
    </row>
    <row r="292" spans="1:5" s="21" customFormat="1" ht="15.75" hidden="1" customHeight="1">
      <c r="A292" s="21">
        <v>30377</v>
      </c>
      <c r="B292" s="21" t="s">
        <v>150</v>
      </c>
      <c r="C292" s="21" t="s">
        <v>5158</v>
      </c>
      <c r="D292" s="21" t="s">
        <v>11</v>
      </c>
      <c r="E292" s="21" t="s">
        <v>11</v>
      </c>
    </row>
    <row r="293" spans="1:5" s="21" customFormat="1" ht="15.75" hidden="1" customHeight="1">
      <c r="A293" s="21">
        <v>30378</v>
      </c>
      <c r="B293" s="21" t="s">
        <v>151</v>
      </c>
      <c r="C293" s="21" t="s">
        <v>5158</v>
      </c>
      <c r="D293" s="21" t="s">
        <v>11</v>
      </c>
      <c r="E293" s="21" t="s">
        <v>11</v>
      </c>
    </row>
    <row r="294" spans="1:5" s="21" customFormat="1" ht="15.75" hidden="1" customHeight="1">
      <c r="A294" s="21">
        <v>30379</v>
      </c>
      <c r="B294" s="21" t="s">
        <v>152</v>
      </c>
      <c r="C294" s="21" t="s">
        <v>5158</v>
      </c>
      <c r="D294" s="21" t="s">
        <v>11</v>
      </c>
      <c r="E294" s="21" t="s">
        <v>11</v>
      </c>
    </row>
    <row r="295" spans="1:5" s="21" customFormat="1" ht="15.75" hidden="1" customHeight="1">
      <c r="A295" s="21">
        <v>30380</v>
      </c>
      <c r="B295" s="21" t="s">
        <v>153</v>
      </c>
      <c r="C295" s="21" t="s">
        <v>5158</v>
      </c>
      <c r="D295" s="21" t="s">
        <v>11</v>
      </c>
      <c r="E295" s="21" t="s">
        <v>11</v>
      </c>
    </row>
    <row r="296" spans="1:5" s="21" customFormat="1" ht="15.75" hidden="1" customHeight="1">
      <c r="A296" s="21">
        <v>30411</v>
      </c>
      <c r="B296" s="21" t="s">
        <v>154</v>
      </c>
      <c r="C296" s="21" t="s">
        <v>5158</v>
      </c>
      <c r="D296" s="21" t="s">
        <v>11</v>
      </c>
      <c r="E296" s="21" t="s">
        <v>11</v>
      </c>
    </row>
    <row r="297" spans="1:5" s="21" customFormat="1" ht="15.75" hidden="1" customHeight="1">
      <c r="A297" s="21">
        <v>30412</v>
      </c>
      <c r="B297" s="21" t="s">
        <v>155</v>
      </c>
      <c r="C297" s="21" t="s">
        <v>5158</v>
      </c>
      <c r="D297" s="21" t="s">
        <v>11</v>
      </c>
      <c r="E297" s="21" t="s">
        <v>11</v>
      </c>
    </row>
    <row r="298" spans="1:5" s="21" customFormat="1" ht="15.75" hidden="1" customHeight="1">
      <c r="A298" s="21">
        <v>30419</v>
      </c>
      <c r="B298" s="21" t="s">
        <v>156</v>
      </c>
      <c r="C298" s="21" t="s">
        <v>5158</v>
      </c>
      <c r="D298" s="21" t="s">
        <v>11</v>
      </c>
      <c r="E298" s="21" t="s">
        <v>11</v>
      </c>
    </row>
    <row r="299" spans="1:5" s="21" customFormat="1" ht="15.75" hidden="1" customHeight="1">
      <c r="A299" s="21">
        <v>30421</v>
      </c>
      <c r="B299" s="21" t="s">
        <v>157</v>
      </c>
      <c r="C299" s="21" t="s">
        <v>5158</v>
      </c>
      <c r="D299" s="21" t="s">
        <v>11</v>
      </c>
      <c r="E299" s="21" t="s">
        <v>11</v>
      </c>
    </row>
    <row r="300" spans="1:5" s="21" customFormat="1" ht="15.75" hidden="1" customHeight="1">
      <c r="A300" s="21">
        <v>30422</v>
      </c>
      <c r="B300" s="21" t="s">
        <v>158</v>
      </c>
      <c r="C300" s="21" t="s">
        <v>5158</v>
      </c>
      <c r="D300" s="21" t="s">
        <v>11</v>
      </c>
      <c r="E300" s="21" t="s">
        <v>11</v>
      </c>
    </row>
    <row r="301" spans="1:5" s="21" customFormat="1" ht="15.75" hidden="1" customHeight="1">
      <c r="A301" s="21">
        <v>30429</v>
      </c>
      <c r="B301" s="21" t="s">
        <v>159</v>
      </c>
      <c r="C301" s="21" t="s">
        <v>5158</v>
      </c>
      <c r="D301" s="21" t="s">
        <v>11</v>
      </c>
      <c r="E301" s="21" t="s">
        <v>11</v>
      </c>
    </row>
    <row r="302" spans="1:5" s="21" customFormat="1" ht="15.75" hidden="1" customHeight="1">
      <c r="A302" s="21">
        <v>30491</v>
      </c>
      <c r="B302" s="21" t="s">
        <v>160</v>
      </c>
      <c r="C302" s="21" t="s">
        <v>5158</v>
      </c>
      <c r="D302" s="21" t="s">
        <v>11</v>
      </c>
      <c r="E302" s="21" t="s">
        <v>11</v>
      </c>
    </row>
    <row r="303" spans="1:5" s="21" customFormat="1" ht="15.75" hidden="1" customHeight="1">
      <c r="A303" s="21">
        <v>30492</v>
      </c>
      <c r="B303" s="21" t="s">
        <v>161</v>
      </c>
      <c r="C303" s="21" t="s">
        <v>5158</v>
      </c>
      <c r="D303" s="21" t="s">
        <v>11</v>
      </c>
      <c r="E303" s="21" t="s">
        <v>11</v>
      </c>
    </row>
    <row r="304" spans="1:5" s="21" customFormat="1" ht="15.75" hidden="1" customHeight="1">
      <c r="A304" s="21">
        <v>30499</v>
      </c>
      <c r="B304" s="21" t="s">
        <v>162</v>
      </c>
      <c r="C304" s="21" t="s">
        <v>5158</v>
      </c>
      <c r="D304" s="21" t="s">
        <v>11</v>
      </c>
      <c r="E304" s="21" t="s">
        <v>11</v>
      </c>
    </row>
    <row r="305" spans="1:5" s="21" customFormat="1" ht="15.75" hidden="1" customHeight="1">
      <c r="A305" s="21">
        <v>30510</v>
      </c>
      <c r="B305" s="21" t="s">
        <v>163</v>
      </c>
      <c r="C305" s="21" t="s">
        <v>5159</v>
      </c>
      <c r="D305" s="21" t="s">
        <v>11</v>
      </c>
      <c r="E305" s="21" t="s">
        <v>11</v>
      </c>
    </row>
    <row r="306" spans="1:5" s="21" customFormat="1" ht="15.75" hidden="1" customHeight="1">
      <c r="A306" s="21">
        <v>30520</v>
      </c>
      <c r="B306" s="21" t="s">
        <v>164</v>
      </c>
      <c r="C306" s="21" t="s">
        <v>5158</v>
      </c>
      <c r="D306" s="21" t="s">
        <v>11</v>
      </c>
      <c r="E306" s="21" t="s">
        <v>11</v>
      </c>
    </row>
    <row r="307" spans="1:5" s="21" customFormat="1" ht="15.75" hidden="1" customHeight="1">
      <c r="A307" s="21">
        <v>30530</v>
      </c>
      <c r="B307" s="21" t="s">
        <v>165</v>
      </c>
      <c r="C307" s="21" t="s">
        <v>5158</v>
      </c>
      <c r="D307" s="21" t="s">
        <v>11</v>
      </c>
      <c r="E307" s="21" t="s">
        <v>11</v>
      </c>
    </row>
    <row r="308" spans="1:5" s="21" customFormat="1" ht="15.75" hidden="1" customHeight="1">
      <c r="A308" s="21">
        <v>30541</v>
      </c>
      <c r="B308" s="21" t="s">
        <v>166</v>
      </c>
      <c r="C308" s="21" t="s">
        <v>5158</v>
      </c>
      <c r="D308" s="21" t="s">
        <v>11</v>
      </c>
      <c r="E308" s="21" t="s">
        <v>11</v>
      </c>
    </row>
    <row r="309" spans="1:5" s="21" customFormat="1" ht="15.75" hidden="1" customHeight="1">
      <c r="A309" s="21">
        <v>30542</v>
      </c>
      <c r="B309" s="21" t="s">
        <v>167</v>
      </c>
      <c r="C309" s="21" t="s">
        <v>5158</v>
      </c>
      <c r="D309" s="21" t="s">
        <v>11</v>
      </c>
      <c r="E309" s="21" t="s">
        <v>11</v>
      </c>
    </row>
    <row r="310" spans="1:5" s="21" customFormat="1" ht="15.75" hidden="1" customHeight="1">
      <c r="A310" s="21">
        <v>30549</v>
      </c>
      <c r="B310" s="21" t="s">
        <v>168</v>
      </c>
      <c r="C310" s="21" t="s">
        <v>5158</v>
      </c>
      <c r="D310" s="21" t="s">
        <v>11</v>
      </c>
      <c r="E310" s="21" t="s">
        <v>11</v>
      </c>
    </row>
    <row r="311" spans="1:5" s="21" customFormat="1" ht="15.75" hidden="1" customHeight="1">
      <c r="A311" s="21">
        <v>30551</v>
      </c>
      <c r="B311" s="21" t="s">
        <v>169</v>
      </c>
      <c r="C311" s="21" t="s">
        <v>5158</v>
      </c>
      <c r="D311" s="21" t="s">
        <v>11</v>
      </c>
      <c r="E311" s="21" t="s">
        <v>11</v>
      </c>
    </row>
    <row r="312" spans="1:5" s="21" customFormat="1" ht="15.75" hidden="1" customHeight="1">
      <c r="A312" s="21">
        <v>30559</v>
      </c>
      <c r="B312" s="21" t="s">
        <v>170</v>
      </c>
      <c r="C312" s="21" t="s">
        <v>5158</v>
      </c>
      <c r="D312" s="21" t="s">
        <v>11</v>
      </c>
      <c r="E312" s="21" t="s">
        <v>11</v>
      </c>
    </row>
    <row r="313" spans="1:5" s="21" customFormat="1" ht="15.75" hidden="1" customHeight="1">
      <c r="A313" s="21">
        <v>30561</v>
      </c>
      <c r="B313" s="21" t="s">
        <v>171</v>
      </c>
      <c r="C313" s="21" t="s">
        <v>5158</v>
      </c>
      <c r="D313" s="21" t="s">
        <v>11</v>
      </c>
      <c r="E313" s="21" t="s">
        <v>11</v>
      </c>
    </row>
    <row r="314" spans="1:5" s="21" customFormat="1" ht="15.75" hidden="1" customHeight="1">
      <c r="A314" s="21">
        <v>30562</v>
      </c>
      <c r="B314" s="21" t="s">
        <v>172</v>
      </c>
      <c r="C314" s="21" t="s">
        <v>5158</v>
      </c>
      <c r="D314" s="21" t="s">
        <v>11</v>
      </c>
      <c r="E314" s="21" t="s">
        <v>11</v>
      </c>
    </row>
    <row r="315" spans="1:5" s="21" customFormat="1" ht="15.75" hidden="1" customHeight="1">
      <c r="A315" s="21">
        <v>30563</v>
      </c>
      <c r="B315" s="21" t="s">
        <v>173</v>
      </c>
      <c r="C315" s="21" t="s">
        <v>5158</v>
      </c>
      <c r="D315" s="21" t="s">
        <v>11</v>
      </c>
      <c r="E315" s="21" t="s">
        <v>11</v>
      </c>
    </row>
    <row r="316" spans="1:5" s="21" customFormat="1" ht="15.75" hidden="1" customHeight="1">
      <c r="A316" s="21">
        <v>30569</v>
      </c>
      <c r="B316" s="21" t="s">
        <v>174</v>
      </c>
      <c r="C316" s="21" t="s">
        <v>5158</v>
      </c>
      <c r="D316" s="21" t="s">
        <v>11</v>
      </c>
      <c r="E316" s="21" t="s">
        <v>11</v>
      </c>
    </row>
    <row r="317" spans="1:5" s="21" customFormat="1" ht="15.75" hidden="1" customHeight="1">
      <c r="A317" s="21">
        <v>30611</v>
      </c>
      <c r="B317" s="21" t="s">
        <v>175</v>
      </c>
      <c r="C317" s="21" t="s">
        <v>5160</v>
      </c>
      <c r="D317" s="21" t="s">
        <v>11</v>
      </c>
      <c r="E317" s="21" t="s">
        <v>11</v>
      </c>
    </row>
    <row r="318" spans="1:5" s="21" customFormat="1" ht="15.75" hidden="1" customHeight="1">
      <c r="A318" s="21">
        <v>30612</v>
      </c>
      <c r="B318" s="21" t="s">
        <v>176</v>
      </c>
      <c r="C318" s="21" t="s">
        <v>5160</v>
      </c>
      <c r="D318" s="21" t="s">
        <v>11</v>
      </c>
      <c r="E318" s="21" t="s">
        <v>11</v>
      </c>
    </row>
    <row r="319" spans="1:5" s="21" customFormat="1" ht="15.75" hidden="1" customHeight="1">
      <c r="A319" s="21">
        <v>30613</v>
      </c>
      <c r="B319" s="21" t="s">
        <v>177</v>
      </c>
      <c r="C319" s="21" t="s">
        <v>5160</v>
      </c>
      <c r="D319" s="21" t="s">
        <v>11</v>
      </c>
      <c r="E319" s="21" t="s">
        <v>11</v>
      </c>
    </row>
    <row r="320" spans="1:5" s="21" customFormat="1" ht="15.75" hidden="1" customHeight="1">
      <c r="A320" s="21">
        <v>30614</v>
      </c>
      <c r="B320" s="21" t="s">
        <v>178</v>
      </c>
      <c r="C320" s="21" t="s">
        <v>5160</v>
      </c>
      <c r="D320" s="21" t="s">
        <v>11</v>
      </c>
      <c r="E320" s="21" t="s">
        <v>11</v>
      </c>
    </row>
    <row r="321" spans="1:5" s="21" customFormat="1" ht="15.75" hidden="1" customHeight="1">
      <c r="A321" s="21">
        <v>30619</v>
      </c>
      <c r="B321" s="21" t="s">
        <v>179</v>
      </c>
      <c r="C321" s="21" t="s">
        <v>5160</v>
      </c>
      <c r="D321" s="21" t="s">
        <v>11</v>
      </c>
      <c r="E321" s="21" t="s">
        <v>11</v>
      </c>
    </row>
    <row r="322" spans="1:5" s="21" customFormat="1" ht="15.75" hidden="1" customHeight="1">
      <c r="A322" s="21">
        <v>30621</v>
      </c>
      <c r="B322" s="21" t="s">
        <v>180</v>
      </c>
      <c r="C322" s="21" t="s">
        <v>5160</v>
      </c>
      <c r="D322" s="21" t="s">
        <v>11</v>
      </c>
      <c r="E322" s="21" t="s">
        <v>11</v>
      </c>
    </row>
    <row r="323" spans="1:5" s="21" customFormat="1" ht="15.75" hidden="1" customHeight="1">
      <c r="A323" s="21">
        <v>30622</v>
      </c>
      <c r="B323" s="21" t="s">
        <v>181</v>
      </c>
      <c r="C323" s="21" t="s">
        <v>5160</v>
      </c>
      <c r="D323" s="21" t="s">
        <v>11</v>
      </c>
      <c r="E323" s="21" t="s">
        <v>11</v>
      </c>
    </row>
    <row r="324" spans="1:5" s="21" customFormat="1" ht="15.75" hidden="1" customHeight="1">
      <c r="A324" s="21">
        <v>30623</v>
      </c>
      <c r="B324" s="21" t="s">
        <v>182</v>
      </c>
      <c r="C324" s="21" t="s">
        <v>5160</v>
      </c>
      <c r="D324" s="21" t="s">
        <v>11</v>
      </c>
      <c r="E324" s="21" t="s">
        <v>11</v>
      </c>
    </row>
    <row r="325" spans="1:5" s="21" customFormat="1" ht="15.75" hidden="1" customHeight="1">
      <c r="A325" s="21">
        <v>30624</v>
      </c>
      <c r="B325" s="21" t="s">
        <v>183</v>
      </c>
      <c r="C325" s="21" t="s">
        <v>5160</v>
      </c>
      <c r="D325" s="21" t="s">
        <v>11</v>
      </c>
      <c r="E325" s="21" t="s">
        <v>11</v>
      </c>
    </row>
    <row r="326" spans="1:5" s="21" customFormat="1" ht="15.75" hidden="1" customHeight="1">
      <c r="A326" s="21">
        <v>30629</v>
      </c>
      <c r="B326" s="21" t="s">
        <v>184</v>
      </c>
      <c r="C326" s="21" t="s">
        <v>5160</v>
      </c>
      <c r="D326" s="21" t="s">
        <v>11</v>
      </c>
      <c r="E326" s="21" t="s">
        <v>11</v>
      </c>
    </row>
    <row r="327" spans="1:5" s="21" customFormat="1" ht="15.75" hidden="1" customHeight="1">
      <c r="A327" s="21">
        <v>30710</v>
      </c>
      <c r="B327" s="21" t="s">
        <v>185</v>
      </c>
      <c r="C327" s="21" t="s">
        <v>5161</v>
      </c>
      <c r="D327" s="21" t="s">
        <v>11</v>
      </c>
      <c r="E327" s="21" t="s">
        <v>11</v>
      </c>
    </row>
    <row r="328" spans="1:5" s="21" customFormat="1" ht="15.75" hidden="1" customHeight="1">
      <c r="A328" s="21">
        <v>30721</v>
      </c>
      <c r="B328" s="21" t="s">
        <v>186</v>
      </c>
      <c r="C328" s="21" t="s">
        <v>5161</v>
      </c>
      <c r="D328" s="21" t="s">
        <v>11</v>
      </c>
      <c r="E328" s="21" t="s">
        <v>11</v>
      </c>
    </row>
    <row r="329" spans="1:5" s="21" customFormat="1" ht="15.75" hidden="1" customHeight="1">
      <c r="A329" s="21">
        <v>30729</v>
      </c>
      <c r="B329" s="21" t="s">
        <v>187</v>
      </c>
      <c r="C329" s="21" t="s">
        <v>5161</v>
      </c>
      <c r="D329" s="21" t="s">
        <v>11</v>
      </c>
      <c r="E329" s="21" t="s">
        <v>11</v>
      </c>
    </row>
    <row r="330" spans="1:5" s="21" customFormat="1" ht="15.75" hidden="1" customHeight="1">
      <c r="A330" s="21">
        <v>30731</v>
      </c>
      <c r="B330" s="21" t="s">
        <v>188</v>
      </c>
      <c r="C330" s="21" t="s">
        <v>5161</v>
      </c>
      <c r="D330" s="21" t="s">
        <v>11</v>
      </c>
      <c r="E330" s="21" t="s">
        <v>11</v>
      </c>
    </row>
    <row r="331" spans="1:5" s="21" customFormat="1" ht="15.75" hidden="1" customHeight="1">
      <c r="A331" s="21">
        <v>30739</v>
      </c>
      <c r="B331" s="21" t="s">
        <v>189</v>
      </c>
      <c r="C331" s="21" t="s">
        <v>5161</v>
      </c>
      <c r="D331" s="21" t="s">
        <v>11</v>
      </c>
      <c r="E331" s="21" t="s">
        <v>11</v>
      </c>
    </row>
    <row r="332" spans="1:5" s="21" customFormat="1" ht="15.75" hidden="1" customHeight="1">
      <c r="A332" s="21">
        <v>30741</v>
      </c>
      <c r="B332" s="21" t="s">
        <v>190</v>
      </c>
      <c r="C332" s="21" t="s">
        <v>5161</v>
      </c>
      <c r="D332" s="21" t="s">
        <v>11</v>
      </c>
      <c r="E332" s="21" t="s">
        <v>11</v>
      </c>
    </row>
    <row r="333" spans="1:5" s="21" customFormat="1" ht="15.75" hidden="1" customHeight="1">
      <c r="A333" s="21">
        <v>30749</v>
      </c>
      <c r="B333" s="21" t="s">
        <v>191</v>
      </c>
      <c r="C333" s="21" t="s">
        <v>5161</v>
      </c>
      <c r="D333" s="21" t="s">
        <v>11</v>
      </c>
      <c r="E333" s="21" t="s">
        <v>11</v>
      </c>
    </row>
    <row r="334" spans="1:5" s="21" customFormat="1" ht="15.75" hidden="1" customHeight="1">
      <c r="A334" s="21">
        <v>30751</v>
      </c>
      <c r="B334" s="21" t="s">
        <v>192</v>
      </c>
      <c r="C334" s="21" t="s">
        <v>5161</v>
      </c>
      <c r="D334" s="21" t="s">
        <v>11</v>
      </c>
      <c r="E334" s="21" t="s">
        <v>11</v>
      </c>
    </row>
    <row r="335" spans="1:5" s="21" customFormat="1" ht="15.75" hidden="1" customHeight="1">
      <c r="A335" s="21">
        <v>30759</v>
      </c>
      <c r="B335" s="21" t="s">
        <v>193</v>
      </c>
      <c r="C335" s="21" t="s">
        <v>5161</v>
      </c>
      <c r="D335" s="21" t="s">
        <v>11</v>
      </c>
      <c r="E335" s="21" t="s">
        <v>11</v>
      </c>
    </row>
    <row r="336" spans="1:5" s="21" customFormat="1" ht="15.75" hidden="1" customHeight="1">
      <c r="A336" s="21">
        <v>30760</v>
      </c>
      <c r="B336" s="21" t="s">
        <v>194</v>
      </c>
      <c r="C336" s="21" t="s">
        <v>5161</v>
      </c>
      <c r="D336" s="21" t="s">
        <v>11</v>
      </c>
      <c r="E336" s="21" t="s">
        <v>11</v>
      </c>
    </row>
    <row r="337" spans="1:5" s="21" customFormat="1" ht="15.75" hidden="1" customHeight="1">
      <c r="A337" s="21">
        <v>30791</v>
      </c>
      <c r="B337" s="21" t="s">
        <v>195</v>
      </c>
      <c r="C337" s="21" t="s">
        <v>5162</v>
      </c>
      <c r="D337" s="21" t="s">
        <v>11</v>
      </c>
      <c r="E337" s="21" t="s">
        <v>11</v>
      </c>
    </row>
    <row r="338" spans="1:5" s="21" customFormat="1" ht="15.75" hidden="1" customHeight="1">
      <c r="A338" s="21">
        <v>30799</v>
      </c>
      <c r="B338" s="21" t="s">
        <v>196</v>
      </c>
      <c r="C338" s="21" t="s">
        <v>5162</v>
      </c>
      <c r="D338" s="21" t="s">
        <v>11</v>
      </c>
      <c r="E338" s="21" t="s">
        <v>11</v>
      </c>
    </row>
    <row r="339" spans="1:5" s="21" customFormat="1" ht="15.75" hidden="1" customHeight="1">
      <c r="A339" s="21">
        <v>40110</v>
      </c>
      <c r="B339" s="21" t="s">
        <v>197</v>
      </c>
      <c r="C339" s="21" t="s">
        <v>5163</v>
      </c>
      <c r="D339" s="21" t="s">
        <v>11</v>
      </c>
      <c r="E339" s="21" t="s">
        <v>11</v>
      </c>
    </row>
    <row r="340" spans="1:5" s="21" customFormat="1" ht="15.75" hidden="1" customHeight="1">
      <c r="A340" s="21">
        <v>40120</v>
      </c>
      <c r="B340" s="21" t="s">
        <v>198</v>
      </c>
      <c r="C340" s="21" t="s">
        <v>5163</v>
      </c>
      <c r="D340" s="21" t="s">
        <v>11</v>
      </c>
      <c r="E340" s="21" t="s">
        <v>11</v>
      </c>
    </row>
    <row r="341" spans="1:5" s="21" customFormat="1" ht="15.75" hidden="1" customHeight="1">
      <c r="A341" s="21">
        <v>40130</v>
      </c>
      <c r="B341" s="21" t="s">
        <v>199</v>
      </c>
      <c r="C341" s="21" t="s">
        <v>5163</v>
      </c>
      <c r="D341" s="21" t="s">
        <v>11</v>
      </c>
      <c r="E341" s="21" t="s">
        <v>11</v>
      </c>
    </row>
    <row r="342" spans="1:5" s="21" customFormat="1" ht="15.75" hidden="1" customHeight="1">
      <c r="A342" s="21">
        <v>40210</v>
      </c>
      <c r="B342" s="21" t="s">
        <v>200</v>
      </c>
      <c r="C342" s="21" t="s">
        <v>5163</v>
      </c>
      <c r="D342" s="21" t="s">
        <v>11</v>
      </c>
      <c r="E342" s="21" t="s">
        <v>11</v>
      </c>
    </row>
    <row r="343" spans="1:5" s="21" customFormat="1" ht="15.75" hidden="1" customHeight="1">
      <c r="A343" s="21">
        <v>40221</v>
      </c>
      <c r="B343" s="21" t="s">
        <v>201</v>
      </c>
      <c r="C343" s="21" t="s">
        <v>5163</v>
      </c>
      <c r="D343" s="21" t="s">
        <v>11</v>
      </c>
      <c r="E343" s="21" t="s">
        <v>11</v>
      </c>
    </row>
    <row r="344" spans="1:5" s="21" customFormat="1" ht="15.75" hidden="1" customHeight="1">
      <c r="A344" s="21">
        <v>40229</v>
      </c>
      <c r="B344" s="21" t="s">
        <v>202</v>
      </c>
      <c r="C344" s="21" t="s">
        <v>5163</v>
      </c>
      <c r="D344" s="21" t="s">
        <v>11</v>
      </c>
      <c r="E344" s="21" t="s">
        <v>11</v>
      </c>
    </row>
    <row r="345" spans="1:5" s="21" customFormat="1" ht="15.75" hidden="1" customHeight="1">
      <c r="A345" s="21">
        <v>40291</v>
      </c>
      <c r="B345" s="21" t="s">
        <v>203</v>
      </c>
      <c r="C345" s="21" t="s">
        <v>5163</v>
      </c>
      <c r="D345" s="21" t="s">
        <v>11</v>
      </c>
      <c r="E345" s="21" t="s">
        <v>11</v>
      </c>
    </row>
    <row r="346" spans="1:5" s="21" customFormat="1" ht="15.75" hidden="1" customHeight="1">
      <c r="A346" s="21">
        <v>40299</v>
      </c>
      <c r="B346" s="21" t="s">
        <v>204</v>
      </c>
      <c r="C346" s="21" t="s">
        <v>5163</v>
      </c>
      <c r="D346" s="21" t="s">
        <v>11</v>
      </c>
      <c r="E346" s="21" t="s">
        <v>11</v>
      </c>
    </row>
    <row r="347" spans="1:5" s="21" customFormat="1" ht="15.75" hidden="1" customHeight="1">
      <c r="A347" s="21">
        <v>40310</v>
      </c>
      <c r="B347" s="21" t="s">
        <v>205</v>
      </c>
      <c r="C347" s="21" t="s">
        <v>5163</v>
      </c>
      <c r="D347" s="21" t="s">
        <v>11</v>
      </c>
      <c r="E347" s="21" t="s">
        <v>11</v>
      </c>
    </row>
    <row r="348" spans="1:5" s="21" customFormat="1" ht="15.75" hidden="1" customHeight="1">
      <c r="A348" s="21">
        <v>40390</v>
      </c>
      <c r="B348" s="21" t="s">
        <v>206</v>
      </c>
      <c r="C348" s="21" t="s">
        <v>5163</v>
      </c>
      <c r="D348" s="21" t="s">
        <v>11</v>
      </c>
      <c r="E348" s="21" t="s">
        <v>11</v>
      </c>
    </row>
    <row r="349" spans="1:5" s="21" customFormat="1" ht="15.75" hidden="1" customHeight="1">
      <c r="A349" s="21">
        <v>40410</v>
      </c>
      <c r="B349" s="21" t="s">
        <v>207</v>
      </c>
      <c r="C349" s="21" t="s">
        <v>5163</v>
      </c>
      <c r="D349" s="21" t="s">
        <v>11</v>
      </c>
      <c r="E349" s="21" t="s">
        <v>11</v>
      </c>
    </row>
    <row r="350" spans="1:5" s="21" customFormat="1" ht="15.75" hidden="1" customHeight="1">
      <c r="A350" s="21">
        <v>40490</v>
      </c>
      <c r="B350" s="21" t="s">
        <v>208</v>
      </c>
      <c r="C350" s="21" t="s">
        <v>5163</v>
      </c>
      <c r="D350" s="21" t="s">
        <v>11</v>
      </c>
      <c r="E350" s="21" t="s">
        <v>11</v>
      </c>
    </row>
    <row r="351" spans="1:5" s="21" customFormat="1" ht="15.75" hidden="1" customHeight="1">
      <c r="A351" s="21">
        <v>40510</v>
      </c>
      <c r="B351" s="21" t="s">
        <v>209</v>
      </c>
      <c r="C351" s="21" t="s">
        <v>5163</v>
      </c>
      <c r="D351" s="21" t="s">
        <v>11</v>
      </c>
      <c r="E351" s="21" t="s">
        <v>11</v>
      </c>
    </row>
    <row r="352" spans="1:5" s="21" customFormat="1" ht="15.75" hidden="1" customHeight="1">
      <c r="A352" s="21">
        <v>40520</v>
      </c>
      <c r="B352" s="21" t="s">
        <v>210</v>
      </c>
      <c r="C352" s="21" t="s">
        <v>5163</v>
      </c>
      <c r="D352" s="21" t="s">
        <v>11</v>
      </c>
      <c r="E352" s="21" t="s">
        <v>11</v>
      </c>
    </row>
    <row r="353" spans="1:5" s="21" customFormat="1" ht="15.75" hidden="1" customHeight="1">
      <c r="A353" s="21">
        <v>40590</v>
      </c>
      <c r="B353" s="21" t="s">
        <v>211</v>
      </c>
      <c r="C353" s="21" t="s">
        <v>5163</v>
      </c>
      <c r="D353" s="21" t="s">
        <v>11</v>
      </c>
      <c r="E353" s="21" t="s">
        <v>11</v>
      </c>
    </row>
    <row r="354" spans="1:5" s="21" customFormat="1" ht="15.75" hidden="1" customHeight="1">
      <c r="A354" s="21">
        <v>40610</v>
      </c>
      <c r="B354" s="21" t="s">
        <v>212</v>
      </c>
      <c r="C354" s="21" t="s">
        <v>5163</v>
      </c>
      <c r="D354" s="21" t="s">
        <v>11</v>
      </c>
      <c r="E354" s="21" t="s">
        <v>11</v>
      </c>
    </row>
    <row r="355" spans="1:5" s="21" customFormat="1" ht="15.75" hidden="1" customHeight="1">
      <c r="A355" s="21">
        <v>40620</v>
      </c>
      <c r="B355" s="21" t="s">
        <v>213</v>
      </c>
      <c r="C355" s="21" t="s">
        <v>5163</v>
      </c>
      <c r="D355" s="21" t="s">
        <v>11</v>
      </c>
      <c r="E355" s="21" t="s">
        <v>11</v>
      </c>
    </row>
    <row r="356" spans="1:5" s="21" customFormat="1" ht="15.75" hidden="1" customHeight="1">
      <c r="A356" s="21">
        <v>40630</v>
      </c>
      <c r="B356" s="21" t="s">
        <v>214</v>
      </c>
      <c r="C356" s="21" t="s">
        <v>5163</v>
      </c>
      <c r="D356" s="21" t="s">
        <v>11</v>
      </c>
      <c r="E356" s="21" t="s">
        <v>11</v>
      </c>
    </row>
    <row r="357" spans="1:5" s="21" customFormat="1" ht="15.75" hidden="1" customHeight="1">
      <c r="A357" s="21">
        <v>40640</v>
      </c>
      <c r="B357" s="21" t="s">
        <v>215</v>
      </c>
      <c r="C357" s="21" t="s">
        <v>5163</v>
      </c>
      <c r="D357" s="21" t="s">
        <v>11</v>
      </c>
      <c r="E357" s="21" t="s">
        <v>11</v>
      </c>
    </row>
    <row r="358" spans="1:5" s="21" customFormat="1" ht="15.75" hidden="1" customHeight="1">
      <c r="A358" s="21">
        <v>40690</v>
      </c>
      <c r="B358" s="21" t="s">
        <v>216</v>
      </c>
      <c r="C358" s="21" t="s">
        <v>5163</v>
      </c>
      <c r="D358" s="21" t="s">
        <v>11</v>
      </c>
      <c r="E358" s="21" t="s">
        <v>11</v>
      </c>
    </row>
    <row r="359" spans="1:5" s="21" customFormat="1" ht="15.75" hidden="1" customHeight="1">
      <c r="A359" s="21">
        <v>40700</v>
      </c>
      <c r="B359" s="21" t="s">
        <v>217</v>
      </c>
      <c r="C359" s="21" t="s">
        <v>5164</v>
      </c>
      <c r="D359" s="21" t="s">
        <v>11</v>
      </c>
      <c r="E359" s="21" t="s">
        <v>11</v>
      </c>
    </row>
    <row r="360" spans="1:5" s="21" customFormat="1" ht="15.75" hidden="1" customHeight="1">
      <c r="A360" s="21">
        <v>40811</v>
      </c>
      <c r="B360" s="21" t="s">
        <v>218</v>
      </c>
      <c r="C360" s="21" t="s">
        <v>5164</v>
      </c>
      <c r="D360" s="21" t="s">
        <v>11</v>
      </c>
      <c r="E360" s="21" t="s">
        <v>11</v>
      </c>
    </row>
    <row r="361" spans="1:5" s="21" customFormat="1" ht="15.75" hidden="1" customHeight="1">
      <c r="A361" s="21">
        <v>40819</v>
      </c>
      <c r="B361" s="21" t="s">
        <v>219</v>
      </c>
      <c r="C361" s="21" t="s">
        <v>5164</v>
      </c>
      <c r="D361" s="21" t="s">
        <v>11</v>
      </c>
      <c r="E361" s="21" t="s">
        <v>11</v>
      </c>
    </row>
    <row r="362" spans="1:5" s="21" customFormat="1" ht="15.75" hidden="1" customHeight="1">
      <c r="A362" s="21">
        <v>40891</v>
      </c>
      <c r="B362" s="21" t="s">
        <v>220</v>
      </c>
      <c r="C362" s="21" t="s">
        <v>5164</v>
      </c>
      <c r="D362" s="21" t="s">
        <v>11</v>
      </c>
      <c r="E362" s="21" t="s">
        <v>11</v>
      </c>
    </row>
    <row r="363" spans="1:5" s="21" customFormat="1" ht="15.75" hidden="1" customHeight="1">
      <c r="A363" s="21">
        <v>40899</v>
      </c>
      <c r="B363" s="21" t="s">
        <v>221</v>
      </c>
      <c r="C363" s="21" t="s">
        <v>5164</v>
      </c>
      <c r="D363" s="21" t="s">
        <v>11</v>
      </c>
      <c r="E363" s="21" t="s">
        <v>11</v>
      </c>
    </row>
    <row r="364" spans="1:5" s="21" customFormat="1" ht="15.75" hidden="1" customHeight="1">
      <c r="A364" s="21">
        <v>40900</v>
      </c>
      <c r="B364" s="21" t="s">
        <v>222</v>
      </c>
      <c r="C364" s="21" t="s">
        <v>5165</v>
      </c>
      <c r="D364" s="21" t="s">
        <v>11</v>
      </c>
      <c r="E364" s="21" t="s">
        <v>11</v>
      </c>
    </row>
    <row r="365" spans="1:5" s="21" customFormat="1" ht="15.75" hidden="1" customHeight="1">
      <c r="A365" s="21">
        <v>41000</v>
      </c>
      <c r="B365" s="21" t="s">
        <v>223</v>
      </c>
      <c r="C365" s="21" t="s">
        <v>5166</v>
      </c>
      <c r="D365" s="21" t="s">
        <v>11</v>
      </c>
      <c r="E365" s="21" t="s">
        <v>11</v>
      </c>
    </row>
    <row r="366" spans="1:5" s="21" customFormat="1" ht="15.75" hidden="1" customHeight="1">
      <c r="A366" s="21">
        <v>50100</v>
      </c>
      <c r="B366" s="21" t="s">
        <v>224</v>
      </c>
      <c r="C366" s="21" t="s">
        <v>5166</v>
      </c>
      <c r="D366" s="21" t="s">
        <v>11</v>
      </c>
      <c r="E366" s="21" t="s">
        <v>11</v>
      </c>
    </row>
    <row r="367" spans="1:5" s="21" customFormat="1" ht="15.75" hidden="1" customHeight="1">
      <c r="A367" s="21">
        <v>50210</v>
      </c>
      <c r="B367" s="21" t="s">
        <v>225</v>
      </c>
      <c r="C367" s="21" t="s">
        <v>5166</v>
      </c>
      <c r="D367" s="21" t="s">
        <v>11</v>
      </c>
      <c r="E367" s="21" t="s">
        <v>11</v>
      </c>
    </row>
    <row r="368" spans="1:5" s="21" customFormat="1" ht="15.75" hidden="1" customHeight="1">
      <c r="A368" s="21">
        <v>50290</v>
      </c>
      <c r="B368" s="21" t="s">
        <v>226</v>
      </c>
      <c r="C368" s="21" t="s">
        <v>5166</v>
      </c>
      <c r="D368" s="21" t="s">
        <v>11</v>
      </c>
      <c r="E368" s="21" t="s">
        <v>11</v>
      </c>
    </row>
    <row r="369" spans="1:5" s="21" customFormat="1" ht="15.75" hidden="1" customHeight="1">
      <c r="A369" s="21">
        <v>50400</v>
      </c>
      <c r="B369" s="21" t="s">
        <v>227</v>
      </c>
      <c r="C369" s="21" t="s">
        <v>5166</v>
      </c>
      <c r="D369" s="21" t="s">
        <v>11</v>
      </c>
      <c r="E369" s="21" t="s">
        <v>11</v>
      </c>
    </row>
    <row r="370" spans="1:5" s="21" customFormat="1" ht="15.75" hidden="1" customHeight="1">
      <c r="A370" s="21">
        <v>50510</v>
      </c>
      <c r="B370" s="21" t="s">
        <v>228</v>
      </c>
      <c r="C370" s="21" t="s">
        <v>5166</v>
      </c>
      <c r="D370" s="21" t="s">
        <v>11</v>
      </c>
      <c r="E370" s="21" t="s">
        <v>11</v>
      </c>
    </row>
    <row r="371" spans="1:5" s="21" customFormat="1" ht="15.75" hidden="1" customHeight="1">
      <c r="A371" s="21">
        <v>50590</v>
      </c>
      <c r="B371" s="21" t="s">
        <v>229</v>
      </c>
      <c r="C371" s="21" t="s">
        <v>5166</v>
      </c>
      <c r="D371" s="21" t="s">
        <v>11</v>
      </c>
      <c r="E371" s="21" t="s">
        <v>11</v>
      </c>
    </row>
    <row r="372" spans="1:5" s="21" customFormat="1" ht="15.75" hidden="1" customHeight="1">
      <c r="A372" s="21">
        <v>50610</v>
      </c>
      <c r="B372" s="21" t="s">
        <v>230</v>
      </c>
      <c r="C372" s="21" t="s">
        <v>5166</v>
      </c>
      <c r="D372" s="21" t="s">
        <v>11</v>
      </c>
      <c r="E372" s="21" t="s">
        <v>11</v>
      </c>
    </row>
    <row r="373" spans="1:5" s="21" customFormat="1" ht="15.75" hidden="1" customHeight="1">
      <c r="A373" s="21">
        <v>50690</v>
      </c>
      <c r="B373" s="21" t="s">
        <v>231</v>
      </c>
      <c r="C373" s="21" t="s">
        <v>5166</v>
      </c>
      <c r="D373" s="21" t="s">
        <v>11</v>
      </c>
      <c r="E373" s="21" t="s">
        <v>11</v>
      </c>
    </row>
    <row r="374" spans="1:5" s="21" customFormat="1" ht="15.75" hidden="1" customHeight="1">
      <c r="A374" s="21">
        <v>50710</v>
      </c>
      <c r="B374" s="21" t="s">
        <v>232</v>
      </c>
      <c r="C374" s="21" t="s">
        <v>5166</v>
      </c>
      <c r="D374" s="21" t="s">
        <v>11</v>
      </c>
      <c r="E374" s="21" t="s">
        <v>11</v>
      </c>
    </row>
    <row r="375" spans="1:5" s="21" customFormat="1" ht="15.75" hidden="1" customHeight="1">
      <c r="A375" s="21">
        <v>50790</v>
      </c>
      <c r="B375" s="21" t="s">
        <v>233</v>
      </c>
      <c r="C375" s="21" t="s">
        <v>5166</v>
      </c>
      <c r="D375" s="21" t="s">
        <v>11</v>
      </c>
      <c r="E375" s="21" t="s">
        <v>11</v>
      </c>
    </row>
    <row r="376" spans="1:5" s="21" customFormat="1" ht="15.75" hidden="1" customHeight="1">
      <c r="A376" s="21">
        <v>50800</v>
      </c>
      <c r="B376" s="21" t="s">
        <v>234</v>
      </c>
      <c r="C376" s="21" t="s">
        <v>5166</v>
      </c>
      <c r="D376" s="21" t="s">
        <v>11</v>
      </c>
      <c r="E376" s="21" t="s">
        <v>11</v>
      </c>
    </row>
    <row r="377" spans="1:5" s="21" customFormat="1" ht="15.75" hidden="1" customHeight="1">
      <c r="A377" s="21">
        <v>51000</v>
      </c>
      <c r="B377" s="21" t="s">
        <v>235</v>
      </c>
      <c r="C377" s="21" t="s">
        <v>5166</v>
      </c>
      <c r="D377" s="21" t="s">
        <v>11</v>
      </c>
      <c r="E377" s="21" t="s">
        <v>11</v>
      </c>
    </row>
    <row r="378" spans="1:5" s="21" customFormat="1" ht="15.75" hidden="1" customHeight="1">
      <c r="A378" s="21">
        <v>51110</v>
      </c>
      <c r="B378" s="21" t="s">
        <v>236</v>
      </c>
      <c r="C378" s="21" t="s">
        <v>5166</v>
      </c>
      <c r="D378" s="21" t="s">
        <v>11</v>
      </c>
      <c r="E378" s="21" t="s">
        <v>11</v>
      </c>
    </row>
    <row r="379" spans="1:5" s="21" customFormat="1" ht="15.75" hidden="1" customHeight="1">
      <c r="A379" s="21">
        <v>51191</v>
      </c>
      <c r="B379" s="21" t="s">
        <v>237</v>
      </c>
      <c r="C379" s="21" t="s">
        <v>5166</v>
      </c>
      <c r="D379" s="21" t="s">
        <v>11</v>
      </c>
      <c r="E379" s="21" t="s">
        <v>11</v>
      </c>
    </row>
    <row r="380" spans="1:5" s="21" customFormat="1" ht="15.75" hidden="1" customHeight="1">
      <c r="A380" s="21">
        <v>51199</v>
      </c>
      <c r="B380" s="21" t="s">
        <v>238</v>
      </c>
      <c r="C380" s="21" t="s">
        <v>5166</v>
      </c>
      <c r="D380" s="21" t="s">
        <v>11</v>
      </c>
      <c r="E380" s="21" t="s">
        <v>11</v>
      </c>
    </row>
    <row r="381" spans="1:5" s="21" customFormat="1" ht="15.75" hidden="1" customHeight="1">
      <c r="A381" s="21">
        <v>60110</v>
      </c>
      <c r="B381" s="21" t="s">
        <v>239</v>
      </c>
      <c r="C381" s="21" t="s">
        <v>5167</v>
      </c>
      <c r="D381" s="21" t="s">
        <v>11</v>
      </c>
      <c r="E381" s="21" t="s">
        <v>11</v>
      </c>
    </row>
    <row r="382" spans="1:5" s="21" customFormat="1" ht="15.75" hidden="1" customHeight="1">
      <c r="A382" s="21">
        <v>60120</v>
      </c>
      <c r="B382" s="21" t="s">
        <v>240</v>
      </c>
      <c r="C382" s="21" t="s">
        <v>5167</v>
      </c>
      <c r="D382" s="21" t="s">
        <v>11</v>
      </c>
      <c r="E382" s="21" t="s">
        <v>11</v>
      </c>
    </row>
    <row r="383" spans="1:5" s="21" customFormat="1" ht="15.75" hidden="1" customHeight="1">
      <c r="A383" s="21">
        <v>60210</v>
      </c>
      <c r="B383" s="21" t="s">
        <v>241</v>
      </c>
      <c r="C383" s="21" t="s">
        <v>5167</v>
      </c>
      <c r="D383" s="21" t="s">
        <v>11</v>
      </c>
      <c r="E383" s="21" t="s">
        <v>11</v>
      </c>
    </row>
    <row r="384" spans="1:5" s="21" customFormat="1" ht="15.75" hidden="1" customHeight="1">
      <c r="A384" s="21">
        <v>60220</v>
      </c>
      <c r="B384" s="21" t="s">
        <v>242</v>
      </c>
      <c r="C384" s="21" t="s">
        <v>5167</v>
      </c>
      <c r="D384" s="21" t="s">
        <v>11</v>
      </c>
      <c r="E384" s="21" t="s">
        <v>11</v>
      </c>
    </row>
    <row r="385" spans="1:5" s="21" customFormat="1" ht="15.75" hidden="1" customHeight="1">
      <c r="A385" s="21">
        <v>60230</v>
      </c>
      <c r="B385" s="21" t="s">
        <v>243</v>
      </c>
      <c r="C385" s="21" t="s">
        <v>5167</v>
      </c>
      <c r="D385" s="21" t="s">
        <v>11</v>
      </c>
      <c r="E385" s="21" t="s">
        <v>11</v>
      </c>
    </row>
    <row r="386" spans="1:5" s="21" customFormat="1" ht="15.75" hidden="1" customHeight="1">
      <c r="A386" s="21">
        <v>60240</v>
      </c>
      <c r="B386" s="21" t="s">
        <v>244</v>
      </c>
      <c r="C386" s="21" t="s">
        <v>5167</v>
      </c>
      <c r="D386" s="21" t="s">
        <v>11</v>
      </c>
      <c r="E386" s="21" t="s">
        <v>11</v>
      </c>
    </row>
    <row r="387" spans="1:5" s="21" customFormat="1" ht="15.75" hidden="1" customHeight="1">
      <c r="A387" s="21">
        <v>60290</v>
      </c>
      <c r="B387" s="21" t="s">
        <v>245</v>
      </c>
      <c r="C387" s="21" t="s">
        <v>5167</v>
      </c>
      <c r="D387" s="21" t="s">
        <v>11</v>
      </c>
      <c r="E387" s="21" t="s">
        <v>11</v>
      </c>
    </row>
    <row r="388" spans="1:5" s="21" customFormat="1" ht="15.75" hidden="1" customHeight="1">
      <c r="A388" s="21">
        <v>60311</v>
      </c>
      <c r="B388" s="21" t="s">
        <v>246</v>
      </c>
      <c r="C388" s="21" t="s">
        <v>5168</v>
      </c>
      <c r="D388" s="21" t="s">
        <v>11</v>
      </c>
      <c r="E388" s="21" t="s">
        <v>11</v>
      </c>
    </row>
    <row r="389" spans="1:5" s="21" customFormat="1" ht="15.75" hidden="1" customHeight="1">
      <c r="A389" s="21">
        <v>60312</v>
      </c>
      <c r="B389" s="21" t="s">
        <v>247</v>
      </c>
      <c r="C389" s="21" t="s">
        <v>5168</v>
      </c>
      <c r="D389" s="21" t="s">
        <v>11</v>
      </c>
      <c r="E389" s="21" t="s">
        <v>11</v>
      </c>
    </row>
    <row r="390" spans="1:5" s="21" customFormat="1" ht="15.75" hidden="1" customHeight="1">
      <c r="A390" s="21">
        <v>60313</v>
      </c>
      <c r="B390" s="21" t="s">
        <v>248</v>
      </c>
      <c r="C390" s="21" t="s">
        <v>5168</v>
      </c>
      <c r="D390" s="21" t="s">
        <v>11</v>
      </c>
      <c r="E390" s="21" t="s">
        <v>11</v>
      </c>
    </row>
    <row r="391" spans="1:5" s="21" customFormat="1" ht="15.75" hidden="1" customHeight="1">
      <c r="A391" s="21">
        <v>60314</v>
      </c>
      <c r="B391" s="21" t="s">
        <v>249</v>
      </c>
      <c r="C391" s="21" t="s">
        <v>5168</v>
      </c>
      <c r="D391" s="21" t="s">
        <v>11</v>
      </c>
      <c r="E391" s="21" t="s">
        <v>11</v>
      </c>
    </row>
    <row r="392" spans="1:5" s="21" customFormat="1" ht="15.75" hidden="1" customHeight="1">
      <c r="A392" s="21">
        <v>60319</v>
      </c>
      <c r="B392" s="21" t="s">
        <v>250</v>
      </c>
      <c r="C392" s="21" t="s">
        <v>5168</v>
      </c>
      <c r="D392" s="21" t="s">
        <v>11</v>
      </c>
      <c r="E392" s="21" t="s">
        <v>11</v>
      </c>
    </row>
    <row r="393" spans="1:5" s="21" customFormat="1" ht="15.75" hidden="1" customHeight="1">
      <c r="A393" s="21">
        <v>60390</v>
      </c>
      <c r="B393" s="21" t="s">
        <v>251</v>
      </c>
      <c r="C393" s="21" t="s">
        <v>5169</v>
      </c>
      <c r="D393" s="21" t="s">
        <v>11</v>
      </c>
      <c r="E393" s="21" t="s">
        <v>11</v>
      </c>
    </row>
    <row r="394" spans="1:5" s="21" customFormat="1" ht="15.75" hidden="1" customHeight="1">
      <c r="A394" s="21">
        <v>60410</v>
      </c>
      <c r="B394" s="21" t="s">
        <v>252</v>
      </c>
      <c r="C394" s="21" t="s">
        <v>5170</v>
      </c>
      <c r="D394" s="21" t="s">
        <v>11</v>
      </c>
      <c r="E394" s="21" t="s">
        <v>11</v>
      </c>
    </row>
    <row r="395" spans="1:5" s="21" customFormat="1" ht="15.75" hidden="1" customHeight="1">
      <c r="A395" s="21">
        <v>60491</v>
      </c>
      <c r="B395" s="21" t="s">
        <v>253</v>
      </c>
      <c r="C395" s="21" t="s">
        <v>5171</v>
      </c>
      <c r="D395" s="21" t="s">
        <v>11</v>
      </c>
      <c r="E395" s="21" t="s">
        <v>11</v>
      </c>
    </row>
    <row r="396" spans="1:5" s="21" customFormat="1" ht="15.75" hidden="1" customHeight="1">
      <c r="A396" s="21">
        <v>60499</v>
      </c>
      <c r="B396" s="21" t="s">
        <v>254</v>
      </c>
      <c r="C396" s="21" t="s">
        <v>5171</v>
      </c>
      <c r="D396" s="21" t="s">
        <v>11</v>
      </c>
      <c r="E396" s="21" t="s">
        <v>11</v>
      </c>
    </row>
    <row r="397" spans="1:5" s="21" customFormat="1" ht="15.75" hidden="1" customHeight="1">
      <c r="A397" s="21">
        <v>70110</v>
      </c>
      <c r="B397" s="21" t="s">
        <v>255</v>
      </c>
      <c r="C397" s="21" t="s">
        <v>5172</v>
      </c>
      <c r="D397" s="21" t="s">
        <v>11</v>
      </c>
      <c r="E397" s="21" t="s">
        <v>11</v>
      </c>
    </row>
    <row r="398" spans="1:5" s="21" customFormat="1" ht="15.75" hidden="1" customHeight="1">
      <c r="A398" s="21">
        <v>70190</v>
      </c>
      <c r="B398" s="21" t="s">
        <v>256</v>
      </c>
      <c r="C398" s="21" t="s">
        <v>5172</v>
      </c>
      <c r="D398" s="21" t="s">
        <v>11</v>
      </c>
      <c r="E398" s="21" t="s">
        <v>11</v>
      </c>
    </row>
    <row r="399" spans="1:5" s="21" customFormat="1" ht="15.75" hidden="1" customHeight="1">
      <c r="A399" s="21">
        <v>70200</v>
      </c>
      <c r="B399" s="21" t="s">
        <v>257</v>
      </c>
      <c r="C399" s="21" t="s">
        <v>5172</v>
      </c>
      <c r="D399" s="21" t="s">
        <v>11</v>
      </c>
      <c r="E399" s="21" t="s">
        <v>11</v>
      </c>
    </row>
    <row r="400" spans="1:5" s="21" customFormat="1" ht="15.75" hidden="1" customHeight="1">
      <c r="A400" s="21">
        <v>70310</v>
      </c>
      <c r="B400" s="21" t="s">
        <v>258</v>
      </c>
      <c r="C400" s="21" t="s">
        <v>5173</v>
      </c>
      <c r="D400" s="21" t="s">
        <v>11</v>
      </c>
      <c r="E400" s="21" t="s">
        <v>11</v>
      </c>
    </row>
    <row r="401" spans="1:5" s="21" customFormat="1" ht="15.75" hidden="1" customHeight="1">
      <c r="A401" s="21">
        <v>70320</v>
      </c>
      <c r="B401" s="21" t="s">
        <v>259</v>
      </c>
      <c r="C401" s="21" t="s">
        <v>5173</v>
      </c>
      <c r="D401" s="21" t="s">
        <v>11</v>
      </c>
      <c r="E401" s="21" t="s">
        <v>11</v>
      </c>
    </row>
    <row r="402" spans="1:5" s="21" customFormat="1" ht="15.75" hidden="1" customHeight="1">
      <c r="A402" s="21">
        <v>70390</v>
      </c>
      <c r="B402" s="21" t="s">
        <v>260</v>
      </c>
      <c r="C402" s="21" t="s">
        <v>5173</v>
      </c>
      <c r="D402" s="21" t="s">
        <v>11</v>
      </c>
      <c r="E402" s="21" t="s">
        <v>11</v>
      </c>
    </row>
    <row r="403" spans="1:5" s="21" customFormat="1" ht="15.75" hidden="1" customHeight="1">
      <c r="A403" s="21">
        <v>70410</v>
      </c>
      <c r="B403" s="21" t="s">
        <v>261</v>
      </c>
      <c r="C403" s="21" t="s">
        <v>5174</v>
      </c>
      <c r="D403" s="21" t="s">
        <v>11</v>
      </c>
      <c r="E403" s="21" t="s">
        <v>11</v>
      </c>
    </row>
    <row r="404" spans="1:5" s="21" customFormat="1" ht="15.75" hidden="1" customHeight="1">
      <c r="A404" s="21">
        <v>70420</v>
      </c>
      <c r="B404" s="21" t="s">
        <v>262</v>
      </c>
      <c r="C404" s="21" t="s">
        <v>5174</v>
      </c>
      <c r="D404" s="21" t="s">
        <v>11</v>
      </c>
      <c r="E404" s="21" t="s">
        <v>11</v>
      </c>
    </row>
    <row r="405" spans="1:5" s="21" customFormat="1" ht="15.75" hidden="1" customHeight="1">
      <c r="A405" s="21">
        <v>70490</v>
      </c>
      <c r="B405" s="21" t="s">
        <v>263</v>
      </c>
      <c r="C405" s="21" t="s">
        <v>5174</v>
      </c>
      <c r="D405" s="21" t="s">
        <v>11</v>
      </c>
      <c r="E405" s="21" t="s">
        <v>11</v>
      </c>
    </row>
    <row r="406" spans="1:5" s="21" customFormat="1" ht="15.75" hidden="1" customHeight="1">
      <c r="A406" s="21">
        <v>70511</v>
      </c>
      <c r="B406" s="21" t="s">
        <v>264</v>
      </c>
      <c r="C406" s="21" t="s">
        <v>5172</v>
      </c>
      <c r="D406" s="21" t="s">
        <v>11</v>
      </c>
      <c r="E406" s="21" t="s">
        <v>11</v>
      </c>
    </row>
    <row r="407" spans="1:5" s="21" customFormat="1" ht="15.75" hidden="1" customHeight="1">
      <c r="A407" s="21">
        <v>70519</v>
      </c>
      <c r="B407" s="21" t="s">
        <v>265</v>
      </c>
      <c r="C407" s="21" t="s">
        <v>5172</v>
      </c>
      <c r="D407" s="21" t="s">
        <v>11</v>
      </c>
      <c r="E407" s="21" t="s">
        <v>11</v>
      </c>
    </row>
    <row r="408" spans="1:5" s="21" customFormat="1" ht="15.75" hidden="1" customHeight="1">
      <c r="A408" s="21">
        <v>70521</v>
      </c>
      <c r="B408" s="21" t="s">
        <v>266</v>
      </c>
      <c r="C408" s="21" t="s">
        <v>5172</v>
      </c>
      <c r="D408" s="21" t="s">
        <v>11</v>
      </c>
      <c r="E408" s="21" t="s">
        <v>11</v>
      </c>
    </row>
    <row r="409" spans="1:5" s="21" customFormat="1" ht="15.75" hidden="1" customHeight="1">
      <c r="A409" s="21">
        <v>70529</v>
      </c>
      <c r="B409" s="21" t="s">
        <v>267</v>
      </c>
      <c r="C409" s="21" t="s">
        <v>5172</v>
      </c>
      <c r="D409" s="21" t="s">
        <v>11</v>
      </c>
      <c r="E409" s="21" t="s">
        <v>11</v>
      </c>
    </row>
    <row r="410" spans="1:5" s="21" customFormat="1" ht="15.75" hidden="1" customHeight="1">
      <c r="A410" s="21">
        <v>70610</v>
      </c>
      <c r="B410" s="21" t="s">
        <v>268</v>
      </c>
      <c r="C410" s="21" t="s">
        <v>5175</v>
      </c>
      <c r="D410" s="21" t="s">
        <v>11</v>
      </c>
      <c r="E410" s="21" t="s">
        <v>11</v>
      </c>
    </row>
    <row r="411" spans="1:5" s="21" customFormat="1" ht="15.75" hidden="1" customHeight="1">
      <c r="A411" s="21">
        <v>70690</v>
      </c>
      <c r="B411" s="21" t="s">
        <v>269</v>
      </c>
      <c r="C411" s="21" t="s">
        <v>5175</v>
      </c>
      <c r="D411" s="21" t="s">
        <v>11</v>
      </c>
      <c r="E411" s="21" t="s">
        <v>11</v>
      </c>
    </row>
    <row r="412" spans="1:5" s="21" customFormat="1" ht="15.75" hidden="1" customHeight="1">
      <c r="A412" s="21">
        <v>70700</v>
      </c>
      <c r="B412" s="21" t="s">
        <v>270</v>
      </c>
      <c r="C412" s="21" t="s">
        <v>5172</v>
      </c>
      <c r="D412" s="21" t="s">
        <v>11</v>
      </c>
      <c r="E412" s="21" t="s">
        <v>11</v>
      </c>
    </row>
    <row r="413" spans="1:5" s="21" customFormat="1" ht="15.75" hidden="1" customHeight="1">
      <c r="A413" s="21">
        <v>70810</v>
      </c>
      <c r="B413" s="21" t="s">
        <v>271</v>
      </c>
      <c r="C413" s="21" t="s">
        <v>5176</v>
      </c>
      <c r="D413" s="21" t="s">
        <v>11</v>
      </c>
      <c r="E413" s="21" t="s">
        <v>11</v>
      </c>
    </row>
    <row r="414" spans="1:5" s="21" customFormat="1" ht="15.75" hidden="1" customHeight="1">
      <c r="A414" s="21">
        <v>70820</v>
      </c>
      <c r="B414" s="21" t="s">
        <v>272</v>
      </c>
      <c r="C414" s="21" t="s">
        <v>5176</v>
      </c>
      <c r="D414" s="21" t="s">
        <v>11</v>
      </c>
      <c r="E414" s="21" t="s">
        <v>11</v>
      </c>
    </row>
    <row r="415" spans="1:5" s="21" customFormat="1" ht="15.75" hidden="1" customHeight="1">
      <c r="A415" s="21">
        <v>70890</v>
      </c>
      <c r="B415" s="21" t="s">
        <v>273</v>
      </c>
      <c r="C415" s="21" t="s">
        <v>5176</v>
      </c>
      <c r="D415" s="21" t="s">
        <v>11</v>
      </c>
      <c r="E415" s="21" t="s">
        <v>11</v>
      </c>
    </row>
    <row r="416" spans="1:5" s="21" customFormat="1" ht="15.75" hidden="1" customHeight="1">
      <c r="A416" s="21">
        <v>70920</v>
      </c>
      <c r="B416" s="21" t="s">
        <v>274</v>
      </c>
      <c r="C416" s="21" t="s">
        <v>5172</v>
      </c>
      <c r="D416" s="21" t="s">
        <v>11</v>
      </c>
      <c r="E416" s="21" t="s">
        <v>11</v>
      </c>
    </row>
    <row r="417" spans="1:5" s="21" customFormat="1" ht="15.75" hidden="1" customHeight="1">
      <c r="A417" s="21">
        <v>70930</v>
      </c>
      <c r="B417" s="21" t="s">
        <v>275</v>
      </c>
      <c r="C417" s="21" t="s">
        <v>5172</v>
      </c>
      <c r="D417" s="21" t="s">
        <v>11</v>
      </c>
      <c r="E417" s="21" t="s">
        <v>11</v>
      </c>
    </row>
    <row r="418" spans="1:5" s="21" customFormat="1" ht="15.75" hidden="1" customHeight="1">
      <c r="A418" s="21">
        <v>70940</v>
      </c>
      <c r="B418" s="21" t="s">
        <v>276</v>
      </c>
      <c r="C418" s="21" t="s">
        <v>5172</v>
      </c>
      <c r="D418" s="21" t="s">
        <v>11</v>
      </c>
      <c r="E418" s="21" t="s">
        <v>11</v>
      </c>
    </row>
    <row r="419" spans="1:5" s="21" customFormat="1" ht="15.75" hidden="1" customHeight="1">
      <c r="A419" s="21">
        <v>70951</v>
      </c>
      <c r="B419" s="21" t="s">
        <v>277</v>
      </c>
      <c r="C419" s="21" t="s">
        <v>5172</v>
      </c>
      <c r="D419" s="21" t="s">
        <v>11</v>
      </c>
      <c r="E419" s="21" t="s">
        <v>11</v>
      </c>
    </row>
    <row r="420" spans="1:5" s="21" customFormat="1" ht="15.75" hidden="1" customHeight="1">
      <c r="A420" s="21">
        <v>70959</v>
      </c>
      <c r="B420" s="21" t="s">
        <v>278</v>
      </c>
      <c r="C420" s="21" t="s">
        <v>5172</v>
      </c>
      <c r="D420" s="21" t="s">
        <v>11</v>
      </c>
      <c r="E420" s="21" t="s">
        <v>11</v>
      </c>
    </row>
    <row r="421" spans="1:5" s="21" customFormat="1" ht="15.75" hidden="1" customHeight="1">
      <c r="A421" s="21">
        <v>70960</v>
      </c>
      <c r="B421" s="21" t="s">
        <v>279</v>
      </c>
      <c r="C421" s="21" t="s">
        <v>5172</v>
      </c>
      <c r="D421" s="21" t="s">
        <v>11</v>
      </c>
      <c r="E421" s="21" t="s">
        <v>11</v>
      </c>
    </row>
    <row r="422" spans="1:5" s="21" customFormat="1" ht="15.75" hidden="1" customHeight="1">
      <c r="A422" s="21">
        <v>70970</v>
      </c>
      <c r="B422" s="21" t="s">
        <v>280</v>
      </c>
      <c r="C422" s="21" t="s">
        <v>5172</v>
      </c>
      <c r="D422" s="21" t="s">
        <v>11</v>
      </c>
      <c r="E422" s="21" t="s">
        <v>11</v>
      </c>
    </row>
    <row r="423" spans="1:5" s="21" customFormat="1" ht="15.75" hidden="1" customHeight="1">
      <c r="A423" s="21">
        <v>70990</v>
      </c>
      <c r="B423" s="21" t="s">
        <v>281</v>
      </c>
      <c r="C423" s="21" t="s">
        <v>5172</v>
      </c>
      <c r="D423" s="21" t="s">
        <v>11</v>
      </c>
      <c r="E423" s="21" t="s">
        <v>11</v>
      </c>
    </row>
    <row r="424" spans="1:5" s="21" customFormat="1" ht="15.75" hidden="1" customHeight="1">
      <c r="A424" s="21">
        <v>71010</v>
      </c>
      <c r="B424" s="21" t="s">
        <v>282</v>
      </c>
      <c r="C424" s="21" t="s">
        <v>5172</v>
      </c>
      <c r="D424" s="21" t="s">
        <v>11</v>
      </c>
      <c r="E424" s="21" t="s">
        <v>11</v>
      </c>
    </row>
    <row r="425" spans="1:5" s="21" customFormat="1" ht="15.75" hidden="1" customHeight="1">
      <c r="A425" s="21">
        <v>71021</v>
      </c>
      <c r="B425" s="21" t="s">
        <v>283</v>
      </c>
      <c r="C425" s="21" t="s">
        <v>5176</v>
      </c>
      <c r="D425" s="21" t="s">
        <v>11</v>
      </c>
      <c r="E425" s="21" t="s">
        <v>11</v>
      </c>
    </row>
    <row r="426" spans="1:5" s="21" customFormat="1" ht="15.75" hidden="1" customHeight="1">
      <c r="A426" s="21">
        <v>71022</v>
      </c>
      <c r="B426" s="21" t="s">
        <v>284</v>
      </c>
      <c r="C426" s="21" t="s">
        <v>5176</v>
      </c>
      <c r="D426" s="21" t="s">
        <v>11</v>
      </c>
      <c r="E426" s="21" t="s">
        <v>11</v>
      </c>
    </row>
    <row r="427" spans="1:5" s="21" customFormat="1" ht="15.75" hidden="1" customHeight="1">
      <c r="A427" s="21">
        <v>71029</v>
      </c>
      <c r="B427" s="21" t="s">
        <v>285</v>
      </c>
      <c r="C427" s="21" t="s">
        <v>5176</v>
      </c>
      <c r="D427" s="21" t="s">
        <v>11</v>
      </c>
      <c r="E427" s="21" t="s">
        <v>11</v>
      </c>
    </row>
    <row r="428" spans="1:5" s="21" customFormat="1" ht="15.75" hidden="1" customHeight="1">
      <c r="A428" s="21">
        <v>71030</v>
      </c>
      <c r="B428" s="21" t="s">
        <v>286</v>
      </c>
      <c r="C428" s="21" t="s">
        <v>5172</v>
      </c>
      <c r="D428" s="21" t="s">
        <v>11</v>
      </c>
      <c r="E428" s="21" t="s">
        <v>11</v>
      </c>
    </row>
    <row r="429" spans="1:5" s="21" customFormat="1" ht="15.75" hidden="1" customHeight="1">
      <c r="A429" s="21">
        <v>71040</v>
      </c>
      <c r="B429" s="21" t="s">
        <v>287</v>
      </c>
      <c r="C429" s="21" t="s">
        <v>5172</v>
      </c>
      <c r="D429" s="21" t="s">
        <v>11</v>
      </c>
      <c r="E429" s="21" t="s">
        <v>11</v>
      </c>
    </row>
    <row r="430" spans="1:5" s="21" customFormat="1" ht="15.75" hidden="1" customHeight="1">
      <c r="A430" s="21">
        <v>71080</v>
      </c>
      <c r="B430" s="21" t="s">
        <v>288</v>
      </c>
      <c r="C430" s="21" t="s">
        <v>5172</v>
      </c>
      <c r="D430" s="21" t="s">
        <v>11</v>
      </c>
      <c r="E430" s="21" t="s">
        <v>11</v>
      </c>
    </row>
    <row r="431" spans="1:5" s="21" customFormat="1" ht="15.75" hidden="1" customHeight="1">
      <c r="A431" s="21">
        <v>71090</v>
      </c>
      <c r="B431" s="21" t="s">
        <v>289</v>
      </c>
      <c r="C431" s="21" t="s">
        <v>5177</v>
      </c>
      <c r="D431" s="21" t="s">
        <v>11</v>
      </c>
      <c r="E431" s="21" t="s">
        <v>11</v>
      </c>
    </row>
    <row r="432" spans="1:5" s="21" customFormat="1" ht="15.75" hidden="1" customHeight="1">
      <c r="A432" s="21">
        <v>71120</v>
      </c>
      <c r="B432" s="21" t="s">
        <v>290</v>
      </c>
      <c r="C432" s="21" t="s">
        <v>5172</v>
      </c>
      <c r="D432" s="21" t="s">
        <v>11</v>
      </c>
      <c r="E432" s="21" t="s">
        <v>11</v>
      </c>
    </row>
    <row r="433" spans="1:5" s="21" customFormat="1" ht="15.75" hidden="1" customHeight="1">
      <c r="A433" s="21">
        <v>71140</v>
      </c>
      <c r="B433" s="21" t="s">
        <v>291</v>
      </c>
      <c r="C433" s="21" t="s">
        <v>5172</v>
      </c>
      <c r="D433" s="21" t="s">
        <v>11</v>
      </c>
      <c r="E433" s="21" t="s">
        <v>11</v>
      </c>
    </row>
    <row r="434" spans="1:5" s="21" customFormat="1" ht="15.75" hidden="1" customHeight="1">
      <c r="A434" s="21">
        <v>71151</v>
      </c>
      <c r="B434" s="21" t="s">
        <v>292</v>
      </c>
      <c r="C434" s="21" t="s">
        <v>5172</v>
      </c>
      <c r="D434" s="21" t="s">
        <v>11</v>
      </c>
      <c r="E434" s="21" t="s">
        <v>11</v>
      </c>
    </row>
    <row r="435" spans="1:5" s="21" customFormat="1" ht="15.75" hidden="1" customHeight="1">
      <c r="A435" s="21">
        <v>71159</v>
      </c>
      <c r="B435" s="21" t="s">
        <v>293</v>
      </c>
      <c r="C435" s="21" t="s">
        <v>5172</v>
      </c>
      <c r="D435" s="21" t="s">
        <v>11</v>
      </c>
      <c r="E435" s="21" t="s">
        <v>11</v>
      </c>
    </row>
    <row r="436" spans="1:5" s="21" customFormat="1" ht="15.75" hidden="1" customHeight="1">
      <c r="A436" s="21">
        <v>71190</v>
      </c>
      <c r="B436" s="21" t="s">
        <v>294</v>
      </c>
      <c r="C436" s="21" t="s">
        <v>5178</v>
      </c>
      <c r="D436" s="21" t="s">
        <v>11</v>
      </c>
      <c r="E436" s="21" t="s">
        <v>11</v>
      </c>
    </row>
    <row r="437" spans="1:5" s="21" customFormat="1" ht="15.75" hidden="1" customHeight="1">
      <c r="A437" s="21">
        <v>71220</v>
      </c>
      <c r="B437" s="21" t="s">
        <v>295</v>
      </c>
      <c r="C437" s="21" t="s">
        <v>5172</v>
      </c>
      <c r="D437" s="21" t="s">
        <v>11</v>
      </c>
      <c r="E437" s="21" t="s">
        <v>11</v>
      </c>
    </row>
    <row r="438" spans="1:5" s="21" customFormat="1" ht="15.75" hidden="1" customHeight="1">
      <c r="A438" s="21">
        <v>71231</v>
      </c>
      <c r="B438" s="21" t="s">
        <v>296</v>
      </c>
      <c r="C438" s="21" t="s">
        <v>5172</v>
      </c>
      <c r="D438" s="21" t="s">
        <v>11</v>
      </c>
      <c r="E438" s="21" t="s">
        <v>11</v>
      </c>
    </row>
    <row r="439" spans="1:5" s="21" customFormat="1" ht="15.75" hidden="1" customHeight="1">
      <c r="A439" s="21">
        <v>71232</v>
      </c>
      <c r="B439" s="21" t="s">
        <v>297</v>
      </c>
      <c r="C439" s="21" t="s">
        <v>5172</v>
      </c>
      <c r="D439" s="21" t="s">
        <v>11</v>
      </c>
      <c r="E439" s="21" t="s">
        <v>11</v>
      </c>
    </row>
    <row r="440" spans="1:5" s="21" customFormat="1" ht="15.75" hidden="1" customHeight="1">
      <c r="A440" s="21">
        <v>71233</v>
      </c>
      <c r="B440" s="21" t="s">
        <v>298</v>
      </c>
      <c r="C440" s="21" t="s">
        <v>5172</v>
      </c>
      <c r="D440" s="21" t="s">
        <v>11</v>
      </c>
      <c r="E440" s="21" t="s">
        <v>11</v>
      </c>
    </row>
    <row r="441" spans="1:5" s="21" customFormat="1" ht="15.75" hidden="1" customHeight="1">
      <c r="A441" s="21">
        <v>71239</v>
      </c>
      <c r="B441" s="21" t="s">
        <v>299</v>
      </c>
      <c r="C441" s="21" t="s">
        <v>5172</v>
      </c>
      <c r="D441" s="21" t="s">
        <v>11</v>
      </c>
      <c r="E441" s="21" t="s">
        <v>11</v>
      </c>
    </row>
    <row r="442" spans="1:5" s="21" customFormat="1" ht="15.75" hidden="1" customHeight="1">
      <c r="A442" s="21">
        <v>71290</v>
      </c>
      <c r="B442" s="21" t="s">
        <v>300</v>
      </c>
      <c r="C442" s="21" t="s">
        <v>5172</v>
      </c>
      <c r="D442" s="21" t="s">
        <v>11</v>
      </c>
      <c r="E442" s="21" t="s">
        <v>11</v>
      </c>
    </row>
    <row r="443" spans="1:5" s="21" customFormat="1" ht="15.75" hidden="1" customHeight="1">
      <c r="A443" s="21">
        <v>71310</v>
      </c>
      <c r="B443" s="21" t="s">
        <v>301</v>
      </c>
      <c r="C443" s="21" t="s">
        <v>5176</v>
      </c>
      <c r="D443" s="21" t="s">
        <v>11</v>
      </c>
      <c r="E443" s="21" t="s">
        <v>11</v>
      </c>
    </row>
    <row r="444" spans="1:5" s="21" customFormat="1" ht="15.75" hidden="1" customHeight="1">
      <c r="A444" s="21">
        <v>71320</v>
      </c>
      <c r="B444" s="21" t="s">
        <v>302</v>
      </c>
      <c r="C444" s="21" t="s">
        <v>5176</v>
      </c>
      <c r="D444" s="21" t="s">
        <v>11</v>
      </c>
      <c r="E444" s="21" t="s">
        <v>11</v>
      </c>
    </row>
    <row r="445" spans="1:5" s="21" customFormat="1" ht="15.75" hidden="1" customHeight="1">
      <c r="A445" s="21">
        <v>71331</v>
      </c>
      <c r="B445" s="21" t="s">
        <v>303</v>
      </c>
      <c r="C445" s="21" t="s">
        <v>5176</v>
      </c>
      <c r="D445" s="21" t="s">
        <v>11</v>
      </c>
      <c r="E445" s="21" t="s">
        <v>11</v>
      </c>
    </row>
    <row r="446" spans="1:5" s="21" customFormat="1" ht="15.75" hidden="1" customHeight="1">
      <c r="A446" s="21">
        <v>71332</v>
      </c>
      <c r="B446" s="21" t="s">
        <v>304</v>
      </c>
      <c r="C446" s="21" t="s">
        <v>5176</v>
      </c>
      <c r="D446" s="21" t="s">
        <v>11</v>
      </c>
      <c r="E446" s="21" t="s">
        <v>11</v>
      </c>
    </row>
    <row r="447" spans="1:5" s="21" customFormat="1" ht="15.75" hidden="1" customHeight="1">
      <c r="A447" s="21">
        <v>71333</v>
      </c>
      <c r="B447" s="21" t="s">
        <v>305</v>
      </c>
      <c r="C447" s="21" t="s">
        <v>5176</v>
      </c>
      <c r="D447" s="21" t="s">
        <v>11</v>
      </c>
      <c r="E447" s="21" t="s">
        <v>11</v>
      </c>
    </row>
    <row r="448" spans="1:5" s="21" customFormat="1" ht="15.75" hidden="1" customHeight="1">
      <c r="A448" s="21">
        <v>71339</v>
      </c>
      <c r="B448" s="21" t="s">
        <v>306</v>
      </c>
      <c r="C448" s="21" t="s">
        <v>5176</v>
      </c>
      <c r="D448" s="21" t="s">
        <v>11</v>
      </c>
      <c r="E448" s="21" t="s">
        <v>11</v>
      </c>
    </row>
    <row r="449" spans="1:5" s="21" customFormat="1" ht="15.75" hidden="1" customHeight="1">
      <c r="A449" s="21">
        <v>71340</v>
      </c>
      <c r="B449" s="21" t="s">
        <v>307</v>
      </c>
      <c r="C449" s="21" t="s">
        <v>5176</v>
      </c>
      <c r="D449" s="21" t="s">
        <v>11</v>
      </c>
      <c r="E449" s="21" t="s">
        <v>11</v>
      </c>
    </row>
    <row r="450" spans="1:5" s="21" customFormat="1" ht="15.75" hidden="1" customHeight="1">
      <c r="A450" s="21">
        <v>71350</v>
      </c>
      <c r="B450" s="21" t="s">
        <v>308</v>
      </c>
      <c r="C450" s="21" t="s">
        <v>5176</v>
      </c>
      <c r="D450" s="21" t="s">
        <v>11</v>
      </c>
      <c r="E450" s="21" t="s">
        <v>11</v>
      </c>
    </row>
    <row r="451" spans="1:5" s="21" customFormat="1" ht="15.75" hidden="1" customHeight="1">
      <c r="A451" s="21">
        <v>71390</v>
      </c>
      <c r="B451" s="21" t="s">
        <v>309</v>
      </c>
      <c r="C451" s="21" t="s">
        <v>5176</v>
      </c>
      <c r="D451" s="21" t="s">
        <v>11</v>
      </c>
      <c r="E451" s="21" t="s">
        <v>11</v>
      </c>
    </row>
    <row r="452" spans="1:5" s="21" customFormat="1" ht="15.75" hidden="1" customHeight="1">
      <c r="A452" s="21">
        <v>71410</v>
      </c>
      <c r="B452" s="21" t="s">
        <v>310</v>
      </c>
      <c r="C452" s="21" t="s">
        <v>5179</v>
      </c>
      <c r="D452" s="21" t="s">
        <v>11</v>
      </c>
      <c r="E452" s="21" t="s">
        <v>11</v>
      </c>
    </row>
    <row r="453" spans="1:5" s="21" customFormat="1" ht="15.75" hidden="1" customHeight="1">
      <c r="A453" s="21">
        <v>71420</v>
      </c>
      <c r="B453" s="21" t="s">
        <v>311</v>
      </c>
      <c r="C453" s="21" t="s">
        <v>5179</v>
      </c>
      <c r="D453" s="21" t="s">
        <v>11</v>
      </c>
      <c r="E453" s="21" t="s">
        <v>11</v>
      </c>
    </row>
    <row r="454" spans="1:5" s="21" customFormat="1" ht="15.75" hidden="1" customHeight="1">
      <c r="A454" s="21">
        <v>71490</v>
      </c>
      <c r="B454" s="21" t="s">
        <v>312</v>
      </c>
      <c r="C454" s="21" t="s">
        <v>5179</v>
      </c>
      <c r="D454" s="21" t="s">
        <v>11</v>
      </c>
      <c r="E454" s="21" t="s">
        <v>11</v>
      </c>
    </row>
    <row r="455" spans="1:5" s="21" customFormat="1" ht="15.75" hidden="1" customHeight="1">
      <c r="A455" s="21">
        <v>80111</v>
      </c>
      <c r="B455" s="21" t="s">
        <v>313</v>
      </c>
      <c r="C455" s="21" t="s">
        <v>5180</v>
      </c>
      <c r="D455" s="21" t="s">
        <v>11</v>
      </c>
      <c r="E455" s="21" t="s">
        <v>11</v>
      </c>
    </row>
    <row r="456" spans="1:5" s="21" customFormat="1" ht="15.75" hidden="1" customHeight="1">
      <c r="A456" s="21">
        <v>80119</v>
      </c>
      <c r="B456" s="21" t="s">
        <v>314</v>
      </c>
      <c r="C456" s="21" t="s">
        <v>5180</v>
      </c>
      <c r="D456" s="21" t="s">
        <v>11</v>
      </c>
      <c r="E456" s="21" t="s">
        <v>11</v>
      </c>
    </row>
    <row r="457" spans="1:5" s="21" customFormat="1" ht="15.75" hidden="1" customHeight="1">
      <c r="A457" s="21">
        <v>80121</v>
      </c>
      <c r="B457" s="21" t="s">
        <v>315</v>
      </c>
      <c r="C457" s="21" t="s">
        <v>5180</v>
      </c>
      <c r="D457" s="21" t="s">
        <v>11</v>
      </c>
      <c r="E457" s="21" t="s">
        <v>11</v>
      </c>
    </row>
    <row r="458" spans="1:5" s="21" customFormat="1" ht="15.75" hidden="1" customHeight="1">
      <c r="A458" s="21">
        <v>80122</v>
      </c>
      <c r="B458" s="21" t="s">
        <v>316</v>
      </c>
      <c r="C458" s="21" t="s">
        <v>5180</v>
      </c>
      <c r="D458" s="21" t="s">
        <v>11</v>
      </c>
      <c r="E458" s="21" t="s">
        <v>11</v>
      </c>
    </row>
    <row r="459" spans="1:5" s="21" customFormat="1" ht="15.75" hidden="1" customHeight="1">
      <c r="A459" s="21">
        <v>80131</v>
      </c>
      <c r="B459" s="21" t="s">
        <v>317</v>
      </c>
      <c r="C459" s="21" t="s">
        <v>5180</v>
      </c>
      <c r="D459" s="21" t="s">
        <v>11</v>
      </c>
      <c r="E459" s="21" t="s">
        <v>11</v>
      </c>
    </row>
    <row r="460" spans="1:5" s="21" customFormat="1" ht="15.75" hidden="1" customHeight="1">
      <c r="A460" s="21">
        <v>80132</v>
      </c>
      <c r="B460" s="21" t="s">
        <v>318</v>
      </c>
      <c r="C460" s="21" t="s">
        <v>5180</v>
      </c>
      <c r="D460" s="21" t="s">
        <v>11</v>
      </c>
      <c r="E460" s="21" t="s">
        <v>11</v>
      </c>
    </row>
    <row r="461" spans="1:5" s="21" customFormat="1" ht="15.75" hidden="1" customHeight="1">
      <c r="A461" s="21">
        <v>80211</v>
      </c>
      <c r="B461" s="21" t="s">
        <v>319</v>
      </c>
      <c r="C461" s="21" t="s">
        <v>5180</v>
      </c>
      <c r="D461" s="21" t="s">
        <v>11</v>
      </c>
      <c r="E461" s="21" t="s">
        <v>11</v>
      </c>
    </row>
    <row r="462" spans="1:5" s="21" customFormat="1" ht="15.75" hidden="1" customHeight="1">
      <c r="A462" s="21">
        <v>80212</v>
      </c>
      <c r="B462" s="21" t="s">
        <v>320</v>
      </c>
      <c r="C462" s="21" t="s">
        <v>5180</v>
      </c>
      <c r="D462" s="21" t="s">
        <v>11</v>
      </c>
      <c r="E462" s="21" t="s">
        <v>11</v>
      </c>
    </row>
    <row r="463" spans="1:5" s="21" customFormat="1" ht="15.75" hidden="1" customHeight="1">
      <c r="A463" s="21">
        <v>80221</v>
      </c>
      <c r="B463" s="21" t="s">
        <v>321</v>
      </c>
      <c r="C463" s="21" t="s">
        <v>5180</v>
      </c>
      <c r="D463" s="21" t="s">
        <v>11</v>
      </c>
      <c r="E463" s="21" t="s">
        <v>11</v>
      </c>
    </row>
    <row r="464" spans="1:5" s="21" customFormat="1" ht="15.75" hidden="1" customHeight="1">
      <c r="A464" s="21">
        <v>80222</v>
      </c>
      <c r="B464" s="21" t="s">
        <v>322</v>
      </c>
      <c r="C464" s="21" t="s">
        <v>5180</v>
      </c>
      <c r="D464" s="21" t="s">
        <v>11</v>
      </c>
      <c r="E464" s="21" t="s">
        <v>11</v>
      </c>
    </row>
    <row r="465" spans="1:5" s="21" customFormat="1" ht="15.75" hidden="1" customHeight="1">
      <c r="A465" s="21">
        <v>80231</v>
      </c>
      <c r="B465" s="21" t="s">
        <v>323</v>
      </c>
      <c r="C465" s="21" t="s">
        <v>5180</v>
      </c>
      <c r="D465" s="21" t="s">
        <v>11</v>
      </c>
      <c r="E465" s="21" t="s">
        <v>11</v>
      </c>
    </row>
    <row r="466" spans="1:5" s="21" customFormat="1" ht="15.75" hidden="1" customHeight="1">
      <c r="A466" s="21">
        <v>80232</v>
      </c>
      <c r="B466" s="21" t="s">
        <v>324</v>
      </c>
      <c r="C466" s="21" t="s">
        <v>5180</v>
      </c>
      <c r="D466" s="21" t="s">
        <v>11</v>
      </c>
      <c r="E466" s="21" t="s">
        <v>11</v>
      </c>
    </row>
    <row r="467" spans="1:5" s="21" customFormat="1" ht="15.75" hidden="1" customHeight="1">
      <c r="A467" s="21">
        <v>80240</v>
      </c>
      <c r="B467" s="21" t="s">
        <v>325</v>
      </c>
      <c r="C467" s="21" t="s">
        <v>5180</v>
      </c>
      <c r="D467" s="21" t="s">
        <v>11</v>
      </c>
      <c r="E467" s="21" t="s">
        <v>11</v>
      </c>
    </row>
    <row r="468" spans="1:5" s="21" customFormat="1" ht="15.75" hidden="1" customHeight="1">
      <c r="A468" s="21">
        <v>80250</v>
      </c>
      <c r="B468" s="21" t="s">
        <v>326</v>
      </c>
      <c r="C468" s="21" t="s">
        <v>5180</v>
      </c>
      <c r="D468" s="21" t="s">
        <v>11</v>
      </c>
      <c r="E468" s="21" t="s">
        <v>11</v>
      </c>
    </row>
    <row r="469" spans="1:5" s="21" customFormat="1" ht="15.75" hidden="1" customHeight="1">
      <c r="A469" s="21">
        <v>80260</v>
      </c>
      <c r="B469" s="21" t="s">
        <v>327</v>
      </c>
      <c r="C469" s="21" t="s">
        <v>5180</v>
      </c>
      <c r="D469" s="21" t="s">
        <v>11</v>
      </c>
      <c r="E469" s="21" t="s">
        <v>11</v>
      </c>
    </row>
    <row r="470" spans="1:5" s="21" customFormat="1" ht="15.75" hidden="1" customHeight="1">
      <c r="A470" s="21">
        <v>80290</v>
      </c>
      <c r="B470" s="21" t="s">
        <v>328</v>
      </c>
      <c r="C470" s="21" t="s">
        <v>5180</v>
      </c>
      <c r="D470" s="21" t="s">
        <v>11</v>
      </c>
      <c r="E470" s="21" t="s">
        <v>11</v>
      </c>
    </row>
    <row r="471" spans="1:5" s="21" customFormat="1" ht="15.75" hidden="1" customHeight="1">
      <c r="A471" s="21">
        <v>80300</v>
      </c>
      <c r="B471" s="21" t="s">
        <v>329</v>
      </c>
      <c r="C471" s="21" t="s">
        <v>5181</v>
      </c>
      <c r="D471" s="21" t="s">
        <v>11</v>
      </c>
      <c r="E471" s="21" t="s">
        <v>11</v>
      </c>
    </row>
    <row r="472" spans="1:5" s="21" customFormat="1" ht="15.75" hidden="1" customHeight="1">
      <c r="A472" s="21">
        <v>80410</v>
      </c>
      <c r="B472" s="21" t="s">
        <v>330</v>
      </c>
      <c r="C472" s="21" t="s">
        <v>5181</v>
      </c>
      <c r="D472" s="21" t="s">
        <v>11</v>
      </c>
      <c r="E472" s="21" t="s">
        <v>11</v>
      </c>
    </row>
    <row r="473" spans="1:5" s="21" customFormat="1" ht="15.75" hidden="1" customHeight="1">
      <c r="A473" s="21">
        <v>80420</v>
      </c>
      <c r="B473" s="21" t="s">
        <v>331</v>
      </c>
      <c r="C473" s="21" t="s">
        <v>5181</v>
      </c>
      <c r="D473" s="21" t="s">
        <v>11</v>
      </c>
      <c r="E473" s="21" t="s">
        <v>11</v>
      </c>
    </row>
    <row r="474" spans="1:5" s="21" customFormat="1" ht="15.75" hidden="1" customHeight="1">
      <c r="A474" s="21">
        <v>80430</v>
      </c>
      <c r="B474" s="21" t="s">
        <v>332</v>
      </c>
      <c r="C474" s="21" t="s">
        <v>5181</v>
      </c>
      <c r="D474" s="21" t="s">
        <v>11</v>
      </c>
      <c r="E474" s="21" t="s">
        <v>11</v>
      </c>
    </row>
    <row r="475" spans="1:5" s="21" customFormat="1" ht="15.75" hidden="1" customHeight="1">
      <c r="A475" s="21">
        <v>80440</v>
      </c>
      <c r="B475" s="21" t="s">
        <v>333</v>
      </c>
      <c r="C475" s="21" t="s">
        <v>5181</v>
      </c>
      <c r="D475" s="21" t="s">
        <v>11</v>
      </c>
      <c r="E475" s="21" t="s">
        <v>11</v>
      </c>
    </row>
    <row r="476" spans="1:5" s="21" customFormat="1" ht="15.75" hidden="1" customHeight="1">
      <c r="A476" s="21">
        <v>80450</v>
      </c>
      <c r="B476" s="21" t="s">
        <v>334</v>
      </c>
      <c r="C476" s="21" t="s">
        <v>5181</v>
      </c>
      <c r="D476" s="21" t="s">
        <v>11</v>
      </c>
      <c r="E476" s="21" t="s">
        <v>11</v>
      </c>
    </row>
    <row r="477" spans="1:5" s="21" customFormat="1" ht="15.75" hidden="1" customHeight="1">
      <c r="A477" s="21">
        <v>80510</v>
      </c>
      <c r="B477" s="21" t="s">
        <v>335</v>
      </c>
      <c r="C477" s="21" t="s">
        <v>5181</v>
      </c>
      <c r="D477" s="21" t="s">
        <v>11</v>
      </c>
      <c r="E477" s="21" t="s">
        <v>11</v>
      </c>
    </row>
    <row r="478" spans="1:5" s="21" customFormat="1" ht="15.75" hidden="1" customHeight="1">
      <c r="A478" s="21">
        <v>80520</v>
      </c>
      <c r="B478" s="21" t="s">
        <v>336</v>
      </c>
      <c r="C478" s="21" t="s">
        <v>5181</v>
      </c>
      <c r="D478" s="21" t="s">
        <v>11</v>
      </c>
      <c r="E478" s="21" t="s">
        <v>11</v>
      </c>
    </row>
    <row r="479" spans="1:5" s="21" customFormat="1" ht="15.75" hidden="1" customHeight="1">
      <c r="A479" s="21">
        <v>80540</v>
      </c>
      <c r="B479" s="21" t="s">
        <v>337</v>
      </c>
      <c r="C479" s="21" t="s">
        <v>5181</v>
      </c>
      <c r="D479" s="21" t="s">
        <v>11</v>
      </c>
      <c r="E479" s="21" t="s">
        <v>11</v>
      </c>
    </row>
    <row r="480" spans="1:5" s="21" customFormat="1" ht="15.75" hidden="1" customHeight="1">
      <c r="A480" s="21">
        <v>80550</v>
      </c>
      <c r="B480" s="21" t="s">
        <v>338</v>
      </c>
      <c r="C480" s="21" t="s">
        <v>5181</v>
      </c>
      <c r="D480" s="21" t="s">
        <v>11</v>
      </c>
      <c r="E480" s="21" t="s">
        <v>11</v>
      </c>
    </row>
    <row r="481" spans="1:5" s="21" customFormat="1" ht="15.75" hidden="1" customHeight="1">
      <c r="A481" s="21">
        <v>80590</v>
      </c>
      <c r="B481" s="21" t="s">
        <v>339</v>
      </c>
      <c r="C481" s="21" t="s">
        <v>5181</v>
      </c>
      <c r="D481" s="21" t="s">
        <v>11</v>
      </c>
      <c r="E481" s="21" t="s">
        <v>11</v>
      </c>
    </row>
    <row r="482" spans="1:5" s="21" customFormat="1" ht="15.75" hidden="1" customHeight="1">
      <c r="A482" s="21">
        <v>80610</v>
      </c>
      <c r="B482" s="21" t="s">
        <v>340</v>
      </c>
      <c r="C482" s="21" t="s">
        <v>5181</v>
      </c>
      <c r="D482" s="21" t="s">
        <v>11</v>
      </c>
      <c r="E482" s="21" t="s">
        <v>11</v>
      </c>
    </row>
    <row r="483" spans="1:5" s="21" customFormat="1" ht="15.75" hidden="1" customHeight="1">
      <c r="A483" s="21">
        <v>80620</v>
      </c>
      <c r="B483" s="21" t="s">
        <v>341</v>
      </c>
      <c r="C483" s="21" t="s">
        <v>5181</v>
      </c>
      <c r="D483" s="21" t="s">
        <v>11</v>
      </c>
      <c r="E483" s="21" t="s">
        <v>11</v>
      </c>
    </row>
    <row r="484" spans="1:5" s="21" customFormat="1" ht="15.75" hidden="1" customHeight="1">
      <c r="A484" s="21">
        <v>80711</v>
      </c>
      <c r="B484" s="21" t="s">
        <v>342</v>
      </c>
      <c r="C484" s="21" t="s">
        <v>5181</v>
      </c>
      <c r="D484" s="21" t="s">
        <v>11</v>
      </c>
      <c r="E484" s="21" t="s">
        <v>11</v>
      </c>
    </row>
    <row r="485" spans="1:5" s="21" customFormat="1" ht="15.75" hidden="1" customHeight="1">
      <c r="A485" s="21">
        <v>80719</v>
      </c>
      <c r="B485" s="21" t="s">
        <v>343</v>
      </c>
      <c r="C485" s="21" t="s">
        <v>5181</v>
      </c>
      <c r="D485" s="21" t="s">
        <v>11</v>
      </c>
      <c r="E485" s="21" t="s">
        <v>11</v>
      </c>
    </row>
    <row r="486" spans="1:5" s="21" customFormat="1" ht="15.75" hidden="1" customHeight="1">
      <c r="A486" s="21">
        <v>80720</v>
      </c>
      <c r="B486" s="21" t="s">
        <v>344</v>
      </c>
      <c r="C486" s="21" t="s">
        <v>5181</v>
      </c>
      <c r="D486" s="21" t="s">
        <v>11</v>
      </c>
      <c r="E486" s="21" t="s">
        <v>11</v>
      </c>
    </row>
    <row r="487" spans="1:5" s="21" customFormat="1" ht="15.75" hidden="1" customHeight="1">
      <c r="A487" s="21">
        <v>80810</v>
      </c>
      <c r="B487" s="21" t="s">
        <v>345</v>
      </c>
      <c r="C487" s="21" t="s">
        <v>5181</v>
      </c>
      <c r="D487" s="21" t="s">
        <v>11</v>
      </c>
      <c r="E487" s="21" t="s">
        <v>11</v>
      </c>
    </row>
    <row r="488" spans="1:5" s="21" customFormat="1" ht="15.75" hidden="1" customHeight="1">
      <c r="A488" s="21">
        <v>80820</v>
      </c>
      <c r="B488" s="21" t="s">
        <v>346</v>
      </c>
      <c r="C488" s="21" t="s">
        <v>5181</v>
      </c>
      <c r="D488" s="21" t="s">
        <v>11</v>
      </c>
      <c r="E488" s="21" t="s">
        <v>11</v>
      </c>
    </row>
    <row r="489" spans="1:5" s="21" customFormat="1" ht="15.75" hidden="1" customHeight="1">
      <c r="A489" s="21">
        <v>80910</v>
      </c>
      <c r="B489" s="21" t="s">
        <v>347</v>
      </c>
      <c r="C489" s="21" t="s">
        <v>5181</v>
      </c>
      <c r="D489" s="21" t="s">
        <v>11</v>
      </c>
      <c r="E489" s="21" t="s">
        <v>11</v>
      </c>
    </row>
    <row r="490" spans="1:5" s="21" customFormat="1" ht="15.75" hidden="1" customHeight="1">
      <c r="A490" s="21">
        <v>80920</v>
      </c>
      <c r="B490" s="21" t="s">
        <v>348</v>
      </c>
      <c r="C490" s="21" t="s">
        <v>5181</v>
      </c>
      <c r="D490" s="21" t="s">
        <v>11</v>
      </c>
      <c r="E490" s="21" t="s">
        <v>11</v>
      </c>
    </row>
    <row r="491" spans="1:5" s="21" customFormat="1" ht="15.75" hidden="1" customHeight="1">
      <c r="A491" s="21">
        <v>80930</v>
      </c>
      <c r="B491" s="21" t="s">
        <v>349</v>
      </c>
      <c r="C491" s="21" t="s">
        <v>5181</v>
      </c>
      <c r="D491" s="21" t="s">
        <v>11</v>
      </c>
      <c r="E491" s="21" t="s">
        <v>11</v>
      </c>
    </row>
    <row r="492" spans="1:5" s="21" customFormat="1" ht="15.75" hidden="1" customHeight="1">
      <c r="A492" s="21">
        <v>80940</v>
      </c>
      <c r="B492" s="21" t="s">
        <v>350</v>
      </c>
      <c r="C492" s="21" t="s">
        <v>5181</v>
      </c>
      <c r="D492" s="21" t="s">
        <v>11</v>
      </c>
      <c r="E492" s="21" t="s">
        <v>11</v>
      </c>
    </row>
    <row r="493" spans="1:5" s="21" customFormat="1" ht="15.75" hidden="1" customHeight="1">
      <c r="A493" s="21">
        <v>81010</v>
      </c>
      <c r="B493" s="21" t="s">
        <v>351</v>
      </c>
      <c r="C493" s="21" t="s">
        <v>5181</v>
      </c>
      <c r="D493" s="21" t="s">
        <v>11</v>
      </c>
      <c r="E493" s="21" t="s">
        <v>11</v>
      </c>
    </row>
    <row r="494" spans="1:5" s="21" customFormat="1" ht="15.75" hidden="1" customHeight="1">
      <c r="A494" s="21">
        <v>81020</v>
      </c>
      <c r="B494" s="21" t="s">
        <v>352</v>
      </c>
      <c r="C494" s="21" t="s">
        <v>5181</v>
      </c>
      <c r="D494" s="21" t="s">
        <v>11</v>
      </c>
      <c r="E494" s="21" t="s">
        <v>11</v>
      </c>
    </row>
    <row r="495" spans="1:5" s="21" customFormat="1" ht="15.75" hidden="1" customHeight="1">
      <c r="A495" s="21">
        <v>81040</v>
      </c>
      <c r="B495" s="21" t="s">
        <v>353</v>
      </c>
      <c r="C495" s="21" t="s">
        <v>5181</v>
      </c>
      <c r="D495" s="21" t="s">
        <v>11</v>
      </c>
      <c r="E495" s="21" t="s">
        <v>11</v>
      </c>
    </row>
    <row r="496" spans="1:5" s="21" customFormat="1" ht="15.75" hidden="1" customHeight="1">
      <c r="A496" s="21">
        <v>81050</v>
      </c>
      <c r="B496" s="21" t="s">
        <v>354</v>
      </c>
      <c r="C496" s="21" t="s">
        <v>5181</v>
      </c>
      <c r="D496" s="21" t="s">
        <v>11</v>
      </c>
      <c r="E496" s="21" t="s">
        <v>11</v>
      </c>
    </row>
    <row r="497" spans="1:5" s="21" customFormat="1" ht="15.75" hidden="1" customHeight="1">
      <c r="A497" s="21">
        <v>81060</v>
      </c>
      <c r="B497" s="21" t="s">
        <v>355</v>
      </c>
      <c r="C497" s="21" t="s">
        <v>5181</v>
      </c>
      <c r="D497" s="21" t="s">
        <v>11</v>
      </c>
      <c r="E497" s="21" t="s">
        <v>11</v>
      </c>
    </row>
    <row r="498" spans="1:5" s="21" customFormat="1" ht="15.75" hidden="1" customHeight="1">
      <c r="A498" s="21">
        <v>81090</v>
      </c>
      <c r="B498" s="21" t="s">
        <v>356</v>
      </c>
      <c r="C498" s="21" t="s">
        <v>5181</v>
      </c>
      <c r="D498" s="21" t="s">
        <v>11</v>
      </c>
      <c r="E498" s="21" t="s">
        <v>11</v>
      </c>
    </row>
    <row r="499" spans="1:5" s="21" customFormat="1" ht="15.75" hidden="1" customHeight="1">
      <c r="A499" s="21">
        <v>81110</v>
      </c>
      <c r="B499" s="21" t="s">
        <v>357</v>
      </c>
      <c r="C499" s="21" t="s">
        <v>5181</v>
      </c>
      <c r="D499" s="21" t="s">
        <v>11</v>
      </c>
      <c r="E499" s="21" t="s">
        <v>11</v>
      </c>
    </row>
    <row r="500" spans="1:5" s="21" customFormat="1" ht="15.75" hidden="1" customHeight="1">
      <c r="A500" s="21">
        <v>81120</v>
      </c>
      <c r="B500" s="21" t="s">
        <v>358</v>
      </c>
      <c r="C500" s="21" t="s">
        <v>5181</v>
      </c>
      <c r="D500" s="21" t="s">
        <v>11</v>
      </c>
      <c r="E500" s="21" t="s">
        <v>11</v>
      </c>
    </row>
    <row r="501" spans="1:5" s="21" customFormat="1" ht="15.75" hidden="1" customHeight="1">
      <c r="A501" s="21">
        <v>81190</v>
      </c>
      <c r="B501" s="21" t="s">
        <v>359</v>
      </c>
      <c r="C501" s="21" t="s">
        <v>5181</v>
      </c>
      <c r="D501" s="21" t="s">
        <v>11</v>
      </c>
      <c r="E501" s="21" t="s">
        <v>11</v>
      </c>
    </row>
    <row r="502" spans="1:5" s="21" customFormat="1" ht="15.75" hidden="1" customHeight="1">
      <c r="A502" s="21">
        <v>81210</v>
      </c>
      <c r="B502" s="21" t="s">
        <v>360</v>
      </c>
      <c r="C502" s="21" t="s">
        <v>5181</v>
      </c>
      <c r="D502" s="21" t="s">
        <v>11</v>
      </c>
      <c r="E502" s="21" t="s">
        <v>11</v>
      </c>
    </row>
    <row r="503" spans="1:5" s="21" customFormat="1" ht="15.75" hidden="1" customHeight="1">
      <c r="A503" s="21">
        <v>81290</v>
      </c>
      <c r="B503" s="21" t="s">
        <v>361</v>
      </c>
      <c r="C503" s="21" t="s">
        <v>5181</v>
      </c>
      <c r="D503" s="21" t="s">
        <v>11</v>
      </c>
      <c r="E503" s="21" t="s">
        <v>11</v>
      </c>
    </row>
    <row r="504" spans="1:5" s="21" customFormat="1" ht="15.75" hidden="1" customHeight="1">
      <c r="A504" s="21">
        <v>81310</v>
      </c>
      <c r="B504" s="21" t="s">
        <v>362</v>
      </c>
      <c r="C504" s="21" t="s">
        <v>5181</v>
      </c>
      <c r="D504" s="21" t="s">
        <v>11</v>
      </c>
      <c r="E504" s="21" t="s">
        <v>11</v>
      </c>
    </row>
    <row r="505" spans="1:5" s="21" customFormat="1" ht="15.75" hidden="1" customHeight="1">
      <c r="A505" s="21">
        <v>81320</v>
      </c>
      <c r="B505" s="21" t="s">
        <v>363</v>
      </c>
      <c r="C505" s="21" t="s">
        <v>5181</v>
      </c>
      <c r="D505" s="21" t="s">
        <v>11</v>
      </c>
      <c r="E505" s="21" t="s">
        <v>11</v>
      </c>
    </row>
    <row r="506" spans="1:5" s="21" customFormat="1" ht="15.75" hidden="1" customHeight="1">
      <c r="A506" s="21">
        <v>81330</v>
      </c>
      <c r="B506" s="21" t="s">
        <v>364</v>
      </c>
      <c r="C506" s="21" t="s">
        <v>5181</v>
      </c>
      <c r="D506" s="21" t="s">
        <v>11</v>
      </c>
      <c r="E506" s="21" t="s">
        <v>11</v>
      </c>
    </row>
    <row r="507" spans="1:5" s="21" customFormat="1" ht="15.75" hidden="1" customHeight="1">
      <c r="A507" s="21">
        <v>81340</v>
      </c>
      <c r="B507" s="21" t="s">
        <v>365</v>
      </c>
      <c r="C507" s="21" t="s">
        <v>5181</v>
      </c>
      <c r="D507" s="21" t="s">
        <v>11</v>
      </c>
      <c r="E507" s="21" t="s">
        <v>11</v>
      </c>
    </row>
    <row r="508" spans="1:5" s="21" customFormat="1" ht="15.75" hidden="1" customHeight="1">
      <c r="A508" s="21">
        <v>81350</v>
      </c>
      <c r="B508" s="21" t="s">
        <v>366</v>
      </c>
      <c r="C508" s="21" t="s">
        <v>5180</v>
      </c>
      <c r="D508" s="21" t="s">
        <v>11</v>
      </c>
      <c r="E508" s="21" t="s">
        <v>11</v>
      </c>
    </row>
    <row r="509" spans="1:5" s="21" customFormat="1" ht="15.75" hidden="1" customHeight="1">
      <c r="A509" s="21">
        <v>81400</v>
      </c>
      <c r="B509" s="21" t="s">
        <v>367</v>
      </c>
      <c r="C509" s="21" t="s">
        <v>5182</v>
      </c>
      <c r="D509" s="21" t="s">
        <v>11</v>
      </c>
      <c r="E509" s="21" t="s">
        <v>11</v>
      </c>
    </row>
    <row r="510" spans="1:5" s="21" customFormat="1" ht="15.75" hidden="1" customHeight="1">
      <c r="A510" s="21">
        <v>90111</v>
      </c>
      <c r="B510" s="21" t="s">
        <v>368</v>
      </c>
      <c r="C510" s="21" t="s">
        <v>5183</v>
      </c>
      <c r="D510" s="21" t="s">
        <v>11</v>
      </c>
      <c r="E510" s="21" t="s">
        <v>11</v>
      </c>
    </row>
    <row r="511" spans="1:5" s="21" customFormat="1" ht="15.75" hidden="1" customHeight="1">
      <c r="A511" s="21">
        <v>90112</v>
      </c>
      <c r="B511" s="21" t="s">
        <v>369</v>
      </c>
      <c r="C511" s="21" t="s">
        <v>5183</v>
      </c>
      <c r="D511" s="21" t="s">
        <v>11</v>
      </c>
      <c r="E511" s="21" t="s">
        <v>11</v>
      </c>
    </row>
    <row r="512" spans="1:5" s="21" customFormat="1" ht="15.75" hidden="1" customHeight="1">
      <c r="A512" s="21">
        <v>90121</v>
      </c>
      <c r="B512" s="21" t="s">
        <v>370</v>
      </c>
      <c r="C512" s="21" t="s">
        <v>5183</v>
      </c>
      <c r="D512" s="21" t="s">
        <v>11</v>
      </c>
      <c r="E512" s="21" t="s">
        <v>11</v>
      </c>
    </row>
    <row r="513" spans="1:5" s="21" customFormat="1" ht="15.75" hidden="1" customHeight="1">
      <c r="A513" s="21">
        <v>90122</v>
      </c>
      <c r="B513" s="21" t="s">
        <v>371</v>
      </c>
      <c r="C513" s="21" t="s">
        <v>5183</v>
      </c>
      <c r="D513" s="21" t="s">
        <v>11</v>
      </c>
      <c r="E513" s="21" t="s">
        <v>11</v>
      </c>
    </row>
    <row r="514" spans="1:5" s="21" customFormat="1" ht="15.75" hidden="1" customHeight="1">
      <c r="A514" s="21">
        <v>90190</v>
      </c>
      <c r="B514" s="21" t="s">
        <v>372</v>
      </c>
      <c r="C514" s="21" t="s">
        <v>5183</v>
      </c>
      <c r="D514" s="21" t="s">
        <v>11</v>
      </c>
      <c r="E514" s="21" t="s">
        <v>11</v>
      </c>
    </row>
    <row r="515" spans="1:5" s="21" customFormat="1" ht="15.75" hidden="1" customHeight="1">
      <c r="A515" s="21">
        <v>90210</v>
      </c>
      <c r="B515" s="21" t="s">
        <v>373</v>
      </c>
      <c r="C515" s="21" t="s">
        <v>5184</v>
      </c>
      <c r="D515" s="21" t="s">
        <v>11</v>
      </c>
      <c r="E515" s="21" t="s">
        <v>11</v>
      </c>
    </row>
    <row r="516" spans="1:5" s="21" customFormat="1" ht="15.75" hidden="1" customHeight="1">
      <c r="A516" s="21">
        <v>90220</v>
      </c>
      <c r="B516" s="21" t="s">
        <v>374</v>
      </c>
      <c r="C516" s="21" t="s">
        <v>5184</v>
      </c>
      <c r="D516" s="21" t="s">
        <v>11</v>
      </c>
      <c r="E516" s="21" t="s">
        <v>11</v>
      </c>
    </row>
    <row r="517" spans="1:5" s="21" customFormat="1" ht="15.75" hidden="1" customHeight="1">
      <c r="A517" s="21">
        <v>90230</v>
      </c>
      <c r="B517" s="21" t="s">
        <v>375</v>
      </c>
      <c r="C517" s="21" t="s">
        <v>5185</v>
      </c>
      <c r="D517" s="21" t="s">
        <v>11</v>
      </c>
      <c r="E517" s="21" t="s">
        <v>11</v>
      </c>
    </row>
    <row r="518" spans="1:5" s="21" customFormat="1" ht="15.75" hidden="1" customHeight="1">
      <c r="A518" s="21">
        <v>90240</v>
      </c>
      <c r="B518" s="21" t="s">
        <v>376</v>
      </c>
      <c r="C518" s="21" t="s">
        <v>5185</v>
      </c>
      <c r="D518" s="21" t="s">
        <v>11</v>
      </c>
      <c r="E518" s="21" t="s">
        <v>11</v>
      </c>
    </row>
    <row r="519" spans="1:5" s="21" customFormat="1" ht="15.75" hidden="1" customHeight="1">
      <c r="A519" s="21">
        <v>90300</v>
      </c>
      <c r="B519" s="21" t="s">
        <v>377</v>
      </c>
      <c r="C519" s="21" t="s">
        <v>377</v>
      </c>
      <c r="D519" s="21" t="s">
        <v>11</v>
      </c>
      <c r="E519" s="21" t="s">
        <v>11</v>
      </c>
    </row>
    <row r="520" spans="1:5" s="21" customFormat="1" ht="15.75" hidden="1" customHeight="1">
      <c r="A520" s="21">
        <v>90411</v>
      </c>
      <c r="B520" s="21" t="s">
        <v>378</v>
      </c>
      <c r="C520" s="21" t="s">
        <v>5186</v>
      </c>
      <c r="D520" s="21" t="s">
        <v>11</v>
      </c>
      <c r="E520" s="21" t="s">
        <v>11</v>
      </c>
    </row>
    <row r="521" spans="1:5" s="21" customFormat="1" ht="15.75" hidden="1" customHeight="1">
      <c r="A521" s="21">
        <v>90412</v>
      </c>
      <c r="B521" s="21" t="s">
        <v>379</v>
      </c>
      <c r="C521" s="21" t="s">
        <v>5186</v>
      </c>
      <c r="D521" s="21" t="s">
        <v>11</v>
      </c>
      <c r="E521" s="21" t="s">
        <v>11</v>
      </c>
    </row>
    <row r="522" spans="1:5" s="21" customFormat="1" ht="15.75" hidden="1" customHeight="1">
      <c r="A522" s="21">
        <v>90420</v>
      </c>
      <c r="B522" s="21" t="s">
        <v>380</v>
      </c>
      <c r="C522" s="21" t="s">
        <v>5186</v>
      </c>
      <c r="D522" s="21" t="s">
        <v>11</v>
      </c>
      <c r="E522" s="21" t="s">
        <v>11</v>
      </c>
    </row>
    <row r="523" spans="1:5" s="21" customFormat="1" ht="15.75" hidden="1" customHeight="1">
      <c r="A523" s="21">
        <v>90500</v>
      </c>
      <c r="B523" s="21" t="s">
        <v>381</v>
      </c>
      <c r="C523" s="21" t="s">
        <v>5186</v>
      </c>
      <c r="D523" s="21" t="s">
        <v>11</v>
      </c>
      <c r="E523" s="21" t="s">
        <v>11</v>
      </c>
    </row>
    <row r="524" spans="1:5" s="21" customFormat="1" ht="15.75" hidden="1" customHeight="1">
      <c r="A524" s="21">
        <v>90611</v>
      </c>
      <c r="B524" s="21" t="s">
        <v>382</v>
      </c>
      <c r="C524" s="21" t="s">
        <v>5186</v>
      </c>
      <c r="D524" s="21" t="s">
        <v>11</v>
      </c>
      <c r="E524" s="21" t="s">
        <v>11</v>
      </c>
    </row>
    <row r="525" spans="1:5" s="21" customFormat="1" ht="15.75" hidden="1" customHeight="1">
      <c r="A525" s="21">
        <v>90619</v>
      </c>
      <c r="B525" s="21" t="s">
        <v>383</v>
      </c>
      <c r="C525" s="21" t="s">
        <v>5186</v>
      </c>
      <c r="D525" s="21" t="s">
        <v>11</v>
      </c>
      <c r="E525" s="21" t="s">
        <v>11</v>
      </c>
    </row>
    <row r="526" spans="1:5" s="21" customFormat="1" ht="15.75" hidden="1" customHeight="1">
      <c r="A526" s="21">
        <v>90620</v>
      </c>
      <c r="B526" s="21" t="s">
        <v>384</v>
      </c>
      <c r="C526" s="21" t="s">
        <v>5186</v>
      </c>
      <c r="D526" s="21" t="s">
        <v>11</v>
      </c>
      <c r="E526" s="21" t="s">
        <v>11</v>
      </c>
    </row>
    <row r="527" spans="1:5" s="21" customFormat="1" ht="15.75" hidden="1" customHeight="1">
      <c r="A527" s="21">
        <v>90700</v>
      </c>
      <c r="B527" s="21" t="s">
        <v>385</v>
      </c>
      <c r="C527" s="21" t="s">
        <v>5186</v>
      </c>
      <c r="D527" s="21" t="s">
        <v>11</v>
      </c>
      <c r="E527" s="21" t="s">
        <v>11</v>
      </c>
    </row>
    <row r="528" spans="1:5" s="21" customFormat="1" ht="15.75" hidden="1" customHeight="1">
      <c r="A528" s="21">
        <v>90810</v>
      </c>
      <c r="B528" s="21" t="s">
        <v>386</v>
      </c>
      <c r="C528" s="21" t="s">
        <v>5186</v>
      </c>
      <c r="D528" s="21" t="s">
        <v>11</v>
      </c>
      <c r="E528" s="21" t="s">
        <v>11</v>
      </c>
    </row>
    <row r="529" spans="1:5" s="21" customFormat="1" ht="15.75" hidden="1" customHeight="1">
      <c r="A529" s="21">
        <v>90820</v>
      </c>
      <c r="B529" s="21" t="s">
        <v>387</v>
      </c>
      <c r="C529" s="21" t="s">
        <v>5186</v>
      </c>
      <c r="D529" s="21" t="s">
        <v>11</v>
      </c>
      <c r="E529" s="21" t="s">
        <v>11</v>
      </c>
    </row>
    <row r="530" spans="1:5" s="21" customFormat="1" ht="15.75" hidden="1" customHeight="1">
      <c r="A530" s="21">
        <v>90830</v>
      </c>
      <c r="B530" s="21" t="s">
        <v>388</v>
      </c>
      <c r="C530" s="21" t="s">
        <v>5186</v>
      </c>
      <c r="D530" s="21" t="s">
        <v>11</v>
      </c>
      <c r="E530" s="21" t="s">
        <v>11</v>
      </c>
    </row>
    <row r="531" spans="1:5" s="21" customFormat="1" ht="15.75" hidden="1" customHeight="1">
      <c r="A531" s="21">
        <v>90910</v>
      </c>
      <c r="B531" s="21" t="s">
        <v>389</v>
      </c>
      <c r="C531" s="21" t="s">
        <v>5186</v>
      </c>
      <c r="D531" s="21" t="s">
        <v>11</v>
      </c>
      <c r="E531" s="21" t="s">
        <v>11</v>
      </c>
    </row>
    <row r="532" spans="1:5" s="21" customFormat="1" ht="15.75" hidden="1" customHeight="1">
      <c r="A532" s="21">
        <v>90920</v>
      </c>
      <c r="B532" s="21" t="s">
        <v>390</v>
      </c>
      <c r="C532" s="21" t="s">
        <v>5186</v>
      </c>
      <c r="D532" s="21" t="s">
        <v>11</v>
      </c>
      <c r="E532" s="21" t="s">
        <v>11</v>
      </c>
    </row>
    <row r="533" spans="1:5" s="21" customFormat="1" ht="15.75" hidden="1" customHeight="1">
      <c r="A533" s="21">
        <v>90930</v>
      </c>
      <c r="B533" s="21" t="s">
        <v>391</v>
      </c>
      <c r="C533" s="21" t="s">
        <v>5186</v>
      </c>
      <c r="D533" s="21" t="s">
        <v>11</v>
      </c>
      <c r="E533" s="21" t="s">
        <v>11</v>
      </c>
    </row>
    <row r="534" spans="1:5" s="21" customFormat="1" ht="15.75" hidden="1" customHeight="1">
      <c r="A534" s="21">
        <v>90940</v>
      </c>
      <c r="B534" s="21" t="s">
        <v>392</v>
      </c>
      <c r="C534" s="21" t="s">
        <v>5186</v>
      </c>
      <c r="D534" s="21" t="s">
        <v>11</v>
      </c>
      <c r="E534" s="21" t="s">
        <v>11</v>
      </c>
    </row>
    <row r="535" spans="1:5" s="21" customFormat="1" ht="15.75" hidden="1" customHeight="1">
      <c r="A535" s="21">
        <v>90950</v>
      </c>
      <c r="B535" s="21" t="s">
        <v>393</v>
      </c>
      <c r="C535" s="21" t="s">
        <v>5186</v>
      </c>
      <c r="D535" s="21" t="s">
        <v>11</v>
      </c>
      <c r="E535" s="21" t="s">
        <v>11</v>
      </c>
    </row>
    <row r="536" spans="1:5" s="21" customFormat="1" ht="15.75" hidden="1" customHeight="1">
      <c r="A536" s="21">
        <v>91010</v>
      </c>
      <c r="B536" s="21" t="s">
        <v>394</v>
      </c>
      <c r="C536" s="21" t="s">
        <v>5186</v>
      </c>
      <c r="D536" s="21" t="s">
        <v>11</v>
      </c>
      <c r="E536" s="21" t="s">
        <v>11</v>
      </c>
    </row>
    <row r="537" spans="1:5" s="21" customFormat="1" ht="15.75" hidden="1" customHeight="1">
      <c r="A537" s="21">
        <v>91020</v>
      </c>
      <c r="B537" s="21" t="s">
        <v>395</v>
      </c>
      <c r="C537" s="21" t="s">
        <v>5186</v>
      </c>
      <c r="D537" s="21" t="s">
        <v>11</v>
      </c>
      <c r="E537" s="21" t="s">
        <v>11</v>
      </c>
    </row>
    <row r="538" spans="1:5" s="21" customFormat="1" ht="15.75" hidden="1" customHeight="1">
      <c r="A538" s="21">
        <v>91030</v>
      </c>
      <c r="B538" s="21" t="s">
        <v>396</v>
      </c>
      <c r="C538" s="21" t="s">
        <v>5186</v>
      </c>
      <c r="D538" s="21" t="s">
        <v>11</v>
      </c>
      <c r="E538" s="21" t="s">
        <v>11</v>
      </c>
    </row>
    <row r="539" spans="1:5" s="21" customFormat="1" ht="15.75" hidden="1" customHeight="1">
      <c r="A539" s="21">
        <v>91091</v>
      </c>
      <c r="B539" s="21" t="s">
        <v>397</v>
      </c>
      <c r="C539" s="21" t="s">
        <v>5186</v>
      </c>
      <c r="D539" s="21" t="s">
        <v>11</v>
      </c>
      <c r="E539" s="21" t="s">
        <v>11</v>
      </c>
    </row>
    <row r="540" spans="1:5" s="21" customFormat="1" ht="15.75" hidden="1" customHeight="1">
      <c r="A540" s="21">
        <v>91099</v>
      </c>
      <c r="B540" s="21" t="s">
        <v>398</v>
      </c>
      <c r="C540" s="21" t="s">
        <v>5186</v>
      </c>
      <c r="D540" s="21" t="s">
        <v>11</v>
      </c>
      <c r="E540" s="21" t="s">
        <v>11</v>
      </c>
    </row>
    <row r="541" spans="1:5" s="21" customFormat="1" ht="15.75" hidden="1" customHeight="1">
      <c r="A541" s="21">
        <v>100110</v>
      </c>
      <c r="B541" s="21" t="s">
        <v>399</v>
      </c>
      <c r="C541" s="21" t="s">
        <v>5187</v>
      </c>
      <c r="D541" s="21" t="s">
        <v>11</v>
      </c>
      <c r="E541" s="21" t="s">
        <v>11</v>
      </c>
    </row>
    <row r="542" spans="1:5" s="21" customFormat="1" ht="15.75" hidden="1" customHeight="1">
      <c r="A542" s="21">
        <v>100190</v>
      </c>
      <c r="B542" s="21" t="s">
        <v>400</v>
      </c>
      <c r="C542" s="21" t="s">
        <v>5187</v>
      </c>
      <c r="D542" s="21" t="s">
        <v>11</v>
      </c>
      <c r="E542" s="21" t="s">
        <v>11</v>
      </c>
    </row>
    <row r="543" spans="1:5" s="21" customFormat="1" ht="15.75" hidden="1" customHeight="1">
      <c r="A543" s="21">
        <v>100200</v>
      </c>
      <c r="B543" s="21" t="s">
        <v>401</v>
      </c>
      <c r="C543" s="21" t="s">
        <v>5187</v>
      </c>
      <c r="D543" s="21" t="s">
        <v>11</v>
      </c>
      <c r="E543" s="21" t="s">
        <v>11</v>
      </c>
    </row>
    <row r="544" spans="1:5" s="21" customFormat="1" ht="15.75" hidden="1" customHeight="1">
      <c r="A544" s="21">
        <v>100300</v>
      </c>
      <c r="B544" s="21" t="s">
        <v>402</v>
      </c>
      <c r="C544" s="21" t="s">
        <v>5187</v>
      </c>
      <c r="D544" s="21" t="s">
        <v>11</v>
      </c>
      <c r="E544" s="21" t="s">
        <v>11</v>
      </c>
    </row>
    <row r="545" spans="1:5" s="21" customFormat="1" ht="15.75" hidden="1" customHeight="1">
      <c r="A545" s="21">
        <v>100400</v>
      </c>
      <c r="B545" s="21" t="s">
        <v>403</v>
      </c>
      <c r="C545" s="21" t="s">
        <v>5187</v>
      </c>
      <c r="D545" s="21" t="s">
        <v>11</v>
      </c>
      <c r="E545" s="21" t="s">
        <v>11</v>
      </c>
    </row>
    <row r="546" spans="1:5" s="21" customFormat="1" ht="15.75" hidden="1" customHeight="1">
      <c r="A546" s="21">
        <v>100510</v>
      </c>
      <c r="B546" s="21" t="s">
        <v>404</v>
      </c>
      <c r="C546" s="21" t="s">
        <v>5187</v>
      </c>
      <c r="D546" s="21" t="s">
        <v>11</v>
      </c>
      <c r="E546" s="21" t="s">
        <v>11</v>
      </c>
    </row>
    <row r="547" spans="1:5" s="21" customFormat="1" ht="15.75" hidden="1" customHeight="1">
      <c r="A547" s="21">
        <v>100590</v>
      </c>
      <c r="B547" s="21" t="s">
        <v>405</v>
      </c>
      <c r="C547" s="21" t="s">
        <v>5187</v>
      </c>
      <c r="D547" s="21" t="s">
        <v>11</v>
      </c>
      <c r="E547" s="21" t="s">
        <v>11</v>
      </c>
    </row>
    <row r="548" spans="1:5" s="21" customFormat="1" ht="15.75" hidden="1" customHeight="1">
      <c r="A548" s="21">
        <v>100610</v>
      </c>
      <c r="B548" s="21" t="s">
        <v>406</v>
      </c>
      <c r="C548" s="21" t="s">
        <v>5187</v>
      </c>
      <c r="D548" s="21" t="s">
        <v>11</v>
      </c>
      <c r="E548" s="21" t="s">
        <v>11</v>
      </c>
    </row>
    <row r="549" spans="1:5" s="21" customFormat="1" ht="15.75" hidden="1" customHeight="1">
      <c r="A549" s="21">
        <v>100620</v>
      </c>
      <c r="B549" s="21" t="s">
        <v>407</v>
      </c>
      <c r="C549" s="21" t="s">
        <v>5187</v>
      </c>
      <c r="D549" s="21" t="s">
        <v>11</v>
      </c>
      <c r="E549" s="21" t="s">
        <v>11</v>
      </c>
    </row>
    <row r="550" spans="1:5" s="21" customFormat="1" ht="15.75" hidden="1" customHeight="1">
      <c r="A550" s="21">
        <v>100630</v>
      </c>
      <c r="B550" s="21" t="s">
        <v>408</v>
      </c>
      <c r="C550" s="21" t="s">
        <v>5187</v>
      </c>
      <c r="D550" s="21" t="s">
        <v>11</v>
      </c>
      <c r="E550" s="21" t="s">
        <v>11</v>
      </c>
    </row>
    <row r="551" spans="1:5" s="21" customFormat="1" ht="15.75" hidden="1" customHeight="1">
      <c r="A551" s="21">
        <v>100640</v>
      </c>
      <c r="B551" s="21" t="s">
        <v>409</v>
      </c>
      <c r="C551" s="21" t="s">
        <v>5187</v>
      </c>
      <c r="D551" s="21" t="s">
        <v>11</v>
      </c>
      <c r="E551" s="21" t="s">
        <v>11</v>
      </c>
    </row>
    <row r="552" spans="1:5" s="21" customFormat="1" ht="15.75" hidden="1" customHeight="1">
      <c r="A552" s="21">
        <v>100700</v>
      </c>
      <c r="B552" s="21" t="s">
        <v>410</v>
      </c>
      <c r="C552" s="21" t="s">
        <v>5187</v>
      </c>
      <c r="D552" s="21" t="s">
        <v>11</v>
      </c>
      <c r="E552" s="21" t="s">
        <v>11</v>
      </c>
    </row>
    <row r="553" spans="1:5" s="21" customFormat="1" ht="15.75" hidden="1" customHeight="1">
      <c r="A553" s="21">
        <v>100810</v>
      </c>
      <c r="B553" s="21" t="s">
        <v>411</v>
      </c>
      <c r="C553" s="21" t="s">
        <v>5187</v>
      </c>
      <c r="D553" s="21" t="s">
        <v>11</v>
      </c>
      <c r="E553" s="21" t="s">
        <v>11</v>
      </c>
    </row>
    <row r="554" spans="1:5" s="21" customFormat="1" ht="15.75" hidden="1" customHeight="1">
      <c r="A554" s="21">
        <v>100820</v>
      </c>
      <c r="B554" s="21" t="s">
        <v>412</v>
      </c>
      <c r="C554" s="21" t="s">
        <v>5187</v>
      </c>
      <c r="D554" s="21" t="s">
        <v>11</v>
      </c>
      <c r="E554" s="21" t="s">
        <v>11</v>
      </c>
    </row>
    <row r="555" spans="1:5" s="21" customFormat="1" ht="15.75" hidden="1" customHeight="1">
      <c r="A555" s="21">
        <v>100830</v>
      </c>
      <c r="B555" s="21" t="s">
        <v>413</v>
      </c>
      <c r="C555" s="21" t="s">
        <v>5187</v>
      </c>
      <c r="D555" s="21" t="s">
        <v>11</v>
      </c>
      <c r="E555" s="21" t="s">
        <v>11</v>
      </c>
    </row>
    <row r="556" spans="1:5" s="21" customFormat="1" ht="15.75" hidden="1" customHeight="1">
      <c r="A556" s="21">
        <v>100890</v>
      </c>
      <c r="B556" s="21" t="s">
        <v>414</v>
      </c>
      <c r="C556" s="21" t="s">
        <v>5187</v>
      </c>
      <c r="D556" s="21" t="s">
        <v>11</v>
      </c>
      <c r="E556" s="21" t="s">
        <v>11</v>
      </c>
    </row>
    <row r="557" spans="1:5" s="21" customFormat="1" ht="15.75" hidden="1" customHeight="1">
      <c r="A557" s="21">
        <v>110100</v>
      </c>
      <c r="B557" s="21" t="s">
        <v>415</v>
      </c>
      <c r="C557" s="21" t="s">
        <v>415</v>
      </c>
      <c r="D557" s="21" t="s">
        <v>11</v>
      </c>
      <c r="E557" s="21" t="s">
        <v>11</v>
      </c>
    </row>
    <row r="558" spans="1:5" s="21" customFormat="1" ht="15.75" hidden="1" customHeight="1">
      <c r="A558" s="21">
        <v>110210</v>
      </c>
      <c r="B558" s="21" t="s">
        <v>416</v>
      </c>
      <c r="C558" s="21" t="s">
        <v>5188</v>
      </c>
      <c r="D558" s="21" t="s">
        <v>11</v>
      </c>
      <c r="E558" s="21" t="s">
        <v>11</v>
      </c>
    </row>
    <row r="559" spans="1:5" s="21" customFormat="1" ht="15.75" hidden="1" customHeight="1">
      <c r="A559" s="21">
        <v>110220</v>
      </c>
      <c r="B559" s="21" t="s">
        <v>417</v>
      </c>
      <c r="C559" s="21" t="s">
        <v>5188</v>
      </c>
      <c r="D559" s="21" t="s">
        <v>11</v>
      </c>
      <c r="E559" s="21" t="s">
        <v>11</v>
      </c>
    </row>
    <row r="560" spans="1:5" s="21" customFormat="1" ht="15.75" hidden="1" customHeight="1">
      <c r="A560" s="21">
        <v>110290</v>
      </c>
      <c r="B560" s="21" t="s">
        <v>418</v>
      </c>
      <c r="C560" s="21" t="s">
        <v>5189</v>
      </c>
      <c r="D560" s="21" t="s">
        <v>11</v>
      </c>
      <c r="E560" s="21" t="s">
        <v>11</v>
      </c>
    </row>
    <row r="561" spans="1:5" s="21" customFormat="1" ht="15.75" hidden="1" customHeight="1">
      <c r="A561" s="21">
        <v>110311</v>
      </c>
      <c r="B561" s="21" t="s">
        <v>419</v>
      </c>
      <c r="C561" s="21" t="s">
        <v>5190</v>
      </c>
      <c r="D561" s="21" t="s">
        <v>11</v>
      </c>
      <c r="E561" s="21" t="s">
        <v>11</v>
      </c>
    </row>
    <row r="562" spans="1:5" s="21" customFormat="1" ht="15.75" hidden="1" customHeight="1">
      <c r="A562" s="21">
        <v>110313</v>
      </c>
      <c r="B562" s="21" t="s">
        <v>420</v>
      </c>
      <c r="C562" s="21" t="s">
        <v>5190</v>
      </c>
      <c r="D562" s="21" t="s">
        <v>11</v>
      </c>
      <c r="E562" s="21" t="s">
        <v>11</v>
      </c>
    </row>
    <row r="563" spans="1:5" s="21" customFormat="1" ht="15.75" hidden="1" customHeight="1">
      <c r="A563" s="21">
        <v>110319</v>
      </c>
      <c r="B563" s="21" t="s">
        <v>421</v>
      </c>
      <c r="C563" s="21" t="s">
        <v>5190</v>
      </c>
      <c r="D563" s="21" t="s">
        <v>11</v>
      </c>
      <c r="E563" s="21" t="s">
        <v>11</v>
      </c>
    </row>
    <row r="564" spans="1:5" s="21" customFormat="1" ht="15.75" hidden="1" customHeight="1">
      <c r="A564" s="21">
        <v>110320</v>
      </c>
      <c r="B564" s="21" t="s">
        <v>422</v>
      </c>
      <c r="C564" s="21" t="s">
        <v>422</v>
      </c>
      <c r="D564" s="21" t="s">
        <v>11</v>
      </c>
      <c r="E564" s="21" t="s">
        <v>11</v>
      </c>
    </row>
    <row r="565" spans="1:5" s="21" customFormat="1" ht="15.75" hidden="1" customHeight="1">
      <c r="A565" s="21">
        <v>110412</v>
      </c>
      <c r="B565" s="21" t="s">
        <v>423</v>
      </c>
      <c r="C565" s="21" t="s">
        <v>5191</v>
      </c>
      <c r="D565" s="21" t="s">
        <v>11</v>
      </c>
      <c r="E565" s="21" t="s">
        <v>11</v>
      </c>
    </row>
    <row r="566" spans="1:5" s="21" customFormat="1" ht="15.75" hidden="1" customHeight="1">
      <c r="A566" s="21">
        <v>110419</v>
      </c>
      <c r="B566" s="21" t="s">
        <v>424</v>
      </c>
      <c r="C566" s="21" t="s">
        <v>5191</v>
      </c>
      <c r="D566" s="21" t="s">
        <v>11</v>
      </c>
      <c r="E566" s="21" t="s">
        <v>11</v>
      </c>
    </row>
    <row r="567" spans="1:5" s="21" customFormat="1" ht="15.75" hidden="1" customHeight="1">
      <c r="A567" s="21">
        <v>110422</v>
      </c>
      <c r="B567" s="21" t="s">
        <v>425</v>
      </c>
      <c r="C567" s="21" t="s">
        <v>5191</v>
      </c>
      <c r="D567" s="21" t="s">
        <v>11</v>
      </c>
      <c r="E567" s="21" t="s">
        <v>11</v>
      </c>
    </row>
    <row r="568" spans="1:5" s="21" customFormat="1" ht="15.75" hidden="1" customHeight="1">
      <c r="A568" s="21">
        <v>110423</v>
      </c>
      <c r="B568" s="21" t="s">
        <v>426</v>
      </c>
      <c r="C568" s="21" t="s">
        <v>5191</v>
      </c>
      <c r="D568" s="21" t="s">
        <v>11</v>
      </c>
      <c r="E568" s="21" t="s">
        <v>11</v>
      </c>
    </row>
    <row r="569" spans="1:5" s="21" customFormat="1" ht="15.75" hidden="1" customHeight="1">
      <c r="A569" s="21">
        <v>110429</v>
      </c>
      <c r="B569" s="21" t="s">
        <v>427</v>
      </c>
      <c r="C569" s="21" t="s">
        <v>5191</v>
      </c>
      <c r="D569" s="21" t="s">
        <v>11</v>
      </c>
      <c r="E569" s="21" t="s">
        <v>11</v>
      </c>
    </row>
    <row r="570" spans="1:5" s="21" customFormat="1" ht="15.75" hidden="1" customHeight="1">
      <c r="A570" s="21">
        <v>110430</v>
      </c>
      <c r="B570" s="21" t="s">
        <v>428</v>
      </c>
      <c r="C570" s="21" t="s">
        <v>5192</v>
      </c>
      <c r="D570" s="21" t="s">
        <v>11</v>
      </c>
      <c r="E570" s="21" t="s">
        <v>11</v>
      </c>
    </row>
    <row r="571" spans="1:5" s="21" customFormat="1" ht="15.75" hidden="1" customHeight="1">
      <c r="A571" s="21">
        <v>110510</v>
      </c>
      <c r="B571" s="21" t="s">
        <v>429</v>
      </c>
      <c r="C571" s="21" t="s">
        <v>5193</v>
      </c>
      <c r="D571" s="21" t="s">
        <v>11</v>
      </c>
      <c r="E571" s="21" t="s">
        <v>11</v>
      </c>
    </row>
    <row r="572" spans="1:5" s="21" customFormat="1" ht="15.75" hidden="1" customHeight="1">
      <c r="A572" s="21">
        <v>110520</v>
      </c>
      <c r="B572" s="21" t="s">
        <v>430</v>
      </c>
      <c r="C572" s="21" t="s">
        <v>5194</v>
      </c>
      <c r="D572" s="21" t="s">
        <v>11</v>
      </c>
      <c r="E572" s="21" t="s">
        <v>11</v>
      </c>
    </row>
    <row r="573" spans="1:5" s="21" customFormat="1" ht="15.75" hidden="1" customHeight="1">
      <c r="A573" s="21">
        <v>110610</v>
      </c>
      <c r="B573" s="21" t="s">
        <v>431</v>
      </c>
      <c r="C573" s="21" t="s">
        <v>5193</v>
      </c>
      <c r="D573" s="21" t="s">
        <v>11</v>
      </c>
      <c r="E573" s="21" t="s">
        <v>11</v>
      </c>
    </row>
    <row r="574" spans="1:5" s="21" customFormat="1" ht="15.75" hidden="1" customHeight="1">
      <c r="A574" s="21">
        <v>110620</v>
      </c>
      <c r="B574" s="21" t="s">
        <v>432</v>
      </c>
      <c r="C574" s="21" t="s">
        <v>5193</v>
      </c>
      <c r="D574" s="21" t="s">
        <v>11</v>
      </c>
      <c r="E574" s="21" t="s">
        <v>11</v>
      </c>
    </row>
    <row r="575" spans="1:5" s="21" customFormat="1" ht="15.75" hidden="1" customHeight="1">
      <c r="A575" s="21">
        <v>110630</v>
      </c>
      <c r="B575" s="21" t="s">
        <v>433</v>
      </c>
      <c r="C575" s="21" t="s">
        <v>5193</v>
      </c>
      <c r="D575" s="21" t="s">
        <v>11</v>
      </c>
      <c r="E575" s="21" t="s">
        <v>11</v>
      </c>
    </row>
    <row r="576" spans="1:5" s="21" customFormat="1" ht="15.75" hidden="1" customHeight="1">
      <c r="A576" s="21">
        <v>110710</v>
      </c>
      <c r="B576" s="21" t="s">
        <v>434</v>
      </c>
      <c r="C576" s="21" t="s">
        <v>5195</v>
      </c>
      <c r="D576" s="21" t="s">
        <v>11</v>
      </c>
      <c r="E576" s="21" t="s">
        <v>11</v>
      </c>
    </row>
    <row r="577" spans="1:5" s="21" customFormat="1" ht="15.75" hidden="1" customHeight="1">
      <c r="A577" s="21">
        <v>110720</v>
      </c>
      <c r="B577" s="21" t="s">
        <v>435</v>
      </c>
      <c r="C577" s="21" t="s">
        <v>5195</v>
      </c>
      <c r="D577" s="21" t="s">
        <v>11</v>
      </c>
      <c r="E577" s="21" t="s">
        <v>11</v>
      </c>
    </row>
    <row r="578" spans="1:5" s="21" customFormat="1" ht="15.75" hidden="1" customHeight="1">
      <c r="A578" s="21">
        <v>110811</v>
      </c>
      <c r="B578" s="21" t="s">
        <v>436</v>
      </c>
      <c r="C578" s="21" t="s">
        <v>5196</v>
      </c>
      <c r="D578" s="21" t="s">
        <v>11</v>
      </c>
      <c r="E578" s="21" t="s">
        <v>11</v>
      </c>
    </row>
    <row r="579" spans="1:5" s="21" customFormat="1" ht="15.75" hidden="1" customHeight="1">
      <c r="A579" s="21">
        <v>110812</v>
      </c>
      <c r="B579" s="21" t="s">
        <v>437</v>
      </c>
      <c r="C579" s="21" t="s">
        <v>5196</v>
      </c>
      <c r="D579" s="21" t="s">
        <v>11</v>
      </c>
      <c r="E579" s="21" t="s">
        <v>11</v>
      </c>
    </row>
    <row r="580" spans="1:5" s="21" customFormat="1" ht="15.75" hidden="1" customHeight="1">
      <c r="A580" s="21">
        <v>110813</v>
      </c>
      <c r="B580" s="21" t="s">
        <v>438</v>
      </c>
      <c r="C580" s="21" t="s">
        <v>5196</v>
      </c>
      <c r="D580" s="21" t="s">
        <v>11</v>
      </c>
      <c r="E580" s="21" t="s">
        <v>11</v>
      </c>
    </row>
    <row r="581" spans="1:5" s="21" customFormat="1" ht="15.75" hidden="1" customHeight="1">
      <c r="A581" s="21">
        <v>110814</v>
      </c>
      <c r="B581" s="21" t="s">
        <v>439</v>
      </c>
      <c r="C581" s="21" t="s">
        <v>5196</v>
      </c>
      <c r="D581" s="21" t="s">
        <v>11</v>
      </c>
      <c r="E581" s="21" t="s">
        <v>11</v>
      </c>
    </row>
    <row r="582" spans="1:5" s="21" customFormat="1" ht="15.75" hidden="1" customHeight="1">
      <c r="A582" s="21">
        <v>110819</v>
      </c>
      <c r="B582" s="21" t="s">
        <v>440</v>
      </c>
      <c r="C582" s="21" t="s">
        <v>5196</v>
      </c>
      <c r="D582" s="21" t="s">
        <v>11</v>
      </c>
      <c r="E582" s="21" t="s">
        <v>11</v>
      </c>
    </row>
    <row r="583" spans="1:5" s="21" customFormat="1" ht="15.75" hidden="1" customHeight="1">
      <c r="A583" s="21">
        <v>110820</v>
      </c>
      <c r="B583" s="21" t="s">
        <v>441</v>
      </c>
      <c r="C583" s="21" t="s">
        <v>441</v>
      </c>
      <c r="D583" s="21" t="s">
        <v>11</v>
      </c>
      <c r="E583" s="21" t="s">
        <v>11</v>
      </c>
    </row>
    <row r="584" spans="1:5" s="21" customFormat="1" ht="15.75" hidden="1" customHeight="1">
      <c r="A584" s="21">
        <v>110900</v>
      </c>
      <c r="B584" s="21" t="s">
        <v>442</v>
      </c>
      <c r="C584" s="21" t="s">
        <v>5197</v>
      </c>
      <c r="D584" s="21" t="s">
        <v>11</v>
      </c>
      <c r="E584" s="21" t="s">
        <v>11</v>
      </c>
    </row>
    <row r="585" spans="1:5" s="21" customFormat="1" ht="15.75" hidden="1" customHeight="1">
      <c r="A585" s="21">
        <v>120100</v>
      </c>
      <c r="B585" s="21" t="s">
        <v>443</v>
      </c>
      <c r="C585" s="21" t="s">
        <v>5198</v>
      </c>
      <c r="D585" s="21" t="s">
        <v>11</v>
      </c>
      <c r="E585" s="21" t="s">
        <v>11</v>
      </c>
    </row>
    <row r="586" spans="1:5" s="21" customFormat="1" ht="15.75" hidden="1" customHeight="1">
      <c r="A586" s="21">
        <v>120210</v>
      </c>
      <c r="B586" s="21" t="s">
        <v>444</v>
      </c>
      <c r="C586" s="21" t="s">
        <v>5199</v>
      </c>
      <c r="D586" s="21" t="s">
        <v>11</v>
      </c>
      <c r="E586" s="21" t="s">
        <v>11</v>
      </c>
    </row>
    <row r="587" spans="1:5" s="21" customFormat="1" ht="15.75" hidden="1" customHeight="1">
      <c r="A587" s="21">
        <v>120220</v>
      </c>
      <c r="B587" s="21" t="s">
        <v>445</v>
      </c>
      <c r="C587" s="21" t="s">
        <v>5199</v>
      </c>
      <c r="D587" s="21" t="s">
        <v>11</v>
      </c>
      <c r="E587" s="21" t="s">
        <v>11</v>
      </c>
    </row>
    <row r="588" spans="1:5" s="21" customFormat="1" ht="15.75" hidden="1" customHeight="1">
      <c r="A588" s="21">
        <v>120300</v>
      </c>
      <c r="B588" s="21" t="s">
        <v>446</v>
      </c>
      <c r="C588" s="21" t="s">
        <v>446</v>
      </c>
      <c r="D588" s="21" t="s">
        <v>11</v>
      </c>
      <c r="E588" s="21" t="s">
        <v>11</v>
      </c>
    </row>
    <row r="589" spans="1:5" s="21" customFormat="1" ht="15.75" hidden="1" customHeight="1">
      <c r="A589" s="21">
        <v>120400</v>
      </c>
      <c r="B589" s="21" t="s">
        <v>447</v>
      </c>
      <c r="C589" s="21" t="s">
        <v>5200</v>
      </c>
      <c r="D589" s="21" t="s">
        <v>11</v>
      </c>
      <c r="E589" s="21" t="s">
        <v>11</v>
      </c>
    </row>
    <row r="590" spans="1:5" s="21" customFormat="1" ht="15.75" hidden="1" customHeight="1">
      <c r="A590" s="21">
        <v>120510</v>
      </c>
      <c r="B590" s="21" t="s">
        <v>448</v>
      </c>
      <c r="C590" s="21" t="s">
        <v>5200</v>
      </c>
      <c r="D590" s="21" t="s">
        <v>11</v>
      </c>
      <c r="E590" s="21" t="s">
        <v>11</v>
      </c>
    </row>
    <row r="591" spans="1:5" s="21" customFormat="1" ht="15.75" hidden="1" customHeight="1">
      <c r="A591" s="21">
        <v>120590</v>
      </c>
      <c r="B591" s="21" t="s">
        <v>449</v>
      </c>
      <c r="C591" s="21" t="s">
        <v>5200</v>
      </c>
      <c r="D591" s="21" t="s">
        <v>11</v>
      </c>
      <c r="E591" s="21" t="s">
        <v>11</v>
      </c>
    </row>
    <row r="592" spans="1:5" s="21" customFormat="1" ht="15.75" hidden="1" customHeight="1">
      <c r="A592" s="21">
        <v>120600</v>
      </c>
      <c r="B592" s="21" t="s">
        <v>450</v>
      </c>
      <c r="C592" s="21" t="s">
        <v>5200</v>
      </c>
      <c r="D592" s="21" t="s">
        <v>11</v>
      </c>
      <c r="E592" s="21" t="s">
        <v>11</v>
      </c>
    </row>
    <row r="593" spans="1:5" s="21" customFormat="1" ht="15.75" hidden="1" customHeight="1">
      <c r="A593" s="21">
        <v>120720</v>
      </c>
      <c r="B593" s="21" t="s">
        <v>451</v>
      </c>
      <c r="C593" s="21" t="s">
        <v>5200</v>
      </c>
      <c r="D593" s="21" t="s">
        <v>11</v>
      </c>
      <c r="E593" s="21" t="s">
        <v>11</v>
      </c>
    </row>
    <row r="594" spans="1:5" s="21" customFormat="1" ht="15.75" hidden="1" customHeight="1">
      <c r="A594" s="21">
        <v>120740</v>
      </c>
      <c r="B594" s="21" t="s">
        <v>452</v>
      </c>
      <c r="C594" s="21" t="s">
        <v>5200</v>
      </c>
      <c r="D594" s="21" t="s">
        <v>11</v>
      </c>
      <c r="E594" s="21" t="s">
        <v>11</v>
      </c>
    </row>
    <row r="595" spans="1:5" s="21" customFormat="1" ht="15.75" hidden="1" customHeight="1">
      <c r="A595" s="21">
        <v>120750</v>
      </c>
      <c r="B595" s="21" t="s">
        <v>453</v>
      </c>
      <c r="C595" s="21" t="s">
        <v>5200</v>
      </c>
      <c r="D595" s="21" t="s">
        <v>11</v>
      </c>
      <c r="E595" s="21" t="s">
        <v>11</v>
      </c>
    </row>
    <row r="596" spans="1:5" s="21" customFormat="1" ht="15.75" hidden="1" customHeight="1">
      <c r="A596" s="21">
        <v>120791</v>
      </c>
      <c r="B596" s="21" t="s">
        <v>454</v>
      </c>
      <c r="C596" s="21" t="s">
        <v>5200</v>
      </c>
      <c r="D596" s="21" t="s">
        <v>11</v>
      </c>
      <c r="E596" s="21" t="s">
        <v>11</v>
      </c>
    </row>
    <row r="597" spans="1:5" s="21" customFormat="1" ht="15.75" hidden="1" customHeight="1">
      <c r="A597" s="21">
        <v>120799</v>
      </c>
      <c r="B597" s="21" t="s">
        <v>455</v>
      </c>
      <c r="C597" s="21" t="s">
        <v>5201</v>
      </c>
      <c r="D597" s="21" t="s">
        <v>11</v>
      </c>
      <c r="E597" s="21" t="s">
        <v>11</v>
      </c>
    </row>
    <row r="598" spans="1:5" s="21" customFormat="1" ht="15.75" hidden="1" customHeight="1">
      <c r="A598" s="21">
        <v>120810</v>
      </c>
      <c r="B598" s="21" t="s">
        <v>456</v>
      </c>
      <c r="C598" s="21" t="s">
        <v>5202</v>
      </c>
      <c r="D598" s="21" t="s">
        <v>11</v>
      </c>
      <c r="E598" s="21" t="s">
        <v>11</v>
      </c>
    </row>
    <row r="599" spans="1:5" s="21" customFormat="1" ht="15.75" hidden="1" customHeight="1">
      <c r="A599" s="21">
        <v>120890</v>
      </c>
      <c r="B599" s="21" t="s">
        <v>457</v>
      </c>
      <c r="C599" s="21" t="s">
        <v>5203</v>
      </c>
      <c r="D599" s="21" t="s">
        <v>11</v>
      </c>
      <c r="E599" s="21" t="s">
        <v>11</v>
      </c>
    </row>
    <row r="600" spans="1:5" s="21" customFormat="1" ht="15.75" hidden="1" customHeight="1">
      <c r="A600" s="21">
        <v>120910</v>
      </c>
      <c r="B600" s="21" t="s">
        <v>458</v>
      </c>
      <c r="C600" s="21" t="s">
        <v>5204</v>
      </c>
      <c r="D600" s="21" t="s">
        <v>11</v>
      </c>
      <c r="E600" s="21" t="s">
        <v>11</v>
      </c>
    </row>
    <row r="601" spans="1:5" s="21" customFormat="1" ht="15.75" hidden="1" customHeight="1">
      <c r="A601" s="21">
        <v>120921</v>
      </c>
      <c r="B601" s="21" t="s">
        <v>459</v>
      </c>
      <c r="C601" s="21" t="s">
        <v>5204</v>
      </c>
      <c r="D601" s="21" t="s">
        <v>11</v>
      </c>
      <c r="E601" s="21" t="s">
        <v>11</v>
      </c>
    </row>
    <row r="602" spans="1:5" s="21" customFormat="1" ht="15.75" hidden="1" customHeight="1">
      <c r="A602" s="21">
        <v>120922</v>
      </c>
      <c r="B602" s="21" t="s">
        <v>460</v>
      </c>
      <c r="C602" s="21" t="s">
        <v>5204</v>
      </c>
      <c r="D602" s="21" t="s">
        <v>11</v>
      </c>
      <c r="E602" s="21" t="s">
        <v>11</v>
      </c>
    </row>
    <row r="603" spans="1:5" s="21" customFormat="1" ht="15.75" hidden="1" customHeight="1">
      <c r="A603" s="21">
        <v>120923</v>
      </c>
      <c r="B603" s="21" t="s">
        <v>461</v>
      </c>
      <c r="C603" s="21" t="s">
        <v>5204</v>
      </c>
      <c r="D603" s="21" t="s">
        <v>11</v>
      </c>
      <c r="E603" s="21" t="s">
        <v>11</v>
      </c>
    </row>
    <row r="604" spans="1:5" s="21" customFormat="1" ht="15.75" hidden="1" customHeight="1">
      <c r="A604" s="21">
        <v>120924</v>
      </c>
      <c r="B604" s="21" t="s">
        <v>462</v>
      </c>
      <c r="C604" s="21" t="s">
        <v>5204</v>
      </c>
      <c r="D604" s="21" t="s">
        <v>11</v>
      </c>
      <c r="E604" s="21" t="s">
        <v>11</v>
      </c>
    </row>
    <row r="605" spans="1:5" s="21" customFormat="1" ht="15.75" hidden="1" customHeight="1">
      <c r="A605" s="21">
        <v>120925</v>
      </c>
      <c r="B605" s="21" t="s">
        <v>463</v>
      </c>
      <c r="C605" s="21" t="s">
        <v>5204</v>
      </c>
      <c r="D605" s="21" t="s">
        <v>11</v>
      </c>
      <c r="E605" s="21" t="s">
        <v>11</v>
      </c>
    </row>
    <row r="606" spans="1:5" s="21" customFormat="1" ht="15.75" hidden="1" customHeight="1">
      <c r="A606" s="21">
        <v>120929</v>
      </c>
      <c r="B606" s="21" t="s">
        <v>464</v>
      </c>
      <c r="C606" s="21" t="s">
        <v>5204</v>
      </c>
      <c r="D606" s="21" t="s">
        <v>11</v>
      </c>
      <c r="E606" s="21" t="s">
        <v>11</v>
      </c>
    </row>
    <row r="607" spans="1:5" s="21" customFormat="1" ht="15.75" hidden="1" customHeight="1">
      <c r="A607" s="21">
        <v>120930</v>
      </c>
      <c r="B607" s="21" t="s">
        <v>465</v>
      </c>
      <c r="C607" s="21" t="s">
        <v>5204</v>
      </c>
      <c r="D607" s="21" t="s">
        <v>11</v>
      </c>
      <c r="E607" s="21" t="s">
        <v>11</v>
      </c>
    </row>
    <row r="608" spans="1:5" s="21" customFormat="1" ht="15.75" hidden="1" customHeight="1">
      <c r="A608" s="21">
        <v>120991</v>
      </c>
      <c r="B608" s="21" t="s">
        <v>466</v>
      </c>
      <c r="C608" s="21" t="s">
        <v>5204</v>
      </c>
      <c r="D608" s="21" t="s">
        <v>11</v>
      </c>
      <c r="E608" s="21" t="s">
        <v>11</v>
      </c>
    </row>
    <row r="609" spans="1:5" s="21" customFormat="1" ht="15.75" hidden="1" customHeight="1">
      <c r="A609" s="21">
        <v>120999</v>
      </c>
      <c r="B609" s="21" t="s">
        <v>467</v>
      </c>
      <c r="C609" s="21" t="s">
        <v>5204</v>
      </c>
      <c r="D609" s="21" t="s">
        <v>11</v>
      </c>
      <c r="E609" s="21" t="s">
        <v>11</v>
      </c>
    </row>
    <row r="610" spans="1:5" s="21" customFormat="1" ht="15.75" hidden="1" customHeight="1">
      <c r="A610" s="21">
        <v>121010</v>
      </c>
      <c r="B610" s="21" t="s">
        <v>468</v>
      </c>
      <c r="C610" s="21" t="s">
        <v>5205</v>
      </c>
      <c r="D610" s="21" t="s">
        <v>11</v>
      </c>
      <c r="E610" s="21" t="s">
        <v>11</v>
      </c>
    </row>
    <row r="611" spans="1:5" s="21" customFormat="1" ht="15.75" hidden="1" customHeight="1">
      <c r="A611" s="21">
        <v>121020</v>
      </c>
      <c r="B611" s="21" t="s">
        <v>469</v>
      </c>
      <c r="C611" s="21" t="s">
        <v>5205</v>
      </c>
      <c r="D611" s="21" t="s">
        <v>11</v>
      </c>
      <c r="E611" s="21" t="s">
        <v>11</v>
      </c>
    </row>
    <row r="612" spans="1:5" s="21" customFormat="1" ht="15.75" hidden="1" customHeight="1">
      <c r="A612" s="21">
        <v>121120</v>
      </c>
      <c r="B612" s="21" t="s">
        <v>470</v>
      </c>
      <c r="C612" s="21" t="s">
        <v>5206</v>
      </c>
      <c r="D612" s="21" t="s">
        <v>11</v>
      </c>
      <c r="E612" s="21" t="s">
        <v>11</v>
      </c>
    </row>
    <row r="613" spans="1:5" s="21" customFormat="1" ht="15.75" hidden="1" customHeight="1">
      <c r="A613" s="21">
        <v>121130</v>
      </c>
      <c r="B613" s="21" t="s">
        <v>471</v>
      </c>
      <c r="C613" s="21" t="s">
        <v>5207</v>
      </c>
      <c r="D613" s="21" t="s">
        <v>11</v>
      </c>
      <c r="E613" s="21" t="s">
        <v>11</v>
      </c>
    </row>
    <row r="614" spans="1:5" s="21" customFormat="1" ht="15.75" hidden="1" customHeight="1">
      <c r="A614" s="21">
        <v>121140</v>
      </c>
      <c r="B614" s="21" t="s">
        <v>472</v>
      </c>
      <c r="C614" s="21" t="s">
        <v>5208</v>
      </c>
      <c r="D614" s="21" t="s">
        <v>11</v>
      </c>
      <c r="E614" s="21" t="s">
        <v>11</v>
      </c>
    </row>
    <row r="615" spans="1:5" s="21" customFormat="1" ht="15.75" hidden="1" customHeight="1">
      <c r="A615" s="21">
        <v>121190</v>
      </c>
      <c r="B615" s="21" t="s">
        <v>473</v>
      </c>
      <c r="C615" s="21" t="s">
        <v>5209</v>
      </c>
      <c r="D615" s="21" t="s">
        <v>11</v>
      </c>
      <c r="E615" s="21" t="s">
        <v>11</v>
      </c>
    </row>
    <row r="616" spans="1:5" s="21" customFormat="1" ht="15.75" hidden="1" customHeight="1">
      <c r="A616" s="21">
        <v>121220</v>
      </c>
      <c r="B616" s="21" t="s">
        <v>474</v>
      </c>
      <c r="C616" s="21" t="s">
        <v>5210</v>
      </c>
      <c r="D616" s="21" t="s">
        <v>11</v>
      </c>
      <c r="E616" s="21" t="s">
        <v>11</v>
      </c>
    </row>
    <row r="617" spans="1:5" s="21" customFormat="1" ht="15.75" hidden="1" customHeight="1">
      <c r="A617" s="21">
        <v>121291</v>
      </c>
      <c r="B617" s="21" t="s">
        <v>475</v>
      </c>
      <c r="C617" s="21" t="s">
        <v>5211</v>
      </c>
      <c r="D617" s="21" t="s">
        <v>11</v>
      </c>
      <c r="E617" s="21" t="s">
        <v>11</v>
      </c>
    </row>
    <row r="618" spans="1:5" s="21" customFormat="1" ht="15.75" hidden="1" customHeight="1">
      <c r="A618" s="21">
        <v>121299</v>
      </c>
      <c r="B618" s="21" t="s">
        <v>476</v>
      </c>
      <c r="C618" s="21" t="s">
        <v>5212</v>
      </c>
      <c r="D618" s="21" t="s">
        <v>11</v>
      </c>
      <c r="E618" s="21" t="s">
        <v>11</v>
      </c>
    </row>
    <row r="619" spans="1:5" s="21" customFormat="1" ht="15.75" hidden="1" customHeight="1">
      <c r="A619" s="21">
        <v>121300</v>
      </c>
      <c r="B619" s="21" t="s">
        <v>477</v>
      </c>
      <c r="C619" s="21" t="s">
        <v>5213</v>
      </c>
      <c r="D619" s="21" t="s">
        <v>11</v>
      </c>
      <c r="E619" s="21" t="s">
        <v>11</v>
      </c>
    </row>
    <row r="620" spans="1:5" s="21" customFormat="1" ht="15.75" hidden="1" customHeight="1">
      <c r="A620" s="21">
        <v>121410</v>
      </c>
      <c r="B620" s="21" t="s">
        <v>478</v>
      </c>
      <c r="C620" s="21" t="s">
        <v>478</v>
      </c>
      <c r="D620" s="21" t="s">
        <v>11</v>
      </c>
      <c r="E620" s="21" t="s">
        <v>11</v>
      </c>
    </row>
    <row r="621" spans="1:5" s="21" customFormat="1" ht="15.75" hidden="1" customHeight="1">
      <c r="A621" s="21">
        <v>121490</v>
      </c>
      <c r="B621" s="21" t="s">
        <v>479</v>
      </c>
      <c r="C621" s="21" t="s">
        <v>479</v>
      </c>
      <c r="D621" s="21" t="s">
        <v>11</v>
      </c>
      <c r="E621" s="21" t="s">
        <v>11</v>
      </c>
    </row>
    <row r="622" spans="1:5" s="21" customFormat="1" ht="15.75" hidden="1" customHeight="1">
      <c r="A622" s="21">
        <v>130120</v>
      </c>
      <c r="B622" s="21" t="s">
        <v>480</v>
      </c>
      <c r="C622" s="21" t="s">
        <v>480</v>
      </c>
      <c r="D622" s="21" t="s">
        <v>11</v>
      </c>
      <c r="E622" s="21" t="s">
        <v>11</v>
      </c>
    </row>
    <row r="623" spans="1:5" s="21" customFormat="1" ht="15.75" hidden="1" customHeight="1">
      <c r="A623" s="21">
        <v>130190</v>
      </c>
      <c r="B623" s="21" t="s">
        <v>481</v>
      </c>
      <c r="C623" s="21" t="s">
        <v>481</v>
      </c>
      <c r="D623" s="21" t="s">
        <v>11</v>
      </c>
      <c r="E623" s="21" t="s">
        <v>11</v>
      </c>
    </row>
    <row r="624" spans="1:5" s="21" customFormat="1" ht="15.75" hidden="1" customHeight="1">
      <c r="A624" s="21">
        <v>130211</v>
      </c>
      <c r="B624" s="21" t="s">
        <v>482</v>
      </c>
      <c r="C624" s="21" t="s">
        <v>5214</v>
      </c>
      <c r="D624" s="21" t="s">
        <v>11</v>
      </c>
      <c r="E624" s="21" t="s">
        <v>11</v>
      </c>
    </row>
    <row r="625" spans="1:5" s="21" customFormat="1" ht="15.75" hidden="1" customHeight="1">
      <c r="A625" s="21">
        <v>130212</v>
      </c>
      <c r="B625" s="21" t="s">
        <v>483</v>
      </c>
      <c r="C625" s="21" t="s">
        <v>5214</v>
      </c>
      <c r="D625" s="21" t="s">
        <v>11</v>
      </c>
      <c r="E625" s="21" t="s">
        <v>11</v>
      </c>
    </row>
    <row r="626" spans="1:5" s="21" customFormat="1" ht="15.75" hidden="1" customHeight="1">
      <c r="A626" s="21">
        <v>130213</v>
      </c>
      <c r="B626" s="21" t="s">
        <v>484</v>
      </c>
      <c r="C626" s="21" t="s">
        <v>5214</v>
      </c>
      <c r="D626" s="21" t="s">
        <v>11</v>
      </c>
      <c r="E626" s="21" t="s">
        <v>11</v>
      </c>
    </row>
    <row r="627" spans="1:5" s="21" customFormat="1" ht="15.75" hidden="1" customHeight="1">
      <c r="A627" s="21">
        <v>130219</v>
      </c>
      <c r="B627" s="21" t="s">
        <v>485</v>
      </c>
      <c r="C627" s="21" t="s">
        <v>5214</v>
      </c>
      <c r="D627" s="21" t="s">
        <v>11</v>
      </c>
      <c r="E627" s="21" t="s">
        <v>11</v>
      </c>
    </row>
    <row r="628" spans="1:5" s="21" customFormat="1" ht="15.75" hidden="1" customHeight="1">
      <c r="A628" s="21">
        <v>130220</v>
      </c>
      <c r="B628" s="21" t="s">
        <v>486</v>
      </c>
      <c r="C628" s="21" t="s">
        <v>5215</v>
      </c>
      <c r="D628" s="21" t="s">
        <v>11</v>
      </c>
      <c r="E628" s="21" t="s">
        <v>11</v>
      </c>
    </row>
    <row r="629" spans="1:5" s="21" customFormat="1" ht="15.75" hidden="1" customHeight="1">
      <c r="A629" s="21">
        <v>130231</v>
      </c>
      <c r="B629" s="21" t="s">
        <v>487</v>
      </c>
      <c r="C629" s="21" t="s">
        <v>5216</v>
      </c>
      <c r="D629" s="21" t="s">
        <v>11</v>
      </c>
      <c r="E629" s="21" t="s">
        <v>11</v>
      </c>
    </row>
    <row r="630" spans="1:5" s="21" customFormat="1" ht="15.75" hidden="1" customHeight="1">
      <c r="A630" s="21">
        <v>130232</v>
      </c>
      <c r="B630" s="21" t="s">
        <v>488</v>
      </c>
      <c r="C630" s="21" t="s">
        <v>5216</v>
      </c>
      <c r="D630" s="21" t="s">
        <v>11</v>
      </c>
      <c r="E630" s="21" t="s">
        <v>11</v>
      </c>
    </row>
    <row r="631" spans="1:5" s="21" customFormat="1" ht="15.75" hidden="1" customHeight="1">
      <c r="A631" s="21">
        <v>130239</v>
      </c>
      <c r="B631" s="21" t="s">
        <v>489</v>
      </c>
      <c r="C631" s="21" t="s">
        <v>5216</v>
      </c>
      <c r="D631" s="21" t="s">
        <v>11</v>
      </c>
      <c r="E631" s="21" t="s">
        <v>11</v>
      </c>
    </row>
    <row r="632" spans="1:5" s="21" customFormat="1" ht="15.75" hidden="1" customHeight="1">
      <c r="A632" s="21">
        <v>140110</v>
      </c>
      <c r="B632" s="21" t="s">
        <v>490</v>
      </c>
      <c r="C632" s="21" t="s">
        <v>490</v>
      </c>
      <c r="D632" s="21" t="s">
        <v>11</v>
      </c>
      <c r="E632" s="21" t="s">
        <v>11</v>
      </c>
    </row>
    <row r="633" spans="1:5" s="21" customFormat="1" ht="15.75" hidden="1" customHeight="1">
      <c r="A633" s="21">
        <v>140120</v>
      </c>
      <c r="B633" s="21" t="s">
        <v>491</v>
      </c>
      <c r="C633" s="21" t="s">
        <v>491</v>
      </c>
      <c r="D633" s="21" t="s">
        <v>11</v>
      </c>
      <c r="E633" s="21" t="s">
        <v>11</v>
      </c>
    </row>
    <row r="634" spans="1:5" s="21" customFormat="1" ht="15.75" hidden="1" customHeight="1">
      <c r="A634" s="21">
        <v>140190</v>
      </c>
      <c r="B634" s="21" t="s">
        <v>492</v>
      </c>
      <c r="C634" s="21" t="s">
        <v>5217</v>
      </c>
      <c r="D634" s="21" t="s">
        <v>11</v>
      </c>
      <c r="E634" s="21" t="s">
        <v>11</v>
      </c>
    </row>
    <row r="635" spans="1:5" s="21" customFormat="1" ht="15.75" hidden="1" customHeight="1">
      <c r="A635" s="21">
        <v>140420</v>
      </c>
      <c r="B635" s="21" t="s">
        <v>493</v>
      </c>
      <c r="C635" s="21" t="s">
        <v>5218</v>
      </c>
      <c r="D635" s="21" t="s">
        <v>11</v>
      </c>
      <c r="E635" s="21" t="s">
        <v>11</v>
      </c>
    </row>
    <row r="636" spans="1:5" s="21" customFormat="1" ht="15.75" hidden="1" customHeight="1">
      <c r="A636" s="21">
        <v>140490</v>
      </c>
      <c r="B636" s="21" t="s">
        <v>494</v>
      </c>
      <c r="C636" s="21" t="s">
        <v>5218</v>
      </c>
      <c r="D636" s="21" t="s">
        <v>11</v>
      </c>
      <c r="E636" s="21" t="s">
        <v>11</v>
      </c>
    </row>
    <row r="637" spans="1:5" s="21" customFormat="1" ht="15.75" hidden="1" customHeight="1">
      <c r="A637" s="21">
        <v>150100</v>
      </c>
      <c r="B637" s="21" t="s">
        <v>495</v>
      </c>
      <c r="C637" s="21" t="s">
        <v>5219</v>
      </c>
      <c r="D637" s="21" t="s">
        <v>11</v>
      </c>
      <c r="E637" s="21" t="s">
        <v>11</v>
      </c>
    </row>
    <row r="638" spans="1:5" s="21" customFormat="1" ht="15.75" hidden="1" customHeight="1">
      <c r="A638" s="21">
        <v>150200</v>
      </c>
      <c r="B638" s="21" t="s">
        <v>496</v>
      </c>
      <c r="C638" s="21" t="s">
        <v>5220</v>
      </c>
      <c r="D638" s="21" t="s">
        <v>11</v>
      </c>
      <c r="E638" s="21" t="s">
        <v>11</v>
      </c>
    </row>
    <row r="639" spans="1:5" s="21" customFormat="1" ht="15.75" hidden="1" customHeight="1">
      <c r="A639" s="21">
        <v>150300</v>
      </c>
      <c r="B639" s="21" t="s">
        <v>497</v>
      </c>
      <c r="C639" s="21" t="s">
        <v>5221</v>
      </c>
      <c r="D639" s="21" t="s">
        <v>11</v>
      </c>
      <c r="E639" s="21" t="s">
        <v>11</v>
      </c>
    </row>
    <row r="640" spans="1:5" s="21" customFormat="1" ht="15.75" hidden="1" customHeight="1">
      <c r="A640" s="21">
        <v>150410</v>
      </c>
      <c r="B640" s="21" t="s">
        <v>498</v>
      </c>
      <c r="C640" s="21" t="s">
        <v>5222</v>
      </c>
      <c r="D640" s="21" t="s">
        <v>11</v>
      </c>
      <c r="E640" s="21" t="s">
        <v>11</v>
      </c>
    </row>
    <row r="641" spans="1:5" s="21" customFormat="1" ht="15.75" hidden="1" customHeight="1">
      <c r="A641" s="21">
        <v>150420</v>
      </c>
      <c r="B641" s="21" t="s">
        <v>499</v>
      </c>
      <c r="C641" s="21" t="s">
        <v>5223</v>
      </c>
      <c r="D641" s="21" t="s">
        <v>11</v>
      </c>
      <c r="E641" s="21" t="s">
        <v>11</v>
      </c>
    </row>
    <row r="642" spans="1:5" s="21" customFormat="1" ht="15.75" hidden="1" customHeight="1">
      <c r="A642" s="21">
        <v>150430</v>
      </c>
      <c r="B642" s="21" t="s">
        <v>500</v>
      </c>
      <c r="C642" s="21" t="s">
        <v>5223</v>
      </c>
      <c r="D642" s="21" t="s">
        <v>11</v>
      </c>
      <c r="E642" s="21" t="s">
        <v>11</v>
      </c>
    </row>
    <row r="643" spans="1:5" s="21" customFormat="1" ht="15.75" hidden="1" customHeight="1">
      <c r="A643" s="21">
        <v>150500</v>
      </c>
      <c r="B643" s="21" t="s">
        <v>501</v>
      </c>
      <c r="C643" s="21" t="s">
        <v>501</v>
      </c>
      <c r="D643" s="21" t="s">
        <v>11</v>
      </c>
      <c r="E643" s="21" t="s">
        <v>11</v>
      </c>
    </row>
    <row r="644" spans="1:5" s="21" customFormat="1" ht="15.75" hidden="1" customHeight="1">
      <c r="A644" s="21">
        <v>150600</v>
      </c>
      <c r="B644" s="21" t="s">
        <v>502</v>
      </c>
      <c r="C644" s="21" t="s">
        <v>5224</v>
      </c>
      <c r="D644" s="21" t="s">
        <v>11</v>
      </c>
      <c r="E644" s="21" t="s">
        <v>11</v>
      </c>
    </row>
    <row r="645" spans="1:5" s="21" customFormat="1" ht="15.75" hidden="1" customHeight="1">
      <c r="A645" s="21">
        <v>150710</v>
      </c>
      <c r="B645" s="21" t="s">
        <v>503</v>
      </c>
      <c r="C645" s="21" t="s">
        <v>5225</v>
      </c>
      <c r="D645" s="21" t="s">
        <v>11</v>
      </c>
      <c r="E645" s="21" t="s">
        <v>11</v>
      </c>
    </row>
    <row r="646" spans="1:5" s="21" customFormat="1" ht="15.75" hidden="1" customHeight="1">
      <c r="A646" s="21">
        <v>150790</v>
      </c>
      <c r="B646" s="21" t="s">
        <v>504</v>
      </c>
      <c r="C646" s="21" t="s">
        <v>5225</v>
      </c>
      <c r="D646" s="21" t="s">
        <v>11</v>
      </c>
      <c r="E646" s="21" t="s">
        <v>11</v>
      </c>
    </row>
    <row r="647" spans="1:5" s="21" customFormat="1" ht="15.75" hidden="1" customHeight="1">
      <c r="A647" s="21">
        <v>150810</v>
      </c>
      <c r="B647" s="21" t="s">
        <v>505</v>
      </c>
      <c r="C647" s="21" t="s">
        <v>5225</v>
      </c>
      <c r="D647" s="21" t="s">
        <v>11</v>
      </c>
      <c r="E647" s="21" t="s">
        <v>11</v>
      </c>
    </row>
    <row r="648" spans="1:5" s="21" customFormat="1" ht="15.75" hidden="1" customHeight="1">
      <c r="A648" s="21">
        <v>150890</v>
      </c>
      <c r="B648" s="21" t="s">
        <v>506</v>
      </c>
      <c r="C648" s="21" t="s">
        <v>5225</v>
      </c>
      <c r="D648" s="21" t="s">
        <v>11</v>
      </c>
      <c r="E648" s="21" t="s">
        <v>11</v>
      </c>
    </row>
    <row r="649" spans="1:5" s="21" customFormat="1" ht="15.75" hidden="1" customHeight="1">
      <c r="A649" s="21">
        <v>150910</v>
      </c>
      <c r="B649" s="21" t="s">
        <v>507</v>
      </c>
      <c r="C649" s="21" t="s">
        <v>5225</v>
      </c>
      <c r="D649" s="21" t="s">
        <v>11</v>
      </c>
      <c r="E649" s="21" t="s">
        <v>11</v>
      </c>
    </row>
    <row r="650" spans="1:5" s="21" customFormat="1" ht="15.75" hidden="1" customHeight="1">
      <c r="A650" s="21">
        <v>150990</v>
      </c>
      <c r="B650" s="21" t="s">
        <v>508</v>
      </c>
      <c r="C650" s="21" t="s">
        <v>5225</v>
      </c>
      <c r="D650" s="21" t="s">
        <v>11</v>
      </c>
      <c r="E650" s="21" t="s">
        <v>11</v>
      </c>
    </row>
    <row r="651" spans="1:5" s="21" customFormat="1" ht="15.75" hidden="1" customHeight="1">
      <c r="A651" s="21">
        <v>151000</v>
      </c>
      <c r="B651" s="21" t="s">
        <v>509</v>
      </c>
      <c r="C651" s="21" t="s">
        <v>5225</v>
      </c>
      <c r="D651" s="21" t="s">
        <v>11</v>
      </c>
      <c r="E651" s="21" t="s">
        <v>11</v>
      </c>
    </row>
    <row r="652" spans="1:5" s="21" customFormat="1" ht="15.75" hidden="1" customHeight="1">
      <c r="A652" s="21">
        <v>151110</v>
      </c>
      <c r="B652" s="21" t="s">
        <v>510</v>
      </c>
      <c r="C652" s="21" t="s">
        <v>5225</v>
      </c>
      <c r="D652" s="21" t="s">
        <v>11</v>
      </c>
      <c r="E652" s="21" t="s">
        <v>11</v>
      </c>
    </row>
    <row r="653" spans="1:5" s="21" customFormat="1" ht="15.75" hidden="1" customHeight="1">
      <c r="A653" s="21">
        <v>151190</v>
      </c>
      <c r="B653" s="21" t="s">
        <v>511</v>
      </c>
      <c r="C653" s="21" t="s">
        <v>5225</v>
      </c>
      <c r="D653" s="21" t="s">
        <v>11</v>
      </c>
      <c r="E653" s="21" t="s">
        <v>11</v>
      </c>
    </row>
    <row r="654" spans="1:5" s="21" customFormat="1" ht="15.75" hidden="1" customHeight="1">
      <c r="A654" s="21">
        <v>151211</v>
      </c>
      <c r="B654" s="21" t="s">
        <v>512</v>
      </c>
      <c r="C654" s="21" t="s">
        <v>5225</v>
      </c>
      <c r="D654" s="21" t="s">
        <v>11</v>
      </c>
      <c r="E654" s="21" t="s">
        <v>11</v>
      </c>
    </row>
    <row r="655" spans="1:5" s="21" customFormat="1" ht="15.75" hidden="1" customHeight="1">
      <c r="A655" s="21">
        <v>151219</v>
      </c>
      <c r="B655" s="21" t="s">
        <v>513</v>
      </c>
      <c r="C655" s="21" t="s">
        <v>5225</v>
      </c>
      <c r="D655" s="21" t="s">
        <v>11</v>
      </c>
      <c r="E655" s="21" t="s">
        <v>11</v>
      </c>
    </row>
    <row r="656" spans="1:5" s="21" customFormat="1" ht="15.75" hidden="1" customHeight="1">
      <c r="A656" s="21">
        <v>151221</v>
      </c>
      <c r="B656" s="21" t="s">
        <v>514</v>
      </c>
      <c r="C656" s="21" t="s">
        <v>5225</v>
      </c>
      <c r="D656" s="21" t="s">
        <v>11</v>
      </c>
      <c r="E656" s="21" t="s">
        <v>11</v>
      </c>
    </row>
    <row r="657" spans="1:5" s="21" customFormat="1" ht="15.75" hidden="1" customHeight="1">
      <c r="A657" s="21">
        <v>151229</v>
      </c>
      <c r="B657" s="21" t="s">
        <v>515</v>
      </c>
      <c r="C657" s="21" t="s">
        <v>5225</v>
      </c>
      <c r="D657" s="21" t="s">
        <v>11</v>
      </c>
      <c r="E657" s="21" t="s">
        <v>11</v>
      </c>
    </row>
    <row r="658" spans="1:5" s="21" customFormat="1" ht="15.75" hidden="1" customHeight="1">
      <c r="A658" s="21">
        <v>151311</v>
      </c>
      <c r="B658" s="21" t="s">
        <v>516</v>
      </c>
      <c r="C658" s="21" t="s">
        <v>5225</v>
      </c>
      <c r="D658" s="21" t="s">
        <v>11</v>
      </c>
      <c r="E658" s="21" t="s">
        <v>11</v>
      </c>
    </row>
    <row r="659" spans="1:5" s="21" customFormat="1" ht="15.75" hidden="1" customHeight="1">
      <c r="A659" s="21">
        <v>151319</v>
      </c>
      <c r="B659" s="21" t="s">
        <v>517</v>
      </c>
      <c r="C659" s="21" t="s">
        <v>5225</v>
      </c>
      <c r="D659" s="21" t="s">
        <v>11</v>
      </c>
      <c r="E659" s="21" t="s">
        <v>11</v>
      </c>
    </row>
    <row r="660" spans="1:5" s="21" customFormat="1" ht="15.75" hidden="1" customHeight="1">
      <c r="A660" s="21">
        <v>151321</v>
      </c>
      <c r="B660" s="21" t="s">
        <v>518</v>
      </c>
      <c r="C660" s="21" t="s">
        <v>5225</v>
      </c>
      <c r="D660" s="21" t="s">
        <v>11</v>
      </c>
      <c r="E660" s="21" t="s">
        <v>11</v>
      </c>
    </row>
    <row r="661" spans="1:5" s="21" customFormat="1" ht="15.75" hidden="1" customHeight="1">
      <c r="A661" s="21">
        <v>151329</v>
      </c>
      <c r="B661" s="21" t="s">
        <v>519</v>
      </c>
      <c r="C661" s="21" t="s">
        <v>5225</v>
      </c>
      <c r="D661" s="21" t="s">
        <v>11</v>
      </c>
      <c r="E661" s="21" t="s">
        <v>11</v>
      </c>
    </row>
    <row r="662" spans="1:5" s="21" customFormat="1" ht="15.75" hidden="1" customHeight="1">
      <c r="A662" s="21">
        <v>151411</v>
      </c>
      <c r="B662" s="21" t="s">
        <v>520</v>
      </c>
      <c r="C662" s="21" t="s">
        <v>5225</v>
      </c>
      <c r="D662" s="21" t="s">
        <v>11</v>
      </c>
      <c r="E662" s="21" t="s">
        <v>11</v>
      </c>
    </row>
    <row r="663" spans="1:5" s="21" customFormat="1" ht="15.75" hidden="1" customHeight="1">
      <c r="A663" s="21">
        <v>151419</v>
      </c>
      <c r="B663" s="21" t="s">
        <v>521</v>
      </c>
      <c r="C663" s="21" t="s">
        <v>5225</v>
      </c>
      <c r="D663" s="21" t="s">
        <v>11</v>
      </c>
      <c r="E663" s="21" t="s">
        <v>11</v>
      </c>
    </row>
    <row r="664" spans="1:5" s="21" customFormat="1" ht="15.75" hidden="1" customHeight="1">
      <c r="A664" s="21">
        <v>151491</v>
      </c>
      <c r="B664" s="21" t="s">
        <v>522</v>
      </c>
      <c r="C664" s="21" t="s">
        <v>5225</v>
      </c>
      <c r="D664" s="21" t="s">
        <v>11</v>
      </c>
      <c r="E664" s="21" t="s">
        <v>11</v>
      </c>
    </row>
    <row r="665" spans="1:5" s="21" customFormat="1" ht="15.75" hidden="1" customHeight="1">
      <c r="A665" s="21">
        <v>151499</v>
      </c>
      <c r="B665" s="21" t="s">
        <v>523</v>
      </c>
      <c r="C665" s="21" t="s">
        <v>5225</v>
      </c>
      <c r="D665" s="21" t="s">
        <v>11</v>
      </c>
      <c r="E665" s="21" t="s">
        <v>11</v>
      </c>
    </row>
    <row r="666" spans="1:5" s="21" customFormat="1" ht="15.75" hidden="1" customHeight="1">
      <c r="A666" s="21">
        <v>151511</v>
      </c>
      <c r="B666" s="21" t="s">
        <v>524</v>
      </c>
      <c r="C666" s="21" t="s">
        <v>5225</v>
      </c>
      <c r="D666" s="21" t="s">
        <v>11</v>
      </c>
      <c r="E666" s="21" t="s">
        <v>11</v>
      </c>
    </row>
    <row r="667" spans="1:5" s="21" customFormat="1" ht="15.75" hidden="1" customHeight="1">
      <c r="A667" s="21">
        <v>151519</v>
      </c>
      <c r="B667" s="21" t="s">
        <v>525</v>
      </c>
      <c r="C667" s="21" t="s">
        <v>5225</v>
      </c>
      <c r="D667" s="21" t="s">
        <v>11</v>
      </c>
      <c r="E667" s="21" t="s">
        <v>11</v>
      </c>
    </row>
    <row r="668" spans="1:5" s="21" customFormat="1" ht="15.75" hidden="1" customHeight="1">
      <c r="A668" s="21">
        <v>151521</v>
      </c>
      <c r="B668" s="21" t="s">
        <v>526</v>
      </c>
      <c r="C668" s="21" t="s">
        <v>5225</v>
      </c>
      <c r="D668" s="21" t="s">
        <v>11</v>
      </c>
      <c r="E668" s="21" t="s">
        <v>11</v>
      </c>
    </row>
    <row r="669" spans="1:5" s="21" customFormat="1" ht="15.75" hidden="1" customHeight="1">
      <c r="A669" s="21">
        <v>151529</v>
      </c>
      <c r="B669" s="21" t="s">
        <v>527</v>
      </c>
      <c r="C669" s="21" t="s">
        <v>5225</v>
      </c>
      <c r="D669" s="21" t="s">
        <v>11</v>
      </c>
      <c r="E669" s="21" t="s">
        <v>11</v>
      </c>
    </row>
    <row r="670" spans="1:5" s="21" customFormat="1" ht="15.75" hidden="1" customHeight="1">
      <c r="A670" s="21">
        <v>151530</v>
      </c>
      <c r="B670" s="21" t="s">
        <v>528</v>
      </c>
      <c r="C670" s="21" t="s">
        <v>5225</v>
      </c>
      <c r="D670" s="21" t="s">
        <v>11</v>
      </c>
      <c r="E670" s="21" t="s">
        <v>11</v>
      </c>
    </row>
    <row r="671" spans="1:5" s="21" customFormat="1" ht="15.75" hidden="1" customHeight="1">
      <c r="A671" s="21">
        <v>151550</v>
      </c>
      <c r="B671" s="21" t="s">
        <v>529</v>
      </c>
      <c r="C671" s="21" t="s">
        <v>5225</v>
      </c>
      <c r="D671" s="21" t="s">
        <v>11</v>
      </c>
      <c r="E671" s="21" t="s">
        <v>11</v>
      </c>
    </row>
    <row r="672" spans="1:5" s="21" customFormat="1" ht="15.75" hidden="1" customHeight="1">
      <c r="A672" s="21">
        <v>151590</v>
      </c>
      <c r="B672" s="21" t="s">
        <v>530</v>
      </c>
      <c r="C672" s="21" t="s">
        <v>5226</v>
      </c>
      <c r="D672" s="21" t="s">
        <v>11</v>
      </c>
      <c r="E672" s="21" t="s">
        <v>11</v>
      </c>
    </row>
    <row r="673" spans="1:5" s="21" customFormat="1" ht="15.75" hidden="1" customHeight="1">
      <c r="A673" s="21">
        <v>151610</v>
      </c>
      <c r="B673" s="21" t="s">
        <v>531</v>
      </c>
      <c r="C673" s="21" t="s">
        <v>5224</v>
      </c>
      <c r="D673" s="21" t="s">
        <v>11</v>
      </c>
      <c r="E673" s="21" t="s">
        <v>11</v>
      </c>
    </row>
    <row r="674" spans="1:5" s="21" customFormat="1" ht="15.75" hidden="1" customHeight="1">
      <c r="A674" s="21">
        <v>151620</v>
      </c>
      <c r="B674" s="21" t="s">
        <v>532</v>
      </c>
      <c r="C674" s="21" t="s">
        <v>5226</v>
      </c>
      <c r="D674" s="21" t="s">
        <v>11</v>
      </c>
      <c r="E674" s="21" t="s">
        <v>11</v>
      </c>
    </row>
    <row r="675" spans="1:5" s="21" customFormat="1" ht="15.75" hidden="1" customHeight="1">
      <c r="A675" s="21">
        <v>151710</v>
      </c>
      <c r="B675" s="21" t="s">
        <v>533</v>
      </c>
      <c r="C675" s="21" t="s">
        <v>5227</v>
      </c>
      <c r="D675" s="21" t="s">
        <v>11</v>
      </c>
      <c r="E675" s="21" t="s">
        <v>11</v>
      </c>
    </row>
    <row r="676" spans="1:5" s="21" customFormat="1" ht="15.75" hidden="1" customHeight="1">
      <c r="A676" s="21">
        <v>151790</v>
      </c>
      <c r="B676" s="21" t="s">
        <v>534</v>
      </c>
      <c r="C676" s="21" t="s">
        <v>534</v>
      </c>
      <c r="D676" s="21" t="s">
        <v>11</v>
      </c>
      <c r="E676" s="21" t="s">
        <v>11</v>
      </c>
    </row>
    <row r="677" spans="1:5" s="21" customFormat="1" ht="15.75" hidden="1" customHeight="1">
      <c r="A677" s="21">
        <v>151800</v>
      </c>
      <c r="B677" s="21" t="s">
        <v>535</v>
      </c>
      <c r="C677" s="21" t="s">
        <v>5228</v>
      </c>
      <c r="D677" s="21" t="s">
        <v>11</v>
      </c>
      <c r="E677" s="21" t="s">
        <v>11</v>
      </c>
    </row>
    <row r="678" spans="1:5" s="21" customFormat="1" ht="15.75" hidden="1" customHeight="1">
      <c r="A678" s="21">
        <v>152000</v>
      </c>
      <c r="B678" s="21" t="s">
        <v>536</v>
      </c>
      <c r="C678" s="21" t="s">
        <v>5229</v>
      </c>
      <c r="D678" s="21" t="s">
        <v>11</v>
      </c>
      <c r="E678" s="21" t="s">
        <v>11</v>
      </c>
    </row>
    <row r="679" spans="1:5" s="21" customFormat="1" ht="15.75" hidden="1" customHeight="1">
      <c r="A679" s="21">
        <v>152110</v>
      </c>
      <c r="B679" s="21" t="s">
        <v>537</v>
      </c>
      <c r="C679" s="21" t="s">
        <v>5230</v>
      </c>
      <c r="D679" s="21" t="s">
        <v>11</v>
      </c>
      <c r="E679" s="21" t="s">
        <v>11</v>
      </c>
    </row>
    <row r="680" spans="1:5" s="21" customFormat="1" ht="15.75" hidden="1" customHeight="1">
      <c r="A680" s="21">
        <v>152190</v>
      </c>
      <c r="B680" s="21" t="s">
        <v>538</v>
      </c>
      <c r="C680" s="21" t="s">
        <v>5231</v>
      </c>
      <c r="D680" s="21" t="s">
        <v>11</v>
      </c>
      <c r="E680" s="21" t="s">
        <v>11</v>
      </c>
    </row>
    <row r="681" spans="1:5" s="21" customFormat="1" ht="15.75" hidden="1" customHeight="1">
      <c r="A681" s="21">
        <v>152200</v>
      </c>
      <c r="B681" s="21" t="s">
        <v>539</v>
      </c>
      <c r="C681" s="21" t="s">
        <v>5232</v>
      </c>
      <c r="D681" s="21" t="s">
        <v>11</v>
      </c>
      <c r="E681" s="21" t="s">
        <v>11</v>
      </c>
    </row>
    <row r="682" spans="1:5" s="21" customFormat="1" ht="15.75" hidden="1" customHeight="1">
      <c r="A682" s="21">
        <v>160100</v>
      </c>
      <c r="B682" s="21" t="s">
        <v>540</v>
      </c>
      <c r="C682" s="21" t="s">
        <v>5233</v>
      </c>
      <c r="D682" s="21" t="s">
        <v>11</v>
      </c>
      <c r="E682" s="21" t="s">
        <v>11</v>
      </c>
    </row>
    <row r="683" spans="1:5" s="21" customFormat="1" ht="15.75" hidden="1" customHeight="1">
      <c r="A683" s="21">
        <v>160210</v>
      </c>
      <c r="B683" s="21" t="s">
        <v>541</v>
      </c>
      <c r="C683" s="21" t="s">
        <v>5233</v>
      </c>
      <c r="D683" s="21" t="s">
        <v>11</v>
      </c>
      <c r="E683" s="21" t="s">
        <v>11</v>
      </c>
    </row>
    <row r="684" spans="1:5" s="21" customFormat="1" ht="15.75" hidden="1" customHeight="1">
      <c r="A684" s="21">
        <v>160220</v>
      </c>
      <c r="B684" s="21" t="s">
        <v>542</v>
      </c>
      <c r="C684" s="21" t="s">
        <v>5233</v>
      </c>
      <c r="D684" s="21" t="s">
        <v>11</v>
      </c>
      <c r="E684" s="21" t="s">
        <v>11</v>
      </c>
    </row>
    <row r="685" spans="1:5" s="21" customFormat="1" ht="15.75" hidden="1" customHeight="1">
      <c r="A685" s="21">
        <v>160231</v>
      </c>
      <c r="B685" s="21" t="s">
        <v>543</v>
      </c>
      <c r="C685" s="21" t="s">
        <v>5233</v>
      </c>
      <c r="D685" s="21" t="s">
        <v>11</v>
      </c>
      <c r="E685" s="21" t="s">
        <v>11</v>
      </c>
    </row>
    <row r="686" spans="1:5" s="21" customFormat="1" ht="15.75" hidden="1" customHeight="1">
      <c r="A686" s="21">
        <v>160232</v>
      </c>
      <c r="B686" s="21" t="s">
        <v>544</v>
      </c>
      <c r="C686" s="21" t="s">
        <v>5233</v>
      </c>
      <c r="D686" s="21" t="s">
        <v>11</v>
      </c>
      <c r="E686" s="21" t="s">
        <v>11</v>
      </c>
    </row>
    <row r="687" spans="1:5" s="21" customFormat="1" ht="15.75" hidden="1" customHeight="1">
      <c r="A687" s="21">
        <v>160239</v>
      </c>
      <c r="B687" s="21" t="s">
        <v>545</v>
      </c>
      <c r="C687" s="21" t="s">
        <v>5233</v>
      </c>
      <c r="D687" s="21" t="s">
        <v>11</v>
      </c>
      <c r="E687" s="21" t="s">
        <v>11</v>
      </c>
    </row>
    <row r="688" spans="1:5" s="21" customFormat="1" ht="15.75" hidden="1" customHeight="1">
      <c r="A688" s="21">
        <v>160241</v>
      </c>
      <c r="B688" s="21" t="s">
        <v>546</v>
      </c>
      <c r="C688" s="21" t="s">
        <v>5233</v>
      </c>
      <c r="D688" s="21" t="s">
        <v>11</v>
      </c>
      <c r="E688" s="21" t="s">
        <v>11</v>
      </c>
    </row>
    <row r="689" spans="1:5" s="21" customFormat="1" ht="15.75" hidden="1" customHeight="1">
      <c r="A689" s="21">
        <v>160242</v>
      </c>
      <c r="B689" s="21" t="s">
        <v>547</v>
      </c>
      <c r="C689" s="21" t="s">
        <v>5233</v>
      </c>
      <c r="D689" s="21" t="s">
        <v>11</v>
      </c>
      <c r="E689" s="21" t="s">
        <v>11</v>
      </c>
    </row>
    <row r="690" spans="1:5" s="21" customFormat="1" ht="15.75" hidden="1" customHeight="1">
      <c r="A690" s="21">
        <v>160249</v>
      </c>
      <c r="B690" s="21" t="s">
        <v>548</v>
      </c>
      <c r="C690" s="21" t="s">
        <v>5233</v>
      </c>
      <c r="D690" s="21" t="s">
        <v>11</v>
      </c>
      <c r="E690" s="21" t="s">
        <v>11</v>
      </c>
    </row>
    <row r="691" spans="1:5" s="21" customFormat="1" ht="15.75" hidden="1" customHeight="1">
      <c r="A691" s="21">
        <v>160250</v>
      </c>
      <c r="B691" s="21" t="s">
        <v>549</v>
      </c>
      <c r="C691" s="21" t="s">
        <v>5233</v>
      </c>
      <c r="D691" s="21" t="s">
        <v>11</v>
      </c>
      <c r="E691" s="21" t="s">
        <v>11</v>
      </c>
    </row>
    <row r="692" spans="1:5" s="21" customFormat="1" ht="15.75" hidden="1" customHeight="1">
      <c r="A692" s="21">
        <v>160290</v>
      </c>
      <c r="B692" s="21" t="s">
        <v>550</v>
      </c>
      <c r="C692" s="21" t="s">
        <v>5233</v>
      </c>
      <c r="D692" s="21" t="s">
        <v>11</v>
      </c>
      <c r="E692" s="21" t="s">
        <v>11</v>
      </c>
    </row>
    <row r="693" spans="1:5" s="21" customFormat="1" ht="15.75" hidden="1" customHeight="1">
      <c r="A693" s="21">
        <v>160300</v>
      </c>
      <c r="B693" s="21" t="s">
        <v>551</v>
      </c>
      <c r="C693" s="21" t="s">
        <v>5234</v>
      </c>
      <c r="D693" s="21" t="s">
        <v>11</v>
      </c>
      <c r="E693" s="21" t="s">
        <v>11</v>
      </c>
    </row>
    <row r="694" spans="1:5" s="21" customFormat="1" ht="15.75" hidden="1" customHeight="1">
      <c r="A694" s="21">
        <v>160411</v>
      </c>
      <c r="B694" s="21" t="s">
        <v>552</v>
      </c>
      <c r="C694" s="21" t="s">
        <v>5235</v>
      </c>
      <c r="D694" s="21" t="s">
        <v>11</v>
      </c>
      <c r="E694" s="21" t="s">
        <v>11</v>
      </c>
    </row>
    <row r="695" spans="1:5" s="21" customFormat="1" ht="15.75" hidden="1" customHeight="1">
      <c r="A695" s="21">
        <v>160412</v>
      </c>
      <c r="B695" s="21" t="s">
        <v>553</v>
      </c>
      <c r="C695" s="21" t="s">
        <v>5235</v>
      </c>
      <c r="D695" s="21" t="s">
        <v>11</v>
      </c>
      <c r="E695" s="21" t="s">
        <v>11</v>
      </c>
    </row>
    <row r="696" spans="1:5" s="21" customFormat="1" ht="15.75" hidden="1" customHeight="1">
      <c r="A696" s="21">
        <v>160413</v>
      </c>
      <c r="B696" s="21" t="s">
        <v>554</v>
      </c>
      <c r="C696" s="21" t="s">
        <v>5235</v>
      </c>
      <c r="D696" s="21" t="s">
        <v>11</v>
      </c>
      <c r="E696" s="21" t="s">
        <v>11</v>
      </c>
    </row>
    <row r="697" spans="1:5" s="21" customFormat="1" ht="15.75" hidden="1" customHeight="1">
      <c r="A697" s="21">
        <v>160414</v>
      </c>
      <c r="B697" s="21" t="s">
        <v>555</v>
      </c>
      <c r="C697" s="21" t="s">
        <v>5235</v>
      </c>
      <c r="D697" s="21" t="s">
        <v>11</v>
      </c>
      <c r="E697" s="21" t="s">
        <v>11</v>
      </c>
    </row>
    <row r="698" spans="1:5" s="21" customFormat="1" ht="15.75" hidden="1" customHeight="1">
      <c r="A698" s="21">
        <v>160415</v>
      </c>
      <c r="B698" s="21" t="s">
        <v>556</v>
      </c>
      <c r="C698" s="21" t="s">
        <v>5235</v>
      </c>
      <c r="D698" s="21" t="s">
        <v>11</v>
      </c>
      <c r="E698" s="21" t="s">
        <v>11</v>
      </c>
    </row>
    <row r="699" spans="1:5" s="21" customFormat="1" ht="15.75" hidden="1" customHeight="1">
      <c r="A699" s="21">
        <v>160416</v>
      </c>
      <c r="B699" s="21" t="s">
        <v>557</v>
      </c>
      <c r="C699" s="21" t="s">
        <v>5235</v>
      </c>
      <c r="D699" s="21" t="s">
        <v>11</v>
      </c>
      <c r="E699" s="21" t="s">
        <v>11</v>
      </c>
    </row>
    <row r="700" spans="1:5" s="21" customFormat="1" ht="15.75" hidden="1" customHeight="1">
      <c r="A700" s="21">
        <v>160419</v>
      </c>
      <c r="B700" s="21" t="s">
        <v>558</v>
      </c>
      <c r="C700" s="21" t="s">
        <v>5235</v>
      </c>
      <c r="D700" s="21" t="s">
        <v>11</v>
      </c>
      <c r="E700" s="21" t="s">
        <v>11</v>
      </c>
    </row>
    <row r="701" spans="1:5" s="21" customFormat="1" ht="15.75" hidden="1" customHeight="1">
      <c r="A701" s="21">
        <v>160420</v>
      </c>
      <c r="B701" s="21" t="s">
        <v>559</v>
      </c>
      <c r="C701" s="21" t="s">
        <v>5235</v>
      </c>
      <c r="D701" s="21" t="s">
        <v>11</v>
      </c>
      <c r="E701" s="21" t="s">
        <v>11</v>
      </c>
    </row>
    <row r="702" spans="1:5" s="21" customFormat="1" ht="15.75" hidden="1" customHeight="1">
      <c r="A702" s="21">
        <v>160430</v>
      </c>
      <c r="B702" s="21" t="s">
        <v>560</v>
      </c>
      <c r="C702" s="21" t="s">
        <v>5235</v>
      </c>
      <c r="D702" s="21" t="s">
        <v>11</v>
      </c>
      <c r="E702" s="21" t="s">
        <v>11</v>
      </c>
    </row>
    <row r="703" spans="1:5" s="21" customFormat="1" ht="15.75" hidden="1" customHeight="1">
      <c r="A703" s="21">
        <v>160510</v>
      </c>
      <c r="B703" s="21" t="s">
        <v>561</v>
      </c>
      <c r="C703" s="21" t="s">
        <v>5236</v>
      </c>
      <c r="D703" s="21" t="s">
        <v>11</v>
      </c>
      <c r="E703" s="21" t="s">
        <v>11</v>
      </c>
    </row>
    <row r="704" spans="1:5" s="21" customFormat="1" ht="15.75" hidden="1" customHeight="1">
      <c r="A704" s="21">
        <v>160520</v>
      </c>
      <c r="B704" s="21" t="s">
        <v>562</v>
      </c>
      <c r="C704" s="21" t="s">
        <v>5236</v>
      </c>
      <c r="D704" s="21" t="s">
        <v>11</v>
      </c>
      <c r="E704" s="21" t="s">
        <v>11</v>
      </c>
    </row>
    <row r="705" spans="1:5" s="21" customFormat="1" ht="15.75" hidden="1" customHeight="1">
      <c r="A705" s="21">
        <v>160530</v>
      </c>
      <c r="B705" s="21" t="s">
        <v>563</v>
      </c>
      <c r="C705" s="21" t="s">
        <v>5236</v>
      </c>
      <c r="D705" s="21" t="s">
        <v>11</v>
      </c>
      <c r="E705" s="21" t="s">
        <v>11</v>
      </c>
    </row>
    <row r="706" spans="1:5" s="21" customFormat="1" ht="15.75" hidden="1" customHeight="1">
      <c r="A706" s="21">
        <v>160540</v>
      </c>
      <c r="B706" s="21" t="s">
        <v>564</v>
      </c>
      <c r="C706" s="21" t="s">
        <v>5236</v>
      </c>
      <c r="D706" s="21" t="s">
        <v>11</v>
      </c>
      <c r="E706" s="21" t="s">
        <v>11</v>
      </c>
    </row>
    <row r="707" spans="1:5" s="21" customFormat="1" ht="15.75" hidden="1" customHeight="1">
      <c r="A707" s="21">
        <v>160590</v>
      </c>
      <c r="B707" s="21" t="s">
        <v>565</v>
      </c>
      <c r="C707" s="21" t="s">
        <v>5162</v>
      </c>
      <c r="D707" s="21" t="s">
        <v>11</v>
      </c>
      <c r="E707" s="21" t="s">
        <v>11</v>
      </c>
    </row>
    <row r="708" spans="1:5" s="21" customFormat="1" ht="15.75" hidden="1" customHeight="1">
      <c r="A708" s="21">
        <v>170111</v>
      </c>
      <c r="B708" s="21" t="s">
        <v>566</v>
      </c>
      <c r="C708" s="21" t="s">
        <v>5237</v>
      </c>
      <c r="D708" s="21" t="s">
        <v>11</v>
      </c>
      <c r="E708" s="21" t="s">
        <v>11</v>
      </c>
    </row>
    <row r="709" spans="1:5" s="21" customFormat="1" ht="15.75" hidden="1" customHeight="1">
      <c r="A709" s="21">
        <v>170112</v>
      </c>
      <c r="B709" s="21" t="s">
        <v>567</v>
      </c>
      <c r="C709" s="21" t="s">
        <v>5237</v>
      </c>
      <c r="D709" s="21" t="s">
        <v>11</v>
      </c>
      <c r="E709" s="21" t="s">
        <v>11</v>
      </c>
    </row>
    <row r="710" spans="1:5" s="21" customFormat="1" ht="15.75" hidden="1" customHeight="1">
      <c r="A710" s="21">
        <v>170191</v>
      </c>
      <c r="B710" s="21" t="s">
        <v>568</v>
      </c>
      <c r="C710" s="21" t="s">
        <v>5238</v>
      </c>
      <c r="D710" s="21" t="s">
        <v>11</v>
      </c>
      <c r="E710" s="21" t="s">
        <v>11</v>
      </c>
    </row>
    <row r="711" spans="1:5" s="21" customFormat="1" ht="15.75" hidden="1" customHeight="1">
      <c r="A711" s="21">
        <v>170199</v>
      </c>
      <c r="B711" s="21" t="s">
        <v>569</v>
      </c>
      <c r="C711" s="21" t="s">
        <v>5238</v>
      </c>
      <c r="D711" s="21" t="s">
        <v>11</v>
      </c>
      <c r="E711" s="21" t="s">
        <v>11</v>
      </c>
    </row>
    <row r="712" spans="1:5" s="21" customFormat="1" ht="15.75" hidden="1" customHeight="1">
      <c r="A712" s="21">
        <v>170211</v>
      </c>
      <c r="B712" s="21" t="s">
        <v>570</v>
      </c>
      <c r="C712" s="21" t="s">
        <v>5237</v>
      </c>
      <c r="D712" s="21" t="s">
        <v>11</v>
      </c>
      <c r="E712" s="21" t="s">
        <v>11</v>
      </c>
    </row>
    <row r="713" spans="1:5" s="21" customFormat="1" ht="15.75" hidden="1" customHeight="1">
      <c r="A713" s="21">
        <v>170219</v>
      </c>
      <c r="B713" s="21" t="s">
        <v>571</v>
      </c>
      <c r="C713" s="21" t="s">
        <v>5237</v>
      </c>
      <c r="D713" s="21" t="s">
        <v>11</v>
      </c>
      <c r="E713" s="21" t="s">
        <v>11</v>
      </c>
    </row>
    <row r="714" spans="1:5" s="21" customFormat="1" ht="15.75" hidden="1" customHeight="1">
      <c r="A714" s="21">
        <v>170220</v>
      </c>
      <c r="B714" s="21" t="s">
        <v>572</v>
      </c>
      <c r="C714" s="21" t="s">
        <v>5237</v>
      </c>
      <c r="D714" s="21" t="s">
        <v>11</v>
      </c>
      <c r="E714" s="21" t="s">
        <v>11</v>
      </c>
    </row>
    <row r="715" spans="1:5" s="21" customFormat="1" ht="15.75" hidden="1" customHeight="1">
      <c r="A715" s="21">
        <v>170230</v>
      </c>
      <c r="B715" s="21" t="s">
        <v>573</v>
      </c>
      <c r="C715" s="21" t="s">
        <v>5237</v>
      </c>
      <c r="D715" s="21" t="s">
        <v>11</v>
      </c>
      <c r="E715" s="21" t="s">
        <v>11</v>
      </c>
    </row>
    <row r="716" spans="1:5" s="21" customFormat="1" ht="15.75" hidden="1" customHeight="1">
      <c r="A716" s="21">
        <v>170240</v>
      </c>
      <c r="B716" s="21" t="s">
        <v>574</v>
      </c>
      <c r="C716" s="21" t="s">
        <v>5237</v>
      </c>
      <c r="D716" s="21" t="s">
        <v>11</v>
      </c>
      <c r="E716" s="21" t="s">
        <v>11</v>
      </c>
    </row>
    <row r="717" spans="1:5" s="21" customFormat="1" ht="15.75" hidden="1" customHeight="1">
      <c r="A717" s="21">
        <v>170250</v>
      </c>
      <c r="B717" s="21" t="s">
        <v>575</v>
      </c>
      <c r="C717" s="21" t="s">
        <v>5237</v>
      </c>
      <c r="D717" s="21" t="s">
        <v>11</v>
      </c>
      <c r="E717" s="21" t="s">
        <v>11</v>
      </c>
    </row>
    <row r="718" spans="1:5" s="21" customFormat="1" ht="15.75" hidden="1" customHeight="1">
      <c r="A718" s="21">
        <v>170260</v>
      </c>
      <c r="B718" s="21" t="s">
        <v>576</v>
      </c>
      <c r="C718" s="21" t="s">
        <v>5237</v>
      </c>
      <c r="D718" s="21" t="s">
        <v>11</v>
      </c>
      <c r="E718" s="21" t="s">
        <v>11</v>
      </c>
    </row>
    <row r="719" spans="1:5" s="21" customFormat="1" ht="15.75" hidden="1" customHeight="1">
      <c r="A719" s="21">
        <v>170290</v>
      </c>
      <c r="B719" s="21" t="s">
        <v>577</v>
      </c>
      <c r="C719" s="21" t="s">
        <v>5237</v>
      </c>
      <c r="D719" s="21" t="s">
        <v>11</v>
      </c>
      <c r="E719" s="21" t="s">
        <v>11</v>
      </c>
    </row>
    <row r="720" spans="1:5" s="21" customFormat="1" ht="15.75" hidden="1" customHeight="1">
      <c r="A720" s="21">
        <v>170310</v>
      </c>
      <c r="B720" s="21" t="s">
        <v>578</v>
      </c>
      <c r="C720" s="21" t="s">
        <v>5237</v>
      </c>
      <c r="D720" s="21" t="s">
        <v>11</v>
      </c>
      <c r="E720" s="21" t="s">
        <v>11</v>
      </c>
    </row>
    <row r="721" spans="1:5" s="21" customFormat="1" ht="15.75" hidden="1" customHeight="1">
      <c r="A721" s="21">
        <v>170390</v>
      </c>
      <c r="B721" s="21" t="s">
        <v>579</v>
      </c>
      <c r="C721" s="21" t="s">
        <v>5237</v>
      </c>
      <c r="D721" s="21" t="s">
        <v>11</v>
      </c>
      <c r="E721" s="21" t="s">
        <v>11</v>
      </c>
    </row>
    <row r="722" spans="1:5" s="21" customFormat="1" ht="15.75" hidden="1" customHeight="1">
      <c r="A722" s="21">
        <v>170410</v>
      </c>
      <c r="B722" s="21" t="s">
        <v>580</v>
      </c>
      <c r="C722" s="21" t="s">
        <v>5239</v>
      </c>
      <c r="D722" s="21" t="s">
        <v>11</v>
      </c>
      <c r="E722" s="21" t="s">
        <v>11</v>
      </c>
    </row>
    <row r="723" spans="1:5" s="21" customFormat="1" ht="15.75" hidden="1" customHeight="1">
      <c r="A723" s="21">
        <v>170490</v>
      </c>
      <c r="B723" s="21" t="s">
        <v>581</v>
      </c>
      <c r="C723" s="21" t="s">
        <v>5239</v>
      </c>
      <c r="D723" s="21" t="s">
        <v>11</v>
      </c>
      <c r="E723" s="21" t="s">
        <v>11</v>
      </c>
    </row>
    <row r="724" spans="1:5" s="21" customFormat="1" ht="15.75" hidden="1" customHeight="1">
      <c r="A724" s="21">
        <v>180100</v>
      </c>
      <c r="B724" s="21" t="s">
        <v>582</v>
      </c>
      <c r="C724" s="21" t="s">
        <v>5240</v>
      </c>
      <c r="D724" s="21" t="s">
        <v>11</v>
      </c>
      <c r="E724" s="21" t="s">
        <v>11</v>
      </c>
    </row>
    <row r="725" spans="1:5" s="21" customFormat="1" ht="15.75" hidden="1" customHeight="1">
      <c r="A725" s="21">
        <v>180200</v>
      </c>
      <c r="B725" s="21" t="s">
        <v>583</v>
      </c>
      <c r="C725" s="21" t="s">
        <v>5241</v>
      </c>
      <c r="D725" s="21" t="s">
        <v>11</v>
      </c>
      <c r="E725" s="21" t="s">
        <v>11</v>
      </c>
    </row>
    <row r="726" spans="1:5" s="21" customFormat="1" ht="15.75" hidden="1" customHeight="1">
      <c r="A726" s="21">
        <v>180310</v>
      </c>
      <c r="B726" s="21" t="s">
        <v>584</v>
      </c>
      <c r="C726" s="21" t="s">
        <v>5241</v>
      </c>
      <c r="D726" s="21" t="s">
        <v>11</v>
      </c>
      <c r="E726" s="21" t="s">
        <v>11</v>
      </c>
    </row>
    <row r="727" spans="1:5" s="21" customFormat="1" ht="15.75" hidden="1" customHeight="1">
      <c r="A727" s="21">
        <v>180320</v>
      </c>
      <c r="B727" s="21" t="s">
        <v>585</v>
      </c>
      <c r="C727" s="21" t="s">
        <v>5241</v>
      </c>
      <c r="D727" s="21" t="s">
        <v>11</v>
      </c>
      <c r="E727" s="21" t="s">
        <v>11</v>
      </c>
    </row>
    <row r="728" spans="1:5" s="21" customFormat="1" ht="15.75" hidden="1" customHeight="1">
      <c r="A728" s="21">
        <v>180400</v>
      </c>
      <c r="B728" s="21" t="s">
        <v>586</v>
      </c>
      <c r="C728" s="21" t="s">
        <v>5241</v>
      </c>
      <c r="D728" s="21" t="s">
        <v>11</v>
      </c>
      <c r="E728" s="21" t="s">
        <v>11</v>
      </c>
    </row>
    <row r="729" spans="1:5" s="21" customFormat="1" ht="15.75" hidden="1" customHeight="1">
      <c r="A729" s="21">
        <v>180500</v>
      </c>
      <c r="B729" s="21" t="s">
        <v>587</v>
      </c>
      <c r="C729" s="21" t="s">
        <v>5241</v>
      </c>
      <c r="D729" s="21" t="s">
        <v>11</v>
      </c>
      <c r="E729" s="21" t="s">
        <v>11</v>
      </c>
    </row>
    <row r="730" spans="1:5" s="21" customFormat="1" ht="15.75" hidden="1" customHeight="1">
      <c r="A730" s="21">
        <v>180610</v>
      </c>
      <c r="B730" s="21" t="s">
        <v>588</v>
      </c>
      <c r="C730" s="21" t="s">
        <v>5241</v>
      </c>
      <c r="D730" s="21" t="s">
        <v>11</v>
      </c>
      <c r="E730" s="21" t="s">
        <v>11</v>
      </c>
    </row>
    <row r="731" spans="1:5" s="21" customFormat="1" ht="15.75" hidden="1" customHeight="1">
      <c r="A731" s="21">
        <v>180620</v>
      </c>
      <c r="B731" s="21" t="s">
        <v>589</v>
      </c>
      <c r="C731" s="21" t="s">
        <v>5242</v>
      </c>
      <c r="D731" s="21" t="s">
        <v>11</v>
      </c>
      <c r="E731" s="21" t="s">
        <v>11</v>
      </c>
    </row>
    <row r="732" spans="1:5" s="21" customFormat="1" ht="15.75" hidden="1" customHeight="1">
      <c r="A732" s="21">
        <v>180631</v>
      </c>
      <c r="B732" s="21" t="s">
        <v>590</v>
      </c>
      <c r="C732" s="21" t="s">
        <v>5243</v>
      </c>
      <c r="D732" s="21" t="s">
        <v>11</v>
      </c>
      <c r="E732" s="21" t="s">
        <v>11</v>
      </c>
    </row>
    <row r="733" spans="1:5" s="21" customFormat="1" ht="15.75" hidden="1" customHeight="1">
      <c r="A733" s="21">
        <v>180632</v>
      </c>
      <c r="B733" s="21" t="s">
        <v>591</v>
      </c>
      <c r="C733" s="21" t="s">
        <v>5243</v>
      </c>
      <c r="D733" s="21" t="s">
        <v>11</v>
      </c>
      <c r="E733" s="21" t="s">
        <v>11</v>
      </c>
    </row>
    <row r="734" spans="1:5" s="21" customFormat="1" ht="15.75" hidden="1" customHeight="1">
      <c r="A734" s="21">
        <v>180690</v>
      </c>
      <c r="B734" s="21" t="s">
        <v>592</v>
      </c>
      <c r="C734" s="21" t="s">
        <v>5243</v>
      </c>
      <c r="D734" s="21" t="s">
        <v>11</v>
      </c>
      <c r="E734" s="21" t="s">
        <v>11</v>
      </c>
    </row>
    <row r="735" spans="1:5" s="21" customFormat="1" ht="15.75" hidden="1" customHeight="1">
      <c r="A735" s="21">
        <v>190110</v>
      </c>
      <c r="B735" s="21" t="s">
        <v>593</v>
      </c>
      <c r="C735" s="21" t="s">
        <v>5244</v>
      </c>
      <c r="D735" s="21" t="s">
        <v>11</v>
      </c>
      <c r="E735" s="21" t="s">
        <v>11</v>
      </c>
    </row>
    <row r="736" spans="1:5" s="21" customFormat="1" ht="15.75" hidden="1" customHeight="1">
      <c r="A736" s="21">
        <v>190120</v>
      </c>
      <c r="B736" s="21" t="s">
        <v>594</v>
      </c>
      <c r="C736" s="21" t="s">
        <v>5244</v>
      </c>
      <c r="D736" s="21" t="s">
        <v>11</v>
      </c>
      <c r="E736" s="21" t="s">
        <v>11</v>
      </c>
    </row>
    <row r="737" spans="1:5" s="21" customFormat="1" ht="15.75" hidden="1" customHeight="1">
      <c r="A737" s="21">
        <v>190190</v>
      </c>
      <c r="B737" s="21" t="s">
        <v>595</v>
      </c>
      <c r="C737" s="21" t="s">
        <v>5244</v>
      </c>
      <c r="D737" s="21" t="s">
        <v>11</v>
      </c>
      <c r="E737" s="21" t="s">
        <v>11</v>
      </c>
    </row>
    <row r="738" spans="1:5" s="21" customFormat="1" ht="15.75" hidden="1" customHeight="1">
      <c r="A738" s="21">
        <v>190211</v>
      </c>
      <c r="B738" s="21" t="s">
        <v>596</v>
      </c>
      <c r="C738" s="21" t="s">
        <v>5244</v>
      </c>
      <c r="D738" s="21" t="s">
        <v>11</v>
      </c>
      <c r="E738" s="21" t="s">
        <v>11</v>
      </c>
    </row>
    <row r="739" spans="1:5" s="21" customFormat="1" ht="15.75" hidden="1" customHeight="1">
      <c r="A739" s="21">
        <v>190219</v>
      </c>
      <c r="B739" s="21" t="s">
        <v>597</v>
      </c>
      <c r="C739" s="21" t="s">
        <v>5244</v>
      </c>
      <c r="D739" s="21" t="s">
        <v>11</v>
      </c>
      <c r="E739" s="21" t="s">
        <v>11</v>
      </c>
    </row>
    <row r="740" spans="1:5" s="21" customFormat="1" ht="15.75" hidden="1" customHeight="1">
      <c r="A740" s="21">
        <v>190220</v>
      </c>
      <c r="B740" s="21" t="s">
        <v>598</v>
      </c>
      <c r="C740" s="21" t="s">
        <v>5244</v>
      </c>
      <c r="D740" s="21" t="s">
        <v>11</v>
      </c>
      <c r="E740" s="21" t="s">
        <v>11</v>
      </c>
    </row>
    <row r="741" spans="1:5" s="21" customFormat="1" ht="15.75" hidden="1" customHeight="1">
      <c r="A741" s="21">
        <v>190230</v>
      </c>
      <c r="B741" s="21" t="s">
        <v>599</v>
      </c>
      <c r="C741" s="21" t="s">
        <v>5244</v>
      </c>
      <c r="D741" s="21" t="s">
        <v>11</v>
      </c>
      <c r="E741" s="21" t="s">
        <v>11</v>
      </c>
    </row>
    <row r="742" spans="1:5" s="21" customFormat="1" ht="15.75" hidden="1" customHeight="1">
      <c r="A742" s="21">
        <v>190240</v>
      </c>
      <c r="B742" s="21" t="s">
        <v>600</v>
      </c>
      <c r="C742" s="21" t="s">
        <v>5244</v>
      </c>
      <c r="D742" s="21" t="s">
        <v>11</v>
      </c>
      <c r="E742" s="21" t="s">
        <v>11</v>
      </c>
    </row>
    <row r="743" spans="1:5" s="21" customFormat="1" ht="15.75" hidden="1" customHeight="1">
      <c r="A743" s="21">
        <v>190300</v>
      </c>
      <c r="B743" s="21" t="s">
        <v>601</v>
      </c>
      <c r="C743" s="21" t="s">
        <v>5244</v>
      </c>
      <c r="D743" s="21" t="s">
        <v>11</v>
      </c>
      <c r="E743" s="21" t="s">
        <v>11</v>
      </c>
    </row>
    <row r="744" spans="1:5" s="21" customFormat="1" ht="15.75" hidden="1" customHeight="1">
      <c r="A744" s="21">
        <v>190410</v>
      </c>
      <c r="B744" s="21" t="s">
        <v>602</v>
      </c>
      <c r="C744" s="21" t="s">
        <v>5244</v>
      </c>
      <c r="D744" s="21" t="s">
        <v>11</v>
      </c>
      <c r="E744" s="21" t="s">
        <v>11</v>
      </c>
    </row>
    <row r="745" spans="1:5" s="21" customFormat="1" ht="15.75" hidden="1" customHeight="1">
      <c r="A745" s="21">
        <v>190420</v>
      </c>
      <c r="B745" s="21" t="s">
        <v>603</v>
      </c>
      <c r="C745" s="21" t="s">
        <v>5244</v>
      </c>
      <c r="D745" s="21" t="s">
        <v>11</v>
      </c>
      <c r="E745" s="21" t="s">
        <v>11</v>
      </c>
    </row>
    <row r="746" spans="1:5" s="21" customFormat="1" ht="15.75" hidden="1" customHeight="1">
      <c r="A746" s="21">
        <v>190430</v>
      </c>
      <c r="B746" s="21" t="s">
        <v>604</v>
      </c>
      <c r="C746" s="21" t="s">
        <v>5245</v>
      </c>
      <c r="D746" s="21" t="s">
        <v>11</v>
      </c>
      <c r="E746" s="21" t="s">
        <v>11</v>
      </c>
    </row>
    <row r="747" spans="1:5" s="21" customFormat="1" ht="15.75" hidden="1" customHeight="1">
      <c r="A747" s="21">
        <v>190490</v>
      </c>
      <c r="B747" s="21" t="s">
        <v>605</v>
      </c>
      <c r="C747" s="21" t="s">
        <v>5244</v>
      </c>
      <c r="D747" s="21" t="s">
        <v>11</v>
      </c>
      <c r="E747" s="21" t="s">
        <v>11</v>
      </c>
    </row>
    <row r="748" spans="1:5" s="21" customFormat="1" ht="15.75" hidden="1" customHeight="1">
      <c r="A748" s="21">
        <v>190510</v>
      </c>
      <c r="B748" s="21" t="s">
        <v>606</v>
      </c>
      <c r="C748" s="21" t="s">
        <v>5244</v>
      </c>
      <c r="D748" s="21" t="s">
        <v>11</v>
      </c>
      <c r="E748" s="21" t="s">
        <v>11</v>
      </c>
    </row>
    <row r="749" spans="1:5" s="21" customFormat="1" ht="15.75" hidden="1" customHeight="1">
      <c r="A749" s="21">
        <v>190520</v>
      </c>
      <c r="B749" s="21" t="s">
        <v>607</v>
      </c>
      <c r="C749" s="21" t="s">
        <v>5244</v>
      </c>
      <c r="D749" s="21" t="s">
        <v>11</v>
      </c>
      <c r="E749" s="21" t="s">
        <v>11</v>
      </c>
    </row>
    <row r="750" spans="1:5" s="21" customFormat="1" ht="15.75" hidden="1" customHeight="1">
      <c r="A750" s="21">
        <v>190531</v>
      </c>
      <c r="B750" s="21" t="s">
        <v>608</v>
      </c>
      <c r="C750" s="21" t="s">
        <v>5244</v>
      </c>
      <c r="D750" s="21" t="s">
        <v>11</v>
      </c>
      <c r="E750" s="21" t="s">
        <v>11</v>
      </c>
    </row>
    <row r="751" spans="1:5" s="21" customFormat="1" ht="15.75" hidden="1" customHeight="1">
      <c r="A751" s="21">
        <v>190532</v>
      </c>
      <c r="B751" s="21" t="s">
        <v>609</v>
      </c>
      <c r="C751" s="21" t="s">
        <v>5244</v>
      </c>
      <c r="D751" s="21" t="s">
        <v>11</v>
      </c>
      <c r="E751" s="21" t="s">
        <v>11</v>
      </c>
    </row>
    <row r="752" spans="1:5" s="21" customFormat="1" ht="15.75" hidden="1" customHeight="1">
      <c r="A752" s="21">
        <v>190540</v>
      </c>
      <c r="B752" s="21" t="s">
        <v>610</v>
      </c>
      <c r="C752" s="21" t="s">
        <v>5244</v>
      </c>
      <c r="D752" s="21" t="s">
        <v>11</v>
      </c>
      <c r="E752" s="21" t="s">
        <v>11</v>
      </c>
    </row>
    <row r="753" spans="1:5" s="21" customFormat="1" ht="15.75" hidden="1" customHeight="1">
      <c r="A753" s="21">
        <v>190590</v>
      </c>
      <c r="B753" s="21" t="s">
        <v>611</v>
      </c>
      <c r="C753" s="21" t="s">
        <v>5244</v>
      </c>
      <c r="D753" s="21" t="s">
        <v>11</v>
      </c>
      <c r="E753" s="21" t="s">
        <v>11</v>
      </c>
    </row>
    <row r="754" spans="1:5" s="21" customFormat="1" ht="15.75" hidden="1" customHeight="1">
      <c r="A754" s="21">
        <v>200110</v>
      </c>
      <c r="B754" s="21" t="s">
        <v>612</v>
      </c>
      <c r="C754" s="21" t="s">
        <v>5246</v>
      </c>
      <c r="D754" s="21" t="s">
        <v>11</v>
      </c>
      <c r="E754" s="21" t="s">
        <v>11</v>
      </c>
    </row>
    <row r="755" spans="1:5" s="21" customFormat="1" ht="15.75" hidden="1" customHeight="1">
      <c r="A755" s="21">
        <v>200190</v>
      </c>
      <c r="B755" s="21" t="s">
        <v>613</v>
      </c>
      <c r="C755" s="21" t="s">
        <v>5246</v>
      </c>
      <c r="D755" s="21" t="s">
        <v>11</v>
      </c>
      <c r="E755" s="21" t="s">
        <v>11</v>
      </c>
    </row>
    <row r="756" spans="1:5" s="21" customFormat="1" ht="15.75" hidden="1" customHeight="1">
      <c r="A756" s="21">
        <v>200210</v>
      </c>
      <c r="B756" s="21" t="s">
        <v>614</v>
      </c>
      <c r="C756" s="21" t="s">
        <v>5246</v>
      </c>
      <c r="D756" s="21" t="s">
        <v>11</v>
      </c>
      <c r="E756" s="21" t="s">
        <v>11</v>
      </c>
    </row>
    <row r="757" spans="1:5" s="21" customFormat="1" ht="15.75" hidden="1" customHeight="1">
      <c r="A757" s="21">
        <v>200290</v>
      </c>
      <c r="B757" s="21" t="s">
        <v>615</v>
      </c>
      <c r="C757" s="21" t="s">
        <v>5246</v>
      </c>
      <c r="D757" s="21" t="s">
        <v>11</v>
      </c>
      <c r="E757" s="21" t="s">
        <v>11</v>
      </c>
    </row>
    <row r="758" spans="1:5" s="21" customFormat="1" ht="15.75" hidden="1" customHeight="1">
      <c r="A758" s="21">
        <v>200310</v>
      </c>
      <c r="B758" s="21" t="s">
        <v>616</v>
      </c>
      <c r="C758" s="21" t="s">
        <v>5246</v>
      </c>
      <c r="D758" s="21" t="s">
        <v>11</v>
      </c>
      <c r="E758" s="21" t="s">
        <v>11</v>
      </c>
    </row>
    <row r="759" spans="1:5" s="21" customFormat="1" ht="15.75" hidden="1" customHeight="1">
      <c r="A759" s="21">
        <v>200320</v>
      </c>
      <c r="B759" s="21" t="s">
        <v>617</v>
      </c>
      <c r="C759" s="21" t="s">
        <v>5246</v>
      </c>
      <c r="D759" s="21" t="s">
        <v>11</v>
      </c>
      <c r="E759" s="21" t="s">
        <v>11</v>
      </c>
    </row>
    <row r="760" spans="1:5" s="21" customFormat="1" ht="15.75" hidden="1" customHeight="1">
      <c r="A760" s="21">
        <v>200390</v>
      </c>
      <c r="B760" s="21" t="s">
        <v>618</v>
      </c>
      <c r="C760" s="21" t="s">
        <v>5246</v>
      </c>
      <c r="D760" s="21" t="s">
        <v>11</v>
      </c>
      <c r="E760" s="21" t="s">
        <v>11</v>
      </c>
    </row>
    <row r="761" spans="1:5" s="21" customFormat="1" ht="15.75" hidden="1" customHeight="1">
      <c r="A761" s="21">
        <v>200410</v>
      </c>
      <c r="B761" s="21" t="s">
        <v>619</v>
      </c>
      <c r="C761" s="21" t="s">
        <v>5246</v>
      </c>
      <c r="D761" s="21" t="s">
        <v>11</v>
      </c>
      <c r="E761" s="21" t="s">
        <v>11</v>
      </c>
    </row>
    <row r="762" spans="1:5" s="21" customFormat="1" ht="15.75" hidden="1" customHeight="1">
      <c r="A762" s="21">
        <v>200490</v>
      </c>
      <c r="B762" s="21" t="s">
        <v>620</v>
      </c>
      <c r="C762" s="21" t="s">
        <v>5246</v>
      </c>
      <c r="D762" s="21" t="s">
        <v>11</v>
      </c>
      <c r="E762" s="21" t="s">
        <v>11</v>
      </c>
    </row>
    <row r="763" spans="1:5" s="21" customFormat="1" ht="15.75" hidden="1" customHeight="1">
      <c r="A763" s="21">
        <v>200510</v>
      </c>
      <c r="B763" s="21" t="s">
        <v>621</v>
      </c>
      <c r="C763" s="21" t="s">
        <v>5246</v>
      </c>
      <c r="D763" s="21" t="s">
        <v>11</v>
      </c>
      <c r="E763" s="21" t="s">
        <v>11</v>
      </c>
    </row>
    <row r="764" spans="1:5" s="21" customFormat="1" ht="15.75" hidden="1" customHeight="1">
      <c r="A764" s="21">
        <v>200520</v>
      </c>
      <c r="B764" s="21" t="s">
        <v>622</v>
      </c>
      <c r="C764" s="21" t="s">
        <v>5246</v>
      </c>
      <c r="D764" s="21" t="s">
        <v>11</v>
      </c>
      <c r="E764" s="21" t="s">
        <v>11</v>
      </c>
    </row>
    <row r="765" spans="1:5" s="21" customFormat="1" ht="15.75" hidden="1" customHeight="1">
      <c r="A765" s="21">
        <v>200540</v>
      </c>
      <c r="B765" s="21" t="s">
        <v>623</v>
      </c>
      <c r="C765" s="21" t="s">
        <v>5246</v>
      </c>
      <c r="D765" s="21" t="s">
        <v>11</v>
      </c>
      <c r="E765" s="21" t="s">
        <v>11</v>
      </c>
    </row>
    <row r="766" spans="1:5" s="21" customFormat="1" ht="15.75" hidden="1" customHeight="1">
      <c r="A766" s="21">
        <v>200551</v>
      </c>
      <c r="B766" s="21" t="s">
        <v>624</v>
      </c>
      <c r="C766" s="21" t="s">
        <v>5246</v>
      </c>
      <c r="D766" s="21" t="s">
        <v>11</v>
      </c>
      <c r="E766" s="21" t="s">
        <v>11</v>
      </c>
    </row>
    <row r="767" spans="1:5" s="21" customFormat="1" ht="15.75" hidden="1" customHeight="1">
      <c r="A767" s="21">
        <v>200559</v>
      </c>
      <c r="B767" s="21" t="s">
        <v>625</v>
      </c>
      <c r="C767" s="21" t="s">
        <v>5246</v>
      </c>
      <c r="D767" s="21" t="s">
        <v>11</v>
      </c>
      <c r="E767" s="21" t="s">
        <v>11</v>
      </c>
    </row>
    <row r="768" spans="1:5" s="21" customFormat="1" ht="15.75" hidden="1" customHeight="1">
      <c r="A768" s="21">
        <v>200560</v>
      </c>
      <c r="B768" s="21" t="s">
        <v>626</v>
      </c>
      <c r="C768" s="21" t="s">
        <v>5246</v>
      </c>
      <c r="D768" s="21" t="s">
        <v>11</v>
      </c>
      <c r="E768" s="21" t="s">
        <v>11</v>
      </c>
    </row>
    <row r="769" spans="1:5" s="21" customFormat="1" ht="15.75" hidden="1" customHeight="1">
      <c r="A769" s="21">
        <v>200570</v>
      </c>
      <c r="B769" s="21" t="s">
        <v>627</v>
      </c>
      <c r="C769" s="21" t="s">
        <v>5246</v>
      </c>
      <c r="D769" s="21" t="s">
        <v>11</v>
      </c>
      <c r="E769" s="21" t="s">
        <v>11</v>
      </c>
    </row>
    <row r="770" spans="1:5" s="21" customFormat="1" ht="15.75" hidden="1" customHeight="1">
      <c r="A770" s="21">
        <v>200580</v>
      </c>
      <c r="B770" s="21" t="s">
        <v>628</v>
      </c>
      <c r="C770" s="21" t="s">
        <v>5246</v>
      </c>
      <c r="D770" s="21" t="s">
        <v>11</v>
      </c>
      <c r="E770" s="21" t="s">
        <v>11</v>
      </c>
    </row>
    <row r="771" spans="1:5" s="21" customFormat="1" ht="15.75" hidden="1" customHeight="1">
      <c r="A771" s="21">
        <v>200591</v>
      </c>
      <c r="B771" s="21" t="s">
        <v>629</v>
      </c>
      <c r="C771" s="21" t="s">
        <v>5246</v>
      </c>
      <c r="D771" s="21" t="s">
        <v>11</v>
      </c>
      <c r="E771" s="21" t="s">
        <v>11</v>
      </c>
    </row>
    <row r="772" spans="1:5" s="21" customFormat="1" ht="15.75" hidden="1" customHeight="1">
      <c r="A772" s="21">
        <v>200599</v>
      </c>
      <c r="B772" s="21" t="s">
        <v>630</v>
      </c>
      <c r="C772" s="21" t="s">
        <v>5246</v>
      </c>
      <c r="D772" s="21" t="s">
        <v>11</v>
      </c>
      <c r="E772" s="21" t="s">
        <v>11</v>
      </c>
    </row>
    <row r="773" spans="1:5" s="21" customFormat="1" ht="15.75" hidden="1" customHeight="1">
      <c r="A773" s="21">
        <v>200600</v>
      </c>
      <c r="B773" s="21" t="s">
        <v>631</v>
      </c>
      <c r="C773" s="21" t="s">
        <v>631</v>
      </c>
      <c r="D773" s="21" t="s">
        <v>11</v>
      </c>
      <c r="E773" s="21" t="s">
        <v>11</v>
      </c>
    </row>
    <row r="774" spans="1:5" s="21" customFormat="1" ht="15.75" hidden="1" customHeight="1">
      <c r="A774" s="21">
        <v>200710</v>
      </c>
      <c r="B774" s="21" t="s">
        <v>632</v>
      </c>
      <c r="C774" s="21" t="s">
        <v>5247</v>
      </c>
      <c r="D774" s="21" t="s">
        <v>11</v>
      </c>
      <c r="E774" s="21" t="s">
        <v>11</v>
      </c>
    </row>
    <row r="775" spans="1:5" s="21" customFormat="1" ht="15.75" hidden="1" customHeight="1">
      <c r="A775" s="21">
        <v>200791</v>
      </c>
      <c r="B775" s="21" t="s">
        <v>633</v>
      </c>
      <c r="C775" s="21" t="s">
        <v>5248</v>
      </c>
      <c r="D775" s="21" t="s">
        <v>11</v>
      </c>
      <c r="E775" s="21" t="s">
        <v>11</v>
      </c>
    </row>
    <row r="776" spans="1:5" s="21" customFormat="1" ht="15.75" hidden="1" customHeight="1">
      <c r="A776" s="21">
        <v>200799</v>
      </c>
      <c r="B776" s="21" t="s">
        <v>634</v>
      </c>
      <c r="C776" s="21" t="s">
        <v>5249</v>
      </c>
      <c r="D776" s="21" t="s">
        <v>11</v>
      </c>
      <c r="E776" s="21" t="s">
        <v>11</v>
      </c>
    </row>
    <row r="777" spans="1:5" s="21" customFormat="1" ht="15.75" hidden="1" customHeight="1">
      <c r="A777" s="21">
        <v>200811</v>
      </c>
      <c r="B777" s="21" t="s">
        <v>635</v>
      </c>
      <c r="C777" s="21" t="s">
        <v>5250</v>
      </c>
      <c r="D777" s="21" t="s">
        <v>11</v>
      </c>
      <c r="E777" s="21" t="s">
        <v>11</v>
      </c>
    </row>
    <row r="778" spans="1:5" s="21" customFormat="1" ht="15.75" hidden="1" customHeight="1">
      <c r="A778" s="21">
        <v>200819</v>
      </c>
      <c r="B778" s="21" t="s">
        <v>636</v>
      </c>
      <c r="C778" s="21" t="s">
        <v>5251</v>
      </c>
      <c r="D778" s="21" t="s">
        <v>11</v>
      </c>
      <c r="E778" s="21" t="s">
        <v>11</v>
      </c>
    </row>
    <row r="779" spans="1:5" s="21" customFormat="1" ht="15.75" hidden="1" customHeight="1">
      <c r="A779" s="21">
        <v>200820</v>
      </c>
      <c r="B779" s="21" t="s">
        <v>637</v>
      </c>
      <c r="C779" s="21" t="s">
        <v>5252</v>
      </c>
      <c r="D779" s="21" t="s">
        <v>11</v>
      </c>
      <c r="E779" s="21" t="s">
        <v>11</v>
      </c>
    </row>
    <row r="780" spans="1:5" s="21" customFormat="1" ht="15.75" hidden="1" customHeight="1">
      <c r="A780" s="21">
        <v>200830</v>
      </c>
      <c r="B780" s="21" t="s">
        <v>638</v>
      </c>
      <c r="C780" s="21" t="s">
        <v>5252</v>
      </c>
      <c r="D780" s="21" t="s">
        <v>11</v>
      </c>
      <c r="E780" s="21" t="s">
        <v>11</v>
      </c>
    </row>
    <row r="781" spans="1:5" s="21" customFormat="1" ht="15.75" hidden="1" customHeight="1">
      <c r="A781" s="21">
        <v>200840</v>
      </c>
      <c r="B781" s="21" t="s">
        <v>639</v>
      </c>
      <c r="C781" s="21" t="s">
        <v>5252</v>
      </c>
      <c r="D781" s="21" t="s">
        <v>11</v>
      </c>
      <c r="E781" s="21" t="s">
        <v>11</v>
      </c>
    </row>
    <row r="782" spans="1:5" s="21" customFormat="1" ht="15.75" hidden="1" customHeight="1">
      <c r="A782" s="21">
        <v>200850</v>
      </c>
      <c r="B782" s="21" t="s">
        <v>640</v>
      </c>
      <c r="C782" s="21" t="s">
        <v>5252</v>
      </c>
      <c r="D782" s="21" t="s">
        <v>11</v>
      </c>
      <c r="E782" s="21" t="s">
        <v>11</v>
      </c>
    </row>
    <row r="783" spans="1:5" s="21" customFormat="1" ht="15.75" hidden="1" customHeight="1">
      <c r="A783" s="21">
        <v>200860</v>
      </c>
      <c r="B783" s="21" t="s">
        <v>641</v>
      </c>
      <c r="C783" s="21" t="s">
        <v>5252</v>
      </c>
      <c r="D783" s="21" t="s">
        <v>11</v>
      </c>
      <c r="E783" s="21" t="s">
        <v>11</v>
      </c>
    </row>
    <row r="784" spans="1:5" s="21" customFormat="1" ht="15.75" hidden="1" customHeight="1">
      <c r="A784" s="21">
        <v>200870</v>
      </c>
      <c r="B784" s="21" t="s">
        <v>642</v>
      </c>
      <c r="C784" s="21" t="s">
        <v>5252</v>
      </c>
      <c r="D784" s="21" t="s">
        <v>11</v>
      </c>
      <c r="E784" s="21" t="s">
        <v>11</v>
      </c>
    </row>
    <row r="785" spans="1:5" s="21" customFormat="1" ht="15.75" hidden="1" customHeight="1">
      <c r="A785" s="21">
        <v>200880</v>
      </c>
      <c r="B785" s="21" t="s">
        <v>643</v>
      </c>
      <c r="C785" s="21" t="s">
        <v>5252</v>
      </c>
      <c r="D785" s="21" t="s">
        <v>11</v>
      </c>
      <c r="E785" s="21" t="s">
        <v>11</v>
      </c>
    </row>
    <row r="786" spans="1:5" s="21" customFormat="1" ht="15.75" hidden="1" customHeight="1">
      <c r="A786" s="21">
        <v>200891</v>
      </c>
      <c r="B786" s="21" t="s">
        <v>644</v>
      </c>
      <c r="C786" s="21" t="s">
        <v>5253</v>
      </c>
      <c r="D786" s="21" t="s">
        <v>11</v>
      </c>
      <c r="E786" s="21" t="s">
        <v>11</v>
      </c>
    </row>
    <row r="787" spans="1:5" s="21" customFormat="1" ht="15.75" hidden="1" customHeight="1">
      <c r="A787" s="21">
        <v>200892</v>
      </c>
      <c r="B787" s="21" t="s">
        <v>645</v>
      </c>
      <c r="C787" s="21" t="s">
        <v>5254</v>
      </c>
      <c r="D787" s="21" t="s">
        <v>11</v>
      </c>
      <c r="E787" s="21" t="s">
        <v>11</v>
      </c>
    </row>
    <row r="788" spans="1:5" s="21" customFormat="1" ht="15.75" hidden="1" customHeight="1">
      <c r="A788" s="21">
        <v>200899</v>
      </c>
      <c r="B788" s="21" t="s">
        <v>646</v>
      </c>
      <c r="C788" s="21" t="s">
        <v>5254</v>
      </c>
      <c r="D788" s="21" t="s">
        <v>11</v>
      </c>
      <c r="E788" s="21" t="s">
        <v>11</v>
      </c>
    </row>
    <row r="789" spans="1:5" s="21" customFormat="1" ht="15.75" hidden="1" customHeight="1">
      <c r="A789" s="21">
        <v>200911</v>
      </c>
      <c r="B789" s="21" t="s">
        <v>647</v>
      </c>
      <c r="C789" s="21" t="s">
        <v>5255</v>
      </c>
      <c r="D789" s="21" t="s">
        <v>11</v>
      </c>
      <c r="E789" s="21" t="s">
        <v>11</v>
      </c>
    </row>
    <row r="790" spans="1:5" s="21" customFormat="1" ht="15.75" hidden="1" customHeight="1">
      <c r="A790" s="21">
        <v>200912</v>
      </c>
      <c r="B790" s="21" t="s">
        <v>648</v>
      </c>
      <c r="C790" s="21" t="s">
        <v>5255</v>
      </c>
      <c r="D790" s="21" t="s">
        <v>11</v>
      </c>
      <c r="E790" s="21" t="s">
        <v>11</v>
      </c>
    </row>
    <row r="791" spans="1:5" s="21" customFormat="1" ht="15.75" hidden="1" customHeight="1">
      <c r="A791" s="21">
        <v>200919</v>
      </c>
      <c r="B791" s="21" t="s">
        <v>649</v>
      </c>
      <c r="C791" s="21" t="s">
        <v>5255</v>
      </c>
      <c r="D791" s="21" t="s">
        <v>11</v>
      </c>
      <c r="E791" s="21" t="s">
        <v>11</v>
      </c>
    </row>
    <row r="792" spans="1:5" s="21" customFormat="1" ht="15.75" hidden="1" customHeight="1">
      <c r="A792" s="21">
        <v>200921</v>
      </c>
      <c r="B792" s="21" t="s">
        <v>650</v>
      </c>
      <c r="C792" s="21" t="s">
        <v>5255</v>
      </c>
      <c r="D792" s="21" t="s">
        <v>11</v>
      </c>
      <c r="E792" s="21" t="s">
        <v>11</v>
      </c>
    </row>
    <row r="793" spans="1:5" s="21" customFormat="1" ht="15.75" hidden="1" customHeight="1">
      <c r="A793" s="21">
        <v>200929</v>
      </c>
      <c r="B793" s="21" t="s">
        <v>651</v>
      </c>
      <c r="C793" s="21" t="s">
        <v>5255</v>
      </c>
      <c r="D793" s="21" t="s">
        <v>11</v>
      </c>
      <c r="E793" s="21" t="s">
        <v>11</v>
      </c>
    </row>
    <row r="794" spans="1:5" s="21" customFormat="1" ht="15.75" hidden="1" customHeight="1">
      <c r="A794" s="21">
        <v>200931</v>
      </c>
      <c r="B794" s="21" t="s">
        <v>652</v>
      </c>
      <c r="C794" s="21" t="s">
        <v>5255</v>
      </c>
      <c r="D794" s="21" t="s">
        <v>11</v>
      </c>
      <c r="E794" s="21" t="s">
        <v>11</v>
      </c>
    </row>
    <row r="795" spans="1:5" s="21" customFormat="1" ht="15.75" hidden="1" customHeight="1">
      <c r="A795" s="21">
        <v>200939</v>
      </c>
      <c r="B795" s="21" t="s">
        <v>653</v>
      </c>
      <c r="C795" s="21" t="s">
        <v>5255</v>
      </c>
      <c r="D795" s="21" t="s">
        <v>11</v>
      </c>
      <c r="E795" s="21" t="s">
        <v>11</v>
      </c>
    </row>
    <row r="796" spans="1:5" s="21" customFormat="1" ht="15.75" hidden="1" customHeight="1">
      <c r="A796" s="21">
        <v>200941</v>
      </c>
      <c r="B796" s="21" t="s">
        <v>654</v>
      </c>
      <c r="C796" s="21" t="s">
        <v>5255</v>
      </c>
      <c r="D796" s="21" t="s">
        <v>11</v>
      </c>
      <c r="E796" s="21" t="s">
        <v>11</v>
      </c>
    </row>
    <row r="797" spans="1:5" s="21" customFormat="1" ht="15.75" hidden="1" customHeight="1">
      <c r="A797" s="21">
        <v>200949</v>
      </c>
      <c r="B797" s="21" t="s">
        <v>655</v>
      </c>
      <c r="C797" s="21" t="s">
        <v>5255</v>
      </c>
      <c r="D797" s="21" t="s">
        <v>11</v>
      </c>
      <c r="E797" s="21" t="s">
        <v>11</v>
      </c>
    </row>
    <row r="798" spans="1:5" s="21" customFormat="1" ht="15.75" hidden="1" customHeight="1">
      <c r="A798" s="21">
        <v>200950</v>
      </c>
      <c r="B798" s="21" t="s">
        <v>656</v>
      </c>
      <c r="C798" s="21" t="s">
        <v>5255</v>
      </c>
      <c r="D798" s="21" t="s">
        <v>11</v>
      </c>
      <c r="E798" s="21" t="s">
        <v>11</v>
      </c>
    </row>
    <row r="799" spans="1:5" s="21" customFormat="1" ht="15.75" hidden="1" customHeight="1">
      <c r="A799" s="21">
        <v>200961</v>
      </c>
      <c r="B799" s="21" t="s">
        <v>657</v>
      </c>
      <c r="C799" s="21" t="s">
        <v>5255</v>
      </c>
      <c r="D799" s="21" t="s">
        <v>11</v>
      </c>
      <c r="E799" s="21" t="s">
        <v>11</v>
      </c>
    </row>
    <row r="800" spans="1:5" s="21" customFormat="1" ht="15.75" hidden="1" customHeight="1">
      <c r="A800" s="21">
        <v>200969</v>
      </c>
      <c r="B800" s="21" t="s">
        <v>658</v>
      </c>
      <c r="C800" s="21" t="s">
        <v>5255</v>
      </c>
      <c r="D800" s="21" t="s">
        <v>11</v>
      </c>
      <c r="E800" s="21" t="s">
        <v>11</v>
      </c>
    </row>
    <row r="801" spans="1:5" s="21" customFormat="1" ht="15.75" hidden="1" customHeight="1">
      <c r="A801" s="21">
        <v>200971</v>
      </c>
      <c r="B801" s="21" t="s">
        <v>659</v>
      </c>
      <c r="C801" s="21" t="s">
        <v>5255</v>
      </c>
      <c r="D801" s="21" t="s">
        <v>11</v>
      </c>
      <c r="E801" s="21" t="s">
        <v>11</v>
      </c>
    </row>
    <row r="802" spans="1:5" s="21" customFormat="1" ht="15.75" hidden="1" customHeight="1">
      <c r="A802" s="21">
        <v>200979</v>
      </c>
      <c r="B802" s="21" t="s">
        <v>660</v>
      </c>
      <c r="C802" s="21" t="s">
        <v>5255</v>
      </c>
      <c r="D802" s="21" t="s">
        <v>11</v>
      </c>
      <c r="E802" s="21" t="s">
        <v>11</v>
      </c>
    </row>
    <row r="803" spans="1:5" s="21" customFormat="1" ht="15.75" hidden="1" customHeight="1">
      <c r="A803" s="21">
        <v>200980</v>
      </c>
      <c r="B803" s="21" t="s">
        <v>661</v>
      </c>
      <c r="C803" s="21" t="s">
        <v>5255</v>
      </c>
      <c r="D803" s="21" t="s">
        <v>11</v>
      </c>
      <c r="E803" s="21" t="s">
        <v>11</v>
      </c>
    </row>
    <row r="804" spans="1:5" s="21" customFormat="1" ht="15.75" hidden="1" customHeight="1">
      <c r="A804" s="21">
        <v>200990</v>
      </c>
      <c r="B804" s="21" t="s">
        <v>662</v>
      </c>
      <c r="C804" s="21" t="s">
        <v>5256</v>
      </c>
      <c r="D804" s="21" t="s">
        <v>11</v>
      </c>
      <c r="E804" s="21" t="s">
        <v>11</v>
      </c>
    </row>
    <row r="805" spans="1:5" s="21" customFormat="1" ht="15.75" hidden="1" customHeight="1">
      <c r="A805" s="21">
        <v>210111</v>
      </c>
      <c r="B805" s="21" t="s">
        <v>663</v>
      </c>
      <c r="C805" s="21" t="s">
        <v>5257</v>
      </c>
      <c r="D805" s="21" t="s">
        <v>11</v>
      </c>
      <c r="E805" s="21" t="s">
        <v>11</v>
      </c>
    </row>
    <row r="806" spans="1:5" s="21" customFormat="1" ht="15.75" hidden="1" customHeight="1">
      <c r="A806" s="21">
        <v>210112</v>
      </c>
      <c r="B806" s="21" t="s">
        <v>664</v>
      </c>
      <c r="C806" s="21" t="s">
        <v>664</v>
      </c>
      <c r="D806" s="21" t="s">
        <v>11</v>
      </c>
      <c r="E806" s="21" t="s">
        <v>11</v>
      </c>
    </row>
    <row r="807" spans="1:5" s="21" customFormat="1" ht="15.75" hidden="1" customHeight="1">
      <c r="A807" s="21">
        <v>210120</v>
      </c>
      <c r="B807" s="21" t="s">
        <v>665</v>
      </c>
      <c r="C807" s="21" t="s">
        <v>5257</v>
      </c>
      <c r="D807" s="21" t="s">
        <v>11</v>
      </c>
      <c r="E807" s="21" t="s">
        <v>11</v>
      </c>
    </row>
    <row r="808" spans="1:5" s="21" customFormat="1" ht="15.75" hidden="1" customHeight="1">
      <c r="A808" s="21">
        <v>210130</v>
      </c>
      <c r="B808" s="21" t="s">
        <v>666</v>
      </c>
      <c r="C808" s="21" t="s">
        <v>5258</v>
      </c>
      <c r="D808" s="21" t="s">
        <v>11</v>
      </c>
      <c r="E808" s="21" t="s">
        <v>11</v>
      </c>
    </row>
    <row r="809" spans="1:5" s="21" customFormat="1" ht="15.75" hidden="1" customHeight="1">
      <c r="A809" s="21">
        <v>210210</v>
      </c>
      <c r="B809" s="21" t="s">
        <v>667</v>
      </c>
      <c r="C809" s="21" t="s">
        <v>5259</v>
      </c>
      <c r="D809" s="21" t="s">
        <v>11</v>
      </c>
      <c r="E809" s="21" t="s">
        <v>11</v>
      </c>
    </row>
    <row r="810" spans="1:5" s="21" customFormat="1" ht="15.75" hidden="1" customHeight="1">
      <c r="A810" s="21">
        <v>210220</v>
      </c>
      <c r="B810" s="21" t="s">
        <v>668</v>
      </c>
      <c r="C810" s="21" t="s">
        <v>5259</v>
      </c>
      <c r="D810" s="21" t="s">
        <v>11</v>
      </c>
      <c r="E810" s="21" t="s">
        <v>11</v>
      </c>
    </row>
    <row r="811" spans="1:5" s="21" customFormat="1" ht="15.75" hidden="1" customHeight="1">
      <c r="A811" s="21">
        <v>210230</v>
      </c>
      <c r="B811" s="21" t="s">
        <v>669</v>
      </c>
      <c r="C811" s="21" t="s">
        <v>5260</v>
      </c>
      <c r="D811" s="21" t="s">
        <v>11</v>
      </c>
      <c r="E811" s="21" t="s">
        <v>11</v>
      </c>
    </row>
    <row r="812" spans="1:5" s="21" customFormat="1" ht="15.75" hidden="1" customHeight="1">
      <c r="A812" s="21">
        <v>210310</v>
      </c>
      <c r="B812" s="21" t="s">
        <v>670</v>
      </c>
      <c r="C812" s="21" t="s">
        <v>5261</v>
      </c>
      <c r="D812" s="21" t="s">
        <v>11</v>
      </c>
      <c r="E812" s="21" t="s">
        <v>11</v>
      </c>
    </row>
    <row r="813" spans="1:5" s="21" customFormat="1" ht="15.75" hidden="1" customHeight="1">
      <c r="A813" s="21">
        <v>210320</v>
      </c>
      <c r="B813" s="21" t="s">
        <v>671</v>
      </c>
      <c r="C813" s="21" t="s">
        <v>5261</v>
      </c>
      <c r="D813" s="21" t="s">
        <v>11</v>
      </c>
      <c r="E813" s="21" t="s">
        <v>11</v>
      </c>
    </row>
    <row r="814" spans="1:5" s="21" customFormat="1" ht="15.75" hidden="1" customHeight="1">
      <c r="A814" s="21">
        <v>210330</v>
      </c>
      <c r="B814" s="21" t="s">
        <v>672</v>
      </c>
      <c r="C814" s="21" t="s">
        <v>672</v>
      </c>
      <c r="D814" s="21" t="s">
        <v>11</v>
      </c>
      <c r="E814" s="21" t="s">
        <v>11</v>
      </c>
    </row>
    <row r="815" spans="1:5" s="21" customFormat="1" ht="15.75" hidden="1" customHeight="1">
      <c r="A815" s="21">
        <v>210390</v>
      </c>
      <c r="B815" s="21" t="s">
        <v>673</v>
      </c>
      <c r="C815" s="21" t="s">
        <v>5262</v>
      </c>
      <c r="D815" s="21" t="s">
        <v>11</v>
      </c>
      <c r="E815" s="21" t="s">
        <v>11</v>
      </c>
    </row>
    <row r="816" spans="1:5" s="21" customFormat="1" ht="15.75" hidden="1" customHeight="1">
      <c r="A816" s="21">
        <v>210410</v>
      </c>
      <c r="B816" s="21" t="s">
        <v>674</v>
      </c>
      <c r="C816" s="21" t="s">
        <v>674</v>
      </c>
      <c r="D816" s="21" t="s">
        <v>11</v>
      </c>
      <c r="E816" s="21" t="s">
        <v>11</v>
      </c>
    </row>
    <row r="817" spans="1:5" s="21" customFormat="1" ht="15.75" hidden="1" customHeight="1">
      <c r="A817" s="21">
        <v>210420</v>
      </c>
      <c r="B817" s="21" t="s">
        <v>675</v>
      </c>
      <c r="C817" s="21" t="s">
        <v>675</v>
      </c>
      <c r="D817" s="21" t="s">
        <v>11</v>
      </c>
      <c r="E817" s="21" t="s">
        <v>11</v>
      </c>
    </row>
    <row r="818" spans="1:5" s="21" customFormat="1" ht="15.75" hidden="1" customHeight="1">
      <c r="A818" s="21">
        <v>210500</v>
      </c>
      <c r="B818" s="21" t="s">
        <v>676</v>
      </c>
      <c r="C818" s="21" t="s">
        <v>5263</v>
      </c>
      <c r="D818" s="21" t="s">
        <v>11</v>
      </c>
      <c r="E818" s="21" t="s">
        <v>11</v>
      </c>
    </row>
    <row r="819" spans="1:5" s="21" customFormat="1" ht="15.75" hidden="1" customHeight="1">
      <c r="A819" s="21">
        <v>210610</v>
      </c>
      <c r="B819" s="21" t="s">
        <v>677</v>
      </c>
      <c r="C819" s="21" t="s">
        <v>5264</v>
      </c>
      <c r="D819" s="21" t="s">
        <v>11</v>
      </c>
      <c r="E819" s="21" t="s">
        <v>11</v>
      </c>
    </row>
    <row r="820" spans="1:5" s="21" customFormat="1" ht="15.75" hidden="1" customHeight="1">
      <c r="A820" s="21">
        <v>210690</v>
      </c>
      <c r="B820" s="21" t="s">
        <v>678</v>
      </c>
      <c r="C820" s="21" t="s">
        <v>5244</v>
      </c>
      <c r="D820" s="21" t="s">
        <v>11</v>
      </c>
      <c r="E820" s="21" t="s">
        <v>11</v>
      </c>
    </row>
    <row r="821" spans="1:5" s="21" customFormat="1" ht="15.75" hidden="1" customHeight="1">
      <c r="A821" s="21">
        <v>220110</v>
      </c>
      <c r="B821" s="21" t="s">
        <v>679</v>
      </c>
      <c r="C821" s="21" t="s">
        <v>5265</v>
      </c>
      <c r="D821" s="21" t="s">
        <v>11</v>
      </c>
      <c r="E821" s="21" t="s">
        <v>11</v>
      </c>
    </row>
    <row r="822" spans="1:5" s="21" customFormat="1" ht="15.75" hidden="1" customHeight="1">
      <c r="A822" s="21">
        <v>220190</v>
      </c>
      <c r="B822" s="21" t="s">
        <v>680</v>
      </c>
      <c r="C822" s="21" t="s">
        <v>5265</v>
      </c>
      <c r="D822" s="21" t="s">
        <v>11</v>
      </c>
      <c r="E822" s="21" t="s">
        <v>11</v>
      </c>
    </row>
    <row r="823" spans="1:5" s="21" customFormat="1" ht="15.75" hidden="1" customHeight="1">
      <c r="A823" s="21">
        <v>220210</v>
      </c>
      <c r="B823" s="21" t="s">
        <v>681</v>
      </c>
      <c r="C823" s="21" t="s">
        <v>5265</v>
      </c>
      <c r="D823" s="21" t="s">
        <v>11</v>
      </c>
      <c r="E823" s="21" t="s">
        <v>11</v>
      </c>
    </row>
    <row r="824" spans="1:5" s="21" customFormat="1" ht="15.75" hidden="1" customHeight="1">
      <c r="A824" s="21">
        <v>220290</v>
      </c>
      <c r="B824" s="21" t="s">
        <v>682</v>
      </c>
      <c r="C824" s="21" t="s">
        <v>5266</v>
      </c>
      <c r="D824" s="21" t="s">
        <v>11</v>
      </c>
      <c r="E824" s="21" t="s">
        <v>11</v>
      </c>
    </row>
    <row r="825" spans="1:5" s="21" customFormat="1" ht="15.75" hidden="1" customHeight="1">
      <c r="A825" s="21">
        <v>220300</v>
      </c>
      <c r="B825" s="21" t="s">
        <v>683</v>
      </c>
      <c r="C825" s="21" t="s">
        <v>5267</v>
      </c>
      <c r="D825" s="21" t="s">
        <v>11</v>
      </c>
      <c r="E825" s="21" t="s">
        <v>11</v>
      </c>
    </row>
    <row r="826" spans="1:5" s="21" customFormat="1" ht="15.75" hidden="1" customHeight="1">
      <c r="A826" s="21">
        <v>220410</v>
      </c>
      <c r="B826" s="21" t="s">
        <v>684</v>
      </c>
      <c r="C826" s="21" t="s">
        <v>5268</v>
      </c>
      <c r="D826" s="21" t="s">
        <v>11</v>
      </c>
      <c r="E826" s="21" t="s">
        <v>11</v>
      </c>
    </row>
    <row r="827" spans="1:5" s="21" customFormat="1" ht="15.75" hidden="1" customHeight="1">
      <c r="A827" s="21">
        <v>220421</v>
      </c>
      <c r="B827" s="21" t="s">
        <v>685</v>
      </c>
      <c r="C827" s="21" t="s">
        <v>5268</v>
      </c>
      <c r="D827" s="21" t="s">
        <v>11</v>
      </c>
      <c r="E827" s="21" t="s">
        <v>11</v>
      </c>
    </row>
    <row r="828" spans="1:5" s="21" customFormat="1" ht="15.75" hidden="1" customHeight="1">
      <c r="A828" s="21">
        <v>220429</v>
      </c>
      <c r="B828" s="21" t="s">
        <v>686</v>
      </c>
      <c r="C828" s="21" t="s">
        <v>5268</v>
      </c>
      <c r="D828" s="21" t="s">
        <v>11</v>
      </c>
      <c r="E828" s="21" t="s">
        <v>11</v>
      </c>
    </row>
    <row r="829" spans="1:5" s="21" customFormat="1" ht="15.75" hidden="1" customHeight="1">
      <c r="A829" s="21">
        <v>220430</v>
      </c>
      <c r="B829" s="21" t="s">
        <v>687</v>
      </c>
      <c r="C829" s="21" t="s">
        <v>5269</v>
      </c>
      <c r="D829" s="21" t="s">
        <v>11</v>
      </c>
      <c r="E829" s="21" t="s">
        <v>11</v>
      </c>
    </row>
    <row r="830" spans="1:5" s="21" customFormat="1" ht="15.75" hidden="1" customHeight="1">
      <c r="A830" s="21">
        <v>220510</v>
      </c>
      <c r="B830" s="21" t="s">
        <v>688</v>
      </c>
      <c r="C830" s="21" t="s">
        <v>688</v>
      </c>
      <c r="D830" s="21" t="s">
        <v>11</v>
      </c>
      <c r="E830" s="21" t="s">
        <v>11</v>
      </c>
    </row>
    <row r="831" spans="1:5" s="21" customFormat="1" ht="15.75" hidden="1" customHeight="1">
      <c r="A831" s="21">
        <v>220590</v>
      </c>
      <c r="B831" s="21" t="s">
        <v>689</v>
      </c>
      <c r="C831" s="21" t="s">
        <v>689</v>
      </c>
      <c r="D831" s="21" t="s">
        <v>11</v>
      </c>
      <c r="E831" s="21" t="s">
        <v>11</v>
      </c>
    </row>
    <row r="832" spans="1:5" s="21" customFormat="1" ht="15.75" hidden="1" customHeight="1">
      <c r="A832" s="21">
        <v>220600</v>
      </c>
      <c r="B832" s="21" t="s">
        <v>690</v>
      </c>
      <c r="C832" s="21" t="s">
        <v>5270</v>
      </c>
      <c r="D832" s="21" t="s">
        <v>11</v>
      </c>
      <c r="E832" s="21" t="s">
        <v>11</v>
      </c>
    </row>
    <row r="833" spans="1:5" s="21" customFormat="1" ht="15.75" hidden="1" customHeight="1">
      <c r="A833" s="21">
        <v>220710</v>
      </c>
      <c r="B833" s="21" t="s">
        <v>691</v>
      </c>
      <c r="C833" s="21" t="s">
        <v>5271</v>
      </c>
      <c r="D833" s="21" t="s">
        <v>11</v>
      </c>
      <c r="E833" s="21" t="s">
        <v>11</v>
      </c>
    </row>
    <row r="834" spans="1:5" s="21" customFormat="1" ht="15.75" hidden="1" customHeight="1">
      <c r="A834" s="21">
        <v>220720</v>
      </c>
      <c r="B834" s="21" t="s">
        <v>692</v>
      </c>
      <c r="C834" s="21" t="s">
        <v>5272</v>
      </c>
      <c r="D834" s="21" t="s">
        <v>11</v>
      </c>
      <c r="E834" s="21" t="s">
        <v>11</v>
      </c>
    </row>
    <row r="835" spans="1:5" s="21" customFormat="1" ht="15.75" hidden="1" customHeight="1">
      <c r="A835" s="21">
        <v>220820</v>
      </c>
      <c r="B835" s="21" t="s">
        <v>693</v>
      </c>
      <c r="C835" s="21" t="s">
        <v>693</v>
      </c>
      <c r="D835" s="21" t="s">
        <v>11</v>
      </c>
      <c r="E835" s="21" t="s">
        <v>11</v>
      </c>
    </row>
    <row r="836" spans="1:5" s="21" customFormat="1" ht="15.75" hidden="1" customHeight="1">
      <c r="A836" s="21">
        <v>220830</v>
      </c>
      <c r="B836" s="21" t="s">
        <v>694</v>
      </c>
      <c r="C836" s="21" t="s">
        <v>694</v>
      </c>
      <c r="D836" s="21" t="s">
        <v>11</v>
      </c>
      <c r="E836" s="21" t="s">
        <v>11</v>
      </c>
    </row>
    <row r="837" spans="1:5" s="21" customFormat="1" ht="15.75" hidden="1" customHeight="1">
      <c r="A837" s="21">
        <v>220840</v>
      </c>
      <c r="B837" s="21" t="s">
        <v>695</v>
      </c>
      <c r="C837" s="21" t="s">
        <v>695</v>
      </c>
      <c r="D837" s="21" t="s">
        <v>11</v>
      </c>
      <c r="E837" s="21" t="s">
        <v>11</v>
      </c>
    </row>
    <row r="838" spans="1:5" s="21" customFormat="1" ht="15.75" hidden="1" customHeight="1">
      <c r="A838" s="21">
        <v>220850</v>
      </c>
      <c r="B838" s="21" t="s">
        <v>696</v>
      </c>
      <c r="C838" s="21" t="s">
        <v>696</v>
      </c>
      <c r="D838" s="21" t="s">
        <v>11</v>
      </c>
      <c r="E838" s="21" t="s">
        <v>11</v>
      </c>
    </row>
    <row r="839" spans="1:5" s="21" customFormat="1" ht="15.75" hidden="1" customHeight="1">
      <c r="A839" s="21">
        <v>220860</v>
      </c>
      <c r="B839" s="21" t="s">
        <v>697</v>
      </c>
      <c r="C839" s="21" t="s">
        <v>697</v>
      </c>
      <c r="D839" s="21" t="s">
        <v>11</v>
      </c>
      <c r="E839" s="21" t="s">
        <v>11</v>
      </c>
    </row>
    <row r="840" spans="1:5" s="21" customFormat="1" ht="15.75" hidden="1" customHeight="1">
      <c r="A840" s="21">
        <v>220870</v>
      </c>
      <c r="B840" s="21" t="s">
        <v>698</v>
      </c>
      <c r="C840" s="21" t="s">
        <v>698</v>
      </c>
      <c r="D840" s="21" t="s">
        <v>11</v>
      </c>
      <c r="E840" s="21" t="s">
        <v>11</v>
      </c>
    </row>
    <row r="841" spans="1:5" s="21" customFormat="1" ht="15.75" hidden="1" customHeight="1">
      <c r="A841" s="21">
        <v>220890</v>
      </c>
      <c r="B841" s="21" t="s">
        <v>699</v>
      </c>
      <c r="C841" s="21" t="s">
        <v>5273</v>
      </c>
      <c r="D841" s="21" t="s">
        <v>11</v>
      </c>
      <c r="E841" s="21" t="s">
        <v>11</v>
      </c>
    </row>
    <row r="842" spans="1:5" s="21" customFormat="1" ht="15.75" hidden="1" customHeight="1">
      <c r="A842" s="21">
        <v>220900</v>
      </c>
      <c r="B842" s="21" t="s">
        <v>700</v>
      </c>
      <c r="C842" s="21" t="s">
        <v>5274</v>
      </c>
      <c r="D842" s="21" t="s">
        <v>11</v>
      </c>
      <c r="E842" s="21" t="s">
        <v>11</v>
      </c>
    </row>
    <row r="843" spans="1:5" s="21" customFormat="1" ht="15.75" hidden="1" customHeight="1">
      <c r="A843" s="21">
        <v>230110</v>
      </c>
      <c r="B843" s="21" t="s">
        <v>701</v>
      </c>
      <c r="C843" s="21" t="s">
        <v>5275</v>
      </c>
      <c r="D843" s="21" t="s">
        <v>11</v>
      </c>
      <c r="E843" s="21" t="s">
        <v>11</v>
      </c>
    </row>
    <row r="844" spans="1:5" s="21" customFormat="1" ht="15.75" hidden="1" customHeight="1">
      <c r="A844" s="21">
        <v>230120</v>
      </c>
      <c r="B844" s="21" t="s">
        <v>702</v>
      </c>
      <c r="C844" s="21" t="s">
        <v>5275</v>
      </c>
      <c r="D844" s="21" t="s">
        <v>11</v>
      </c>
      <c r="E844" s="21" t="s">
        <v>11</v>
      </c>
    </row>
    <row r="845" spans="1:5" s="21" customFormat="1" ht="15.75" hidden="1" customHeight="1">
      <c r="A845" s="21">
        <v>230210</v>
      </c>
      <c r="B845" s="21" t="s">
        <v>703</v>
      </c>
      <c r="C845" s="21" t="s">
        <v>5276</v>
      </c>
      <c r="D845" s="21" t="s">
        <v>11</v>
      </c>
      <c r="E845" s="21" t="s">
        <v>11</v>
      </c>
    </row>
    <row r="846" spans="1:5" s="21" customFormat="1" ht="15.75" hidden="1" customHeight="1">
      <c r="A846" s="21">
        <v>230230</v>
      </c>
      <c r="B846" s="21" t="s">
        <v>704</v>
      </c>
      <c r="C846" s="21" t="s">
        <v>5276</v>
      </c>
      <c r="D846" s="21" t="s">
        <v>11</v>
      </c>
      <c r="E846" s="21" t="s">
        <v>11</v>
      </c>
    </row>
    <row r="847" spans="1:5" s="21" customFormat="1" ht="15.75" hidden="1" customHeight="1">
      <c r="A847" s="21">
        <v>230240</v>
      </c>
      <c r="B847" s="21" t="s">
        <v>705</v>
      </c>
      <c r="C847" s="21" t="s">
        <v>5276</v>
      </c>
      <c r="D847" s="21" t="s">
        <v>11</v>
      </c>
      <c r="E847" s="21" t="s">
        <v>11</v>
      </c>
    </row>
    <row r="848" spans="1:5" s="21" customFormat="1" ht="15.75" hidden="1" customHeight="1">
      <c r="A848" s="21">
        <v>230250</v>
      </c>
      <c r="B848" s="21" t="s">
        <v>706</v>
      </c>
      <c r="C848" s="21" t="s">
        <v>5276</v>
      </c>
      <c r="D848" s="21" t="s">
        <v>11</v>
      </c>
      <c r="E848" s="21" t="s">
        <v>11</v>
      </c>
    </row>
    <row r="849" spans="1:5" s="21" customFormat="1" ht="15.75" hidden="1" customHeight="1">
      <c r="A849" s="21">
        <v>230310</v>
      </c>
      <c r="B849" s="21" t="s">
        <v>707</v>
      </c>
      <c r="C849" s="21" t="s">
        <v>5277</v>
      </c>
      <c r="D849" s="21" t="s">
        <v>11</v>
      </c>
      <c r="E849" s="21" t="s">
        <v>11</v>
      </c>
    </row>
    <row r="850" spans="1:5" s="21" customFormat="1" ht="15.75" hidden="1" customHeight="1">
      <c r="A850" s="21">
        <v>230320</v>
      </c>
      <c r="B850" s="21" t="s">
        <v>708</v>
      </c>
      <c r="C850" s="21" t="s">
        <v>5278</v>
      </c>
      <c r="D850" s="21" t="s">
        <v>11</v>
      </c>
      <c r="E850" s="21" t="s">
        <v>11</v>
      </c>
    </row>
    <row r="851" spans="1:5" s="21" customFormat="1" ht="15.75" hidden="1" customHeight="1">
      <c r="A851" s="21">
        <v>230330</v>
      </c>
      <c r="B851" s="21" t="s">
        <v>709</v>
      </c>
      <c r="C851" s="21" t="s">
        <v>5279</v>
      </c>
      <c r="D851" s="21" t="s">
        <v>11</v>
      </c>
      <c r="E851" s="21" t="s">
        <v>11</v>
      </c>
    </row>
    <row r="852" spans="1:5" s="21" customFormat="1" ht="15.75" hidden="1" customHeight="1">
      <c r="A852" s="21">
        <v>230400</v>
      </c>
      <c r="B852" s="21" t="s">
        <v>710</v>
      </c>
      <c r="C852" s="21" t="s">
        <v>5280</v>
      </c>
      <c r="D852" s="21" t="s">
        <v>11</v>
      </c>
      <c r="E852" s="21" t="s">
        <v>11</v>
      </c>
    </row>
    <row r="853" spans="1:5" s="21" customFormat="1" ht="15.75" hidden="1" customHeight="1">
      <c r="A853" s="21">
        <v>230500</v>
      </c>
      <c r="B853" s="21" t="s">
        <v>711</v>
      </c>
      <c r="C853" s="21" t="s">
        <v>5280</v>
      </c>
      <c r="D853" s="21" t="s">
        <v>11</v>
      </c>
      <c r="E853" s="21" t="s">
        <v>11</v>
      </c>
    </row>
    <row r="854" spans="1:5" s="21" customFormat="1" ht="15.75" hidden="1" customHeight="1">
      <c r="A854" s="21">
        <v>230610</v>
      </c>
      <c r="B854" s="21" t="s">
        <v>712</v>
      </c>
      <c r="C854" s="21" t="s">
        <v>5280</v>
      </c>
      <c r="D854" s="21" t="s">
        <v>11</v>
      </c>
      <c r="E854" s="21" t="s">
        <v>11</v>
      </c>
    </row>
    <row r="855" spans="1:5" s="21" customFormat="1" ht="15.75" hidden="1" customHeight="1">
      <c r="A855" s="21">
        <v>230620</v>
      </c>
      <c r="B855" s="21" t="s">
        <v>713</v>
      </c>
      <c r="C855" s="21" t="s">
        <v>5280</v>
      </c>
      <c r="D855" s="21" t="s">
        <v>11</v>
      </c>
      <c r="E855" s="21" t="s">
        <v>11</v>
      </c>
    </row>
    <row r="856" spans="1:5" s="21" customFormat="1" ht="15.75" hidden="1" customHeight="1">
      <c r="A856" s="21">
        <v>230630</v>
      </c>
      <c r="B856" s="21" t="s">
        <v>714</v>
      </c>
      <c r="C856" s="21" t="s">
        <v>5280</v>
      </c>
      <c r="D856" s="21" t="s">
        <v>11</v>
      </c>
      <c r="E856" s="21" t="s">
        <v>11</v>
      </c>
    </row>
    <row r="857" spans="1:5" s="21" customFormat="1" ht="15.75" hidden="1" customHeight="1">
      <c r="A857" s="21">
        <v>230641</v>
      </c>
      <c r="B857" s="21" t="s">
        <v>715</v>
      </c>
      <c r="C857" s="21" t="s">
        <v>5280</v>
      </c>
      <c r="D857" s="21" t="s">
        <v>11</v>
      </c>
      <c r="E857" s="21" t="s">
        <v>11</v>
      </c>
    </row>
    <row r="858" spans="1:5" s="21" customFormat="1" ht="15.75" hidden="1" customHeight="1">
      <c r="A858" s="21">
        <v>230649</v>
      </c>
      <c r="B858" s="21" t="s">
        <v>716</v>
      </c>
      <c r="C858" s="21" t="s">
        <v>5280</v>
      </c>
      <c r="D858" s="21" t="s">
        <v>11</v>
      </c>
      <c r="E858" s="21" t="s">
        <v>11</v>
      </c>
    </row>
    <row r="859" spans="1:5" s="21" customFormat="1" ht="15.75" hidden="1" customHeight="1">
      <c r="A859" s="21">
        <v>230650</v>
      </c>
      <c r="B859" s="21" t="s">
        <v>717</v>
      </c>
      <c r="C859" s="21" t="s">
        <v>5280</v>
      </c>
      <c r="D859" s="21" t="s">
        <v>11</v>
      </c>
      <c r="E859" s="21" t="s">
        <v>11</v>
      </c>
    </row>
    <row r="860" spans="1:5" s="21" customFormat="1" ht="15.75" hidden="1" customHeight="1">
      <c r="A860" s="21">
        <v>230660</v>
      </c>
      <c r="B860" s="21" t="s">
        <v>718</v>
      </c>
      <c r="C860" s="21" t="s">
        <v>5280</v>
      </c>
      <c r="D860" s="21" t="s">
        <v>11</v>
      </c>
      <c r="E860" s="21" t="s">
        <v>11</v>
      </c>
    </row>
    <row r="861" spans="1:5" s="21" customFormat="1" ht="15.75" hidden="1" customHeight="1">
      <c r="A861" s="21">
        <v>230690</v>
      </c>
      <c r="B861" s="21" t="s">
        <v>719</v>
      </c>
      <c r="C861" s="21" t="s">
        <v>5280</v>
      </c>
      <c r="D861" s="21" t="s">
        <v>11</v>
      </c>
      <c r="E861" s="21" t="s">
        <v>11</v>
      </c>
    </row>
    <row r="862" spans="1:5" s="21" customFormat="1" ht="15.75" hidden="1" customHeight="1">
      <c r="A862" s="21">
        <v>230700</v>
      </c>
      <c r="B862" s="21" t="s">
        <v>720</v>
      </c>
      <c r="C862" s="21" t="s">
        <v>5281</v>
      </c>
      <c r="D862" s="21" t="s">
        <v>11</v>
      </c>
      <c r="E862" s="21" t="s">
        <v>11</v>
      </c>
    </row>
    <row r="863" spans="1:5" s="21" customFormat="1" ht="15.75" hidden="1" customHeight="1">
      <c r="A863" s="21">
        <v>230800</v>
      </c>
      <c r="B863" s="21" t="s">
        <v>721</v>
      </c>
      <c r="C863" s="21" t="s">
        <v>5282</v>
      </c>
      <c r="D863" s="21" t="s">
        <v>11</v>
      </c>
      <c r="E863" s="21" t="s">
        <v>11</v>
      </c>
    </row>
    <row r="864" spans="1:5" s="21" customFormat="1" ht="15.75" hidden="1" customHeight="1">
      <c r="A864" s="21">
        <v>230910</v>
      </c>
      <c r="B864" s="21" t="s">
        <v>722</v>
      </c>
      <c r="C864" s="21" t="s">
        <v>5283</v>
      </c>
      <c r="D864" s="21" t="s">
        <v>11</v>
      </c>
      <c r="E864" s="21" t="s">
        <v>11</v>
      </c>
    </row>
    <row r="865" spans="1:5" s="21" customFormat="1" ht="15.75" hidden="1" customHeight="1">
      <c r="A865" s="21">
        <v>230990</v>
      </c>
      <c r="B865" s="21" t="s">
        <v>723</v>
      </c>
      <c r="C865" s="21" t="s">
        <v>5283</v>
      </c>
      <c r="D865" s="21" t="s">
        <v>11</v>
      </c>
      <c r="E865" s="21" t="s">
        <v>11</v>
      </c>
    </row>
    <row r="866" spans="1:5" s="21" customFormat="1" ht="15.75" hidden="1" customHeight="1">
      <c r="A866" s="21">
        <v>240110</v>
      </c>
      <c r="B866" s="21" t="s">
        <v>724</v>
      </c>
      <c r="C866" s="21" t="s">
        <v>724</v>
      </c>
      <c r="D866" s="21" t="s">
        <v>11</v>
      </c>
      <c r="E866" s="21" t="s">
        <v>11</v>
      </c>
    </row>
    <row r="867" spans="1:5" s="21" customFormat="1" ht="15.75" hidden="1" customHeight="1">
      <c r="A867" s="21">
        <v>240120</v>
      </c>
      <c r="B867" s="21" t="s">
        <v>725</v>
      </c>
      <c r="C867" s="21" t="s">
        <v>5284</v>
      </c>
      <c r="D867" s="21" t="s">
        <v>11</v>
      </c>
      <c r="E867" s="21" t="s">
        <v>11</v>
      </c>
    </row>
    <row r="868" spans="1:5" s="21" customFormat="1" ht="15.75" hidden="1" customHeight="1">
      <c r="A868" s="21">
        <v>240130</v>
      </c>
      <c r="B868" s="21" t="s">
        <v>726</v>
      </c>
      <c r="C868" s="21" t="s">
        <v>726</v>
      </c>
      <c r="D868" s="21" t="s">
        <v>11</v>
      </c>
      <c r="E868" s="21" t="s">
        <v>11</v>
      </c>
    </row>
    <row r="869" spans="1:5" s="21" customFormat="1" ht="15.75" hidden="1" customHeight="1">
      <c r="A869" s="21">
        <v>240210</v>
      </c>
      <c r="B869" s="21" t="s">
        <v>727</v>
      </c>
      <c r="C869" s="21" t="s">
        <v>5285</v>
      </c>
      <c r="D869" s="21" t="s">
        <v>11</v>
      </c>
      <c r="E869" s="21" t="s">
        <v>11</v>
      </c>
    </row>
    <row r="870" spans="1:5" s="21" customFormat="1" ht="15.75" hidden="1" customHeight="1">
      <c r="A870" s="21">
        <v>240220</v>
      </c>
      <c r="B870" s="21" t="s">
        <v>728</v>
      </c>
      <c r="C870" s="21" t="s">
        <v>5286</v>
      </c>
      <c r="D870" s="21" t="s">
        <v>11</v>
      </c>
      <c r="E870" s="21" t="s">
        <v>11</v>
      </c>
    </row>
    <row r="871" spans="1:5" s="21" customFormat="1" ht="15.75" hidden="1" customHeight="1">
      <c r="A871" s="21">
        <v>240290</v>
      </c>
      <c r="B871" s="21" t="s">
        <v>729</v>
      </c>
      <c r="C871" s="21" t="s">
        <v>5287</v>
      </c>
      <c r="D871" s="21" t="s">
        <v>11</v>
      </c>
      <c r="E871" s="21" t="s">
        <v>11</v>
      </c>
    </row>
    <row r="872" spans="1:5" s="21" customFormat="1" ht="15.75" hidden="1" customHeight="1">
      <c r="A872" s="21">
        <v>240310</v>
      </c>
      <c r="B872" s="21" t="s">
        <v>730</v>
      </c>
      <c r="C872" s="21" t="s">
        <v>5288</v>
      </c>
      <c r="D872" s="21" t="s">
        <v>11</v>
      </c>
      <c r="E872" s="21" t="s">
        <v>11</v>
      </c>
    </row>
    <row r="873" spans="1:5" s="21" customFormat="1" ht="15.75" hidden="1" customHeight="1">
      <c r="A873" s="21">
        <v>240391</v>
      </c>
      <c r="B873" s="21" t="s">
        <v>731</v>
      </c>
      <c r="C873" s="21" t="s">
        <v>5284</v>
      </c>
      <c r="D873" s="21" t="s">
        <v>11</v>
      </c>
      <c r="E873" s="21" t="s">
        <v>11</v>
      </c>
    </row>
    <row r="874" spans="1:5" s="21" customFormat="1" ht="15.75" hidden="1" customHeight="1">
      <c r="A874" s="21">
        <v>240399</v>
      </c>
      <c r="B874" s="21" t="s">
        <v>732</v>
      </c>
      <c r="C874" s="21" t="s">
        <v>5284</v>
      </c>
      <c r="D874" s="21" t="s">
        <v>11</v>
      </c>
      <c r="E874" s="21" t="s">
        <v>11</v>
      </c>
    </row>
    <row r="875" spans="1:5" s="21" customFormat="1" ht="15.75" hidden="1" customHeight="1">
      <c r="A875" s="21">
        <v>250100</v>
      </c>
      <c r="B875" s="21" t="s">
        <v>733</v>
      </c>
      <c r="C875" s="21" t="s">
        <v>5289</v>
      </c>
      <c r="D875" s="21" t="s">
        <v>11</v>
      </c>
      <c r="E875" s="21" t="s">
        <v>11</v>
      </c>
    </row>
    <row r="876" spans="1:5" s="21" customFormat="1" ht="15.75" hidden="1" customHeight="1">
      <c r="A876" s="21">
        <v>250200</v>
      </c>
      <c r="B876" s="21" t="s">
        <v>734</v>
      </c>
      <c r="C876" s="21" t="s">
        <v>5290</v>
      </c>
      <c r="D876" s="21" t="s">
        <v>11</v>
      </c>
      <c r="E876" s="21" t="s">
        <v>11</v>
      </c>
    </row>
    <row r="877" spans="1:5" s="21" customFormat="1" ht="15.75" hidden="1" customHeight="1">
      <c r="A877" s="21">
        <v>250300</v>
      </c>
      <c r="B877" s="21" t="s">
        <v>735</v>
      </c>
      <c r="C877" s="21" t="s">
        <v>5291</v>
      </c>
      <c r="D877" s="21" t="s">
        <v>11</v>
      </c>
      <c r="E877" s="21" t="s">
        <v>11</v>
      </c>
    </row>
    <row r="878" spans="1:5" s="21" customFormat="1" ht="15.75" hidden="1" customHeight="1">
      <c r="A878" s="21">
        <v>250410</v>
      </c>
      <c r="B878" s="21" t="s">
        <v>736</v>
      </c>
      <c r="C878" s="21" t="s">
        <v>5292</v>
      </c>
      <c r="D878" s="21" t="s">
        <v>11</v>
      </c>
      <c r="E878" s="21" t="s">
        <v>11</v>
      </c>
    </row>
    <row r="879" spans="1:5" s="21" customFormat="1" ht="15.75" hidden="1" customHeight="1">
      <c r="A879" s="21">
        <v>250490</v>
      </c>
      <c r="B879" s="21" t="s">
        <v>737</v>
      </c>
      <c r="C879" s="21" t="s">
        <v>5292</v>
      </c>
      <c r="D879" s="21" t="s">
        <v>11</v>
      </c>
      <c r="E879" s="21" t="s">
        <v>11</v>
      </c>
    </row>
    <row r="880" spans="1:5" s="21" customFormat="1" ht="15.75" hidden="1" customHeight="1">
      <c r="A880" s="21">
        <v>250510</v>
      </c>
      <c r="B880" s="21" t="s">
        <v>738</v>
      </c>
      <c r="C880" s="21" t="s">
        <v>5293</v>
      </c>
      <c r="D880" s="21" t="s">
        <v>11</v>
      </c>
      <c r="E880" s="21" t="s">
        <v>11</v>
      </c>
    </row>
    <row r="881" spans="1:5" s="21" customFormat="1" ht="15.75" hidden="1" customHeight="1">
      <c r="A881" s="21">
        <v>250590</v>
      </c>
      <c r="B881" s="21" t="s">
        <v>739</v>
      </c>
      <c r="C881" s="21" t="s">
        <v>5293</v>
      </c>
      <c r="D881" s="21" t="s">
        <v>11</v>
      </c>
      <c r="E881" s="21" t="s">
        <v>11</v>
      </c>
    </row>
    <row r="882" spans="1:5" s="21" customFormat="1" ht="15.75" hidden="1" customHeight="1">
      <c r="A882" s="21">
        <v>250610</v>
      </c>
      <c r="B882" s="21" t="s">
        <v>740</v>
      </c>
      <c r="C882" s="21" t="s">
        <v>5294</v>
      </c>
      <c r="D882" s="21" t="s">
        <v>11</v>
      </c>
      <c r="E882" s="21" t="s">
        <v>11</v>
      </c>
    </row>
    <row r="883" spans="1:5" s="21" customFormat="1" ht="15.75" hidden="1" customHeight="1">
      <c r="A883" s="21">
        <v>250620</v>
      </c>
      <c r="B883" s="21" t="s">
        <v>741</v>
      </c>
      <c r="C883" s="21" t="s">
        <v>5295</v>
      </c>
      <c r="D883" s="21" t="s">
        <v>11</v>
      </c>
      <c r="E883" s="21" t="s">
        <v>11</v>
      </c>
    </row>
    <row r="884" spans="1:5" s="21" customFormat="1" ht="15.75" hidden="1" customHeight="1">
      <c r="A884" s="21">
        <v>250700</v>
      </c>
      <c r="B884" s="21" t="s">
        <v>742</v>
      </c>
      <c r="C884" s="21" t="s">
        <v>5296</v>
      </c>
      <c r="D884" s="21" t="s">
        <v>11</v>
      </c>
      <c r="E884" s="21" t="s">
        <v>11</v>
      </c>
    </row>
    <row r="885" spans="1:5" s="21" customFormat="1" ht="15.75" hidden="1" customHeight="1">
      <c r="A885" s="21">
        <v>250810</v>
      </c>
      <c r="B885" s="21" t="s">
        <v>743</v>
      </c>
      <c r="C885" s="21" t="s">
        <v>5297</v>
      </c>
      <c r="D885" s="21" t="s">
        <v>11</v>
      </c>
      <c r="E885" s="21" t="s">
        <v>11</v>
      </c>
    </row>
    <row r="886" spans="1:5" s="21" customFormat="1" ht="15.75" hidden="1" customHeight="1">
      <c r="A886" s="21">
        <v>250830</v>
      </c>
      <c r="B886" s="21" t="s">
        <v>744</v>
      </c>
      <c r="C886" s="21" t="s">
        <v>5297</v>
      </c>
      <c r="D886" s="21" t="s">
        <v>11</v>
      </c>
      <c r="E886" s="21" t="s">
        <v>11</v>
      </c>
    </row>
    <row r="887" spans="1:5" s="21" customFormat="1" ht="15.75" hidden="1" customHeight="1">
      <c r="A887" s="21">
        <v>250840</v>
      </c>
      <c r="B887" s="21" t="s">
        <v>745</v>
      </c>
      <c r="C887" s="21" t="s">
        <v>5297</v>
      </c>
      <c r="D887" s="21" t="s">
        <v>11</v>
      </c>
      <c r="E887" s="21" t="s">
        <v>11</v>
      </c>
    </row>
    <row r="888" spans="1:5" s="21" customFormat="1" ht="15.75" hidden="1" customHeight="1">
      <c r="A888" s="21">
        <v>250850</v>
      </c>
      <c r="B888" s="21" t="s">
        <v>746</v>
      </c>
      <c r="C888" s="21" t="s">
        <v>5297</v>
      </c>
      <c r="D888" s="21" t="s">
        <v>11</v>
      </c>
      <c r="E888" s="21" t="s">
        <v>11</v>
      </c>
    </row>
    <row r="889" spans="1:5" s="21" customFormat="1" ht="15.75" hidden="1" customHeight="1">
      <c r="A889" s="21">
        <v>250860</v>
      </c>
      <c r="B889" s="21" t="s">
        <v>747</v>
      </c>
      <c r="C889" s="21" t="s">
        <v>5297</v>
      </c>
      <c r="D889" s="21" t="s">
        <v>11</v>
      </c>
      <c r="E889" s="21" t="s">
        <v>11</v>
      </c>
    </row>
    <row r="890" spans="1:5" s="21" customFormat="1" ht="15.75" hidden="1" customHeight="1">
      <c r="A890" s="21">
        <v>250870</v>
      </c>
      <c r="B890" s="21" t="s">
        <v>748</v>
      </c>
      <c r="C890" s="21" t="s">
        <v>5297</v>
      </c>
      <c r="D890" s="21" t="s">
        <v>11</v>
      </c>
      <c r="E890" s="21" t="s">
        <v>11</v>
      </c>
    </row>
    <row r="891" spans="1:5" s="21" customFormat="1" ht="15.75" hidden="1" customHeight="1">
      <c r="A891" s="21">
        <v>250900</v>
      </c>
      <c r="B891" s="21" t="s">
        <v>749</v>
      </c>
      <c r="C891" s="21" t="s">
        <v>749</v>
      </c>
      <c r="D891" s="21" t="s">
        <v>11</v>
      </c>
      <c r="E891" s="21" t="s">
        <v>11</v>
      </c>
    </row>
    <row r="892" spans="1:5" s="21" customFormat="1" ht="15.75" hidden="1" customHeight="1">
      <c r="A892" s="21">
        <v>251010</v>
      </c>
      <c r="B892" s="21" t="s">
        <v>750</v>
      </c>
      <c r="C892" s="21" t="s">
        <v>5298</v>
      </c>
      <c r="D892" s="21" t="s">
        <v>11</v>
      </c>
      <c r="E892" s="21" t="s">
        <v>11</v>
      </c>
    </row>
    <row r="893" spans="1:5" s="21" customFormat="1" ht="15.75" hidden="1" customHeight="1">
      <c r="A893" s="21">
        <v>251020</v>
      </c>
      <c r="B893" s="21" t="s">
        <v>751</v>
      </c>
      <c r="C893" s="21" t="s">
        <v>5298</v>
      </c>
      <c r="D893" s="21" t="s">
        <v>11</v>
      </c>
      <c r="E893" s="21" t="s">
        <v>11</v>
      </c>
    </row>
    <row r="894" spans="1:5" s="21" customFormat="1" ht="15.75" hidden="1" customHeight="1">
      <c r="A894" s="21">
        <v>251110</v>
      </c>
      <c r="B894" s="21" t="s">
        <v>752</v>
      </c>
      <c r="C894" s="21" t="s">
        <v>5299</v>
      </c>
      <c r="D894" s="21" t="s">
        <v>11</v>
      </c>
      <c r="E894" s="21" t="s">
        <v>11</v>
      </c>
    </row>
    <row r="895" spans="1:5" s="21" customFormat="1" ht="15.75" hidden="1" customHeight="1">
      <c r="A895" s="21">
        <v>251120</v>
      </c>
      <c r="B895" s="21" t="s">
        <v>753</v>
      </c>
      <c r="C895" s="21" t="s">
        <v>5300</v>
      </c>
      <c r="D895" s="21" t="s">
        <v>11</v>
      </c>
      <c r="E895" s="21" t="s">
        <v>11</v>
      </c>
    </row>
    <row r="896" spans="1:5" s="21" customFormat="1" ht="15.75" hidden="1" customHeight="1">
      <c r="A896" s="21">
        <v>251200</v>
      </c>
      <c r="B896" s="21" t="s">
        <v>754</v>
      </c>
      <c r="C896" s="21" t="s">
        <v>5301</v>
      </c>
      <c r="D896" s="21" t="s">
        <v>11</v>
      </c>
      <c r="E896" s="21" t="s">
        <v>11</v>
      </c>
    </row>
    <row r="897" spans="1:5" s="21" customFormat="1" ht="15.75" hidden="1" customHeight="1">
      <c r="A897" s="21">
        <v>251310</v>
      </c>
      <c r="B897" s="21" t="s">
        <v>755</v>
      </c>
      <c r="C897" s="21" t="s">
        <v>755</v>
      </c>
      <c r="D897" s="21" t="s">
        <v>11</v>
      </c>
      <c r="E897" s="21" t="s">
        <v>11</v>
      </c>
    </row>
    <row r="898" spans="1:5" s="21" customFormat="1" ht="15.75" hidden="1" customHeight="1">
      <c r="A898" s="21">
        <v>251320</v>
      </c>
      <c r="B898" s="21" t="s">
        <v>756</v>
      </c>
      <c r="C898" s="21" t="s">
        <v>756</v>
      </c>
      <c r="D898" s="21" t="s">
        <v>11</v>
      </c>
      <c r="E898" s="21" t="s">
        <v>11</v>
      </c>
    </row>
    <row r="899" spans="1:5" s="21" customFormat="1" ht="15.75" hidden="1" customHeight="1">
      <c r="A899" s="21">
        <v>251400</v>
      </c>
      <c r="B899" s="21" t="s">
        <v>757</v>
      </c>
      <c r="C899" s="21" t="s">
        <v>5302</v>
      </c>
      <c r="D899" s="21" t="s">
        <v>11</v>
      </c>
      <c r="E899" s="21" t="s">
        <v>11</v>
      </c>
    </row>
    <row r="900" spans="1:5" s="21" customFormat="1" ht="15.75" hidden="1" customHeight="1">
      <c r="A900" s="21">
        <v>251511</v>
      </c>
      <c r="B900" s="21" t="s">
        <v>758</v>
      </c>
      <c r="C900" s="21" t="s">
        <v>5303</v>
      </c>
      <c r="D900" s="21" t="s">
        <v>11</v>
      </c>
      <c r="E900" s="21" t="s">
        <v>11</v>
      </c>
    </row>
    <row r="901" spans="1:5" s="21" customFormat="1" ht="15.75" hidden="1" customHeight="1">
      <c r="A901" s="21">
        <v>251512</v>
      </c>
      <c r="B901" s="21" t="s">
        <v>759</v>
      </c>
      <c r="C901" s="21" t="s">
        <v>5303</v>
      </c>
      <c r="D901" s="21" t="s">
        <v>11</v>
      </c>
      <c r="E901" s="21" t="s">
        <v>11</v>
      </c>
    </row>
    <row r="902" spans="1:5" s="21" customFormat="1" ht="15.75" hidden="1" customHeight="1">
      <c r="A902" s="21">
        <v>251520</v>
      </c>
      <c r="B902" s="21" t="s">
        <v>760</v>
      </c>
      <c r="C902" s="21" t="s">
        <v>5304</v>
      </c>
      <c r="D902" s="21" t="s">
        <v>11</v>
      </c>
      <c r="E902" s="21" t="s">
        <v>11</v>
      </c>
    </row>
    <row r="903" spans="1:5" s="21" customFormat="1" ht="15.75" hidden="1" customHeight="1">
      <c r="A903" s="21">
        <v>251611</v>
      </c>
      <c r="B903" s="21" t="s">
        <v>761</v>
      </c>
      <c r="C903" s="21" t="s">
        <v>5305</v>
      </c>
      <c r="D903" s="21" t="s">
        <v>11</v>
      </c>
      <c r="E903" s="21" t="s">
        <v>11</v>
      </c>
    </row>
    <row r="904" spans="1:5" s="21" customFormat="1" ht="15.75" hidden="1" customHeight="1">
      <c r="A904" s="21">
        <v>251612</v>
      </c>
      <c r="B904" s="21" t="s">
        <v>762</v>
      </c>
      <c r="C904" s="21" t="s">
        <v>5305</v>
      </c>
      <c r="D904" s="21" t="s">
        <v>11</v>
      </c>
      <c r="E904" s="21" t="s">
        <v>11</v>
      </c>
    </row>
    <row r="905" spans="1:5" s="21" customFormat="1" ht="15.75" hidden="1" customHeight="1">
      <c r="A905" s="21">
        <v>251620</v>
      </c>
      <c r="B905" s="21" t="s">
        <v>763</v>
      </c>
      <c r="C905" s="21" t="s">
        <v>5306</v>
      </c>
      <c r="D905" s="21" t="s">
        <v>11</v>
      </c>
      <c r="E905" s="21" t="s">
        <v>11</v>
      </c>
    </row>
    <row r="906" spans="1:5" s="21" customFormat="1" ht="15.75" hidden="1" customHeight="1">
      <c r="A906" s="21">
        <v>251690</v>
      </c>
      <c r="B906" s="21" t="s">
        <v>764</v>
      </c>
      <c r="C906" s="21" t="s">
        <v>5307</v>
      </c>
      <c r="D906" s="21" t="s">
        <v>11</v>
      </c>
      <c r="E906" s="21" t="s">
        <v>11</v>
      </c>
    </row>
    <row r="907" spans="1:5" s="21" customFormat="1" ht="15.75" hidden="1" customHeight="1">
      <c r="A907" s="21">
        <v>251710</v>
      </c>
      <c r="B907" s="21" t="s">
        <v>765</v>
      </c>
      <c r="C907" s="21" t="s">
        <v>5308</v>
      </c>
      <c r="D907" s="21" t="s">
        <v>11</v>
      </c>
      <c r="E907" s="21" t="s">
        <v>11</v>
      </c>
    </row>
    <row r="908" spans="1:5" s="21" customFormat="1" ht="15.75" hidden="1" customHeight="1">
      <c r="A908" s="21">
        <v>251720</v>
      </c>
      <c r="B908" s="21" t="s">
        <v>766</v>
      </c>
      <c r="C908" s="21" t="s">
        <v>5309</v>
      </c>
      <c r="D908" s="21" t="s">
        <v>11</v>
      </c>
      <c r="E908" s="21" t="s">
        <v>11</v>
      </c>
    </row>
    <row r="909" spans="1:5" s="21" customFormat="1" ht="15.75" hidden="1" customHeight="1">
      <c r="A909" s="21">
        <v>251730</v>
      </c>
      <c r="B909" s="21" t="s">
        <v>767</v>
      </c>
      <c r="C909" s="21" t="s">
        <v>767</v>
      </c>
      <c r="D909" s="21" t="s">
        <v>11</v>
      </c>
      <c r="E909" s="21" t="s">
        <v>11</v>
      </c>
    </row>
    <row r="910" spans="1:5" s="21" customFormat="1" ht="15.75" hidden="1" customHeight="1">
      <c r="A910" s="21">
        <v>251741</v>
      </c>
      <c r="B910" s="21" t="s">
        <v>768</v>
      </c>
      <c r="C910" s="21" t="s">
        <v>5310</v>
      </c>
      <c r="D910" s="21" t="s">
        <v>11</v>
      </c>
      <c r="E910" s="21" t="s">
        <v>11</v>
      </c>
    </row>
    <row r="911" spans="1:5" s="21" customFormat="1" ht="15.75" hidden="1" customHeight="1">
      <c r="A911" s="21">
        <v>251749</v>
      </c>
      <c r="B911" s="21" t="s">
        <v>769</v>
      </c>
      <c r="C911" s="21" t="s">
        <v>5310</v>
      </c>
      <c r="D911" s="21" t="s">
        <v>11</v>
      </c>
      <c r="E911" s="21" t="s">
        <v>11</v>
      </c>
    </row>
    <row r="912" spans="1:5" s="21" customFormat="1" ht="15.75" hidden="1" customHeight="1">
      <c r="A912" s="21">
        <v>251810</v>
      </c>
      <c r="B912" s="21" t="s">
        <v>770</v>
      </c>
      <c r="C912" s="21" t="s">
        <v>5311</v>
      </c>
      <c r="D912" s="21" t="s">
        <v>11</v>
      </c>
      <c r="E912" s="21" t="s">
        <v>11</v>
      </c>
    </row>
    <row r="913" spans="1:5" s="21" customFormat="1" ht="15.75" hidden="1" customHeight="1">
      <c r="A913" s="21">
        <v>251820</v>
      </c>
      <c r="B913" s="21" t="s">
        <v>771</v>
      </c>
      <c r="C913" s="21" t="s">
        <v>5312</v>
      </c>
      <c r="D913" s="21" t="s">
        <v>11</v>
      </c>
      <c r="E913" s="21" t="s">
        <v>11</v>
      </c>
    </row>
    <row r="914" spans="1:5" s="21" customFormat="1" ht="15.75" hidden="1" customHeight="1">
      <c r="A914" s="21">
        <v>251830</v>
      </c>
      <c r="B914" s="21" t="s">
        <v>772</v>
      </c>
      <c r="C914" s="21" t="s">
        <v>772</v>
      </c>
      <c r="D914" s="21" t="s">
        <v>11</v>
      </c>
      <c r="E914" s="21" t="s">
        <v>11</v>
      </c>
    </row>
    <row r="915" spans="1:5" s="21" customFormat="1" ht="15.75" hidden="1" customHeight="1">
      <c r="A915" s="21">
        <v>251910</v>
      </c>
      <c r="B915" s="21" t="s">
        <v>773</v>
      </c>
      <c r="C915" s="21" t="s">
        <v>5313</v>
      </c>
      <c r="D915" s="21" t="s">
        <v>11</v>
      </c>
      <c r="E915" s="21" t="s">
        <v>11</v>
      </c>
    </row>
    <row r="916" spans="1:5" s="21" customFormat="1" ht="15.75" hidden="1" customHeight="1">
      <c r="A916" s="21">
        <v>251990</v>
      </c>
      <c r="B916" s="21" t="s">
        <v>774</v>
      </c>
      <c r="C916" s="21" t="s">
        <v>5314</v>
      </c>
      <c r="D916" s="21" t="s">
        <v>11</v>
      </c>
      <c r="E916" s="21" t="s">
        <v>11</v>
      </c>
    </row>
    <row r="917" spans="1:5" s="21" customFormat="1" ht="15.75" hidden="1" customHeight="1">
      <c r="A917" s="21">
        <v>252010</v>
      </c>
      <c r="B917" s="21" t="s">
        <v>775</v>
      </c>
      <c r="C917" s="21" t="s">
        <v>5315</v>
      </c>
      <c r="D917" s="21" t="s">
        <v>11</v>
      </c>
      <c r="E917" s="21" t="s">
        <v>11</v>
      </c>
    </row>
    <row r="918" spans="1:5" s="21" customFormat="1" ht="15.75" hidden="1" customHeight="1">
      <c r="A918" s="21">
        <v>252020</v>
      </c>
      <c r="B918" s="21" t="s">
        <v>776</v>
      </c>
      <c r="C918" s="21" t="s">
        <v>5316</v>
      </c>
      <c r="D918" s="21" t="s">
        <v>11</v>
      </c>
      <c r="E918" s="21" t="s">
        <v>11</v>
      </c>
    </row>
    <row r="919" spans="1:5" s="21" customFormat="1" ht="15.75" hidden="1" customHeight="1">
      <c r="A919" s="21">
        <v>252100</v>
      </c>
      <c r="B919" s="21" t="s">
        <v>777</v>
      </c>
      <c r="C919" s="21" t="s">
        <v>5317</v>
      </c>
      <c r="D919" s="21" t="s">
        <v>11</v>
      </c>
      <c r="E919" s="21" t="s">
        <v>11</v>
      </c>
    </row>
    <row r="920" spans="1:5" s="21" customFormat="1" ht="15.75" hidden="1" customHeight="1">
      <c r="A920" s="21">
        <v>252210</v>
      </c>
      <c r="B920" s="21" t="s">
        <v>778</v>
      </c>
      <c r="C920" s="21" t="s">
        <v>5318</v>
      </c>
      <c r="D920" s="21" t="s">
        <v>11</v>
      </c>
      <c r="E920" s="21" t="s">
        <v>11</v>
      </c>
    </row>
    <row r="921" spans="1:5" s="21" customFormat="1" ht="15.75" hidden="1" customHeight="1">
      <c r="A921" s="21">
        <v>252220</v>
      </c>
      <c r="B921" s="21" t="s">
        <v>779</v>
      </c>
      <c r="C921" s="21" t="s">
        <v>5319</v>
      </c>
      <c r="D921" s="21" t="s">
        <v>11</v>
      </c>
      <c r="E921" s="21" t="s">
        <v>11</v>
      </c>
    </row>
    <row r="922" spans="1:5" s="21" customFormat="1" ht="15.75" hidden="1" customHeight="1">
      <c r="A922" s="21">
        <v>252230</v>
      </c>
      <c r="B922" s="21" t="s">
        <v>780</v>
      </c>
      <c r="C922" s="21" t="s">
        <v>5320</v>
      </c>
      <c r="D922" s="21" t="s">
        <v>11</v>
      </c>
      <c r="E922" s="21" t="s">
        <v>11</v>
      </c>
    </row>
    <row r="923" spans="1:5" s="21" customFormat="1" ht="15.75" hidden="1" customHeight="1">
      <c r="A923" s="21">
        <v>252310</v>
      </c>
      <c r="B923" s="21" t="s">
        <v>781</v>
      </c>
      <c r="C923" s="21" t="s">
        <v>781</v>
      </c>
      <c r="D923" s="21" t="s">
        <v>11</v>
      </c>
      <c r="E923" s="21" t="s">
        <v>11</v>
      </c>
    </row>
    <row r="924" spans="1:5" s="21" customFormat="1" ht="15.75" hidden="1" customHeight="1">
      <c r="A924" s="21">
        <v>252321</v>
      </c>
      <c r="B924" s="21" t="s">
        <v>782</v>
      </c>
      <c r="C924" s="21" t="s">
        <v>5321</v>
      </c>
      <c r="D924" s="21" t="s">
        <v>11</v>
      </c>
      <c r="E924" s="21" t="s">
        <v>11</v>
      </c>
    </row>
    <row r="925" spans="1:5" s="21" customFormat="1" ht="15.75" hidden="1" customHeight="1">
      <c r="A925" s="21">
        <v>252329</v>
      </c>
      <c r="B925" s="21" t="s">
        <v>783</v>
      </c>
      <c r="C925" s="21" t="s">
        <v>5321</v>
      </c>
      <c r="D925" s="21" t="s">
        <v>11</v>
      </c>
      <c r="E925" s="21" t="s">
        <v>11</v>
      </c>
    </row>
    <row r="926" spans="1:5" s="21" customFormat="1" ht="15.75" hidden="1" customHeight="1">
      <c r="A926" s="21">
        <v>252330</v>
      </c>
      <c r="B926" s="21" t="s">
        <v>784</v>
      </c>
      <c r="C926" s="21" t="s">
        <v>5321</v>
      </c>
      <c r="D926" s="21" t="s">
        <v>11</v>
      </c>
      <c r="E926" s="21" t="s">
        <v>11</v>
      </c>
    </row>
    <row r="927" spans="1:5" s="21" customFormat="1" ht="15.75" hidden="1" customHeight="1">
      <c r="A927" s="21">
        <v>252390</v>
      </c>
      <c r="B927" s="21" t="s">
        <v>785</v>
      </c>
      <c r="C927" s="21" t="s">
        <v>5321</v>
      </c>
      <c r="D927" s="21" t="s">
        <v>11</v>
      </c>
      <c r="E927" s="21" t="s">
        <v>11</v>
      </c>
    </row>
    <row r="928" spans="1:5" s="21" customFormat="1" ht="15.75" hidden="1" customHeight="1">
      <c r="A928" s="21">
        <v>252410</v>
      </c>
      <c r="B928" s="21" t="s">
        <v>786</v>
      </c>
      <c r="C928" s="21" t="s">
        <v>5322</v>
      </c>
      <c r="D928" s="21" t="s">
        <v>11</v>
      </c>
      <c r="E928" s="21" t="s">
        <v>11</v>
      </c>
    </row>
    <row r="929" spans="1:5" s="21" customFormat="1" ht="15.75" hidden="1" customHeight="1">
      <c r="A929" s="21">
        <v>252490</v>
      </c>
      <c r="B929" s="21" t="s">
        <v>787</v>
      </c>
      <c r="C929" s="21" t="s">
        <v>5322</v>
      </c>
      <c r="D929" s="21" t="s">
        <v>11</v>
      </c>
      <c r="E929" s="21" t="s">
        <v>11</v>
      </c>
    </row>
    <row r="930" spans="1:5" s="21" customFormat="1" ht="15.75" hidden="1" customHeight="1">
      <c r="A930" s="21">
        <v>252510</v>
      </c>
      <c r="B930" s="21" t="s">
        <v>788</v>
      </c>
      <c r="C930" s="21" t="s">
        <v>5323</v>
      </c>
      <c r="D930" s="21" t="s">
        <v>11</v>
      </c>
      <c r="E930" s="21" t="s">
        <v>11</v>
      </c>
    </row>
    <row r="931" spans="1:5" s="21" customFormat="1" ht="15.75" hidden="1" customHeight="1">
      <c r="A931" s="21">
        <v>252520</v>
      </c>
      <c r="B931" s="21" t="s">
        <v>789</v>
      </c>
      <c r="C931" s="21" t="s">
        <v>5323</v>
      </c>
      <c r="D931" s="21" t="s">
        <v>11</v>
      </c>
      <c r="E931" s="21" t="s">
        <v>11</v>
      </c>
    </row>
    <row r="932" spans="1:5" s="21" customFormat="1" ht="15.75" hidden="1" customHeight="1">
      <c r="A932" s="21">
        <v>252530</v>
      </c>
      <c r="B932" s="21" t="s">
        <v>790</v>
      </c>
      <c r="C932" s="21" t="s">
        <v>5323</v>
      </c>
      <c r="D932" s="21" t="s">
        <v>11</v>
      </c>
      <c r="E932" s="21" t="s">
        <v>11</v>
      </c>
    </row>
    <row r="933" spans="1:5" s="21" customFormat="1" ht="15.75" hidden="1" customHeight="1">
      <c r="A933" s="21">
        <v>252610</v>
      </c>
      <c r="B933" s="21" t="s">
        <v>791</v>
      </c>
      <c r="C933" s="21" t="s">
        <v>5324</v>
      </c>
      <c r="D933" s="21" t="s">
        <v>11</v>
      </c>
      <c r="E933" s="21" t="s">
        <v>11</v>
      </c>
    </row>
    <row r="934" spans="1:5" s="21" customFormat="1" ht="15.75" hidden="1" customHeight="1">
      <c r="A934" s="21">
        <v>252620</v>
      </c>
      <c r="B934" s="21" t="s">
        <v>792</v>
      </c>
      <c r="C934" s="21" t="s">
        <v>5324</v>
      </c>
      <c r="D934" s="21" t="s">
        <v>11</v>
      </c>
      <c r="E934" s="21" t="s">
        <v>11</v>
      </c>
    </row>
    <row r="935" spans="1:5" s="21" customFormat="1" ht="15.75" hidden="1" customHeight="1">
      <c r="A935" s="21">
        <v>252810</v>
      </c>
      <c r="B935" s="21" t="s">
        <v>793</v>
      </c>
      <c r="C935" s="21" t="s">
        <v>5325</v>
      </c>
      <c r="D935" s="21" t="s">
        <v>11</v>
      </c>
      <c r="E935" s="21" t="s">
        <v>11</v>
      </c>
    </row>
    <row r="936" spans="1:5" s="21" customFormat="1" ht="15.75" hidden="1" customHeight="1">
      <c r="A936" s="21">
        <v>252890</v>
      </c>
      <c r="B936" s="21" t="s">
        <v>794</v>
      </c>
      <c r="C936" s="21" t="s">
        <v>5326</v>
      </c>
      <c r="D936" s="21" t="s">
        <v>11</v>
      </c>
      <c r="E936" s="21" t="s">
        <v>11</v>
      </c>
    </row>
    <row r="937" spans="1:5" s="21" customFormat="1" ht="15.75" hidden="1" customHeight="1">
      <c r="A937" s="21">
        <v>252910</v>
      </c>
      <c r="B937" s="21" t="s">
        <v>795</v>
      </c>
      <c r="C937" s="21" t="s">
        <v>795</v>
      </c>
      <c r="D937" s="21" t="s">
        <v>11</v>
      </c>
      <c r="E937" s="21" t="s">
        <v>11</v>
      </c>
    </row>
    <row r="938" spans="1:5" s="21" customFormat="1" ht="15.75" hidden="1" customHeight="1">
      <c r="A938" s="21">
        <v>252921</v>
      </c>
      <c r="B938" s="21" t="s">
        <v>796</v>
      </c>
      <c r="C938" s="21" t="s">
        <v>5327</v>
      </c>
      <c r="D938" s="21" t="s">
        <v>11</v>
      </c>
      <c r="E938" s="21" t="s">
        <v>11</v>
      </c>
    </row>
    <row r="939" spans="1:5" s="21" customFormat="1" ht="15.75" hidden="1" customHeight="1">
      <c r="A939" s="21">
        <v>252922</v>
      </c>
      <c r="B939" s="21" t="s">
        <v>797</v>
      </c>
      <c r="C939" s="21" t="s">
        <v>5327</v>
      </c>
      <c r="D939" s="21" t="s">
        <v>11</v>
      </c>
      <c r="E939" s="21" t="s">
        <v>11</v>
      </c>
    </row>
    <row r="940" spans="1:5" s="21" customFormat="1" ht="15.75" hidden="1" customHeight="1">
      <c r="A940" s="21">
        <v>252930</v>
      </c>
      <c r="B940" s="21" t="s">
        <v>798</v>
      </c>
      <c r="C940" s="21" t="s">
        <v>5328</v>
      </c>
      <c r="D940" s="21" t="s">
        <v>11</v>
      </c>
      <c r="E940" s="21" t="s">
        <v>11</v>
      </c>
    </row>
    <row r="941" spans="1:5" s="21" customFormat="1" ht="15.75" hidden="1" customHeight="1">
      <c r="A941" s="21">
        <v>253010</v>
      </c>
      <c r="B941" s="21" t="s">
        <v>799</v>
      </c>
      <c r="C941" s="21" t="s">
        <v>5329</v>
      </c>
      <c r="D941" s="21" t="s">
        <v>11</v>
      </c>
      <c r="E941" s="21" t="s">
        <v>11</v>
      </c>
    </row>
    <row r="942" spans="1:5" s="21" customFormat="1" ht="15.75" hidden="1" customHeight="1">
      <c r="A942" s="21">
        <v>253020</v>
      </c>
      <c r="B942" s="21" t="s">
        <v>800</v>
      </c>
      <c r="C942" s="21" t="s">
        <v>800</v>
      </c>
      <c r="D942" s="21" t="s">
        <v>11</v>
      </c>
      <c r="E942" s="21" t="s">
        <v>11</v>
      </c>
    </row>
    <row r="943" spans="1:5" s="21" customFormat="1" ht="15.75" hidden="1" customHeight="1">
      <c r="A943" s="21">
        <v>253090</v>
      </c>
      <c r="B943" s="21" t="s">
        <v>801</v>
      </c>
      <c r="C943" s="21" t="s">
        <v>5330</v>
      </c>
      <c r="D943" s="21" t="s">
        <v>11</v>
      </c>
      <c r="E943" s="21" t="s">
        <v>11</v>
      </c>
    </row>
    <row r="944" spans="1:5" s="21" customFormat="1" ht="15.75" hidden="1" customHeight="1">
      <c r="A944" s="21">
        <v>260111</v>
      </c>
      <c r="B944" s="21" t="s">
        <v>802</v>
      </c>
      <c r="C944" s="21" t="s">
        <v>5331</v>
      </c>
      <c r="D944" s="21" t="s">
        <v>11</v>
      </c>
      <c r="E944" s="21" t="s">
        <v>11</v>
      </c>
    </row>
    <row r="945" spans="1:5" s="21" customFormat="1" ht="15.75" hidden="1" customHeight="1">
      <c r="A945" s="21">
        <v>260112</v>
      </c>
      <c r="B945" s="21" t="s">
        <v>803</v>
      </c>
      <c r="C945" s="21" t="s">
        <v>5331</v>
      </c>
      <c r="D945" s="21" t="s">
        <v>11</v>
      </c>
      <c r="E945" s="21" t="s">
        <v>11</v>
      </c>
    </row>
    <row r="946" spans="1:5" s="21" customFormat="1" ht="15.75" hidden="1" customHeight="1">
      <c r="A946" s="21">
        <v>260120</v>
      </c>
      <c r="B946" s="21" t="s">
        <v>804</v>
      </c>
      <c r="C946" s="21" t="s">
        <v>5290</v>
      </c>
      <c r="D946" s="21" t="s">
        <v>11</v>
      </c>
      <c r="E946" s="21" t="s">
        <v>11</v>
      </c>
    </row>
    <row r="947" spans="1:5" s="21" customFormat="1" ht="15.75" hidden="1" customHeight="1">
      <c r="A947" s="21">
        <v>260200</v>
      </c>
      <c r="B947" s="21" t="s">
        <v>805</v>
      </c>
      <c r="C947" s="21" t="s">
        <v>805</v>
      </c>
      <c r="D947" s="21" t="s">
        <v>11</v>
      </c>
      <c r="E947" s="21" t="s">
        <v>11</v>
      </c>
    </row>
    <row r="948" spans="1:5" s="21" customFormat="1" ht="15.75" hidden="1" customHeight="1">
      <c r="A948" s="21">
        <v>260300</v>
      </c>
      <c r="B948" s="21" t="s">
        <v>806</v>
      </c>
      <c r="C948" s="21" t="s">
        <v>806</v>
      </c>
      <c r="D948" s="21" t="s">
        <v>11</v>
      </c>
      <c r="E948" s="21" t="s">
        <v>11</v>
      </c>
    </row>
    <row r="949" spans="1:5" s="21" customFormat="1" ht="15.75" hidden="1" customHeight="1">
      <c r="A949" s="21">
        <v>260400</v>
      </c>
      <c r="B949" s="21" t="s">
        <v>807</v>
      </c>
      <c r="C949" s="21" t="s">
        <v>807</v>
      </c>
      <c r="D949" s="21" t="s">
        <v>11</v>
      </c>
      <c r="E949" s="21" t="s">
        <v>11</v>
      </c>
    </row>
    <row r="950" spans="1:5" s="21" customFormat="1" ht="15.75" hidden="1" customHeight="1">
      <c r="A950" s="21">
        <v>260500</v>
      </c>
      <c r="B950" s="21" t="s">
        <v>808</v>
      </c>
      <c r="C950" s="21" t="s">
        <v>808</v>
      </c>
      <c r="D950" s="21" t="s">
        <v>11</v>
      </c>
      <c r="E950" s="21" t="s">
        <v>11</v>
      </c>
    </row>
    <row r="951" spans="1:5" s="21" customFormat="1" ht="15.75" hidden="1" customHeight="1">
      <c r="A951" s="21">
        <v>260600</v>
      </c>
      <c r="B951" s="21" t="s">
        <v>809</v>
      </c>
      <c r="C951" s="21" t="s">
        <v>809</v>
      </c>
      <c r="D951" s="21" t="s">
        <v>11</v>
      </c>
      <c r="E951" s="21" t="s">
        <v>11</v>
      </c>
    </row>
    <row r="952" spans="1:5" s="21" customFormat="1" ht="15.75" hidden="1" customHeight="1">
      <c r="A952" s="21">
        <v>260700</v>
      </c>
      <c r="B952" s="21" t="s">
        <v>810</v>
      </c>
      <c r="C952" s="21" t="s">
        <v>810</v>
      </c>
      <c r="D952" s="21" t="s">
        <v>11</v>
      </c>
      <c r="E952" s="21" t="s">
        <v>11</v>
      </c>
    </row>
    <row r="953" spans="1:5" s="21" customFormat="1" ht="15.75" hidden="1" customHeight="1">
      <c r="A953" s="21">
        <v>260800</v>
      </c>
      <c r="B953" s="21" t="s">
        <v>811</v>
      </c>
      <c r="C953" s="21" t="s">
        <v>811</v>
      </c>
      <c r="D953" s="21" t="s">
        <v>11</v>
      </c>
      <c r="E953" s="21" t="s">
        <v>11</v>
      </c>
    </row>
    <row r="954" spans="1:5" s="21" customFormat="1" ht="15.75" hidden="1" customHeight="1">
      <c r="A954" s="21">
        <v>260900</v>
      </c>
      <c r="B954" s="21" t="s">
        <v>812</v>
      </c>
      <c r="C954" s="21" t="s">
        <v>812</v>
      </c>
      <c r="D954" s="21" t="s">
        <v>11</v>
      </c>
      <c r="E954" s="21" t="s">
        <v>11</v>
      </c>
    </row>
    <row r="955" spans="1:5" s="21" customFormat="1" ht="15.75" hidden="1" customHeight="1">
      <c r="A955" s="21">
        <v>261000</v>
      </c>
      <c r="B955" s="21" t="s">
        <v>813</v>
      </c>
      <c r="C955" s="21" t="s">
        <v>813</v>
      </c>
      <c r="D955" s="21" t="s">
        <v>11</v>
      </c>
      <c r="E955" s="21" t="s">
        <v>11</v>
      </c>
    </row>
    <row r="956" spans="1:5" s="21" customFormat="1" ht="15.75" hidden="1" customHeight="1">
      <c r="A956" s="21">
        <v>261100</v>
      </c>
      <c r="B956" s="21" t="s">
        <v>814</v>
      </c>
      <c r="C956" s="21" t="s">
        <v>814</v>
      </c>
      <c r="D956" s="21" t="s">
        <v>11</v>
      </c>
      <c r="E956" s="21" t="s">
        <v>11</v>
      </c>
    </row>
    <row r="957" spans="1:5" s="21" customFormat="1" ht="15.75" hidden="1" customHeight="1">
      <c r="A957" s="21">
        <v>261210</v>
      </c>
      <c r="B957" s="21" t="s">
        <v>815</v>
      </c>
      <c r="C957" s="21" t="s">
        <v>815</v>
      </c>
      <c r="D957" s="21" t="s">
        <v>11</v>
      </c>
      <c r="E957" s="21" t="s">
        <v>11</v>
      </c>
    </row>
    <row r="958" spans="1:5" s="21" customFormat="1" ht="15.75" hidden="1" customHeight="1">
      <c r="A958" s="21">
        <v>261220</v>
      </c>
      <c r="B958" s="21" t="s">
        <v>816</v>
      </c>
      <c r="C958" s="21" t="s">
        <v>816</v>
      </c>
      <c r="D958" s="21" t="s">
        <v>11</v>
      </c>
      <c r="E958" s="21" t="s">
        <v>11</v>
      </c>
    </row>
    <row r="959" spans="1:5" s="21" customFormat="1" ht="15.75" hidden="1" customHeight="1">
      <c r="A959" s="21">
        <v>261310</v>
      </c>
      <c r="B959" s="21" t="s">
        <v>817</v>
      </c>
      <c r="C959" s="21" t="s">
        <v>5332</v>
      </c>
      <c r="D959" s="21" t="s">
        <v>11</v>
      </c>
      <c r="E959" s="21" t="s">
        <v>11</v>
      </c>
    </row>
    <row r="960" spans="1:5" s="21" customFormat="1" ht="15.75" hidden="1" customHeight="1">
      <c r="A960" s="21">
        <v>261390</v>
      </c>
      <c r="B960" s="21" t="s">
        <v>818</v>
      </c>
      <c r="C960" s="21" t="s">
        <v>5332</v>
      </c>
      <c r="D960" s="21" t="s">
        <v>11</v>
      </c>
      <c r="E960" s="21" t="s">
        <v>11</v>
      </c>
    </row>
    <row r="961" spans="1:5" s="21" customFormat="1" ht="15.75" hidden="1" customHeight="1">
      <c r="A961" s="21">
        <v>261400</v>
      </c>
      <c r="B961" s="21" t="s">
        <v>819</v>
      </c>
      <c r="C961" s="21" t="s">
        <v>819</v>
      </c>
      <c r="D961" s="21" t="s">
        <v>11</v>
      </c>
      <c r="E961" s="21" t="s">
        <v>11</v>
      </c>
    </row>
    <row r="962" spans="1:5" s="21" customFormat="1" ht="15.75" hidden="1" customHeight="1">
      <c r="A962" s="21">
        <v>261510</v>
      </c>
      <c r="B962" s="21" t="s">
        <v>820</v>
      </c>
      <c r="C962" s="21" t="s">
        <v>820</v>
      </c>
      <c r="D962" s="21" t="s">
        <v>11</v>
      </c>
      <c r="E962" s="21" t="s">
        <v>11</v>
      </c>
    </row>
    <row r="963" spans="1:5" s="21" customFormat="1" ht="15.75" hidden="1" customHeight="1">
      <c r="A963" s="21">
        <v>261590</v>
      </c>
      <c r="B963" s="21" t="s">
        <v>821</v>
      </c>
      <c r="C963" s="21" t="s">
        <v>821</v>
      </c>
      <c r="D963" s="21" t="s">
        <v>11</v>
      </c>
      <c r="E963" s="21" t="s">
        <v>11</v>
      </c>
    </row>
    <row r="964" spans="1:5" s="21" customFormat="1" ht="15.75" hidden="1" customHeight="1">
      <c r="A964" s="21">
        <v>261610</v>
      </c>
      <c r="B964" s="21" t="s">
        <v>822</v>
      </c>
      <c r="C964" s="21" t="s">
        <v>822</v>
      </c>
      <c r="D964" s="21" t="s">
        <v>11</v>
      </c>
      <c r="E964" s="21" t="s">
        <v>11</v>
      </c>
    </row>
    <row r="965" spans="1:5" s="21" customFormat="1" ht="15.75" hidden="1" customHeight="1">
      <c r="A965" s="21">
        <v>261690</v>
      </c>
      <c r="B965" s="21" t="s">
        <v>823</v>
      </c>
      <c r="C965" s="21" t="s">
        <v>5333</v>
      </c>
      <c r="D965" s="21" t="s">
        <v>11</v>
      </c>
      <c r="E965" s="21" t="s">
        <v>11</v>
      </c>
    </row>
    <row r="966" spans="1:5" s="21" customFormat="1" ht="15.75" hidden="1" customHeight="1">
      <c r="A966" s="21">
        <v>261710</v>
      </c>
      <c r="B966" s="21" t="s">
        <v>824</v>
      </c>
      <c r="C966" s="21" t="s">
        <v>824</v>
      </c>
      <c r="D966" s="21" t="s">
        <v>11</v>
      </c>
      <c r="E966" s="21" t="s">
        <v>11</v>
      </c>
    </row>
    <row r="967" spans="1:5" s="21" customFormat="1" ht="15.75" hidden="1" customHeight="1">
      <c r="A967" s="21">
        <v>261790</v>
      </c>
      <c r="B967" s="21" t="s">
        <v>825</v>
      </c>
      <c r="C967" s="21" t="s">
        <v>5334</v>
      </c>
      <c r="D967" s="21" t="s">
        <v>11</v>
      </c>
      <c r="E967" s="21" t="s">
        <v>11</v>
      </c>
    </row>
    <row r="968" spans="1:5" s="21" customFormat="1" ht="15.75" hidden="1" customHeight="1">
      <c r="A968" s="21">
        <v>261800</v>
      </c>
      <c r="B968" s="21" t="s">
        <v>826</v>
      </c>
      <c r="C968" s="21" t="s">
        <v>5335</v>
      </c>
      <c r="D968" s="21" t="s">
        <v>11</v>
      </c>
      <c r="E968" s="21" t="s">
        <v>11</v>
      </c>
    </row>
    <row r="969" spans="1:5" s="21" customFormat="1" ht="15.75" hidden="1" customHeight="1">
      <c r="A969" s="21">
        <v>261900</v>
      </c>
      <c r="B969" s="21" t="s">
        <v>827</v>
      </c>
      <c r="C969" s="21" t="s">
        <v>5336</v>
      </c>
      <c r="D969" s="21" t="s">
        <v>11</v>
      </c>
      <c r="E969" s="21" t="s">
        <v>11</v>
      </c>
    </row>
    <row r="970" spans="1:5" s="21" customFormat="1" ht="15.75" hidden="1" customHeight="1">
      <c r="A970" s="21">
        <v>262011</v>
      </c>
      <c r="B970" s="21" t="s">
        <v>828</v>
      </c>
      <c r="C970" s="21" t="s">
        <v>5337</v>
      </c>
      <c r="D970" s="21" t="s">
        <v>11</v>
      </c>
      <c r="E970" s="21" t="s">
        <v>11</v>
      </c>
    </row>
    <row r="971" spans="1:5" s="21" customFormat="1" ht="15.75" hidden="1" customHeight="1">
      <c r="A971" s="21">
        <v>262019</v>
      </c>
      <c r="B971" s="21" t="s">
        <v>829</v>
      </c>
      <c r="C971" s="21" t="s">
        <v>5337</v>
      </c>
      <c r="D971" s="21" t="s">
        <v>11</v>
      </c>
      <c r="E971" s="21" t="s">
        <v>11</v>
      </c>
    </row>
    <row r="972" spans="1:5" s="21" customFormat="1" ht="15.75" hidden="1" customHeight="1">
      <c r="A972" s="21">
        <v>262021</v>
      </c>
      <c r="B972" s="21" t="s">
        <v>830</v>
      </c>
      <c r="C972" s="21" t="s">
        <v>5337</v>
      </c>
      <c r="D972" s="21" t="s">
        <v>11</v>
      </c>
      <c r="E972" s="21" t="s">
        <v>11</v>
      </c>
    </row>
    <row r="973" spans="1:5" s="21" customFormat="1" ht="15.75" hidden="1" customHeight="1">
      <c r="A973" s="21">
        <v>262029</v>
      </c>
      <c r="B973" s="21" t="s">
        <v>831</v>
      </c>
      <c r="C973" s="21" t="s">
        <v>5337</v>
      </c>
      <c r="D973" s="21" t="s">
        <v>11</v>
      </c>
      <c r="E973" s="21" t="s">
        <v>11</v>
      </c>
    </row>
    <row r="974" spans="1:5" s="21" customFormat="1" ht="15.75" hidden="1" customHeight="1">
      <c r="A974" s="21">
        <v>262030</v>
      </c>
      <c r="B974" s="21" t="s">
        <v>832</v>
      </c>
      <c r="C974" s="21" t="s">
        <v>5337</v>
      </c>
      <c r="D974" s="21" t="s">
        <v>11</v>
      </c>
      <c r="E974" s="21" t="s">
        <v>11</v>
      </c>
    </row>
    <row r="975" spans="1:5" s="21" customFormat="1" ht="15.75" hidden="1" customHeight="1">
      <c r="A975" s="21">
        <v>262040</v>
      </c>
      <c r="B975" s="21" t="s">
        <v>833</v>
      </c>
      <c r="C975" s="21" t="s">
        <v>5337</v>
      </c>
      <c r="D975" s="21" t="s">
        <v>11</v>
      </c>
      <c r="E975" s="21" t="s">
        <v>11</v>
      </c>
    </row>
    <row r="976" spans="1:5" s="21" customFormat="1" ht="15.75" hidden="1" customHeight="1">
      <c r="A976" s="21">
        <v>262060</v>
      </c>
      <c r="B976" s="21" t="s">
        <v>834</v>
      </c>
      <c r="C976" s="21" t="s">
        <v>5337</v>
      </c>
      <c r="D976" s="21" t="s">
        <v>11</v>
      </c>
      <c r="E976" s="21" t="s">
        <v>11</v>
      </c>
    </row>
    <row r="977" spans="1:5" s="21" customFormat="1" ht="15.75" hidden="1" customHeight="1">
      <c r="A977" s="21">
        <v>262091</v>
      </c>
      <c r="B977" s="21" t="s">
        <v>835</v>
      </c>
      <c r="C977" s="21" t="s">
        <v>5337</v>
      </c>
      <c r="D977" s="21" t="s">
        <v>11</v>
      </c>
      <c r="E977" s="21" t="s">
        <v>11</v>
      </c>
    </row>
    <row r="978" spans="1:5" s="21" customFormat="1" ht="15.75" hidden="1" customHeight="1">
      <c r="A978" s="21">
        <v>262099</v>
      </c>
      <c r="B978" s="21" t="s">
        <v>836</v>
      </c>
      <c r="C978" s="21" t="s">
        <v>5337</v>
      </c>
      <c r="D978" s="21" t="s">
        <v>11</v>
      </c>
      <c r="E978" s="21" t="s">
        <v>11</v>
      </c>
    </row>
    <row r="979" spans="1:5" s="21" customFormat="1" ht="15.75" hidden="1" customHeight="1">
      <c r="A979" s="21">
        <v>262110</v>
      </c>
      <c r="B979" s="21" t="s">
        <v>837</v>
      </c>
      <c r="C979" s="21" t="s">
        <v>5338</v>
      </c>
      <c r="D979" s="21" t="s">
        <v>11</v>
      </c>
      <c r="E979" s="21" t="s">
        <v>11</v>
      </c>
    </row>
    <row r="980" spans="1:5" s="21" customFormat="1" ht="15.75" hidden="1" customHeight="1">
      <c r="A980" s="21">
        <v>262190</v>
      </c>
      <c r="B980" s="21" t="s">
        <v>838</v>
      </c>
      <c r="C980" s="21" t="s">
        <v>5339</v>
      </c>
      <c r="D980" s="21" t="s">
        <v>11</v>
      </c>
      <c r="E980" s="21" t="s">
        <v>11</v>
      </c>
    </row>
    <row r="981" spans="1:5" s="21" customFormat="1" ht="15.75" hidden="1" customHeight="1">
      <c r="A981" s="21">
        <v>270111</v>
      </c>
      <c r="B981" s="21" t="s">
        <v>839</v>
      </c>
      <c r="C981" s="21" t="s">
        <v>5340</v>
      </c>
      <c r="D981" s="21" t="s">
        <v>11</v>
      </c>
      <c r="E981" s="21" t="s">
        <v>11</v>
      </c>
    </row>
    <row r="982" spans="1:5" s="21" customFormat="1" ht="15.75" hidden="1" customHeight="1">
      <c r="A982" s="21">
        <v>270112</v>
      </c>
      <c r="B982" s="21" t="s">
        <v>840</v>
      </c>
      <c r="C982" s="21" t="s">
        <v>5340</v>
      </c>
      <c r="D982" s="21" t="s">
        <v>11</v>
      </c>
      <c r="E982" s="21" t="s">
        <v>11</v>
      </c>
    </row>
    <row r="983" spans="1:5" s="21" customFormat="1" ht="15.75" hidden="1" customHeight="1">
      <c r="A983" s="21">
        <v>270119</v>
      </c>
      <c r="B983" s="21" t="s">
        <v>841</v>
      </c>
      <c r="C983" s="21" t="s">
        <v>5340</v>
      </c>
      <c r="D983" s="21" t="s">
        <v>11</v>
      </c>
      <c r="E983" s="21" t="s">
        <v>11</v>
      </c>
    </row>
    <row r="984" spans="1:5" s="21" customFormat="1" ht="15.75" hidden="1" customHeight="1">
      <c r="A984" s="21">
        <v>270120</v>
      </c>
      <c r="B984" s="21" t="s">
        <v>842</v>
      </c>
      <c r="C984" s="21" t="s">
        <v>5341</v>
      </c>
      <c r="D984" s="21" t="s">
        <v>11</v>
      </c>
      <c r="E984" s="21" t="s">
        <v>11</v>
      </c>
    </row>
    <row r="985" spans="1:5" s="21" customFormat="1" ht="15.75" hidden="1" customHeight="1">
      <c r="A985" s="21">
        <v>270210</v>
      </c>
      <c r="B985" s="21" t="s">
        <v>843</v>
      </c>
      <c r="C985" s="21" t="s">
        <v>5342</v>
      </c>
      <c r="D985" s="21" t="s">
        <v>11</v>
      </c>
      <c r="E985" s="21" t="s">
        <v>11</v>
      </c>
    </row>
    <row r="986" spans="1:5" s="21" customFormat="1" ht="15.75" hidden="1" customHeight="1">
      <c r="A986" s="21">
        <v>270220</v>
      </c>
      <c r="B986" s="21" t="s">
        <v>844</v>
      </c>
      <c r="C986" s="21" t="s">
        <v>5342</v>
      </c>
      <c r="D986" s="21" t="s">
        <v>11</v>
      </c>
      <c r="E986" s="21" t="s">
        <v>11</v>
      </c>
    </row>
    <row r="987" spans="1:5" s="21" customFormat="1" ht="15.75" hidden="1" customHeight="1">
      <c r="A987" s="21">
        <v>270300</v>
      </c>
      <c r="B987" s="21" t="s">
        <v>845</v>
      </c>
      <c r="C987" s="21" t="s">
        <v>5343</v>
      </c>
      <c r="D987" s="21" t="s">
        <v>11</v>
      </c>
      <c r="E987" s="21" t="s">
        <v>11</v>
      </c>
    </row>
    <row r="988" spans="1:5" s="21" customFormat="1" ht="15.75" hidden="1" customHeight="1">
      <c r="A988" s="21">
        <v>270400</v>
      </c>
      <c r="B988" s="21" t="s">
        <v>846</v>
      </c>
      <c r="C988" s="21" t="s">
        <v>5344</v>
      </c>
      <c r="D988" s="21" t="s">
        <v>11</v>
      </c>
      <c r="E988" s="21" t="s">
        <v>11</v>
      </c>
    </row>
    <row r="989" spans="1:5" s="21" customFormat="1" ht="15.75" hidden="1" customHeight="1">
      <c r="A989" s="21">
        <v>270500</v>
      </c>
      <c r="B989" s="21" t="s">
        <v>847</v>
      </c>
      <c r="C989" s="21" t="s">
        <v>5345</v>
      </c>
      <c r="D989" s="21" t="s">
        <v>11</v>
      </c>
      <c r="E989" s="21" t="s">
        <v>11</v>
      </c>
    </row>
    <row r="990" spans="1:5" s="21" customFormat="1" ht="15.75" hidden="1" customHeight="1">
      <c r="A990" s="21">
        <v>270600</v>
      </c>
      <c r="B990" s="21" t="s">
        <v>848</v>
      </c>
      <c r="C990" s="21" t="s">
        <v>5346</v>
      </c>
      <c r="D990" s="21" t="s">
        <v>11</v>
      </c>
      <c r="E990" s="21" t="s">
        <v>11</v>
      </c>
    </row>
    <row r="991" spans="1:5" s="21" customFormat="1" ht="15.75" hidden="1" customHeight="1">
      <c r="A991" s="21">
        <v>270710</v>
      </c>
      <c r="B991" s="21" t="s">
        <v>849</v>
      </c>
      <c r="C991" s="21" t="s">
        <v>5347</v>
      </c>
      <c r="D991" s="21" t="s">
        <v>11</v>
      </c>
      <c r="E991" s="21" t="s">
        <v>11</v>
      </c>
    </row>
    <row r="992" spans="1:5" s="21" customFormat="1" ht="15.75" hidden="1" customHeight="1">
      <c r="A992" s="21">
        <v>270720</v>
      </c>
      <c r="B992" s="21" t="s">
        <v>850</v>
      </c>
      <c r="C992" s="21" t="s">
        <v>5347</v>
      </c>
      <c r="D992" s="21" t="s">
        <v>11</v>
      </c>
      <c r="E992" s="21" t="s">
        <v>11</v>
      </c>
    </row>
    <row r="993" spans="1:5" s="21" customFormat="1" ht="15.75" hidden="1" customHeight="1">
      <c r="A993" s="21">
        <v>270730</v>
      </c>
      <c r="B993" s="21" t="s">
        <v>851</v>
      </c>
      <c r="C993" s="21" t="s">
        <v>5347</v>
      </c>
      <c r="D993" s="21" t="s">
        <v>11</v>
      </c>
      <c r="E993" s="21" t="s">
        <v>11</v>
      </c>
    </row>
    <row r="994" spans="1:5" s="21" customFormat="1" ht="15.75" hidden="1" customHeight="1">
      <c r="A994" s="21">
        <v>270740</v>
      </c>
      <c r="B994" s="21" t="s">
        <v>852</v>
      </c>
      <c r="C994" s="21" t="s">
        <v>5347</v>
      </c>
      <c r="D994" s="21" t="s">
        <v>11</v>
      </c>
      <c r="E994" s="21" t="s">
        <v>11</v>
      </c>
    </row>
    <row r="995" spans="1:5" s="21" customFormat="1" ht="15.75" hidden="1" customHeight="1">
      <c r="A995" s="21">
        <v>270750</v>
      </c>
      <c r="B995" s="21" t="s">
        <v>853</v>
      </c>
      <c r="C995" s="21" t="s">
        <v>5348</v>
      </c>
      <c r="D995" s="21" t="s">
        <v>11</v>
      </c>
      <c r="E995" s="21" t="s">
        <v>11</v>
      </c>
    </row>
    <row r="996" spans="1:5" s="21" customFormat="1" ht="15.75" hidden="1" customHeight="1">
      <c r="A996" s="21">
        <v>270791</v>
      </c>
      <c r="B996" s="21" t="s">
        <v>854</v>
      </c>
      <c r="C996" s="21" t="s">
        <v>5349</v>
      </c>
      <c r="D996" s="21" t="s">
        <v>11</v>
      </c>
      <c r="E996" s="21" t="s">
        <v>11</v>
      </c>
    </row>
    <row r="997" spans="1:5" s="21" customFormat="1" ht="15.75" hidden="1" customHeight="1">
      <c r="A997" s="21">
        <v>270799</v>
      </c>
      <c r="B997" s="21" t="s">
        <v>855</v>
      </c>
      <c r="C997" s="21" t="s">
        <v>5349</v>
      </c>
      <c r="D997" s="21" t="s">
        <v>11</v>
      </c>
      <c r="E997" s="21" t="s">
        <v>11</v>
      </c>
    </row>
    <row r="998" spans="1:5" s="21" customFormat="1" ht="15.75" hidden="1" customHeight="1">
      <c r="A998" s="21">
        <v>270810</v>
      </c>
      <c r="B998" s="21" t="s">
        <v>856</v>
      </c>
      <c r="C998" s="21" t="s">
        <v>5350</v>
      </c>
      <c r="D998" s="21" t="s">
        <v>11</v>
      </c>
      <c r="E998" s="21" t="s">
        <v>11</v>
      </c>
    </row>
    <row r="999" spans="1:5" s="21" customFormat="1" ht="15.75" hidden="1" customHeight="1">
      <c r="A999" s="21">
        <v>270820</v>
      </c>
      <c r="B999" s="21" t="s">
        <v>857</v>
      </c>
      <c r="C999" s="21" t="s">
        <v>5351</v>
      </c>
      <c r="D999" s="21" t="s">
        <v>11</v>
      </c>
      <c r="E999" s="21" t="s">
        <v>11</v>
      </c>
    </row>
    <row r="1000" spans="1:5" s="21" customFormat="1" ht="15.75" hidden="1" customHeight="1">
      <c r="A1000" s="21">
        <v>270900</v>
      </c>
      <c r="B1000" s="21" t="s">
        <v>858</v>
      </c>
      <c r="C1000" s="21" t="s">
        <v>5352</v>
      </c>
      <c r="D1000" s="21" t="s">
        <v>11</v>
      </c>
      <c r="E1000" s="21" t="s">
        <v>11</v>
      </c>
    </row>
    <row r="1001" spans="1:5" s="21" customFormat="1" ht="15.75" hidden="1" customHeight="1">
      <c r="A1001" s="21">
        <v>271000</v>
      </c>
      <c r="B1001" s="21" t="s">
        <v>859</v>
      </c>
      <c r="C1001" s="21" t="s">
        <v>5353</v>
      </c>
      <c r="D1001" s="21" t="s">
        <v>11</v>
      </c>
      <c r="E1001" s="21" t="s">
        <v>11</v>
      </c>
    </row>
    <row r="1002" spans="1:5" s="21" customFormat="1" ht="15.75" hidden="1" customHeight="1">
      <c r="A1002" s="21">
        <v>271111</v>
      </c>
      <c r="B1002" s="21" t="s">
        <v>860</v>
      </c>
      <c r="C1002" s="21" t="s">
        <v>5354</v>
      </c>
      <c r="D1002" s="21" t="s">
        <v>11</v>
      </c>
      <c r="E1002" s="21" t="s">
        <v>11</v>
      </c>
    </row>
    <row r="1003" spans="1:5" s="21" customFormat="1" ht="15.75" hidden="1" customHeight="1">
      <c r="A1003" s="21">
        <v>271112</v>
      </c>
      <c r="B1003" s="21" t="s">
        <v>861</v>
      </c>
      <c r="C1003" s="21" t="s">
        <v>5354</v>
      </c>
      <c r="D1003" s="21" t="s">
        <v>11</v>
      </c>
      <c r="E1003" s="21" t="s">
        <v>11</v>
      </c>
    </row>
    <row r="1004" spans="1:5" s="21" customFormat="1" ht="15.75" hidden="1" customHeight="1">
      <c r="A1004" s="21">
        <v>271113</v>
      </c>
      <c r="B1004" s="21" t="s">
        <v>862</v>
      </c>
      <c r="C1004" s="21" t="s">
        <v>5354</v>
      </c>
      <c r="D1004" s="21" t="s">
        <v>11</v>
      </c>
      <c r="E1004" s="21" t="s">
        <v>11</v>
      </c>
    </row>
    <row r="1005" spans="1:5" s="21" customFormat="1" ht="15.75" hidden="1" customHeight="1">
      <c r="A1005" s="21">
        <v>271114</v>
      </c>
      <c r="B1005" s="21" t="s">
        <v>863</v>
      </c>
      <c r="C1005" s="21" t="s">
        <v>5354</v>
      </c>
      <c r="D1005" s="21" t="s">
        <v>11</v>
      </c>
      <c r="E1005" s="21" t="s">
        <v>11</v>
      </c>
    </row>
    <row r="1006" spans="1:5" s="21" customFormat="1" ht="15.75" hidden="1" customHeight="1">
      <c r="A1006" s="21">
        <v>271119</v>
      </c>
      <c r="B1006" s="21" t="s">
        <v>864</v>
      </c>
      <c r="C1006" s="21" t="s">
        <v>5354</v>
      </c>
      <c r="D1006" s="21" t="s">
        <v>11</v>
      </c>
      <c r="E1006" s="21" t="s">
        <v>11</v>
      </c>
    </row>
    <row r="1007" spans="1:5" s="21" customFormat="1" ht="15.75" hidden="1" customHeight="1">
      <c r="A1007" s="21">
        <v>271121</v>
      </c>
      <c r="B1007" s="21" t="s">
        <v>865</v>
      </c>
      <c r="C1007" s="21" t="s">
        <v>5354</v>
      </c>
      <c r="D1007" s="21" t="s">
        <v>11</v>
      </c>
      <c r="E1007" s="21" t="s">
        <v>11</v>
      </c>
    </row>
    <row r="1008" spans="1:5" s="21" customFormat="1" ht="15.75" hidden="1" customHeight="1">
      <c r="A1008" s="21">
        <v>271129</v>
      </c>
      <c r="B1008" s="21" t="s">
        <v>866</v>
      </c>
      <c r="C1008" s="21" t="s">
        <v>5354</v>
      </c>
      <c r="D1008" s="21" t="s">
        <v>11</v>
      </c>
      <c r="E1008" s="21" t="s">
        <v>11</v>
      </c>
    </row>
    <row r="1009" spans="1:5" s="21" customFormat="1" ht="15.75" hidden="1" customHeight="1">
      <c r="A1009" s="21">
        <v>271210</v>
      </c>
      <c r="B1009" s="21" t="s">
        <v>867</v>
      </c>
      <c r="C1009" s="21" t="s">
        <v>867</v>
      </c>
      <c r="D1009" s="21" t="s">
        <v>11</v>
      </c>
      <c r="E1009" s="21" t="s">
        <v>11</v>
      </c>
    </row>
    <row r="1010" spans="1:5" s="21" customFormat="1" ht="15.75" hidden="1" customHeight="1">
      <c r="A1010" s="21">
        <v>271220</v>
      </c>
      <c r="B1010" s="21" t="s">
        <v>868</v>
      </c>
      <c r="C1010" s="21" t="s">
        <v>5355</v>
      </c>
      <c r="D1010" s="21" t="s">
        <v>11</v>
      </c>
      <c r="E1010" s="21" t="s">
        <v>11</v>
      </c>
    </row>
    <row r="1011" spans="1:5" s="21" customFormat="1" ht="15.75" hidden="1" customHeight="1">
      <c r="A1011" s="21">
        <v>271290</v>
      </c>
      <c r="B1011" s="21" t="s">
        <v>869</v>
      </c>
      <c r="C1011" s="21" t="s">
        <v>5355</v>
      </c>
      <c r="D1011" s="21" t="s">
        <v>11</v>
      </c>
      <c r="E1011" s="21" t="s">
        <v>11</v>
      </c>
    </row>
    <row r="1012" spans="1:5" s="21" customFormat="1" ht="15.75" hidden="1" customHeight="1">
      <c r="A1012" s="21">
        <v>271311</v>
      </c>
      <c r="B1012" s="21" t="s">
        <v>870</v>
      </c>
      <c r="C1012" s="21" t="s">
        <v>5356</v>
      </c>
      <c r="D1012" s="21" t="s">
        <v>11</v>
      </c>
      <c r="E1012" s="21" t="s">
        <v>11</v>
      </c>
    </row>
    <row r="1013" spans="1:5" s="21" customFormat="1" ht="15.75" hidden="1" customHeight="1">
      <c r="A1013" s="21">
        <v>271312</v>
      </c>
      <c r="B1013" s="21" t="s">
        <v>871</v>
      </c>
      <c r="C1013" s="21" t="s">
        <v>5356</v>
      </c>
      <c r="D1013" s="21" t="s">
        <v>11</v>
      </c>
      <c r="E1013" s="21" t="s">
        <v>11</v>
      </c>
    </row>
    <row r="1014" spans="1:5" s="21" customFormat="1" ht="15.75" hidden="1" customHeight="1">
      <c r="A1014" s="21">
        <v>271320</v>
      </c>
      <c r="B1014" s="21" t="s">
        <v>872</v>
      </c>
      <c r="C1014" s="21" t="s">
        <v>5357</v>
      </c>
      <c r="D1014" s="21" t="s">
        <v>11</v>
      </c>
      <c r="E1014" s="21" t="s">
        <v>11</v>
      </c>
    </row>
    <row r="1015" spans="1:5" s="21" customFormat="1" ht="15.75" hidden="1" customHeight="1">
      <c r="A1015" s="21">
        <v>271390</v>
      </c>
      <c r="B1015" s="21" t="s">
        <v>873</v>
      </c>
      <c r="C1015" s="21" t="s">
        <v>5358</v>
      </c>
      <c r="D1015" s="21" t="s">
        <v>11</v>
      </c>
      <c r="E1015" s="21" t="s">
        <v>11</v>
      </c>
    </row>
    <row r="1016" spans="1:5" s="21" customFormat="1" ht="15.75" hidden="1" customHeight="1">
      <c r="A1016" s="21">
        <v>271410</v>
      </c>
      <c r="B1016" s="21" t="s">
        <v>874</v>
      </c>
      <c r="C1016" s="21" t="s">
        <v>874</v>
      </c>
      <c r="D1016" s="21" t="s">
        <v>11</v>
      </c>
      <c r="E1016" s="21" t="s">
        <v>11</v>
      </c>
    </row>
    <row r="1017" spans="1:5" s="21" customFormat="1" ht="15.75" hidden="1" customHeight="1">
      <c r="A1017" s="21">
        <v>271490</v>
      </c>
      <c r="B1017" s="21" t="s">
        <v>875</v>
      </c>
      <c r="C1017" s="21" t="s">
        <v>5359</v>
      </c>
      <c r="D1017" s="21" t="s">
        <v>11</v>
      </c>
      <c r="E1017" s="21" t="s">
        <v>11</v>
      </c>
    </row>
    <row r="1018" spans="1:5" s="21" customFormat="1" ht="15.75" hidden="1" customHeight="1">
      <c r="A1018" s="21">
        <v>271500</v>
      </c>
      <c r="B1018" s="21" t="s">
        <v>876</v>
      </c>
      <c r="C1018" s="21" t="s">
        <v>876</v>
      </c>
      <c r="D1018" s="21" t="s">
        <v>11</v>
      </c>
      <c r="E1018" s="21" t="s">
        <v>11</v>
      </c>
    </row>
    <row r="1019" spans="1:5" s="21" customFormat="1" ht="15.75" hidden="1" customHeight="1">
      <c r="A1019" s="21">
        <v>271600</v>
      </c>
      <c r="B1019" s="21" t="s">
        <v>877</v>
      </c>
      <c r="C1019" s="21" t="s">
        <v>877</v>
      </c>
      <c r="D1019" s="21" t="s">
        <v>11</v>
      </c>
      <c r="E1019" s="21" t="s">
        <v>11</v>
      </c>
    </row>
    <row r="1020" spans="1:5" s="21" customFormat="1" ht="15.75" hidden="1" customHeight="1">
      <c r="A1020" s="21">
        <v>280110</v>
      </c>
      <c r="B1020" s="21" t="s">
        <v>878</v>
      </c>
      <c r="C1020" s="21" t="s">
        <v>878</v>
      </c>
      <c r="D1020" s="21" t="s">
        <v>11</v>
      </c>
      <c r="E1020" s="21" t="s">
        <v>11</v>
      </c>
    </row>
    <row r="1021" spans="1:5" s="21" customFormat="1" ht="15.75" hidden="1" customHeight="1">
      <c r="A1021" s="21">
        <v>280120</v>
      </c>
      <c r="B1021" s="21" t="s">
        <v>879</v>
      </c>
      <c r="C1021" s="21" t="s">
        <v>879</v>
      </c>
      <c r="D1021" s="21" t="s">
        <v>11</v>
      </c>
      <c r="E1021" s="21" t="s">
        <v>11</v>
      </c>
    </row>
    <row r="1022" spans="1:5" s="21" customFormat="1" ht="15.75" hidden="1" customHeight="1">
      <c r="A1022" s="21">
        <v>280130</v>
      </c>
      <c r="B1022" s="21" t="s">
        <v>880</v>
      </c>
      <c r="C1022" s="21" t="s">
        <v>5360</v>
      </c>
      <c r="D1022" s="21" t="s">
        <v>11</v>
      </c>
      <c r="E1022" s="21" t="s">
        <v>11</v>
      </c>
    </row>
    <row r="1023" spans="1:5" s="21" customFormat="1" ht="15.75" hidden="1" customHeight="1">
      <c r="A1023" s="21">
        <v>280200</v>
      </c>
      <c r="B1023" s="21" t="s">
        <v>881</v>
      </c>
      <c r="C1023" s="21" t="s">
        <v>5361</v>
      </c>
      <c r="D1023" s="21" t="s">
        <v>11</v>
      </c>
      <c r="E1023" s="21" t="s">
        <v>11</v>
      </c>
    </row>
    <row r="1024" spans="1:5" s="21" customFormat="1" ht="15.75" hidden="1" customHeight="1">
      <c r="A1024" s="21">
        <v>280300</v>
      </c>
      <c r="B1024" s="21" t="s">
        <v>882</v>
      </c>
      <c r="C1024" s="21" t="s">
        <v>5362</v>
      </c>
      <c r="D1024" s="21" t="s">
        <v>11</v>
      </c>
      <c r="E1024" s="21" t="s">
        <v>11</v>
      </c>
    </row>
    <row r="1025" spans="1:5" s="21" customFormat="1" ht="15.75" hidden="1" customHeight="1">
      <c r="A1025" s="21">
        <v>280410</v>
      </c>
      <c r="B1025" s="21" t="s">
        <v>883</v>
      </c>
      <c r="C1025" s="21" t="s">
        <v>883</v>
      </c>
      <c r="D1025" s="21" t="s">
        <v>11</v>
      </c>
      <c r="E1025" s="21" t="s">
        <v>11</v>
      </c>
    </row>
    <row r="1026" spans="1:5" s="21" customFormat="1" ht="15.75" hidden="1" customHeight="1">
      <c r="A1026" s="21">
        <v>280421</v>
      </c>
      <c r="B1026" s="21" t="s">
        <v>884</v>
      </c>
      <c r="C1026" s="21" t="s">
        <v>5363</v>
      </c>
      <c r="D1026" s="21" t="s">
        <v>11</v>
      </c>
      <c r="E1026" s="21" t="s">
        <v>11</v>
      </c>
    </row>
    <row r="1027" spans="1:5" s="21" customFormat="1" ht="15.75" hidden="1" customHeight="1">
      <c r="A1027" s="21">
        <v>280429</v>
      </c>
      <c r="B1027" s="21" t="s">
        <v>885</v>
      </c>
      <c r="C1027" s="21" t="s">
        <v>5363</v>
      </c>
      <c r="D1027" s="21" t="s">
        <v>11</v>
      </c>
      <c r="E1027" s="21" t="s">
        <v>11</v>
      </c>
    </row>
    <row r="1028" spans="1:5" s="21" customFormat="1" ht="15.75" hidden="1" customHeight="1">
      <c r="A1028" s="21">
        <v>280430</v>
      </c>
      <c r="B1028" s="21" t="s">
        <v>886</v>
      </c>
      <c r="C1028" s="21" t="s">
        <v>886</v>
      </c>
      <c r="D1028" s="21" t="s">
        <v>11</v>
      </c>
      <c r="E1028" s="21" t="s">
        <v>11</v>
      </c>
    </row>
    <row r="1029" spans="1:5" s="21" customFormat="1" ht="15.75" hidden="1" customHeight="1">
      <c r="A1029" s="21">
        <v>280440</v>
      </c>
      <c r="B1029" s="21" t="s">
        <v>887</v>
      </c>
      <c r="C1029" s="21" t="s">
        <v>887</v>
      </c>
      <c r="D1029" s="21" t="s">
        <v>11</v>
      </c>
      <c r="E1029" s="21" t="s">
        <v>11</v>
      </c>
    </row>
    <row r="1030" spans="1:5" s="21" customFormat="1" ht="15.75" hidden="1" customHeight="1">
      <c r="A1030" s="21">
        <v>280450</v>
      </c>
      <c r="B1030" s="21" t="s">
        <v>888</v>
      </c>
      <c r="C1030" s="21" t="s">
        <v>5364</v>
      </c>
      <c r="D1030" s="21" t="s">
        <v>11</v>
      </c>
      <c r="E1030" s="21" t="s">
        <v>11</v>
      </c>
    </row>
    <row r="1031" spans="1:5" s="21" customFormat="1" ht="15.75" hidden="1" customHeight="1">
      <c r="A1031" s="21">
        <v>280461</v>
      </c>
      <c r="B1031" s="21" t="s">
        <v>889</v>
      </c>
      <c r="C1031" s="21" t="s">
        <v>5365</v>
      </c>
      <c r="D1031" s="21" t="s">
        <v>11</v>
      </c>
      <c r="E1031" s="21" t="s">
        <v>11</v>
      </c>
    </row>
    <row r="1032" spans="1:5" s="21" customFormat="1" ht="15.75" hidden="1" customHeight="1">
      <c r="A1032" s="21">
        <v>280469</v>
      </c>
      <c r="B1032" s="21" t="s">
        <v>890</v>
      </c>
      <c r="C1032" s="21" t="s">
        <v>5365</v>
      </c>
      <c r="D1032" s="21" t="s">
        <v>11</v>
      </c>
      <c r="E1032" s="21" t="s">
        <v>11</v>
      </c>
    </row>
    <row r="1033" spans="1:5" s="21" customFormat="1" ht="15.75" hidden="1" customHeight="1">
      <c r="A1033" s="21">
        <v>280470</v>
      </c>
      <c r="B1033" s="21" t="s">
        <v>891</v>
      </c>
      <c r="C1033" s="21" t="s">
        <v>891</v>
      </c>
      <c r="D1033" s="21" t="s">
        <v>11</v>
      </c>
      <c r="E1033" s="21" t="s">
        <v>11</v>
      </c>
    </row>
    <row r="1034" spans="1:5" s="21" customFormat="1" ht="15.75" hidden="1" customHeight="1">
      <c r="A1034" s="21">
        <v>280480</v>
      </c>
      <c r="B1034" s="21" t="s">
        <v>892</v>
      </c>
      <c r="C1034" s="21" t="s">
        <v>892</v>
      </c>
      <c r="D1034" s="21" t="s">
        <v>11</v>
      </c>
      <c r="E1034" s="21" t="s">
        <v>11</v>
      </c>
    </row>
    <row r="1035" spans="1:5" s="21" customFormat="1" ht="15.75" hidden="1" customHeight="1">
      <c r="A1035" s="21">
        <v>280490</v>
      </c>
      <c r="B1035" s="21" t="s">
        <v>893</v>
      </c>
      <c r="C1035" s="21" t="s">
        <v>893</v>
      </c>
      <c r="D1035" s="21" t="s">
        <v>11</v>
      </c>
      <c r="E1035" s="21" t="s">
        <v>11</v>
      </c>
    </row>
    <row r="1036" spans="1:5" s="21" customFormat="1" ht="15.75" hidden="1" customHeight="1">
      <c r="A1036" s="21">
        <v>280511</v>
      </c>
      <c r="B1036" s="21" t="s">
        <v>894</v>
      </c>
      <c r="C1036" s="21" t="s">
        <v>5366</v>
      </c>
      <c r="D1036" s="21" t="s">
        <v>11</v>
      </c>
      <c r="E1036" s="21" t="s">
        <v>11</v>
      </c>
    </row>
    <row r="1037" spans="1:5" s="21" customFormat="1" ht="15.75" hidden="1" customHeight="1">
      <c r="A1037" s="21">
        <v>280512</v>
      </c>
      <c r="B1037" s="21" t="s">
        <v>895</v>
      </c>
      <c r="C1037" s="21" t="s">
        <v>5366</v>
      </c>
      <c r="D1037" s="21" t="s">
        <v>11</v>
      </c>
      <c r="E1037" s="21" t="s">
        <v>11</v>
      </c>
    </row>
    <row r="1038" spans="1:5" s="21" customFormat="1" ht="15.75" hidden="1" customHeight="1">
      <c r="A1038" s="21">
        <v>280519</v>
      </c>
      <c r="B1038" s="21" t="s">
        <v>896</v>
      </c>
      <c r="C1038" s="21" t="s">
        <v>5366</v>
      </c>
      <c r="D1038" s="21" t="s">
        <v>11</v>
      </c>
      <c r="E1038" s="21" t="s">
        <v>11</v>
      </c>
    </row>
    <row r="1039" spans="1:5" s="21" customFormat="1" ht="15.75" hidden="1" customHeight="1">
      <c r="A1039" s="21">
        <v>280530</v>
      </c>
      <c r="B1039" s="21" t="s">
        <v>897</v>
      </c>
      <c r="C1039" s="21" t="s">
        <v>5367</v>
      </c>
      <c r="D1039" s="21" t="s">
        <v>11</v>
      </c>
      <c r="E1039" s="21" t="s">
        <v>11</v>
      </c>
    </row>
    <row r="1040" spans="1:5" s="21" customFormat="1" ht="15.75" hidden="1" customHeight="1">
      <c r="A1040" s="21">
        <v>280540</v>
      </c>
      <c r="B1040" s="21" t="s">
        <v>898</v>
      </c>
      <c r="C1040" s="21" t="s">
        <v>898</v>
      </c>
      <c r="D1040" s="21" t="s">
        <v>11</v>
      </c>
      <c r="E1040" s="21" t="s">
        <v>11</v>
      </c>
    </row>
    <row r="1041" spans="1:5" s="21" customFormat="1" ht="15.75" hidden="1" customHeight="1">
      <c r="A1041" s="21">
        <v>280610</v>
      </c>
      <c r="B1041" s="21" t="s">
        <v>899</v>
      </c>
      <c r="C1041" s="21" t="s">
        <v>899</v>
      </c>
      <c r="D1041" s="21" t="s">
        <v>11</v>
      </c>
      <c r="E1041" s="21" t="s">
        <v>11</v>
      </c>
    </row>
    <row r="1042" spans="1:5" s="21" customFormat="1" ht="15.75" hidden="1" customHeight="1">
      <c r="A1042" s="21">
        <v>280620</v>
      </c>
      <c r="B1042" s="21" t="s">
        <v>900</v>
      </c>
      <c r="C1042" s="21" t="s">
        <v>900</v>
      </c>
      <c r="D1042" s="21" t="s">
        <v>11</v>
      </c>
      <c r="E1042" s="21" t="s">
        <v>11</v>
      </c>
    </row>
    <row r="1043" spans="1:5" s="21" customFormat="1" ht="15.75" hidden="1" customHeight="1">
      <c r="A1043" s="21">
        <v>280700</v>
      </c>
      <c r="B1043" s="21" t="s">
        <v>901</v>
      </c>
      <c r="C1043" s="21" t="s">
        <v>5368</v>
      </c>
      <c r="D1043" s="21" t="s">
        <v>11</v>
      </c>
      <c r="E1043" s="21" t="s">
        <v>11</v>
      </c>
    </row>
    <row r="1044" spans="1:5" s="21" customFormat="1" ht="15.75" hidden="1" customHeight="1">
      <c r="A1044" s="21">
        <v>280800</v>
      </c>
      <c r="B1044" s="21" t="s">
        <v>902</v>
      </c>
      <c r="C1044" s="21" t="s">
        <v>5369</v>
      </c>
      <c r="D1044" s="21" t="s">
        <v>11</v>
      </c>
      <c r="E1044" s="21" t="s">
        <v>11</v>
      </c>
    </row>
    <row r="1045" spans="1:5" s="21" customFormat="1" ht="15.75" hidden="1" customHeight="1">
      <c r="A1045" s="21">
        <v>280910</v>
      </c>
      <c r="B1045" s="21" t="s">
        <v>903</v>
      </c>
      <c r="C1045" s="21" t="s">
        <v>903</v>
      </c>
      <c r="D1045" s="21" t="s">
        <v>11</v>
      </c>
      <c r="E1045" s="21" t="s">
        <v>11</v>
      </c>
    </row>
    <row r="1046" spans="1:5" s="21" customFormat="1" ht="15.75" hidden="1" customHeight="1">
      <c r="A1046" s="21">
        <v>280920</v>
      </c>
      <c r="B1046" s="21" t="s">
        <v>904</v>
      </c>
      <c r="C1046" s="21" t="s">
        <v>904</v>
      </c>
      <c r="D1046" s="21" t="s">
        <v>11</v>
      </c>
      <c r="E1046" s="21" t="s">
        <v>11</v>
      </c>
    </row>
    <row r="1047" spans="1:5" s="21" customFormat="1" ht="15.75" hidden="1" customHeight="1">
      <c r="A1047" s="21">
        <v>281000</v>
      </c>
      <c r="B1047" s="21" t="s">
        <v>905</v>
      </c>
      <c r="C1047" s="21" t="s">
        <v>5370</v>
      </c>
      <c r="D1047" s="21" t="s">
        <v>11</v>
      </c>
      <c r="E1047" s="21" t="s">
        <v>11</v>
      </c>
    </row>
    <row r="1048" spans="1:5" s="21" customFormat="1" ht="15.75" hidden="1" customHeight="1">
      <c r="A1048" s="21">
        <v>281111</v>
      </c>
      <c r="B1048" s="21" t="s">
        <v>906</v>
      </c>
      <c r="C1048" s="21" t="s">
        <v>906</v>
      </c>
      <c r="D1048" s="21" t="s">
        <v>11</v>
      </c>
      <c r="E1048" s="21" t="s">
        <v>11</v>
      </c>
    </row>
    <row r="1049" spans="1:5" s="21" customFormat="1" ht="15.75" hidden="1" customHeight="1">
      <c r="A1049" s="21">
        <v>281119</v>
      </c>
      <c r="B1049" s="21" t="s">
        <v>907</v>
      </c>
      <c r="C1049" s="21" t="s">
        <v>5371</v>
      </c>
      <c r="D1049" s="21" t="s">
        <v>11</v>
      </c>
      <c r="E1049" s="21" t="s">
        <v>11</v>
      </c>
    </row>
    <row r="1050" spans="1:5" s="21" customFormat="1" ht="15.75" hidden="1" customHeight="1">
      <c r="A1050" s="21">
        <v>281121</v>
      </c>
      <c r="B1050" s="21" t="s">
        <v>908</v>
      </c>
      <c r="C1050" s="21" t="s">
        <v>908</v>
      </c>
      <c r="D1050" s="21" t="s">
        <v>11</v>
      </c>
      <c r="E1050" s="21" t="s">
        <v>11</v>
      </c>
    </row>
    <row r="1051" spans="1:5" s="21" customFormat="1" ht="15.75" hidden="1" customHeight="1">
      <c r="A1051" s="21">
        <v>281122</v>
      </c>
      <c r="B1051" s="21" t="s">
        <v>909</v>
      </c>
      <c r="C1051" s="21" t="s">
        <v>909</v>
      </c>
      <c r="D1051" s="21" t="s">
        <v>11</v>
      </c>
      <c r="E1051" s="21" t="s">
        <v>11</v>
      </c>
    </row>
    <row r="1052" spans="1:5" s="21" customFormat="1" ht="15.75" hidden="1" customHeight="1">
      <c r="A1052" s="21">
        <v>281129</v>
      </c>
      <c r="B1052" s="21" t="s">
        <v>910</v>
      </c>
      <c r="C1052" s="21" t="s">
        <v>5372</v>
      </c>
      <c r="D1052" s="21" t="s">
        <v>11</v>
      </c>
      <c r="E1052" s="21" t="s">
        <v>11</v>
      </c>
    </row>
    <row r="1053" spans="1:5" s="21" customFormat="1" ht="15.75" hidden="1" customHeight="1">
      <c r="A1053" s="21">
        <v>281210</v>
      </c>
      <c r="B1053" s="21" t="s">
        <v>911</v>
      </c>
      <c r="C1053" s="21" t="s">
        <v>911</v>
      </c>
      <c r="D1053" s="21" t="s">
        <v>11</v>
      </c>
      <c r="E1053" s="21" t="s">
        <v>11</v>
      </c>
    </row>
    <row r="1054" spans="1:5" s="21" customFormat="1" ht="15.75" hidden="1" customHeight="1">
      <c r="A1054" s="21">
        <v>281290</v>
      </c>
      <c r="B1054" s="21" t="s">
        <v>912</v>
      </c>
      <c r="C1054" s="21" t="s">
        <v>5373</v>
      </c>
      <c r="D1054" s="21" t="s">
        <v>11</v>
      </c>
      <c r="E1054" s="21" t="s">
        <v>11</v>
      </c>
    </row>
    <row r="1055" spans="1:5" s="21" customFormat="1" ht="15.75" hidden="1" customHeight="1">
      <c r="A1055" s="21">
        <v>281310</v>
      </c>
      <c r="B1055" s="21" t="s">
        <v>913</v>
      </c>
      <c r="C1055" s="21" t="s">
        <v>913</v>
      </c>
      <c r="D1055" s="21" t="s">
        <v>11</v>
      </c>
      <c r="E1055" s="21" t="s">
        <v>11</v>
      </c>
    </row>
    <row r="1056" spans="1:5" s="21" customFormat="1" ht="15.75" hidden="1" customHeight="1">
      <c r="A1056" s="21">
        <v>281390</v>
      </c>
      <c r="B1056" s="21" t="s">
        <v>914</v>
      </c>
      <c r="C1056" s="21" t="s">
        <v>5374</v>
      </c>
      <c r="D1056" s="21" t="s">
        <v>11</v>
      </c>
      <c r="E1056" s="21" t="s">
        <v>11</v>
      </c>
    </row>
    <row r="1057" spans="1:5" s="21" customFormat="1" ht="15.75" hidden="1" customHeight="1">
      <c r="A1057" s="21">
        <v>281410</v>
      </c>
      <c r="B1057" s="21" t="s">
        <v>915</v>
      </c>
      <c r="C1057" s="21" t="s">
        <v>5375</v>
      </c>
      <c r="D1057" s="21" t="s">
        <v>11</v>
      </c>
      <c r="E1057" s="21" t="s">
        <v>11</v>
      </c>
    </row>
    <row r="1058" spans="1:5" s="21" customFormat="1" ht="15.75" hidden="1" customHeight="1">
      <c r="A1058" s="21">
        <v>281420</v>
      </c>
      <c r="B1058" s="21" t="s">
        <v>916</v>
      </c>
      <c r="C1058" s="21" t="s">
        <v>5375</v>
      </c>
      <c r="D1058" s="21" t="s">
        <v>11</v>
      </c>
      <c r="E1058" s="21" t="s">
        <v>11</v>
      </c>
    </row>
    <row r="1059" spans="1:5" s="21" customFormat="1" ht="15.75" hidden="1" customHeight="1">
      <c r="A1059" s="21">
        <v>281511</v>
      </c>
      <c r="B1059" s="21" t="s">
        <v>917</v>
      </c>
      <c r="C1059" s="21" t="s">
        <v>5376</v>
      </c>
      <c r="D1059" s="21" t="s">
        <v>11</v>
      </c>
      <c r="E1059" s="21" t="s">
        <v>11</v>
      </c>
    </row>
    <row r="1060" spans="1:5" s="21" customFormat="1" ht="15.75" hidden="1" customHeight="1">
      <c r="A1060" s="21">
        <v>281512</v>
      </c>
      <c r="B1060" s="21" t="s">
        <v>918</v>
      </c>
      <c r="C1060" s="21" t="s">
        <v>5376</v>
      </c>
      <c r="D1060" s="21" t="s">
        <v>11</v>
      </c>
      <c r="E1060" s="21" t="s">
        <v>11</v>
      </c>
    </row>
    <row r="1061" spans="1:5" s="21" customFormat="1" ht="15.75" hidden="1" customHeight="1">
      <c r="A1061" s="21">
        <v>281520</v>
      </c>
      <c r="B1061" s="21" t="s">
        <v>919</v>
      </c>
      <c r="C1061" s="21" t="s">
        <v>919</v>
      </c>
      <c r="D1061" s="21" t="s">
        <v>11</v>
      </c>
      <c r="E1061" s="21" t="s">
        <v>11</v>
      </c>
    </row>
    <row r="1062" spans="1:5" s="21" customFormat="1" ht="15.75" hidden="1" customHeight="1">
      <c r="A1062" s="21">
        <v>281530</v>
      </c>
      <c r="B1062" s="21" t="s">
        <v>920</v>
      </c>
      <c r="C1062" s="21" t="s">
        <v>920</v>
      </c>
      <c r="D1062" s="21" t="s">
        <v>11</v>
      </c>
      <c r="E1062" s="21" t="s">
        <v>11</v>
      </c>
    </row>
    <row r="1063" spans="1:5" s="21" customFormat="1" ht="15.75" hidden="1" customHeight="1">
      <c r="A1063" s="21">
        <v>281610</v>
      </c>
      <c r="B1063" s="21" t="s">
        <v>921</v>
      </c>
      <c r="C1063" s="21" t="s">
        <v>921</v>
      </c>
      <c r="D1063" s="21" t="s">
        <v>11</v>
      </c>
      <c r="E1063" s="21" t="s">
        <v>11</v>
      </c>
    </row>
    <row r="1064" spans="1:5" s="21" customFormat="1" ht="15.75" hidden="1" customHeight="1">
      <c r="A1064" s="21">
        <v>281640</v>
      </c>
      <c r="B1064" s="21" t="s">
        <v>922</v>
      </c>
      <c r="C1064" s="21" t="s">
        <v>922</v>
      </c>
      <c r="D1064" s="21" t="s">
        <v>11</v>
      </c>
      <c r="E1064" s="21" t="s">
        <v>11</v>
      </c>
    </row>
    <row r="1065" spans="1:5" s="21" customFormat="1" ht="15.75" hidden="1" customHeight="1">
      <c r="A1065" s="21">
        <v>281700</v>
      </c>
      <c r="B1065" s="21" t="s">
        <v>923</v>
      </c>
      <c r="C1065" s="21" t="s">
        <v>5377</v>
      </c>
      <c r="D1065" s="21" t="s">
        <v>11</v>
      </c>
      <c r="E1065" s="21" t="s">
        <v>11</v>
      </c>
    </row>
    <row r="1066" spans="1:5" s="21" customFormat="1" ht="15.75" hidden="1" customHeight="1">
      <c r="A1066" s="21">
        <v>281810</v>
      </c>
      <c r="B1066" s="21" t="s">
        <v>924</v>
      </c>
      <c r="C1066" s="21" t="s">
        <v>5378</v>
      </c>
      <c r="D1066" s="21" t="s">
        <v>11</v>
      </c>
      <c r="E1066" s="21" t="s">
        <v>11</v>
      </c>
    </row>
    <row r="1067" spans="1:5" s="21" customFormat="1" ht="15.75" hidden="1" customHeight="1">
      <c r="A1067" s="21">
        <v>281820</v>
      </c>
      <c r="B1067" s="21" t="s">
        <v>925</v>
      </c>
      <c r="C1067" s="21" t="s">
        <v>5378</v>
      </c>
      <c r="D1067" s="21" t="s">
        <v>11</v>
      </c>
      <c r="E1067" s="21" t="s">
        <v>11</v>
      </c>
    </row>
    <row r="1068" spans="1:5" s="21" customFormat="1" ht="15.75" hidden="1" customHeight="1">
      <c r="A1068" s="21">
        <v>281830</v>
      </c>
      <c r="B1068" s="21" t="s">
        <v>926</v>
      </c>
      <c r="C1068" s="21" t="s">
        <v>926</v>
      </c>
      <c r="D1068" s="21" t="s">
        <v>11</v>
      </c>
      <c r="E1068" s="21" t="s">
        <v>11</v>
      </c>
    </row>
    <row r="1069" spans="1:5" s="21" customFormat="1" ht="15.75" hidden="1" customHeight="1">
      <c r="A1069" s="21">
        <v>281910</v>
      </c>
      <c r="B1069" s="21" t="s">
        <v>927</v>
      </c>
      <c r="C1069" s="21" t="s">
        <v>927</v>
      </c>
      <c r="D1069" s="21" t="s">
        <v>11</v>
      </c>
      <c r="E1069" s="21" t="s">
        <v>11</v>
      </c>
    </row>
    <row r="1070" spans="1:5" s="21" customFormat="1" ht="15.75" hidden="1" customHeight="1">
      <c r="A1070" s="21">
        <v>281990</v>
      </c>
      <c r="B1070" s="21" t="s">
        <v>928</v>
      </c>
      <c r="C1070" s="21" t="s">
        <v>5379</v>
      </c>
      <c r="D1070" s="21" t="s">
        <v>11</v>
      </c>
      <c r="E1070" s="21" t="s">
        <v>11</v>
      </c>
    </row>
    <row r="1071" spans="1:5" s="21" customFormat="1" ht="15.75" hidden="1" customHeight="1">
      <c r="A1071" s="21">
        <v>282010</v>
      </c>
      <c r="B1071" s="21" t="s">
        <v>929</v>
      </c>
      <c r="C1071" s="21" t="s">
        <v>929</v>
      </c>
      <c r="D1071" s="21" t="s">
        <v>11</v>
      </c>
      <c r="E1071" s="21" t="s">
        <v>11</v>
      </c>
    </row>
    <row r="1072" spans="1:5" s="21" customFormat="1" ht="15.75" hidden="1" customHeight="1">
      <c r="A1072" s="21">
        <v>282090</v>
      </c>
      <c r="B1072" s="21" t="s">
        <v>930</v>
      </c>
      <c r="C1072" s="21" t="s">
        <v>5380</v>
      </c>
      <c r="D1072" s="21" t="s">
        <v>11</v>
      </c>
      <c r="E1072" s="21" t="s">
        <v>11</v>
      </c>
    </row>
    <row r="1073" spans="1:5" s="21" customFormat="1" ht="15.75" hidden="1" customHeight="1">
      <c r="A1073" s="21">
        <v>282110</v>
      </c>
      <c r="B1073" s="21" t="s">
        <v>931</v>
      </c>
      <c r="C1073" s="21" t="s">
        <v>931</v>
      </c>
      <c r="D1073" s="21" t="s">
        <v>11</v>
      </c>
      <c r="E1073" s="21" t="s">
        <v>11</v>
      </c>
    </row>
    <row r="1074" spans="1:5" s="21" customFormat="1" ht="15.75" hidden="1" customHeight="1">
      <c r="A1074" s="21">
        <v>282120</v>
      </c>
      <c r="B1074" s="21" t="s">
        <v>932</v>
      </c>
      <c r="C1074" s="21" t="s">
        <v>5381</v>
      </c>
      <c r="D1074" s="21" t="s">
        <v>11</v>
      </c>
      <c r="E1074" s="21" t="s">
        <v>11</v>
      </c>
    </row>
    <row r="1075" spans="1:5" s="21" customFormat="1" ht="15.75" hidden="1" customHeight="1">
      <c r="A1075" s="21">
        <v>282200</v>
      </c>
      <c r="B1075" s="21" t="s">
        <v>933</v>
      </c>
      <c r="C1075" s="21" t="s">
        <v>5382</v>
      </c>
      <c r="D1075" s="21" t="s">
        <v>11</v>
      </c>
      <c r="E1075" s="21" t="s">
        <v>11</v>
      </c>
    </row>
    <row r="1076" spans="1:5" s="21" customFormat="1" ht="15.75" hidden="1" customHeight="1">
      <c r="A1076" s="21">
        <v>282300</v>
      </c>
      <c r="B1076" s="21" t="s">
        <v>934</v>
      </c>
      <c r="C1076" s="21" t="s">
        <v>934</v>
      </c>
      <c r="D1076" s="21" t="s">
        <v>11</v>
      </c>
      <c r="E1076" s="21" t="s">
        <v>11</v>
      </c>
    </row>
    <row r="1077" spans="1:5" s="21" customFormat="1" ht="15.75" hidden="1" customHeight="1">
      <c r="A1077" s="21">
        <v>282410</v>
      </c>
      <c r="B1077" s="21" t="s">
        <v>935</v>
      </c>
      <c r="C1077" s="21" t="s">
        <v>5383</v>
      </c>
      <c r="D1077" s="21" t="s">
        <v>11</v>
      </c>
      <c r="E1077" s="21" t="s">
        <v>11</v>
      </c>
    </row>
    <row r="1078" spans="1:5" s="21" customFormat="1" ht="15.75" hidden="1" customHeight="1">
      <c r="A1078" s="21">
        <v>282490</v>
      </c>
      <c r="B1078" s="21" t="s">
        <v>936</v>
      </c>
      <c r="C1078" s="21" t="s">
        <v>5384</v>
      </c>
      <c r="D1078" s="21" t="s">
        <v>11</v>
      </c>
      <c r="E1078" s="21" t="s">
        <v>11</v>
      </c>
    </row>
    <row r="1079" spans="1:5" s="21" customFormat="1" ht="15.75" hidden="1" customHeight="1">
      <c r="A1079" s="21">
        <v>282510</v>
      </c>
      <c r="B1079" s="21" t="s">
        <v>937</v>
      </c>
      <c r="C1079" s="21" t="s">
        <v>937</v>
      </c>
      <c r="D1079" s="21" t="s">
        <v>11</v>
      </c>
      <c r="E1079" s="21" t="s">
        <v>11</v>
      </c>
    </row>
    <row r="1080" spans="1:5" s="21" customFormat="1" ht="15.75" hidden="1" customHeight="1">
      <c r="A1080" s="21">
        <v>282520</v>
      </c>
      <c r="B1080" s="21" t="s">
        <v>938</v>
      </c>
      <c r="C1080" s="21" t="s">
        <v>938</v>
      </c>
      <c r="D1080" s="21" t="s">
        <v>11</v>
      </c>
      <c r="E1080" s="21" t="s">
        <v>11</v>
      </c>
    </row>
    <row r="1081" spans="1:5" s="21" customFormat="1" ht="15.75" hidden="1" customHeight="1">
      <c r="A1081" s="21">
        <v>282530</v>
      </c>
      <c r="B1081" s="21" t="s">
        <v>939</v>
      </c>
      <c r="C1081" s="21" t="s">
        <v>939</v>
      </c>
      <c r="D1081" s="21" t="s">
        <v>11</v>
      </c>
      <c r="E1081" s="21" t="s">
        <v>11</v>
      </c>
    </row>
    <row r="1082" spans="1:5" s="21" customFormat="1" ht="15.75" hidden="1" customHeight="1">
      <c r="A1082" s="21">
        <v>282540</v>
      </c>
      <c r="B1082" s="21" t="s">
        <v>940</v>
      </c>
      <c r="C1082" s="21" t="s">
        <v>940</v>
      </c>
      <c r="D1082" s="21" t="s">
        <v>11</v>
      </c>
      <c r="E1082" s="21" t="s">
        <v>11</v>
      </c>
    </row>
    <row r="1083" spans="1:5" s="21" customFormat="1" ht="15.75" hidden="1" customHeight="1">
      <c r="A1083" s="21">
        <v>282550</v>
      </c>
      <c r="B1083" s="21" t="s">
        <v>941</v>
      </c>
      <c r="C1083" s="21" t="s">
        <v>941</v>
      </c>
      <c r="D1083" s="21" t="s">
        <v>11</v>
      </c>
      <c r="E1083" s="21" t="s">
        <v>11</v>
      </c>
    </row>
    <row r="1084" spans="1:5" s="21" customFormat="1" ht="15.75" hidden="1" customHeight="1">
      <c r="A1084" s="21">
        <v>282560</v>
      </c>
      <c r="B1084" s="21" t="s">
        <v>942</v>
      </c>
      <c r="C1084" s="21" t="s">
        <v>942</v>
      </c>
      <c r="D1084" s="21" t="s">
        <v>11</v>
      </c>
      <c r="E1084" s="21" t="s">
        <v>11</v>
      </c>
    </row>
    <row r="1085" spans="1:5" s="21" customFormat="1" ht="15.75" hidden="1" customHeight="1">
      <c r="A1085" s="21">
        <v>282570</v>
      </c>
      <c r="B1085" s="21" t="s">
        <v>943</v>
      </c>
      <c r="C1085" s="21" t="s">
        <v>943</v>
      </c>
      <c r="D1085" s="21" t="s">
        <v>11</v>
      </c>
      <c r="E1085" s="21" t="s">
        <v>11</v>
      </c>
    </row>
    <row r="1086" spans="1:5" s="21" customFormat="1" ht="15.75" hidden="1" customHeight="1">
      <c r="A1086" s="21">
        <v>282580</v>
      </c>
      <c r="B1086" s="21" t="s">
        <v>944</v>
      </c>
      <c r="C1086" s="21" t="s">
        <v>944</v>
      </c>
      <c r="D1086" s="21" t="s">
        <v>11</v>
      </c>
      <c r="E1086" s="21" t="s">
        <v>11</v>
      </c>
    </row>
    <row r="1087" spans="1:5" s="21" customFormat="1" ht="15.75" hidden="1" customHeight="1">
      <c r="A1087" s="21">
        <v>282590</v>
      </c>
      <c r="B1087" s="21" t="s">
        <v>945</v>
      </c>
      <c r="C1087" s="21" t="s">
        <v>5385</v>
      </c>
      <c r="D1087" s="21" t="s">
        <v>11</v>
      </c>
      <c r="E1087" s="21" t="s">
        <v>11</v>
      </c>
    </row>
    <row r="1088" spans="1:5" s="21" customFormat="1" ht="15.75" hidden="1" customHeight="1">
      <c r="A1088" s="21">
        <v>282612</v>
      </c>
      <c r="B1088" s="21" t="s">
        <v>946</v>
      </c>
      <c r="C1088" s="21" t="s">
        <v>5386</v>
      </c>
      <c r="D1088" s="21" t="s">
        <v>11</v>
      </c>
      <c r="E1088" s="21" t="s">
        <v>11</v>
      </c>
    </row>
    <row r="1089" spans="1:5" s="21" customFormat="1" ht="15.75" hidden="1" customHeight="1">
      <c r="A1089" s="21">
        <v>282619</v>
      </c>
      <c r="B1089" s="21" t="s">
        <v>947</v>
      </c>
      <c r="C1089" s="21" t="s">
        <v>5386</v>
      </c>
      <c r="D1089" s="21" t="s">
        <v>11</v>
      </c>
      <c r="E1089" s="21" t="s">
        <v>11</v>
      </c>
    </row>
    <row r="1090" spans="1:5" s="21" customFormat="1" ht="15.75" hidden="1" customHeight="1">
      <c r="A1090" s="21">
        <v>282630</v>
      </c>
      <c r="B1090" s="21" t="s">
        <v>948</v>
      </c>
      <c r="C1090" s="21" t="s">
        <v>948</v>
      </c>
      <c r="D1090" s="21" t="s">
        <v>11</v>
      </c>
      <c r="E1090" s="21" t="s">
        <v>11</v>
      </c>
    </row>
    <row r="1091" spans="1:5" s="21" customFormat="1" ht="15.75" hidden="1" customHeight="1">
      <c r="A1091" s="21">
        <v>282690</v>
      </c>
      <c r="B1091" s="21" t="s">
        <v>949</v>
      </c>
      <c r="C1091" s="21" t="s">
        <v>5386</v>
      </c>
      <c r="D1091" s="21" t="s">
        <v>11</v>
      </c>
      <c r="E1091" s="21" t="s">
        <v>11</v>
      </c>
    </row>
    <row r="1092" spans="1:5" s="21" customFormat="1" ht="15.75" hidden="1" customHeight="1">
      <c r="A1092" s="21">
        <v>282710</v>
      </c>
      <c r="B1092" s="21" t="s">
        <v>950</v>
      </c>
      <c r="C1092" s="21" t="s">
        <v>5387</v>
      </c>
      <c r="D1092" s="21" t="s">
        <v>11</v>
      </c>
      <c r="E1092" s="21" t="s">
        <v>11</v>
      </c>
    </row>
    <row r="1093" spans="1:5" s="21" customFormat="1" ht="15.75" hidden="1" customHeight="1">
      <c r="A1093" s="21">
        <v>282720</v>
      </c>
      <c r="B1093" s="21" t="s">
        <v>951</v>
      </c>
      <c r="C1093" s="21" t="s">
        <v>5387</v>
      </c>
      <c r="D1093" s="21" t="s">
        <v>11</v>
      </c>
      <c r="E1093" s="21" t="s">
        <v>11</v>
      </c>
    </row>
    <row r="1094" spans="1:5" s="21" customFormat="1" ht="15.75" hidden="1" customHeight="1">
      <c r="A1094" s="21">
        <v>282731</v>
      </c>
      <c r="B1094" s="21" t="s">
        <v>952</v>
      </c>
      <c r="C1094" s="21" t="s">
        <v>5387</v>
      </c>
      <c r="D1094" s="21" t="s">
        <v>11</v>
      </c>
      <c r="E1094" s="21" t="s">
        <v>11</v>
      </c>
    </row>
    <row r="1095" spans="1:5" s="21" customFormat="1" ht="15.75" hidden="1" customHeight="1">
      <c r="A1095" s="21">
        <v>282732</v>
      </c>
      <c r="B1095" s="21" t="s">
        <v>953</v>
      </c>
      <c r="C1095" s="21" t="s">
        <v>5387</v>
      </c>
      <c r="D1095" s="21" t="s">
        <v>11</v>
      </c>
      <c r="E1095" s="21" t="s">
        <v>11</v>
      </c>
    </row>
    <row r="1096" spans="1:5" s="21" customFormat="1" ht="15.75" hidden="1" customHeight="1">
      <c r="A1096" s="21">
        <v>282735</v>
      </c>
      <c r="B1096" s="21" t="s">
        <v>954</v>
      </c>
      <c r="C1096" s="21" t="s">
        <v>5387</v>
      </c>
      <c r="D1096" s="21" t="s">
        <v>11</v>
      </c>
      <c r="E1096" s="21" t="s">
        <v>11</v>
      </c>
    </row>
    <row r="1097" spans="1:5" s="21" customFormat="1" ht="15.75" hidden="1" customHeight="1">
      <c r="A1097" s="21">
        <v>282739</v>
      </c>
      <c r="B1097" s="21" t="s">
        <v>955</v>
      </c>
      <c r="C1097" s="21" t="s">
        <v>5387</v>
      </c>
      <c r="D1097" s="21" t="s">
        <v>11</v>
      </c>
      <c r="E1097" s="21" t="s">
        <v>11</v>
      </c>
    </row>
    <row r="1098" spans="1:5" s="21" customFormat="1" ht="15.75" hidden="1" customHeight="1">
      <c r="A1098" s="21">
        <v>282741</v>
      </c>
      <c r="B1098" s="21" t="s">
        <v>956</v>
      </c>
      <c r="C1098" s="21" t="s">
        <v>5388</v>
      </c>
      <c r="D1098" s="21" t="s">
        <v>11</v>
      </c>
      <c r="E1098" s="21" t="s">
        <v>11</v>
      </c>
    </row>
    <row r="1099" spans="1:5" s="21" customFormat="1" ht="15.75" hidden="1" customHeight="1">
      <c r="A1099" s="21">
        <v>282749</v>
      </c>
      <c r="B1099" s="21" t="s">
        <v>957</v>
      </c>
      <c r="C1099" s="21" t="s">
        <v>5388</v>
      </c>
      <c r="D1099" s="21" t="s">
        <v>11</v>
      </c>
      <c r="E1099" s="21" t="s">
        <v>11</v>
      </c>
    </row>
    <row r="1100" spans="1:5" s="21" customFormat="1" ht="15.75" hidden="1" customHeight="1">
      <c r="A1100" s="21">
        <v>282751</v>
      </c>
      <c r="B1100" s="21" t="s">
        <v>958</v>
      </c>
      <c r="C1100" s="21" t="s">
        <v>5389</v>
      </c>
      <c r="D1100" s="21" t="s">
        <v>11</v>
      </c>
      <c r="E1100" s="21" t="s">
        <v>11</v>
      </c>
    </row>
    <row r="1101" spans="1:5" s="21" customFormat="1" ht="15.75" hidden="1" customHeight="1">
      <c r="A1101" s="21">
        <v>282759</v>
      </c>
      <c r="B1101" s="21" t="s">
        <v>959</v>
      </c>
      <c r="C1101" s="21" t="s">
        <v>5390</v>
      </c>
      <c r="D1101" s="21" t="s">
        <v>11</v>
      </c>
      <c r="E1101" s="21" t="s">
        <v>11</v>
      </c>
    </row>
    <row r="1102" spans="1:5" s="21" customFormat="1" ht="15.75" hidden="1" customHeight="1">
      <c r="A1102" s="21">
        <v>282760</v>
      </c>
      <c r="B1102" s="21" t="s">
        <v>960</v>
      </c>
      <c r="C1102" s="21" t="s">
        <v>960</v>
      </c>
      <c r="D1102" s="21" t="s">
        <v>11</v>
      </c>
      <c r="E1102" s="21" t="s">
        <v>11</v>
      </c>
    </row>
    <row r="1103" spans="1:5" s="21" customFormat="1" ht="15.75" hidden="1" customHeight="1">
      <c r="A1103" s="21">
        <v>282810</v>
      </c>
      <c r="B1103" s="21" t="s">
        <v>961</v>
      </c>
      <c r="C1103" s="21" t="s">
        <v>5391</v>
      </c>
      <c r="D1103" s="21" t="s">
        <v>11</v>
      </c>
      <c r="E1103" s="21" t="s">
        <v>11</v>
      </c>
    </row>
    <row r="1104" spans="1:5" s="21" customFormat="1" ht="15.75" hidden="1" customHeight="1">
      <c r="A1104" s="21">
        <v>282890</v>
      </c>
      <c r="B1104" s="21" t="s">
        <v>962</v>
      </c>
      <c r="C1104" s="21" t="s">
        <v>5391</v>
      </c>
      <c r="D1104" s="21" t="s">
        <v>11</v>
      </c>
      <c r="E1104" s="21" t="s">
        <v>11</v>
      </c>
    </row>
    <row r="1105" spans="1:5" s="21" customFormat="1" ht="15.75" hidden="1" customHeight="1">
      <c r="A1105" s="21">
        <v>282911</v>
      </c>
      <c r="B1105" s="21" t="s">
        <v>963</v>
      </c>
      <c r="C1105" s="21" t="s">
        <v>5392</v>
      </c>
      <c r="D1105" s="21" t="s">
        <v>11</v>
      </c>
      <c r="E1105" s="21" t="s">
        <v>11</v>
      </c>
    </row>
    <row r="1106" spans="1:5" s="21" customFormat="1" ht="15.75" hidden="1" customHeight="1">
      <c r="A1106" s="21">
        <v>282919</v>
      </c>
      <c r="B1106" s="21" t="s">
        <v>964</v>
      </c>
      <c r="C1106" s="21" t="s">
        <v>5392</v>
      </c>
      <c r="D1106" s="21" t="s">
        <v>11</v>
      </c>
      <c r="E1106" s="21" t="s">
        <v>11</v>
      </c>
    </row>
    <row r="1107" spans="1:5" s="21" customFormat="1" ht="15.75" hidden="1" customHeight="1">
      <c r="A1107" s="21">
        <v>282990</v>
      </c>
      <c r="B1107" s="21" t="s">
        <v>965</v>
      </c>
      <c r="C1107" s="21" t="s">
        <v>5393</v>
      </c>
      <c r="D1107" s="21" t="s">
        <v>11</v>
      </c>
      <c r="E1107" s="21" t="s">
        <v>11</v>
      </c>
    </row>
    <row r="1108" spans="1:5" s="21" customFormat="1" ht="15.75" hidden="1" customHeight="1">
      <c r="A1108" s="21">
        <v>283010</v>
      </c>
      <c r="B1108" s="21" t="s">
        <v>966</v>
      </c>
      <c r="C1108" s="21" t="s">
        <v>5394</v>
      </c>
      <c r="D1108" s="21" t="s">
        <v>11</v>
      </c>
      <c r="E1108" s="21" t="s">
        <v>11</v>
      </c>
    </row>
    <row r="1109" spans="1:5" s="21" customFormat="1" ht="15.75" hidden="1" customHeight="1">
      <c r="A1109" s="21">
        <v>283090</v>
      </c>
      <c r="B1109" s="21" t="s">
        <v>967</v>
      </c>
      <c r="C1109" s="21" t="s">
        <v>5395</v>
      </c>
      <c r="D1109" s="21" t="s">
        <v>11</v>
      </c>
      <c r="E1109" s="21" t="s">
        <v>11</v>
      </c>
    </row>
    <row r="1110" spans="1:5" s="21" customFormat="1" ht="15.75" hidden="1" customHeight="1">
      <c r="A1110" s="21">
        <v>283110</v>
      </c>
      <c r="B1110" s="21" t="s">
        <v>968</v>
      </c>
      <c r="C1110" s="21" t="s">
        <v>5396</v>
      </c>
      <c r="D1110" s="21" t="s">
        <v>11</v>
      </c>
      <c r="E1110" s="21" t="s">
        <v>11</v>
      </c>
    </row>
    <row r="1111" spans="1:5" s="21" customFormat="1" ht="15.75" hidden="1" customHeight="1">
      <c r="A1111" s="21">
        <v>283190</v>
      </c>
      <c r="B1111" s="21" t="s">
        <v>969</v>
      </c>
      <c r="C1111" s="21" t="s">
        <v>5396</v>
      </c>
      <c r="D1111" s="21" t="s">
        <v>11</v>
      </c>
      <c r="E1111" s="21" t="s">
        <v>11</v>
      </c>
    </row>
    <row r="1112" spans="1:5" s="21" customFormat="1" ht="15.75" hidden="1" customHeight="1">
      <c r="A1112" s="21">
        <v>283210</v>
      </c>
      <c r="B1112" s="21" t="s">
        <v>970</v>
      </c>
      <c r="C1112" s="21" t="s">
        <v>5397</v>
      </c>
      <c r="D1112" s="21" t="s">
        <v>11</v>
      </c>
      <c r="E1112" s="21" t="s">
        <v>11</v>
      </c>
    </row>
    <row r="1113" spans="1:5" s="21" customFormat="1" ht="15.75" hidden="1" customHeight="1">
      <c r="A1113" s="21">
        <v>283220</v>
      </c>
      <c r="B1113" s="21" t="s">
        <v>971</v>
      </c>
      <c r="C1113" s="21" t="s">
        <v>5397</v>
      </c>
      <c r="D1113" s="21" t="s">
        <v>11</v>
      </c>
      <c r="E1113" s="21" t="s">
        <v>11</v>
      </c>
    </row>
    <row r="1114" spans="1:5" s="21" customFormat="1" ht="15.75" hidden="1" customHeight="1">
      <c r="A1114" s="21">
        <v>283230</v>
      </c>
      <c r="B1114" s="21" t="s">
        <v>972</v>
      </c>
      <c r="C1114" s="21" t="s">
        <v>972</v>
      </c>
      <c r="D1114" s="21" t="s">
        <v>11</v>
      </c>
      <c r="E1114" s="21" t="s">
        <v>11</v>
      </c>
    </row>
    <row r="1115" spans="1:5" s="21" customFormat="1" ht="15.75" hidden="1" customHeight="1">
      <c r="A1115" s="21">
        <v>283311</v>
      </c>
      <c r="B1115" s="21" t="s">
        <v>973</v>
      </c>
      <c r="C1115" s="21" t="s">
        <v>5398</v>
      </c>
      <c r="D1115" s="21" t="s">
        <v>11</v>
      </c>
      <c r="E1115" s="21" t="s">
        <v>11</v>
      </c>
    </row>
    <row r="1116" spans="1:5" s="21" customFormat="1" ht="15.75" hidden="1" customHeight="1">
      <c r="A1116" s="21">
        <v>283319</v>
      </c>
      <c r="B1116" s="21" t="s">
        <v>974</v>
      </c>
      <c r="C1116" s="21" t="s">
        <v>5398</v>
      </c>
      <c r="D1116" s="21" t="s">
        <v>11</v>
      </c>
      <c r="E1116" s="21" t="s">
        <v>11</v>
      </c>
    </row>
    <row r="1117" spans="1:5" s="21" customFormat="1" ht="15.75" hidden="1" customHeight="1">
      <c r="A1117" s="21">
        <v>283321</v>
      </c>
      <c r="B1117" s="21" t="s">
        <v>975</v>
      </c>
      <c r="C1117" s="21" t="s">
        <v>5399</v>
      </c>
      <c r="D1117" s="21" t="s">
        <v>11</v>
      </c>
      <c r="E1117" s="21" t="s">
        <v>11</v>
      </c>
    </row>
    <row r="1118" spans="1:5" s="21" customFormat="1" ht="15.75" hidden="1" customHeight="1">
      <c r="A1118" s="21">
        <v>283322</v>
      </c>
      <c r="B1118" s="21" t="s">
        <v>976</v>
      </c>
      <c r="C1118" s="21" t="s">
        <v>5399</v>
      </c>
      <c r="D1118" s="21" t="s">
        <v>11</v>
      </c>
      <c r="E1118" s="21" t="s">
        <v>11</v>
      </c>
    </row>
    <row r="1119" spans="1:5" s="21" customFormat="1" ht="15.75" hidden="1" customHeight="1">
      <c r="A1119" s="21">
        <v>283324</v>
      </c>
      <c r="B1119" s="21" t="s">
        <v>977</v>
      </c>
      <c r="C1119" s="21" t="s">
        <v>5399</v>
      </c>
      <c r="D1119" s="21" t="s">
        <v>11</v>
      </c>
      <c r="E1119" s="21" t="s">
        <v>11</v>
      </c>
    </row>
    <row r="1120" spans="1:5" s="21" customFormat="1" ht="15.75" hidden="1" customHeight="1">
      <c r="A1120" s="21">
        <v>283325</v>
      </c>
      <c r="B1120" s="21" t="s">
        <v>978</v>
      </c>
      <c r="C1120" s="21" t="s">
        <v>5399</v>
      </c>
      <c r="D1120" s="21" t="s">
        <v>11</v>
      </c>
      <c r="E1120" s="21" t="s">
        <v>11</v>
      </c>
    </row>
    <row r="1121" spans="1:5" s="21" customFormat="1" ht="15.75" hidden="1" customHeight="1">
      <c r="A1121" s="21">
        <v>283327</v>
      </c>
      <c r="B1121" s="21" t="s">
        <v>979</v>
      </c>
      <c r="C1121" s="21" t="s">
        <v>5399</v>
      </c>
      <c r="D1121" s="21" t="s">
        <v>11</v>
      </c>
      <c r="E1121" s="21" t="s">
        <v>11</v>
      </c>
    </row>
    <row r="1122" spans="1:5" s="21" customFormat="1" ht="15.75" hidden="1" customHeight="1">
      <c r="A1122" s="21">
        <v>283329</v>
      </c>
      <c r="B1122" s="21" t="s">
        <v>980</v>
      </c>
      <c r="C1122" s="21" t="s">
        <v>5399</v>
      </c>
      <c r="D1122" s="21" t="s">
        <v>11</v>
      </c>
      <c r="E1122" s="21" t="s">
        <v>11</v>
      </c>
    </row>
    <row r="1123" spans="1:5" s="21" customFormat="1" ht="15.75" hidden="1" customHeight="1">
      <c r="A1123" s="21">
        <v>283330</v>
      </c>
      <c r="B1123" s="21" t="s">
        <v>981</v>
      </c>
      <c r="C1123" s="21" t="s">
        <v>981</v>
      </c>
      <c r="D1123" s="21" t="s">
        <v>11</v>
      </c>
      <c r="E1123" s="21" t="s">
        <v>11</v>
      </c>
    </row>
    <row r="1124" spans="1:5" s="21" customFormat="1" ht="15.75" hidden="1" customHeight="1">
      <c r="A1124" s="21">
        <v>283340</v>
      </c>
      <c r="B1124" s="21" t="s">
        <v>982</v>
      </c>
      <c r="C1124" s="21" t="s">
        <v>982</v>
      </c>
      <c r="D1124" s="21" t="s">
        <v>11</v>
      </c>
      <c r="E1124" s="21" t="s">
        <v>11</v>
      </c>
    </row>
    <row r="1125" spans="1:5" s="21" customFormat="1" ht="15.75" hidden="1" customHeight="1">
      <c r="A1125" s="21">
        <v>283410</v>
      </c>
      <c r="B1125" s="21" t="s">
        <v>983</v>
      </c>
      <c r="C1125" s="21" t="s">
        <v>983</v>
      </c>
      <c r="D1125" s="21" t="s">
        <v>11</v>
      </c>
      <c r="E1125" s="21" t="s">
        <v>11</v>
      </c>
    </row>
    <row r="1126" spans="1:5" s="21" customFormat="1" ht="15.75" hidden="1" customHeight="1">
      <c r="A1126" s="21">
        <v>283421</v>
      </c>
      <c r="B1126" s="21" t="s">
        <v>984</v>
      </c>
      <c r="C1126" s="21" t="s">
        <v>5400</v>
      </c>
      <c r="D1126" s="21" t="s">
        <v>11</v>
      </c>
      <c r="E1126" s="21" t="s">
        <v>11</v>
      </c>
    </row>
    <row r="1127" spans="1:5" s="21" customFormat="1" ht="15.75" hidden="1" customHeight="1">
      <c r="A1127" s="21">
        <v>283429</v>
      </c>
      <c r="B1127" s="21" t="s">
        <v>985</v>
      </c>
      <c r="C1127" s="21" t="s">
        <v>5400</v>
      </c>
      <c r="D1127" s="21" t="s">
        <v>11</v>
      </c>
      <c r="E1127" s="21" t="s">
        <v>11</v>
      </c>
    </row>
    <row r="1128" spans="1:5" s="21" customFormat="1" ht="15.75" hidden="1" customHeight="1">
      <c r="A1128" s="21">
        <v>283510</v>
      </c>
      <c r="B1128" s="21" t="s">
        <v>986</v>
      </c>
      <c r="C1128" s="21" t="s">
        <v>986</v>
      </c>
      <c r="D1128" s="21" t="s">
        <v>11</v>
      </c>
      <c r="E1128" s="21" t="s">
        <v>11</v>
      </c>
    </row>
    <row r="1129" spans="1:5" s="21" customFormat="1" ht="15.75" hidden="1" customHeight="1">
      <c r="A1129" s="21">
        <v>283522</v>
      </c>
      <c r="B1129" s="21" t="s">
        <v>987</v>
      </c>
      <c r="C1129" s="21" t="s">
        <v>5401</v>
      </c>
      <c r="D1129" s="21" t="s">
        <v>11</v>
      </c>
      <c r="E1129" s="21" t="s">
        <v>11</v>
      </c>
    </row>
    <row r="1130" spans="1:5" s="21" customFormat="1" ht="15.75" hidden="1" customHeight="1">
      <c r="A1130" s="21">
        <v>283524</v>
      </c>
      <c r="B1130" s="21" t="s">
        <v>988</v>
      </c>
      <c r="C1130" s="21" t="s">
        <v>5401</v>
      </c>
      <c r="D1130" s="21" t="s">
        <v>11</v>
      </c>
      <c r="E1130" s="21" t="s">
        <v>11</v>
      </c>
    </row>
    <row r="1131" spans="1:5" s="21" customFormat="1" ht="15.75" hidden="1" customHeight="1">
      <c r="A1131" s="21">
        <v>283525</v>
      </c>
      <c r="B1131" s="21" t="s">
        <v>989</v>
      </c>
      <c r="C1131" s="21" t="s">
        <v>5401</v>
      </c>
      <c r="D1131" s="21" t="s">
        <v>11</v>
      </c>
      <c r="E1131" s="21" t="s">
        <v>11</v>
      </c>
    </row>
    <row r="1132" spans="1:5" s="21" customFormat="1" ht="15.75" hidden="1" customHeight="1">
      <c r="A1132" s="21">
        <v>283526</v>
      </c>
      <c r="B1132" s="21" t="s">
        <v>990</v>
      </c>
      <c r="C1132" s="21" t="s">
        <v>5401</v>
      </c>
      <c r="D1132" s="21" t="s">
        <v>11</v>
      </c>
      <c r="E1132" s="21" t="s">
        <v>11</v>
      </c>
    </row>
    <row r="1133" spans="1:5" s="21" customFormat="1" ht="15.75" hidden="1" customHeight="1">
      <c r="A1133" s="21">
        <v>283529</v>
      </c>
      <c r="B1133" s="21" t="s">
        <v>991</v>
      </c>
      <c r="C1133" s="21" t="s">
        <v>5401</v>
      </c>
      <c r="D1133" s="21" t="s">
        <v>11</v>
      </c>
      <c r="E1133" s="21" t="s">
        <v>11</v>
      </c>
    </row>
    <row r="1134" spans="1:5" s="21" customFormat="1" ht="15.75" hidden="1" customHeight="1">
      <c r="A1134" s="21">
        <v>283531</v>
      </c>
      <c r="B1134" s="21" t="s">
        <v>992</v>
      </c>
      <c r="C1134" s="21" t="s">
        <v>5402</v>
      </c>
      <c r="D1134" s="21" t="s">
        <v>11</v>
      </c>
      <c r="E1134" s="21" t="s">
        <v>11</v>
      </c>
    </row>
    <row r="1135" spans="1:5" s="21" customFormat="1" ht="15.75" hidden="1" customHeight="1">
      <c r="A1135" s="21">
        <v>283539</v>
      </c>
      <c r="B1135" s="21" t="s">
        <v>993</v>
      </c>
      <c r="C1135" s="21" t="s">
        <v>5402</v>
      </c>
      <c r="D1135" s="21" t="s">
        <v>11</v>
      </c>
      <c r="E1135" s="21" t="s">
        <v>11</v>
      </c>
    </row>
    <row r="1136" spans="1:5" s="21" customFormat="1" ht="15.75" hidden="1" customHeight="1">
      <c r="A1136" s="21">
        <v>283620</v>
      </c>
      <c r="B1136" s="21" t="s">
        <v>994</v>
      </c>
      <c r="C1136" s="21" t="s">
        <v>5403</v>
      </c>
      <c r="D1136" s="21" t="s">
        <v>11</v>
      </c>
      <c r="E1136" s="21" t="s">
        <v>11</v>
      </c>
    </row>
    <row r="1137" spans="1:5" s="21" customFormat="1" ht="15.75" hidden="1" customHeight="1">
      <c r="A1137" s="21">
        <v>283630</v>
      </c>
      <c r="B1137" s="21" t="s">
        <v>995</v>
      </c>
      <c r="C1137" s="21" t="s">
        <v>5403</v>
      </c>
      <c r="D1137" s="21" t="s">
        <v>11</v>
      </c>
      <c r="E1137" s="21" t="s">
        <v>11</v>
      </c>
    </row>
    <row r="1138" spans="1:5" s="21" customFormat="1" ht="15.75" hidden="1" customHeight="1">
      <c r="A1138" s="21">
        <v>283640</v>
      </c>
      <c r="B1138" s="21" t="s">
        <v>996</v>
      </c>
      <c r="C1138" s="21" t="s">
        <v>5403</v>
      </c>
      <c r="D1138" s="21" t="s">
        <v>11</v>
      </c>
      <c r="E1138" s="21" t="s">
        <v>11</v>
      </c>
    </row>
    <row r="1139" spans="1:5" s="21" customFormat="1" ht="15.75" hidden="1" customHeight="1">
      <c r="A1139" s="21">
        <v>283650</v>
      </c>
      <c r="B1139" s="21" t="s">
        <v>997</v>
      </c>
      <c r="C1139" s="21" t="s">
        <v>5403</v>
      </c>
      <c r="D1139" s="21" t="s">
        <v>11</v>
      </c>
      <c r="E1139" s="21" t="s">
        <v>11</v>
      </c>
    </row>
    <row r="1140" spans="1:5" s="21" customFormat="1" ht="15.75" hidden="1" customHeight="1">
      <c r="A1140" s="21">
        <v>283660</v>
      </c>
      <c r="B1140" s="21" t="s">
        <v>998</v>
      </c>
      <c r="C1140" s="21" t="s">
        <v>5403</v>
      </c>
      <c r="D1140" s="21" t="s">
        <v>11</v>
      </c>
      <c r="E1140" s="21" t="s">
        <v>11</v>
      </c>
    </row>
    <row r="1141" spans="1:5" s="21" customFormat="1" ht="15.75" hidden="1" customHeight="1">
      <c r="A1141" s="21">
        <v>283691</v>
      </c>
      <c r="B1141" s="21" t="s">
        <v>999</v>
      </c>
      <c r="C1141" s="21" t="s">
        <v>5403</v>
      </c>
      <c r="D1141" s="21" t="s">
        <v>11</v>
      </c>
      <c r="E1141" s="21" t="s">
        <v>11</v>
      </c>
    </row>
    <row r="1142" spans="1:5" s="21" customFormat="1" ht="15.75" hidden="1" customHeight="1">
      <c r="A1142" s="21">
        <v>283692</v>
      </c>
      <c r="B1142" s="21" t="s">
        <v>1000</v>
      </c>
      <c r="C1142" s="21" t="s">
        <v>5403</v>
      </c>
      <c r="D1142" s="21" t="s">
        <v>11</v>
      </c>
      <c r="E1142" s="21" t="s">
        <v>11</v>
      </c>
    </row>
    <row r="1143" spans="1:5" s="21" customFormat="1" ht="15.75" hidden="1" customHeight="1">
      <c r="A1143" s="21">
        <v>283699</v>
      </c>
      <c r="B1143" s="21" t="s">
        <v>1001</v>
      </c>
      <c r="C1143" s="21" t="s">
        <v>5403</v>
      </c>
      <c r="D1143" s="21" t="s">
        <v>11</v>
      </c>
      <c r="E1143" s="21" t="s">
        <v>11</v>
      </c>
    </row>
    <row r="1144" spans="1:5" s="21" customFormat="1" ht="15.75" hidden="1" customHeight="1">
      <c r="A1144" s="21">
        <v>283711</v>
      </c>
      <c r="B1144" s="21" t="s">
        <v>1002</v>
      </c>
      <c r="C1144" s="21" t="s">
        <v>5404</v>
      </c>
      <c r="D1144" s="21" t="s">
        <v>11</v>
      </c>
      <c r="E1144" s="21" t="s">
        <v>11</v>
      </c>
    </row>
    <row r="1145" spans="1:5" s="21" customFormat="1" ht="15.75" hidden="1" customHeight="1">
      <c r="A1145" s="21">
        <v>283719</v>
      </c>
      <c r="B1145" s="21" t="s">
        <v>1003</v>
      </c>
      <c r="C1145" s="21" t="s">
        <v>5404</v>
      </c>
      <c r="D1145" s="21" t="s">
        <v>11</v>
      </c>
      <c r="E1145" s="21" t="s">
        <v>11</v>
      </c>
    </row>
    <row r="1146" spans="1:5" s="21" customFormat="1" ht="15.75" hidden="1" customHeight="1">
      <c r="A1146" s="21">
        <v>283720</v>
      </c>
      <c r="B1146" s="21" t="s">
        <v>1004</v>
      </c>
      <c r="C1146" s="21" t="s">
        <v>1004</v>
      </c>
      <c r="D1146" s="21" t="s">
        <v>11</v>
      </c>
      <c r="E1146" s="21" t="s">
        <v>11</v>
      </c>
    </row>
    <row r="1147" spans="1:5" s="21" customFormat="1" ht="15.75" hidden="1" customHeight="1">
      <c r="A1147" s="21">
        <v>283911</v>
      </c>
      <c r="B1147" s="21" t="s">
        <v>1005</v>
      </c>
      <c r="C1147" s="21" t="s">
        <v>5405</v>
      </c>
      <c r="D1147" s="21" t="s">
        <v>11</v>
      </c>
      <c r="E1147" s="21" t="s">
        <v>11</v>
      </c>
    </row>
    <row r="1148" spans="1:5" s="21" customFormat="1" ht="15.75" hidden="1" customHeight="1">
      <c r="A1148" s="21">
        <v>283919</v>
      </c>
      <c r="B1148" s="21" t="s">
        <v>1006</v>
      </c>
      <c r="C1148" s="21" t="s">
        <v>5405</v>
      </c>
      <c r="D1148" s="21" t="s">
        <v>11</v>
      </c>
      <c r="E1148" s="21" t="s">
        <v>11</v>
      </c>
    </row>
    <row r="1149" spans="1:5" s="21" customFormat="1" ht="15.75" hidden="1" customHeight="1">
      <c r="A1149" s="21">
        <v>283990</v>
      </c>
      <c r="B1149" s="21" t="s">
        <v>1007</v>
      </c>
      <c r="C1149" s="21" t="s">
        <v>5405</v>
      </c>
      <c r="D1149" s="21" t="s">
        <v>11</v>
      </c>
      <c r="E1149" s="21" t="s">
        <v>11</v>
      </c>
    </row>
    <row r="1150" spans="1:5" s="21" customFormat="1" ht="15.75" hidden="1" customHeight="1">
      <c r="A1150" s="21">
        <v>284011</v>
      </c>
      <c r="B1150" s="21" t="s">
        <v>1008</v>
      </c>
      <c r="C1150" s="21" t="s">
        <v>5326</v>
      </c>
      <c r="D1150" s="21" t="s">
        <v>11</v>
      </c>
      <c r="E1150" s="21" t="s">
        <v>11</v>
      </c>
    </row>
    <row r="1151" spans="1:5" s="21" customFormat="1" ht="15.75" hidden="1" customHeight="1">
      <c r="A1151" s="21">
        <v>284019</v>
      </c>
      <c r="B1151" s="21" t="s">
        <v>1009</v>
      </c>
      <c r="C1151" s="21" t="s">
        <v>5326</v>
      </c>
      <c r="D1151" s="21" t="s">
        <v>11</v>
      </c>
      <c r="E1151" s="21" t="s">
        <v>11</v>
      </c>
    </row>
    <row r="1152" spans="1:5" s="21" customFormat="1" ht="15.75" hidden="1" customHeight="1">
      <c r="A1152" s="21">
        <v>284020</v>
      </c>
      <c r="B1152" s="21" t="s">
        <v>1010</v>
      </c>
      <c r="C1152" s="21" t="s">
        <v>5326</v>
      </c>
      <c r="D1152" s="21" t="s">
        <v>11</v>
      </c>
      <c r="E1152" s="21" t="s">
        <v>11</v>
      </c>
    </row>
    <row r="1153" spans="1:5" s="21" customFormat="1" ht="15.75" hidden="1" customHeight="1">
      <c r="A1153" s="21">
        <v>284030</v>
      </c>
      <c r="B1153" s="21" t="s">
        <v>1011</v>
      </c>
      <c r="C1153" s="21" t="s">
        <v>1011</v>
      </c>
      <c r="D1153" s="21" t="s">
        <v>11</v>
      </c>
      <c r="E1153" s="21" t="s">
        <v>11</v>
      </c>
    </row>
    <row r="1154" spans="1:5" s="21" customFormat="1" ht="15.75" hidden="1" customHeight="1">
      <c r="A1154" s="21">
        <v>284130</v>
      </c>
      <c r="B1154" s="21" t="s">
        <v>1012</v>
      </c>
      <c r="C1154" s="21" t="s">
        <v>5406</v>
      </c>
      <c r="D1154" s="21" t="s">
        <v>11</v>
      </c>
      <c r="E1154" s="21" t="s">
        <v>11</v>
      </c>
    </row>
    <row r="1155" spans="1:5" s="21" customFormat="1" ht="15.75" hidden="1" customHeight="1">
      <c r="A1155" s="21">
        <v>284150</v>
      </c>
      <c r="B1155" s="21" t="s">
        <v>1013</v>
      </c>
      <c r="C1155" s="21" t="s">
        <v>5406</v>
      </c>
      <c r="D1155" s="21" t="s">
        <v>11</v>
      </c>
      <c r="E1155" s="21" t="s">
        <v>11</v>
      </c>
    </row>
    <row r="1156" spans="1:5" s="21" customFormat="1" ht="15.75" hidden="1" customHeight="1">
      <c r="A1156" s="21">
        <v>284161</v>
      </c>
      <c r="B1156" s="21" t="s">
        <v>1014</v>
      </c>
      <c r="C1156" s="21" t="s">
        <v>5406</v>
      </c>
      <c r="D1156" s="21" t="s">
        <v>11</v>
      </c>
      <c r="E1156" s="21" t="s">
        <v>11</v>
      </c>
    </row>
    <row r="1157" spans="1:5" s="21" customFormat="1" ht="15.75" hidden="1" customHeight="1">
      <c r="A1157" s="21">
        <v>284169</v>
      </c>
      <c r="B1157" s="21" t="s">
        <v>1015</v>
      </c>
      <c r="C1157" s="21" t="s">
        <v>5406</v>
      </c>
      <c r="D1157" s="21" t="s">
        <v>11</v>
      </c>
      <c r="E1157" s="21" t="s">
        <v>11</v>
      </c>
    </row>
    <row r="1158" spans="1:5" s="21" customFormat="1" ht="15.75" hidden="1" customHeight="1">
      <c r="A1158" s="21">
        <v>284170</v>
      </c>
      <c r="B1158" s="21" t="s">
        <v>1016</v>
      </c>
      <c r="C1158" s="21" t="s">
        <v>5406</v>
      </c>
      <c r="D1158" s="21" t="s">
        <v>11</v>
      </c>
      <c r="E1158" s="21" t="s">
        <v>11</v>
      </c>
    </row>
    <row r="1159" spans="1:5" s="21" customFormat="1" ht="15.75" hidden="1" customHeight="1">
      <c r="A1159" s="21">
        <v>284180</v>
      </c>
      <c r="B1159" s="21" t="s">
        <v>1017</v>
      </c>
      <c r="C1159" s="21" t="s">
        <v>5406</v>
      </c>
      <c r="D1159" s="21" t="s">
        <v>11</v>
      </c>
      <c r="E1159" s="21" t="s">
        <v>11</v>
      </c>
    </row>
    <row r="1160" spans="1:5" s="21" customFormat="1" ht="15.75" hidden="1" customHeight="1">
      <c r="A1160" s="21">
        <v>284190</v>
      </c>
      <c r="B1160" s="21" t="s">
        <v>1018</v>
      </c>
      <c r="C1160" s="21" t="s">
        <v>5407</v>
      </c>
      <c r="D1160" s="21" t="s">
        <v>11</v>
      </c>
      <c r="E1160" s="21" t="s">
        <v>11</v>
      </c>
    </row>
    <row r="1161" spans="1:5" s="21" customFormat="1" ht="15.75" hidden="1" customHeight="1">
      <c r="A1161" s="21">
        <v>284210</v>
      </c>
      <c r="B1161" s="21" t="s">
        <v>1019</v>
      </c>
      <c r="C1161" s="21" t="s">
        <v>5406</v>
      </c>
      <c r="D1161" s="21" t="s">
        <v>11</v>
      </c>
      <c r="E1161" s="21" t="s">
        <v>11</v>
      </c>
    </row>
    <row r="1162" spans="1:5" s="21" customFormat="1" ht="15.75" hidden="1" customHeight="1">
      <c r="A1162" s="21">
        <v>284290</v>
      </c>
      <c r="B1162" s="21" t="s">
        <v>1020</v>
      </c>
      <c r="C1162" s="21" t="s">
        <v>5406</v>
      </c>
      <c r="D1162" s="21" t="s">
        <v>11</v>
      </c>
      <c r="E1162" s="21" t="s">
        <v>11</v>
      </c>
    </row>
    <row r="1163" spans="1:5" s="21" customFormat="1" ht="15.75" hidden="1" customHeight="1">
      <c r="A1163" s="21">
        <v>284310</v>
      </c>
      <c r="B1163" s="21" t="s">
        <v>1021</v>
      </c>
      <c r="C1163" s="21" t="s">
        <v>5408</v>
      </c>
      <c r="D1163" s="21" t="s">
        <v>11</v>
      </c>
      <c r="E1163" s="21" t="s">
        <v>11</v>
      </c>
    </row>
    <row r="1164" spans="1:5" s="21" customFormat="1" ht="15.75" hidden="1" customHeight="1">
      <c r="A1164" s="21">
        <v>284321</v>
      </c>
      <c r="B1164" s="21" t="s">
        <v>1022</v>
      </c>
      <c r="C1164" s="21" t="s">
        <v>5409</v>
      </c>
      <c r="D1164" s="21" t="s">
        <v>11</v>
      </c>
      <c r="E1164" s="21" t="s">
        <v>11</v>
      </c>
    </row>
    <row r="1165" spans="1:5" s="21" customFormat="1" ht="15.75" hidden="1" customHeight="1">
      <c r="A1165" s="21">
        <v>284329</v>
      </c>
      <c r="B1165" s="21" t="s">
        <v>1023</v>
      </c>
      <c r="C1165" s="21" t="s">
        <v>5409</v>
      </c>
      <c r="D1165" s="21" t="s">
        <v>11</v>
      </c>
      <c r="E1165" s="21" t="s">
        <v>11</v>
      </c>
    </row>
    <row r="1166" spans="1:5" s="21" customFormat="1" ht="15.75" hidden="1" customHeight="1">
      <c r="A1166" s="21">
        <v>284330</v>
      </c>
      <c r="B1166" s="21" t="s">
        <v>1024</v>
      </c>
      <c r="C1166" s="21" t="s">
        <v>1024</v>
      </c>
      <c r="D1166" s="21" t="s">
        <v>11</v>
      </c>
      <c r="E1166" s="21" t="s">
        <v>11</v>
      </c>
    </row>
    <row r="1167" spans="1:5" s="21" customFormat="1" ht="15.75" hidden="1" customHeight="1">
      <c r="A1167" s="21">
        <v>284390</v>
      </c>
      <c r="B1167" s="21" t="s">
        <v>1025</v>
      </c>
      <c r="C1167" s="21" t="s">
        <v>5410</v>
      </c>
      <c r="D1167" s="21" t="s">
        <v>11</v>
      </c>
      <c r="E1167" s="21" t="s">
        <v>11</v>
      </c>
    </row>
    <row r="1168" spans="1:5" s="21" customFormat="1" ht="15.75" hidden="1" customHeight="1">
      <c r="A1168" s="21">
        <v>284410</v>
      </c>
      <c r="B1168" s="21" t="s">
        <v>1026</v>
      </c>
      <c r="C1168" s="21" t="s">
        <v>5411</v>
      </c>
      <c r="D1168" s="21" t="s">
        <v>11</v>
      </c>
      <c r="E1168" s="21" t="s">
        <v>11</v>
      </c>
    </row>
    <row r="1169" spans="1:5" s="21" customFormat="1" ht="15.75" hidden="1" customHeight="1">
      <c r="A1169" s="21">
        <v>284420</v>
      </c>
      <c r="B1169" s="21" t="s">
        <v>1027</v>
      </c>
      <c r="C1169" s="21" t="s">
        <v>5411</v>
      </c>
      <c r="D1169" s="21" t="s">
        <v>11</v>
      </c>
      <c r="E1169" s="21" t="s">
        <v>11</v>
      </c>
    </row>
    <row r="1170" spans="1:5" s="21" customFormat="1" ht="15.75" hidden="1" customHeight="1">
      <c r="A1170" s="21">
        <v>284430</v>
      </c>
      <c r="B1170" s="21" t="s">
        <v>1028</v>
      </c>
      <c r="C1170" s="21" t="s">
        <v>5411</v>
      </c>
      <c r="D1170" s="21" t="s">
        <v>11</v>
      </c>
      <c r="E1170" s="21" t="s">
        <v>11</v>
      </c>
    </row>
    <row r="1171" spans="1:5" s="21" customFormat="1" ht="15.75" hidden="1" customHeight="1">
      <c r="A1171" s="21">
        <v>284440</v>
      </c>
      <c r="B1171" s="21" t="s">
        <v>1029</v>
      </c>
      <c r="C1171" s="21" t="s">
        <v>5412</v>
      </c>
      <c r="D1171" s="21" t="s">
        <v>11</v>
      </c>
      <c r="E1171" s="21" t="s">
        <v>11</v>
      </c>
    </row>
    <row r="1172" spans="1:5" s="21" customFormat="1" ht="15.75" hidden="1" customHeight="1">
      <c r="A1172" s="21">
        <v>284450</v>
      </c>
      <c r="B1172" s="21" t="s">
        <v>1030</v>
      </c>
      <c r="C1172" s="21" t="s">
        <v>1030</v>
      </c>
      <c r="D1172" s="21" t="s">
        <v>11</v>
      </c>
      <c r="E1172" s="21" t="s">
        <v>11</v>
      </c>
    </row>
    <row r="1173" spans="1:5" s="21" customFormat="1" ht="15.75" hidden="1" customHeight="1">
      <c r="A1173" s="21">
        <v>284510</v>
      </c>
      <c r="B1173" s="21" t="s">
        <v>1031</v>
      </c>
      <c r="C1173" s="21" t="s">
        <v>1031</v>
      </c>
      <c r="D1173" s="21" t="s">
        <v>11</v>
      </c>
      <c r="E1173" s="21" t="s">
        <v>11</v>
      </c>
    </row>
    <row r="1174" spans="1:5" s="21" customFormat="1" ht="15.75" hidden="1" customHeight="1">
      <c r="A1174" s="21">
        <v>284590</v>
      </c>
      <c r="B1174" s="21" t="s">
        <v>1032</v>
      </c>
      <c r="C1174" s="21" t="s">
        <v>5413</v>
      </c>
      <c r="D1174" s="21" t="s">
        <v>11</v>
      </c>
      <c r="E1174" s="21" t="s">
        <v>11</v>
      </c>
    </row>
    <row r="1175" spans="1:5" s="21" customFormat="1" ht="15.75" hidden="1" customHeight="1">
      <c r="A1175" s="21">
        <v>284610</v>
      </c>
      <c r="B1175" s="21" t="s">
        <v>1033</v>
      </c>
      <c r="C1175" s="21" t="s">
        <v>1033</v>
      </c>
      <c r="D1175" s="21" t="s">
        <v>11</v>
      </c>
      <c r="E1175" s="21" t="s">
        <v>11</v>
      </c>
    </row>
    <row r="1176" spans="1:5" s="21" customFormat="1" ht="15.75" hidden="1" customHeight="1">
      <c r="A1176" s="21">
        <v>284690</v>
      </c>
      <c r="B1176" s="21" t="s">
        <v>1034</v>
      </c>
      <c r="C1176" s="21" t="s">
        <v>1034</v>
      </c>
      <c r="D1176" s="21" t="s">
        <v>11</v>
      </c>
      <c r="E1176" s="21" t="s">
        <v>11</v>
      </c>
    </row>
    <row r="1177" spans="1:5" s="21" customFormat="1" ht="15.75" hidden="1" customHeight="1">
      <c r="A1177" s="21">
        <v>284700</v>
      </c>
      <c r="B1177" s="21" t="s">
        <v>1035</v>
      </c>
      <c r="C1177" s="21" t="s">
        <v>5414</v>
      </c>
      <c r="D1177" s="21" t="s">
        <v>11</v>
      </c>
      <c r="E1177" s="21" t="s">
        <v>11</v>
      </c>
    </row>
    <row r="1178" spans="1:5" s="21" customFormat="1" ht="15.75" hidden="1" customHeight="1">
      <c r="A1178" s="21">
        <v>284800</v>
      </c>
      <c r="B1178" s="21" t="s">
        <v>1036</v>
      </c>
      <c r="C1178" s="21" t="s">
        <v>5415</v>
      </c>
      <c r="D1178" s="21" t="s">
        <v>11</v>
      </c>
      <c r="E1178" s="21" t="s">
        <v>11</v>
      </c>
    </row>
    <row r="1179" spans="1:5" s="21" customFormat="1" ht="15.75" hidden="1" customHeight="1">
      <c r="A1179" s="21">
        <v>284910</v>
      </c>
      <c r="B1179" s="21" t="s">
        <v>1037</v>
      </c>
      <c r="C1179" s="21" t="s">
        <v>5416</v>
      </c>
      <c r="D1179" s="21" t="s">
        <v>11</v>
      </c>
      <c r="E1179" s="21" t="s">
        <v>11</v>
      </c>
    </row>
    <row r="1180" spans="1:5" s="21" customFormat="1" ht="15.75" hidden="1" customHeight="1">
      <c r="A1180" s="21">
        <v>284920</v>
      </c>
      <c r="B1180" s="21" t="s">
        <v>1038</v>
      </c>
      <c r="C1180" s="21" t="s">
        <v>5416</v>
      </c>
      <c r="D1180" s="21" t="s">
        <v>11</v>
      </c>
      <c r="E1180" s="21" t="s">
        <v>11</v>
      </c>
    </row>
    <row r="1181" spans="1:5" s="21" customFormat="1" ht="15.75" hidden="1" customHeight="1">
      <c r="A1181" s="21">
        <v>284990</v>
      </c>
      <c r="B1181" s="21" t="s">
        <v>1039</v>
      </c>
      <c r="C1181" s="21" t="s">
        <v>5416</v>
      </c>
      <c r="D1181" s="21" t="s">
        <v>11</v>
      </c>
      <c r="E1181" s="21" t="s">
        <v>11</v>
      </c>
    </row>
    <row r="1182" spans="1:5" s="21" customFormat="1" ht="15.75" hidden="1" customHeight="1">
      <c r="A1182" s="21">
        <v>285000</v>
      </c>
      <c r="B1182" s="21" t="s">
        <v>1040</v>
      </c>
      <c r="C1182" s="21" t="s">
        <v>1040</v>
      </c>
      <c r="D1182" s="21" t="s">
        <v>11</v>
      </c>
      <c r="E1182" s="21" t="s">
        <v>11</v>
      </c>
    </row>
    <row r="1183" spans="1:5" s="21" customFormat="1" ht="15.75" hidden="1" customHeight="1">
      <c r="A1183" s="21">
        <v>285200</v>
      </c>
      <c r="B1183" s="21" t="s">
        <v>1041</v>
      </c>
      <c r="C1183" s="21" t="s">
        <v>1041</v>
      </c>
      <c r="D1183" s="21" t="s">
        <v>11</v>
      </c>
      <c r="E1183" s="21" t="s">
        <v>11</v>
      </c>
    </row>
    <row r="1184" spans="1:5" s="21" customFormat="1" ht="15.75" hidden="1" customHeight="1">
      <c r="A1184" s="21">
        <v>285300</v>
      </c>
      <c r="B1184" s="21" t="s">
        <v>1042</v>
      </c>
      <c r="C1184" s="21" t="s">
        <v>5417</v>
      </c>
      <c r="D1184" s="21" t="s">
        <v>11</v>
      </c>
      <c r="E1184" s="21" t="s">
        <v>11</v>
      </c>
    </row>
    <row r="1185" spans="1:5" s="21" customFormat="1" ht="15.75" hidden="1" customHeight="1">
      <c r="A1185" s="21">
        <v>290110</v>
      </c>
      <c r="B1185" s="21" t="s">
        <v>1043</v>
      </c>
      <c r="C1185" s="21" t="s">
        <v>5418</v>
      </c>
      <c r="D1185" s="21" t="s">
        <v>11</v>
      </c>
      <c r="E1185" s="21" t="s">
        <v>11</v>
      </c>
    </row>
    <row r="1186" spans="1:5" s="21" customFormat="1" ht="15.75" hidden="1" customHeight="1">
      <c r="A1186" s="21">
        <v>290121</v>
      </c>
      <c r="B1186" s="21" t="s">
        <v>1044</v>
      </c>
      <c r="C1186" s="21" t="s">
        <v>5418</v>
      </c>
      <c r="D1186" s="21" t="s">
        <v>11</v>
      </c>
      <c r="E1186" s="21" t="s">
        <v>11</v>
      </c>
    </row>
    <row r="1187" spans="1:5" s="21" customFormat="1" ht="15.75" hidden="1" customHeight="1">
      <c r="A1187" s="21">
        <v>290122</v>
      </c>
      <c r="B1187" s="21" t="s">
        <v>1045</v>
      </c>
      <c r="C1187" s="21" t="s">
        <v>5418</v>
      </c>
      <c r="D1187" s="21" t="s">
        <v>11</v>
      </c>
      <c r="E1187" s="21" t="s">
        <v>11</v>
      </c>
    </row>
    <row r="1188" spans="1:5" s="21" customFormat="1" ht="15.75" hidden="1" customHeight="1">
      <c r="A1188" s="21">
        <v>290123</v>
      </c>
      <c r="B1188" s="21" t="s">
        <v>1046</v>
      </c>
      <c r="C1188" s="21" t="s">
        <v>5418</v>
      </c>
      <c r="D1188" s="21" t="s">
        <v>11</v>
      </c>
      <c r="E1188" s="21" t="s">
        <v>11</v>
      </c>
    </row>
    <row r="1189" spans="1:5" s="21" customFormat="1" ht="15.75" hidden="1" customHeight="1">
      <c r="A1189" s="21">
        <v>290124</v>
      </c>
      <c r="B1189" s="21" t="s">
        <v>1047</v>
      </c>
      <c r="C1189" s="21" t="s">
        <v>5418</v>
      </c>
      <c r="D1189" s="21" t="s">
        <v>11</v>
      </c>
      <c r="E1189" s="21" t="s">
        <v>11</v>
      </c>
    </row>
    <row r="1190" spans="1:5" s="21" customFormat="1" ht="15.75" hidden="1" customHeight="1">
      <c r="A1190" s="21">
        <v>290129</v>
      </c>
      <c r="B1190" s="21" t="s">
        <v>1048</v>
      </c>
      <c r="C1190" s="21" t="s">
        <v>5418</v>
      </c>
      <c r="D1190" s="21" t="s">
        <v>11</v>
      </c>
      <c r="E1190" s="21" t="s">
        <v>11</v>
      </c>
    </row>
    <row r="1191" spans="1:5" s="21" customFormat="1" ht="15.75" hidden="1" customHeight="1">
      <c r="A1191" s="21">
        <v>290211</v>
      </c>
      <c r="B1191" s="21" t="s">
        <v>1049</v>
      </c>
      <c r="C1191" s="21" t="s">
        <v>5419</v>
      </c>
      <c r="D1191" s="21" t="s">
        <v>11</v>
      </c>
      <c r="E1191" s="21" t="s">
        <v>11</v>
      </c>
    </row>
    <row r="1192" spans="1:5" s="21" customFormat="1" ht="15.75" hidden="1" customHeight="1">
      <c r="A1192" s="21">
        <v>290219</v>
      </c>
      <c r="B1192" s="21" t="s">
        <v>1050</v>
      </c>
      <c r="C1192" s="21" t="s">
        <v>5419</v>
      </c>
      <c r="D1192" s="21" t="s">
        <v>11</v>
      </c>
      <c r="E1192" s="21" t="s">
        <v>11</v>
      </c>
    </row>
    <row r="1193" spans="1:5" s="21" customFormat="1" ht="15.75" hidden="1" customHeight="1">
      <c r="A1193" s="21">
        <v>290220</v>
      </c>
      <c r="B1193" s="21" t="s">
        <v>1051</v>
      </c>
      <c r="C1193" s="21" t="s">
        <v>5419</v>
      </c>
      <c r="D1193" s="21" t="s">
        <v>11</v>
      </c>
      <c r="E1193" s="21" t="s">
        <v>11</v>
      </c>
    </row>
    <row r="1194" spans="1:5" s="21" customFormat="1" ht="15.75" hidden="1" customHeight="1">
      <c r="A1194" s="21">
        <v>290230</v>
      </c>
      <c r="B1194" s="21" t="s">
        <v>1052</v>
      </c>
      <c r="C1194" s="21" t="s">
        <v>5419</v>
      </c>
      <c r="D1194" s="21" t="s">
        <v>11</v>
      </c>
      <c r="E1194" s="21" t="s">
        <v>11</v>
      </c>
    </row>
    <row r="1195" spans="1:5" s="21" customFormat="1" ht="15.75" hidden="1" customHeight="1">
      <c r="A1195" s="21">
        <v>290241</v>
      </c>
      <c r="B1195" s="21" t="s">
        <v>1053</v>
      </c>
      <c r="C1195" s="21" t="s">
        <v>5419</v>
      </c>
      <c r="D1195" s="21" t="s">
        <v>11</v>
      </c>
      <c r="E1195" s="21" t="s">
        <v>11</v>
      </c>
    </row>
    <row r="1196" spans="1:5" s="21" customFormat="1" ht="15.75" hidden="1" customHeight="1">
      <c r="A1196" s="21">
        <v>290242</v>
      </c>
      <c r="B1196" s="21" t="s">
        <v>1054</v>
      </c>
      <c r="C1196" s="21" t="s">
        <v>5419</v>
      </c>
      <c r="D1196" s="21" t="s">
        <v>11</v>
      </c>
      <c r="E1196" s="21" t="s">
        <v>11</v>
      </c>
    </row>
    <row r="1197" spans="1:5" s="21" customFormat="1" ht="15.75" hidden="1" customHeight="1">
      <c r="A1197" s="21">
        <v>290243</v>
      </c>
      <c r="B1197" s="21" t="s">
        <v>1055</v>
      </c>
      <c r="C1197" s="21" t="s">
        <v>5419</v>
      </c>
      <c r="D1197" s="21" t="s">
        <v>11</v>
      </c>
      <c r="E1197" s="21" t="s">
        <v>11</v>
      </c>
    </row>
    <row r="1198" spans="1:5" s="21" customFormat="1" ht="15.75" hidden="1" customHeight="1">
      <c r="A1198" s="21">
        <v>290244</v>
      </c>
      <c r="B1198" s="21" t="s">
        <v>1056</v>
      </c>
      <c r="C1198" s="21" t="s">
        <v>5419</v>
      </c>
      <c r="D1198" s="21" t="s">
        <v>11</v>
      </c>
      <c r="E1198" s="21" t="s">
        <v>11</v>
      </c>
    </row>
    <row r="1199" spans="1:5" s="21" customFormat="1" ht="15.75" hidden="1" customHeight="1">
      <c r="A1199" s="21">
        <v>290250</v>
      </c>
      <c r="B1199" s="21" t="s">
        <v>1057</v>
      </c>
      <c r="C1199" s="21" t="s">
        <v>5419</v>
      </c>
      <c r="D1199" s="21" t="s">
        <v>11</v>
      </c>
      <c r="E1199" s="21" t="s">
        <v>11</v>
      </c>
    </row>
    <row r="1200" spans="1:5" s="21" customFormat="1" ht="15.75" hidden="1" customHeight="1">
      <c r="A1200" s="21">
        <v>290260</v>
      </c>
      <c r="B1200" s="21" t="s">
        <v>1058</v>
      </c>
      <c r="C1200" s="21" t="s">
        <v>5419</v>
      </c>
      <c r="D1200" s="21" t="s">
        <v>11</v>
      </c>
      <c r="E1200" s="21" t="s">
        <v>11</v>
      </c>
    </row>
    <row r="1201" spans="1:5" s="21" customFormat="1" ht="15.75" hidden="1" customHeight="1">
      <c r="A1201" s="21">
        <v>290270</v>
      </c>
      <c r="B1201" s="21" t="s">
        <v>1059</v>
      </c>
      <c r="C1201" s="21" t="s">
        <v>5419</v>
      </c>
      <c r="D1201" s="21" t="s">
        <v>11</v>
      </c>
      <c r="E1201" s="21" t="s">
        <v>11</v>
      </c>
    </row>
    <row r="1202" spans="1:5" s="21" customFormat="1" ht="15.75" hidden="1" customHeight="1">
      <c r="A1202" s="21">
        <v>290290</v>
      </c>
      <c r="B1202" s="21" t="s">
        <v>1060</v>
      </c>
      <c r="C1202" s="21" t="s">
        <v>5419</v>
      </c>
      <c r="D1202" s="21" t="s">
        <v>11</v>
      </c>
      <c r="E1202" s="21" t="s">
        <v>11</v>
      </c>
    </row>
    <row r="1203" spans="1:5" s="21" customFormat="1" ht="15.75" hidden="1" customHeight="1">
      <c r="A1203" s="21">
        <v>290311</v>
      </c>
      <c r="B1203" s="21" t="s">
        <v>1061</v>
      </c>
      <c r="C1203" s="21" t="s">
        <v>5420</v>
      </c>
      <c r="D1203" s="21" t="s">
        <v>11</v>
      </c>
      <c r="E1203" s="21" t="s">
        <v>11</v>
      </c>
    </row>
    <row r="1204" spans="1:5" s="21" customFormat="1" ht="15.75" hidden="1" customHeight="1">
      <c r="A1204" s="21">
        <v>290312</v>
      </c>
      <c r="B1204" s="21" t="s">
        <v>1062</v>
      </c>
      <c r="C1204" s="21" t="s">
        <v>5420</v>
      </c>
      <c r="D1204" s="21" t="s">
        <v>11</v>
      </c>
      <c r="E1204" s="21" t="s">
        <v>11</v>
      </c>
    </row>
    <row r="1205" spans="1:5" s="21" customFormat="1" ht="15.75" hidden="1" customHeight="1">
      <c r="A1205" s="21">
        <v>290313</v>
      </c>
      <c r="B1205" s="21" t="s">
        <v>1063</v>
      </c>
      <c r="C1205" s="21" t="s">
        <v>5420</v>
      </c>
      <c r="D1205" s="21" t="s">
        <v>11</v>
      </c>
      <c r="E1205" s="21" t="s">
        <v>11</v>
      </c>
    </row>
    <row r="1206" spans="1:5" s="21" customFormat="1" ht="15.75" hidden="1" customHeight="1">
      <c r="A1206" s="21">
        <v>290314</v>
      </c>
      <c r="B1206" s="21" t="s">
        <v>1064</v>
      </c>
      <c r="C1206" s="21" t="s">
        <v>5420</v>
      </c>
      <c r="D1206" s="21" t="s">
        <v>11</v>
      </c>
      <c r="E1206" s="21" t="s">
        <v>11</v>
      </c>
    </row>
    <row r="1207" spans="1:5" s="21" customFormat="1" ht="15.75" hidden="1" customHeight="1">
      <c r="A1207" s="21">
        <v>290315</v>
      </c>
      <c r="B1207" s="21" t="s">
        <v>1065</v>
      </c>
      <c r="C1207" s="21" t="s">
        <v>5420</v>
      </c>
      <c r="D1207" s="21" t="s">
        <v>11</v>
      </c>
      <c r="E1207" s="21" t="s">
        <v>11</v>
      </c>
    </row>
    <row r="1208" spans="1:5" s="21" customFormat="1" ht="15.75" hidden="1" customHeight="1">
      <c r="A1208" s="21">
        <v>290319</v>
      </c>
      <c r="B1208" s="21" t="s">
        <v>1066</v>
      </c>
      <c r="C1208" s="21" t="s">
        <v>5420</v>
      </c>
      <c r="D1208" s="21" t="s">
        <v>11</v>
      </c>
      <c r="E1208" s="21" t="s">
        <v>11</v>
      </c>
    </row>
    <row r="1209" spans="1:5" s="21" customFormat="1" ht="15.75" hidden="1" customHeight="1">
      <c r="A1209" s="21">
        <v>290321</v>
      </c>
      <c r="B1209" s="21" t="s">
        <v>1067</v>
      </c>
      <c r="C1209" s="21" t="s">
        <v>5421</v>
      </c>
      <c r="D1209" s="21" t="s">
        <v>11</v>
      </c>
      <c r="E1209" s="21" t="s">
        <v>11</v>
      </c>
    </row>
    <row r="1210" spans="1:5" s="21" customFormat="1" ht="15.75" hidden="1" customHeight="1">
      <c r="A1210" s="21">
        <v>290322</v>
      </c>
      <c r="B1210" s="21" t="s">
        <v>1068</v>
      </c>
      <c r="C1210" s="21" t="s">
        <v>5421</v>
      </c>
      <c r="D1210" s="21" t="s">
        <v>11</v>
      </c>
      <c r="E1210" s="21" t="s">
        <v>11</v>
      </c>
    </row>
    <row r="1211" spans="1:5" s="21" customFormat="1" ht="15.75" hidden="1" customHeight="1">
      <c r="A1211" s="21">
        <v>290323</v>
      </c>
      <c r="B1211" s="21" t="s">
        <v>1069</v>
      </c>
      <c r="C1211" s="21" t="s">
        <v>5421</v>
      </c>
      <c r="D1211" s="21" t="s">
        <v>11</v>
      </c>
      <c r="E1211" s="21" t="s">
        <v>11</v>
      </c>
    </row>
    <row r="1212" spans="1:5" s="21" customFormat="1" ht="15.75" hidden="1" customHeight="1">
      <c r="A1212" s="21">
        <v>290329</v>
      </c>
      <c r="B1212" s="21" t="s">
        <v>1070</v>
      </c>
      <c r="C1212" s="21" t="s">
        <v>5421</v>
      </c>
      <c r="D1212" s="21" t="s">
        <v>11</v>
      </c>
      <c r="E1212" s="21" t="s">
        <v>11</v>
      </c>
    </row>
    <row r="1213" spans="1:5" s="21" customFormat="1" ht="15.75" hidden="1" customHeight="1">
      <c r="A1213" s="21">
        <v>290331</v>
      </c>
      <c r="B1213" s="21" t="s">
        <v>1071</v>
      </c>
      <c r="C1213" s="21" t="s">
        <v>5422</v>
      </c>
      <c r="D1213" s="21" t="s">
        <v>11</v>
      </c>
      <c r="E1213" s="21" t="s">
        <v>11</v>
      </c>
    </row>
    <row r="1214" spans="1:5" s="21" customFormat="1" ht="15.75" hidden="1" customHeight="1">
      <c r="A1214" s="21">
        <v>290339</v>
      </c>
      <c r="B1214" s="21" t="s">
        <v>1072</v>
      </c>
      <c r="C1214" s="21" t="s">
        <v>5422</v>
      </c>
      <c r="D1214" s="21" t="s">
        <v>11</v>
      </c>
      <c r="E1214" s="21" t="s">
        <v>11</v>
      </c>
    </row>
    <row r="1215" spans="1:5" s="21" customFormat="1" ht="15.75" hidden="1" customHeight="1">
      <c r="A1215" s="21">
        <v>290341</v>
      </c>
      <c r="B1215" s="21" t="s">
        <v>1073</v>
      </c>
      <c r="C1215" s="21" t="s">
        <v>5423</v>
      </c>
      <c r="D1215" s="21" t="s">
        <v>11</v>
      </c>
      <c r="E1215" s="21" t="s">
        <v>11</v>
      </c>
    </row>
    <row r="1216" spans="1:5" s="21" customFormat="1" ht="15.75" hidden="1" customHeight="1">
      <c r="A1216" s="21">
        <v>290342</v>
      </c>
      <c r="B1216" s="21" t="s">
        <v>1074</v>
      </c>
      <c r="C1216" s="21" t="s">
        <v>5423</v>
      </c>
      <c r="D1216" s="21" t="s">
        <v>11</v>
      </c>
      <c r="E1216" s="21" t="s">
        <v>11</v>
      </c>
    </row>
    <row r="1217" spans="1:5" s="21" customFormat="1" ht="15.75" hidden="1" customHeight="1">
      <c r="A1217" s="21">
        <v>290343</v>
      </c>
      <c r="B1217" s="21" t="s">
        <v>1075</v>
      </c>
      <c r="C1217" s="21" t="s">
        <v>5423</v>
      </c>
      <c r="D1217" s="21" t="s">
        <v>11</v>
      </c>
      <c r="E1217" s="21" t="s">
        <v>11</v>
      </c>
    </row>
    <row r="1218" spans="1:5" s="21" customFormat="1" ht="15.75" hidden="1" customHeight="1">
      <c r="A1218" s="21">
        <v>290344</v>
      </c>
      <c r="B1218" s="21" t="s">
        <v>1076</v>
      </c>
      <c r="C1218" s="21" t="s">
        <v>5423</v>
      </c>
      <c r="D1218" s="21" t="s">
        <v>11</v>
      </c>
      <c r="E1218" s="21" t="s">
        <v>11</v>
      </c>
    </row>
    <row r="1219" spans="1:5" s="21" customFormat="1" ht="15.75" hidden="1" customHeight="1">
      <c r="A1219" s="21">
        <v>290345</v>
      </c>
      <c r="B1219" s="21" t="s">
        <v>1077</v>
      </c>
      <c r="C1219" s="21" t="s">
        <v>5423</v>
      </c>
      <c r="D1219" s="21" t="s">
        <v>11</v>
      </c>
      <c r="E1219" s="21" t="s">
        <v>11</v>
      </c>
    </row>
    <row r="1220" spans="1:5" s="21" customFormat="1" ht="15.75" hidden="1" customHeight="1">
      <c r="A1220" s="21">
        <v>290346</v>
      </c>
      <c r="B1220" s="21" t="s">
        <v>1078</v>
      </c>
      <c r="C1220" s="21" t="s">
        <v>5423</v>
      </c>
      <c r="D1220" s="21" t="s">
        <v>11</v>
      </c>
      <c r="E1220" s="21" t="s">
        <v>11</v>
      </c>
    </row>
    <row r="1221" spans="1:5" s="21" customFormat="1" ht="15.75" hidden="1" customHeight="1">
      <c r="A1221" s="21">
        <v>290347</v>
      </c>
      <c r="B1221" s="21" t="s">
        <v>1079</v>
      </c>
      <c r="C1221" s="21" t="s">
        <v>5423</v>
      </c>
      <c r="D1221" s="21" t="s">
        <v>11</v>
      </c>
      <c r="E1221" s="21" t="s">
        <v>11</v>
      </c>
    </row>
    <row r="1222" spans="1:5" s="21" customFormat="1" ht="15.75" hidden="1" customHeight="1">
      <c r="A1222" s="21">
        <v>290349</v>
      </c>
      <c r="B1222" s="21" t="s">
        <v>1080</v>
      </c>
      <c r="C1222" s="21" t="s">
        <v>5423</v>
      </c>
      <c r="D1222" s="21" t="s">
        <v>11</v>
      </c>
      <c r="E1222" s="21" t="s">
        <v>11</v>
      </c>
    </row>
    <row r="1223" spans="1:5" s="21" customFormat="1" ht="15.75" hidden="1" customHeight="1">
      <c r="A1223" s="21">
        <v>290351</v>
      </c>
      <c r="B1223" s="21" t="s">
        <v>1081</v>
      </c>
      <c r="C1223" s="21" t="s">
        <v>5424</v>
      </c>
      <c r="D1223" s="21" t="s">
        <v>11</v>
      </c>
      <c r="E1223" s="21" t="s">
        <v>11</v>
      </c>
    </row>
    <row r="1224" spans="1:5" s="21" customFormat="1" ht="15.75" hidden="1" customHeight="1">
      <c r="A1224" s="21">
        <v>290352</v>
      </c>
      <c r="B1224" s="21" t="s">
        <v>1082</v>
      </c>
      <c r="C1224" s="21" t="s">
        <v>5424</v>
      </c>
      <c r="D1224" s="21" t="s">
        <v>11</v>
      </c>
      <c r="E1224" s="21" t="s">
        <v>11</v>
      </c>
    </row>
    <row r="1225" spans="1:5" s="21" customFormat="1" ht="15.75" hidden="1" customHeight="1">
      <c r="A1225" s="21">
        <v>290359</v>
      </c>
      <c r="B1225" s="21" t="s">
        <v>1083</v>
      </c>
      <c r="C1225" s="21" t="s">
        <v>5425</v>
      </c>
      <c r="D1225" s="21" t="s">
        <v>11</v>
      </c>
      <c r="E1225" s="21" t="s">
        <v>11</v>
      </c>
    </row>
    <row r="1226" spans="1:5" s="21" customFormat="1" ht="15.75" hidden="1" customHeight="1">
      <c r="A1226" s="21">
        <v>290361</v>
      </c>
      <c r="B1226" s="21" t="s">
        <v>1084</v>
      </c>
      <c r="C1226" s="21" t="s">
        <v>5426</v>
      </c>
      <c r="D1226" s="21" t="s">
        <v>11</v>
      </c>
      <c r="E1226" s="21" t="s">
        <v>11</v>
      </c>
    </row>
    <row r="1227" spans="1:5" s="21" customFormat="1" ht="15.75" hidden="1" customHeight="1">
      <c r="A1227" s="21">
        <v>290362</v>
      </c>
      <c r="B1227" s="21" t="s">
        <v>1085</v>
      </c>
      <c r="C1227" s="21" t="s">
        <v>5426</v>
      </c>
      <c r="D1227" s="21" t="s">
        <v>11</v>
      </c>
      <c r="E1227" s="21" t="s">
        <v>11</v>
      </c>
    </row>
    <row r="1228" spans="1:5" s="21" customFormat="1" ht="15.75" hidden="1" customHeight="1">
      <c r="A1228" s="21">
        <v>290369</v>
      </c>
      <c r="B1228" s="21" t="s">
        <v>1086</v>
      </c>
      <c r="C1228" s="21" t="s">
        <v>5426</v>
      </c>
      <c r="D1228" s="21" t="s">
        <v>11</v>
      </c>
      <c r="E1228" s="21" t="s">
        <v>11</v>
      </c>
    </row>
    <row r="1229" spans="1:5" s="21" customFormat="1" ht="15.75" hidden="1" customHeight="1">
      <c r="A1229" s="21">
        <v>290410</v>
      </c>
      <c r="B1229" s="21" t="s">
        <v>1087</v>
      </c>
      <c r="C1229" s="21" t="s">
        <v>5427</v>
      </c>
      <c r="D1229" s="21" t="s">
        <v>11</v>
      </c>
      <c r="E1229" s="21" t="s">
        <v>11</v>
      </c>
    </row>
    <row r="1230" spans="1:5" s="21" customFormat="1" ht="15.75" hidden="1" customHeight="1">
      <c r="A1230" s="21">
        <v>290420</v>
      </c>
      <c r="B1230" s="21" t="s">
        <v>1088</v>
      </c>
      <c r="C1230" s="21" t="s">
        <v>5427</v>
      </c>
      <c r="D1230" s="21" t="s">
        <v>11</v>
      </c>
      <c r="E1230" s="21" t="s">
        <v>11</v>
      </c>
    </row>
    <row r="1231" spans="1:5" s="21" customFormat="1" ht="15.75" hidden="1" customHeight="1">
      <c r="A1231" s="21">
        <v>290490</v>
      </c>
      <c r="B1231" s="21" t="s">
        <v>1089</v>
      </c>
      <c r="C1231" s="21" t="s">
        <v>5427</v>
      </c>
      <c r="D1231" s="21" t="s">
        <v>11</v>
      </c>
      <c r="E1231" s="21" t="s">
        <v>11</v>
      </c>
    </row>
    <row r="1232" spans="1:5" s="21" customFormat="1" ht="15.75" hidden="1" customHeight="1">
      <c r="A1232" s="21">
        <v>290511</v>
      </c>
      <c r="B1232" s="21" t="s">
        <v>1090</v>
      </c>
      <c r="C1232" s="21" t="s">
        <v>5428</v>
      </c>
      <c r="D1232" s="21" t="s">
        <v>11</v>
      </c>
      <c r="E1232" s="21" t="s">
        <v>11</v>
      </c>
    </row>
    <row r="1233" spans="1:11" s="21" customFormat="1" ht="15.75" hidden="1" customHeight="1">
      <c r="A1233" s="21">
        <v>290512</v>
      </c>
      <c r="B1233" s="21" t="s">
        <v>1091</v>
      </c>
      <c r="C1233" s="21" t="s">
        <v>5428</v>
      </c>
      <c r="D1233" s="21" t="s">
        <v>11</v>
      </c>
      <c r="E1233" s="21" t="s">
        <v>11</v>
      </c>
    </row>
    <row r="1234" spans="1:11" s="21" customFormat="1" ht="15.75" hidden="1" customHeight="1">
      <c r="A1234" s="21">
        <v>290513</v>
      </c>
      <c r="B1234" s="21" t="s">
        <v>1092</v>
      </c>
      <c r="C1234" s="21" t="s">
        <v>5428</v>
      </c>
      <c r="D1234" s="21" t="s">
        <v>11</v>
      </c>
      <c r="E1234" s="21" t="s">
        <v>11</v>
      </c>
    </row>
    <row r="1235" spans="1:11" s="21" customFormat="1" ht="15.75" hidden="1" customHeight="1">
      <c r="A1235" s="21">
        <v>290514</v>
      </c>
      <c r="B1235" s="21" t="s">
        <v>1093</v>
      </c>
      <c r="C1235" s="21" t="s">
        <v>5428</v>
      </c>
      <c r="D1235" s="21" t="s">
        <v>11</v>
      </c>
      <c r="E1235" s="21" t="s">
        <v>11</v>
      </c>
    </row>
    <row r="1236" spans="1:11" s="21" customFormat="1" ht="15.75" hidden="1" customHeight="1">
      <c r="A1236" s="23">
        <v>290516</v>
      </c>
      <c r="B1236" s="23" t="s">
        <v>1094</v>
      </c>
      <c r="C1236" s="21" t="s">
        <v>5428</v>
      </c>
      <c r="D1236" s="23" t="s">
        <v>11</v>
      </c>
      <c r="E1236" s="23" t="s">
        <v>11</v>
      </c>
      <c r="F1236" s="23"/>
      <c r="G1236" s="23"/>
      <c r="H1236" s="23"/>
      <c r="I1236" s="23"/>
      <c r="J1236" s="23"/>
      <c r="K1236" s="23"/>
    </row>
    <row r="1237" spans="1:11" s="21" customFormat="1" ht="15.75" hidden="1" customHeight="1">
      <c r="A1237" s="21">
        <v>290517</v>
      </c>
      <c r="B1237" s="21" t="s">
        <v>1095</v>
      </c>
      <c r="C1237" s="21" t="s">
        <v>5428</v>
      </c>
      <c r="D1237" s="21" t="s">
        <v>11</v>
      </c>
      <c r="E1237" s="21" t="s">
        <v>11</v>
      </c>
    </row>
    <row r="1238" spans="1:11" s="21" customFormat="1" ht="15.75" hidden="1" customHeight="1">
      <c r="A1238" s="21">
        <v>290519</v>
      </c>
      <c r="B1238" s="21" t="s">
        <v>1096</v>
      </c>
      <c r="C1238" s="21" t="s">
        <v>5428</v>
      </c>
      <c r="D1238" s="21" t="s">
        <v>11</v>
      </c>
      <c r="E1238" s="21" t="s">
        <v>11</v>
      </c>
    </row>
    <row r="1239" spans="1:11" s="21" customFormat="1" ht="15.75" hidden="1" customHeight="1">
      <c r="A1239" s="21">
        <v>290522</v>
      </c>
      <c r="B1239" s="21" t="s">
        <v>1097</v>
      </c>
      <c r="C1239" s="21" t="s">
        <v>5428</v>
      </c>
      <c r="D1239" s="21" t="s">
        <v>11</v>
      </c>
      <c r="E1239" s="21" t="s">
        <v>11</v>
      </c>
    </row>
    <row r="1240" spans="1:11" s="21" customFormat="1" ht="15.75" hidden="1" customHeight="1">
      <c r="A1240" s="21">
        <v>290529</v>
      </c>
      <c r="B1240" s="21" t="s">
        <v>1098</v>
      </c>
      <c r="C1240" s="21" t="s">
        <v>5428</v>
      </c>
      <c r="D1240" s="21" t="s">
        <v>11</v>
      </c>
      <c r="E1240" s="21" t="s">
        <v>11</v>
      </c>
    </row>
    <row r="1241" spans="1:11" s="21" customFormat="1" ht="15.75" hidden="1" customHeight="1">
      <c r="A1241" s="21">
        <v>290531</v>
      </c>
      <c r="B1241" s="21" t="s">
        <v>1099</v>
      </c>
      <c r="C1241" s="21" t="s">
        <v>5428</v>
      </c>
      <c r="D1241" s="21" t="s">
        <v>11</v>
      </c>
      <c r="E1241" s="21" t="s">
        <v>11</v>
      </c>
    </row>
    <row r="1242" spans="1:11" s="21" customFormat="1" ht="15.75" hidden="1" customHeight="1">
      <c r="A1242" s="21">
        <v>290532</v>
      </c>
      <c r="B1242" s="21" t="s">
        <v>1100</v>
      </c>
      <c r="C1242" s="21" t="s">
        <v>5428</v>
      </c>
      <c r="D1242" s="21" t="s">
        <v>11</v>
      </c>
      <c r="E1242" s="21" t="s">
        <v>11</v>
      </c>
    </row>
    <row r="1243" spans="1:11" s="21" customFormat="1" ht="15.75" hidden="1" customHeight="1">
      <c r="A1243" s="23">
        <v>290539</v>
      </c>
      <c r="B1243" s="23" t="s">
        <v>1101</v>
      </c>
      <c r="C1243" s="21" t="s">
        <v>5428</v>
      </c>
      <c r="D1243" s="23" t="s">
        <v>11</v>
      </c>
      <c r="E1243" s="23" t="s">
        <v>11</v>
      </c>
      <c r="F1243" s="23"/>
      <c r="G1243" s="23"/>
      <c r="H1243" s="23"/>
      <c r="I1243" s="23"/>
      <c r="J1243" s="23"/>
      <c r="K1243" s="23"/>
    </row>
    <row r="1244" spans="1:11" s="21" customFormat="1" ht="15.75" hidden="1" customHeight="1">
      <c r="A1244" s="21">
        <v>290541</v>
      </c>
      <c r="B1244" s="21" t="s">
        <v>1102</v>
      </c>
      <c r="C1244" s="21" t="s">
        <v>5428</v>
      </c>
      <c r="D1244" s="21" t="s">
        <v>11</v>
      </c>
      <c r="E1244" s="21" t="s">
        <v>11</v>
      </c>
    </row>
    <row r="1245" spans="1:11" s="21" customFormat="1" ht="15.75" hidden="1" customHeight="1">
      <c r="A1245" s="21">
        <v>290542</v>
      </c>
      <c r="B1245" s="21" t="s">
        <v>1103</v>
      </c>
      <c r="C1245" s="21" t="s">
        <v>5428</v>
      </c>
      <c r="D1245" s="21" t="s">
        <v>11</v>
      </c>
      <c r="E1245" s="21" t="s">
        <v>11</v>
      </c>
    </row>
    <row r="1246" spans="1:11" s="21" customFormat="1" ht="15.75" hidden="1" customHeight="1">
      <c r="A1246" s="21">
        <v>290543</v>
      </c>
      <c r="B1246" s="21" t="s">
        <v>1104</v>
      </c>
      <c r="C1246" s="21" t="s">
        <v>5428</v>
      </c>
      <c r="D1246" s="21" t="s">
        <v>11</v>
      </c>
      <c r="E1246" s="21" t="s">
        <v>11</v>
      </c>
    </row>
    <row r="1247" spans="1:11" s="21" customFormat="1" ht="15.75" hidden="1" customHeight="1">
      <c r="A1247" s="21">
        <v>290544</v>
      </c>
      <c r="B1247" s="21" t="s">
        <v>1105</v>
      </c>
      <c r="C1247" s="21" t="s">
        <v>5428</v>
      </c>
      <c r="D1247" s="21" t="s">
        <v>11</v>
      </c>
      <c r="E1247" s="21" t="s">
        <v>11</v>
      </c>
    </row>
    <row r="1248" spans="1:11" s="21" customFormat="1" ht="15" hidden="1" customHeight="1">
      <c r="A1248" s="21">
        <v>290545</v>
      </c>
      <c r="B1248" s="21" t="s">
        <v>1106</v>
      </c>
      <c r="C1248" s="21" t="s">
        <v>5428</v>
      </c>
      <c r="D1248" s="21" t="s">
        <v>11</v>
      </c>
      <c r="E1248" s="21" t="s">
        <v>11</v>
      </c>
    </row>
    <row r="1249" spans="1:11" s="21" customFormat="1" ht="15.75" hidden="1" customHeight="1">
      <c r="A1249" s="21">
        <v>290549</v>
      </c>
      <c r="B1249" s="21" t="s">
        <v>1107</v>
      </c>
      <c r="C1249" s="21" t="s">
        <v>5428</v>
      </c>
      <c r="D1249" s="21" t="s">
        <v>11</v>
      </c>
      <c r="E1249" s="21" t="s">
        <v>11</v>
      </c>
    </row>
    <row r="1250" spans="1:11" s="21" customFormat="1" ht="15.75" hidden="1" customHeight="1">
      <c r="A1250" s="21">
        <v>290551</v>
      </c>
      <c r="B1250" s="21" t="s">
        <v>1108</v>
      </c>
      <c r="C1250" s="21" t="s">
        <v>5428</v>
      </c>
      <c r="D1250" s="21" t="s">
        <v>11</v>
      </c>
      <c r="E1250" s="21" t="s">
        <v>11</v>
      </c>
    </row>
    <row r="1251" spans="1:11" s="21" customFormat="1" ht="15.75" hidden="1" customHeight="1">
      <c r="A1251" s="21">
        <v>290559</v>
      </c>
      <c r="B1251" s="21" t="s">
        <v>1109</v>
      </c>
      <c r="C1251" s="21" t="s">
        <v>5428</v>
      </c>
      <c r="D1251" s="21" t="s">
        <v>11</v>
      </c>
      <c r="E1251" s="21" t="s">
        <v>11</v>
      </c>
    </row>
    <row r="1252" spans="1:11" s="21" customFormat="1" ht="15.75" hidden="1" customHeight="1">
      <c r="A1252" s="23">
        <v>290611</v>
      </c>
      <c r="B1252" s="23" t="s">
        <v>1110</v>
      </c>
      <c r="C1252" s="21" t="s">
        <v>5428</v>
      </c>
      <c r="D1252" s="23" t="s">
        <v>11</v>
      </c>
      <c r="E1252" s="23" t="s">
        <v>11</v>
      </c>
      <c r="F1252" s="23"/>
      <c r="G1252" s="23"/>
      <c r="H1252" s="23"/>
      <c r="I1252" s="23"/>
      <c r="J1252" s="23"/>
      <c r="K1252" s="23"/>
    </row>
    <row r="1253" spans="1:11" s="21" customFormat="1" ht="15.75" hidden="1" customHeight="1">
      <c r="A1253" s="21">
        <v>290612</v>
      </c>
      <c r="B1253" s="21" t="s">
        <v>1111</v>
      </c>
      <c r="C1253" s="21" t="s">
        <v>5428</v>
      </c>
      <c r="D1253" s="21" t="s">
        <v>11</v>
      </c>
      <c r="E1253" s="21" t="s">
        <v>11</v>
      </c>
    </row>
    <row r="1254" spans="1:11" s="21" customFormat="1" ht="15.75" hidden="1" customHeight="1">
      <c r="A1254" s="21">
        <v>290613</v>
      </c>
      <c r="B1254" s="21" t="s">
        <v>1112</v>
      </c>
      <c r="C1254" s="21" t="s">
        <v>5428</v>
      </c>
      <c r="D1254" s="21" t="s">
        <v>11</v>
      </c>
      <c r="E1254" s="21" t="s">
        <v>11</v>
      </c>
    </row>
    <row r="1255" spans="1:11" s="21" customFormat="1" ht="15.75" hidden="1" customHeight="1">
      <c r="A1255" s="21">
        <v>290619</v>
      </c>
      <c r="B1255" s="21" t="s">
        <v>1113</v>
      </c>
      <c r="C1255" s="21" t="s">
        <v>5428</v>
      </c>
      <c r="D1255" s="21" t="s">
        <v>11</v>
      </c>
      <c r="E1255" s="21" t="s">
        <v>11</v>
      </c>
    </row>
    <row r="1256" spans="1:11" ht="15.75" hidden="1" customHeight="1">
      <c r="A1256" s="21">
        <v>290621</v>
      </c>
      <c r="B1256" s="21" t="s">
        <v>1114</v>
      </c>
      <c r="C1256" s="21" t="s">
        <v>5428</v>
      </c>
      <c r="D1256" s="21" t="s">
        <v>11</v>
      </c>
      <c r="E1256" s="21" t="s">
        <v>11</v>
      </c>
      <c r="F1256" s="21"/>
    </row>
    <row r="1257" spans="1:11" ht="15.75" hidden="1" customHeight="1">
      <c r="A1257" s="21">
        <v>290629</v>
      </c>
      <c r="B1257" s="21" t="s">
        <v>1115</v>
      </c>
      <c r="C1257" s="21" t="s">
        <v>5428</v>
      </c>
      <c r="D1257" s="21" t="s">
        <v>11</v>
      </c>
      <c r="E1257" s="21" t="s">
        <v>11</v>
      </c>
      <c r="F1257" s="21"/>
    </row>
    <row r="1258" spans="1:11" ht="15.75" hidden="1" customHeight="1">
      <c r="A1258" s="21">
        <v>290711</v>
      </c>
      <c r="B1258" s="21" t="s">
        <v>1116</v>
      </c>
      <c r="C1258" s="21" t="s">
        <v>5429</v>
      </c>
      <c r="D1258" s="21" t="s">
        <v>11</v>
      </c>
      <c r="E1258" s="21" t="s">
        <v>11</v>
      </c>
      <c r="F1258" s="21"/>
    </row>
    <row r="1259" spans="1:11" ht="15.75" hidden="1" customHeight="1">
      <c r="A1259" s="21">
        <v>290712</v>
      </c>
      <c r="B1259" s="21" t="s">
        <v>1117</v>
      </c>
      <c r="C1259" s="21" t="s">
        <v>5429</v>
      </c>
      <c r="D1259" s="21" t="s">
        <v>11</v>
      </c>
      <c r="E1259" s="21" t="s">
        <v>11</v>
      </c>
      <c r="F1259" s="21"/>
    </row>
    <row r="1260" spans="1:11" ht="15.75" hidden="1" customHeight="1">
      <c r="A1260" s="21">
        <v>290713</v>
      </c>
      <c r="B1260" s="21" t="s">
        <v>1118</v>
      </c>
      <c r="C1260" s="21" t="s">
        <v>5429</v>
      </c>
      <c r="D1260" s="21" t="s">
        <v>11</v>
      </c>
      <c r="E1260" s="21" t="s">
        <v>11</v>
      </c>
      <c r="F1260" s="21"/>
    </row>
    <row r="1261" spans="1:11" s="21" customFormat="1" ht="15.75" hidden="1" customHeight="1">
      <c r="A1261" s="21">
        <v>290715</v>
      </c>
      <c r="B1261" s="21" t="s">
        <v>1119</v>
      </c>
      <c r="C1261" s="21" t="s">
        <v>5429</v>
      </c>
      <c r="D1261" s="21" t="s">
        <v>11</v>
      </c>
      <c r="E1261" s="21" t="s">
        <v>11</v>
      </c>
    </row>
    <row r="1262" spans="1:11" ht="15.75" hidden="1" customHeight="1">
      <c r="A1262" s="21">
        <v>290719</v>
      </c>
      <c r="B1262" s="21" t="s">
        <v>1120</v>
      </c>
      <c r="C1262" s="21" t="s">
        <v>5429</v>
      </c>
      <c r="D1262" s="21" t="s">
        <v>11</v>
      </c>
      <c r="E1262" s="21" t="s">
        <v>11</v>
      </c>
      <c r="F1262" s="21"/>
    </row>
    <row r="1263" spans="1:11" ht="15.75" hidden="1" customHeight="1">
      <c r="A1263" s="21">
        <v>290721</v>
      </c>
      <c r="B1263" s="21" t="s">
        <v>1121</v>
      </c>
      <c r="C1263" s="21" t="s">
        <v>5430</v>
      </c>
      <c r="D1263" s="21" t="s">
        <v>11</v>
      </c>
      <c r="E1263" s="21" t="s">
        <v>11</v>
      </c>
      <c r="F1263" s="21"/>
    </row>
    <row r="1264" spans="1:11" ht="15.75" hidden="1" customHeight="1">
      <c r="A1264" s="21">
        <v>290722</v>
      </c>
      <c r="B1264" s="21" t="s">
        <v>1122</v>
      </c>
      <c r="C1264" s="21" t="s">
        <v>5430</v>
      </c>
      <c r="D1264" s="21" t="s">
        <v>11</v>
      </c>
      <c r="E1264" s="21" t="s">
        <v>11</v>
      </c>
      <c r="F1264" s="21"/>
    </row>
    <row r="1265" spans="1:11" s="21" customFormat="1" ht="15.75" hidden="1" customHeight="1">
      <c r="A1265" s="21">
        <v>290723</v>
      </c>
      <c r="B1265" s="21" t="s">
        <v>1123</v>
      </c>
      <c r="C1265" s="21" t="s">
        <v>5430</v>
      </c>
      <c r="D1265" s="21" t="s">
        <v>11</v>
      </c>
      <c r="E1265" s="21" t="s">
        <v>11</v>
      </c>
    </row>
    <row r="1266" spans="1:11" s="21" customFormat="1" ht="15.75" hidden="1" customHeight="1">
      <c r="A1266" s="23">
        <v>290729</v>
      </c>
      <c r="B1266" s="23" t="s">
        <v>1124</v>
      </c>
      <c r="C1266" s="21" t="s">
        <v>1124</v>
      </c>
      <c r="D1266" s="23" t="s">
        <v>11</v>
      </c>
      <c r="E1266" s="23" t="s">
        <v>11</v>
      </c>
      <c r="F1266" s="23"/>
      <c r="G1266" s="23"/>
      <c r="H1266" s="23"/>
      <c r="I1266" s="23"/>
      <c r="J1266" s="23"/>
      <c r="K1266" s="23"/>
    </row>
    <row r="1267" spans="1:11" s="21" customFormat="1" ht="15.75" hidden="1" customHeight="1">
      <c r="A1267" s="21">
        <v>290811</v>
      </c>
      <c r="B1267" s="21" t="s">
        <v>1125</v>
      </c>
      <c r="C1267" s="21" t="s">
        <v>5431</v>
      </c>
      <c r="D1267" s="21" t="s">
        <v>11</v>
      </c>
      <c r="E1267" s="21" t="s">
        <v>11</v>
      </c>
    </row>
    <row r="1268" spans="1:11" s="21" customFormat="1" ht="15.75" hidden="1" customHeight="1">
      <c r="A1268" s="21">
        <v>290819</v>
      </c>
      <c r="B1268" s="21" t="s">
        <v>1126</v>
      </c>
      <c r="C1268" s="21" t="s">
        <v>5431</v>
      </c>
      <c r="D1268" s="21" t="s">
        <v>11</v>
      </c>
      <c r="E1268" s="21" t="s">
        <v>11</v>
      </c>
    </row>
    <row r="1269" spans="1:11" s="21" customFormat="1" ht="15.75" hidden="1" customHeight="1">
      <c r="A1269" s="21">
        <v>290891</v>
      </c>
      <c r="B1269" s="21" t="s">
        <v>1127</v>
      </c>
      <c r="C1269" s="21" t="s">
        <v>5432</v>
      </c>
      <c r="D1269" s="21" t="s">
        <v>11</v>
      </c>
      <c r="E1269" s="21" t="s">
        <v>11</v>
      </c>
    </row>
    <row r="1270" spans="1:11" s="21" customFormat="1" ht="15.75" hidden="1" customHeight="1">
      <c r="A1270" s="21">
        <v>290899</v>
      </c>
      <c r="B1270" s="21" t="s">
        <v>1128</v>
      </c>
      <c r="C1270" s="21" t="s">
        <v>5432</v>
      </c>
      <c r="D1270" s="21" t="s">
        <v>11</v>
      </c>
      <c r="E1270" s="21" t="s">
        <v>11</v>
      </c>
    </row>
    <row r="1271" spans="1:11" s="21" customFormat="1" ht="15.75" hidden="1" customHeight="1">
      <c r="A1271" s="21">
        <v>290911</v>
      </c>
      <c r="B1271" s="21" t="s">
        <v>1129</v>
      </c>
      <c r="C1271" s="21" t="s">
        <v>5433</v>
      </c>
      <c r="D1271" s="21" t="s">
        <v>11</v>
      </c>
      <c r="E1271" s="21" t="s">
        <v>11</v>
      </c>
    </row>
    <row r="1272" spans="1:11" s="21" customFormat="1" ht="15.75" hidden="1" customHeight="1">
      <c r="A1272" s="21">
        <v>290919</v>
      </c>
      <c r="B1272" s="21" t="s">
        <v>1130</v>
      </c>
      <c r="C1272" s="21" t="s">
        <v>5433</v>
      </c>
      <c r="D1272" s="21" t="s">
        <v>11</v>
      </c>
      <c r="E1272" s="21" t="s">
        <v>11</v>
      </c>
    </row>
    <row r="1273" spans="1:11" s="21" customFormat="1" ht="15.75" hidden="1" customHeight="1">
      <c r="A1273" s="21">
        <v>290920</v>
      </c>
      <c r="B1273" s="21" t="s">
        <v>1131</v>
      </c>
      <c r="C1273" s="21" t="s">
        <v>5433</v>
      </c>
      <c r="D1273" s="21" t="s">
        <v>11</v>
      </c>
      <c r="E1273" s="21" t="s">
        <v>11</v>
      </c>
    </row>
    <row r="1274" spans="1:11" s="21" customFormat="1" ht="15.75" hidden="1" customHeight="1">
      <c r="A1274" s="21">
        <v>290930</v>
      </c>
      <c r="B1274" s="21" t="s">
        <v>1132</v>
      </c>
      <c r="C1274" s="21" t="s">
        <v>5433</v>
      </c>
      <c r="D1274" s="21" t="s">
        <v>11</v>
      </c>
      <c r="E1274" s="21" t="s">
        <v>11</v>
      </c>
    </row>
    <row r="1275" spans="1:11" s="21" customFormat="1" ht="15.75" hidden="1" customHeight="1">
      <c r="A1275" s="21">
        <v>290941</v>
      </c>
      <c r="B1275" s="21" t="s">
        <v>1133</v>
      </c>
      <c r="C1275" s="21" t="s">
        <v>5434</v>
      </c>
      <c r="D1275" s="21" t="s">
        <v>11</v>
      </c>
      <c r="E1275" s="21" t="s">
        <v>11</v>
      </c>
    </row>
    <row r="1276" spans="1:11" s="21" customFormat="1" ht="15.75" hidden="1" customHeight="1">
      <c r="A1276" s="21">
        <v>290943</v>
      </c>
      <c r="B1276" s="21" t="s">
        <v>1134</v>
      </c>
      <c r="C1276" s="21" t="s">
        <v>5434</v>
      </c>
      <c r="D1276" s="21" t="s">
        <v>11</v>
      </c>
      <c r="E1276" s="21" t="s">
        <v>11</v>
      </c>
    </row>
    <row r="1277" spans="1:11" s="21" customFormat="1" ht="0.75" hidden="1" customHeight="1">
      <c r="A1277" s="21">
        <v>290944</v>
      </c>
      <c r="B1277" s="21" t="s">
        <v>1135</v>
      </c>
      <c r="C1277" s="21" t="s">
        <v>5434</v>
      </c>
      <c r="D1277" s="21" t="s">
        <v>11</v>
      </c>
      <c r="E1277" s="21" t="s">
        <v>11</v>
      </c>
    </row>
    <row r="1278" spans="1:11" s="21" customFormat="1" ht="15.75" hidden="1" customHeight="1">
      <c r="A1278" s="21">
        <v>290949</v>
      </c>
      <c r="B1278" s="21" t="s">
        <v>1136</v>
      </c>
      <c r="C1278" s="21" t="s">
        <v>5434</v>
      </c>
      <c r="D1278" s="21" t="s">
        <v>11</v>
      </c>
      <c r="E1278" s="21" t="s">
        <v>11</v>
      </c>
    </row>
    <row r="1279" spans="1:11" s="21" customFormat="1" ht="15.75" hidden="1" customHeight="1">
      <c r="A1279" s="21">
        <v>290950</v>
      </c>
      <c r="B1279" s="21" t="s">
        <v>1137</v>
      </c>
      <c r="C1279" s="21" t="s">
        <v>1137</v>
      </c>
      <c r="D1279" s="21" t="s">
        <v>11</v>
      </c>
      <c r="E1279" s="21" t="s">
        <v>11</v>
      </c>
    </row>
    <row r="1280" spans="1:11" s="21" customFormat="1" ht="15.75" hidden="1" customHeight="1">
      <c r="A1280" s="21">
        <v>290960</v>
      </c>
      <c r="B1280" s="21" t="s">
        <v>1138</v>
      </c>
      <c r="C1280" s="21" t="s">
        <v>1138</v>
      </c>
      <c r="D1280" s="21" t="s">
        <v>11</v>
      </c>
      <c r="E1280" s="21" t="s">
        <v>11</v>
      </c>
    </row>
    <row r="1281" spans="1:6" s="21" customFormat="1" ht="15.75" hidden="1" customHeight="1">
      <c r="A1281" s="21">
        <v>291010</v>
      </c>
      <c r="B1281" s="21" t="s">
        <v>1139</v>
      </c>
      <c r="C1281" s="21" t="s">
        <v>5435</v>
      </c>
      <c r="D1281" s="21" t="s">
        <v>11</v>
      </c>
      <c r="E1281" s="21" t="s">
        <v>11</v>
      </c>
    </row>
    <row r="1282" spans="1:6" s="21" customFormat="1" ht="15.75" hidden="1" customHeight="1">
      <c r="A1282" s="21">
        <v>291020</v>
      </c>
      <c r="B1282" s="21" t="s">
        <v>1140</v>
      </c>
      <c r="C1282" s="21" t="s">
        <v>5435</v>
      </c>
      <c r="D1282" s="21" t="s">
        <v>11</v>
      </c>
      <c r="E1282" s="21" t="s">
        <v>11</v>
      </c>
    </row>
    <row r="1283" spans="1:6" s="21" customFormat="1" ht="15.75" hidden="1" customHeight="1">
      <c r="A1283" s="21">
        <v>291030</v>
      </c>
      <c r="B1283" s="21" t="s">
        <v>1141</v>
      </c>
      <c r="C1283" s="21" t="s">
        <v>5435</v>
      </c>
      <c r="D1283" s="21" t="s">
        <v>11</v>
      </c>
      <c r="E1283" s="21" t="s">
        <v>11</v>
      </c>
    </row>
    <row r="1284" spans="1:6" s="21" customFormat="1" ht="15.75" hidden="1" customHeight="1">
      <c r="A1284" s="21">
        <v>291040</v>
      </c>
      <c r="B1284" s="21" t="s">
        <v>1142</v>
      </c>
      <c r="C1284" s="21" t="s">
        <v>5435</v>
      </c>
      <c r="D1284" s="21" t="s">
        <v>11</v>
      </c>
      <c r="E1284" s="21" t="s">
        <v>11</v>
      </c>
    </row>
    <row r="1285" spans="1:6" s="21" customFormat="1" ht="15.75" hidden="1" customHeight="1">
      <c r="A1285" s="21">
        <v>291090</v>
      </c>
      <c r="B1285" s="21" t="s">
        <v>1143</v>
      </c>
      <c r="C1285" s="21" t="s">
        <v>5435</v>
      </c>
      <c r="D1285" s="21" t="s">
        <v>11</v>
      </c>
      <c r="E1285" s="21" t="s">
        <v>11</v>
      </c>
    </row>
    <row r="1286" spans="1:6" s="21" customFormat="1" ht="15.75" hidden="1" customHeight="1">
      <c r="A1286" s="21">
        <v>291100</v>
      </c>
      <c r="B1286" s="21" t="s">
        <v>1144</v>
      </c>
      <c r="C1286" s="21" t="s">
        <v>5436</v>
      </c>
      <c r="D1286" s="21" t="s">
        <v>11</v>
      </c>
      <c r="E1286" s="21" t="s">
        <v>11</v>
      </c>
    </row>
    <row r="1287" spans="1:6" s="21" customFormat="1" ht="15.75" hidden="1" customHeight="1">
      <c r="A1287" s="21">
        <v>291211</v>
      </c>
      <c r="B1287" s="21" t="s">
        <v>1145</v>
      </c>
      <c r="C1287" s="21" t="s">
        <v>5437</v>
      </c>
      <c r="D1287" s="21" t="s">
        <v>11</v>
      </c>
      <c r="E1287" s="21" t="s">
        <v>11</v>
      </c>
    </row>
    <row r="1288" spans="1:6" s="21" customFormat="1" ht="15.75" hidden="1" customHeight="1">
      <c r="A1288" s="21">
        <v>291212</v>
      </c>
      <c r="B1288" s="21" t="s">
        <v>1146</v>
      </c>
      <c r="C1288" s="21" t="s">
        <v>5437</v>
      </c>
      <c r="D1288" s="21" t="s">
        <v>11</v>
      </c>
      <c r="E1288" s="21" t="s">
        <v>11</v>
      </c>
    </row>
    <row r="1289" spans="1:6" ht="15.75" hidden="1" customHeight="1">
      <c r="A1289" s="21">
        <v>291219</v>
      </c>
      <c r="B1289" s="21" t="s">
        <v>1147</v>
      </c>
      <c r="C1289" s="21" t="s">
        <v>5437</v>
      </c>
      <c r="D1289" s="21" t="s">
        <v>11</v>
      </c>
      <c r="E1289" s="21" t="s">
        <v>11</v>
      </c>
      <c r="F1289" s="21"/>
    </row>
    <row r="1290" spans="1:6" s="21" customFormat="1" ht="15.75" hidden="1" customHeight="1">
      <c r="A1290" s="21">
        <v>291221</v>
      </c>
      <c r="B1290" s="21" t="s">
        <v>1148</v>
      </c>
      <c r="C1290" s="21" t="s">
        <v>5437</v>
      </c>
      <c r="D1290" s="21" t="s">
        <v>11</v>
      </c>
      <c r="E1290" s="21" t="s">
        <v>11</v>
      </c>
    </row>
    <row r="1291" spans="1:6" s="21" customFormat="1" ht="15.75" hidden="1" customHeight="1">
      <c r="A1291" s="21">
        <v>291229</v>
      </c>
      <c r="B1291" s="21" t="s">
        <v>1149</v>
      </c>
      <c r="C1291" s="21" t="s">
        <v>5437</v>
      </c>
      <c r="D1291" s="21" t="s">
        <v>11</v>
      </c>
      <c r="E1291" s="21" t="s">
        <v>11</v>
      </c>
    </row>
    <row r="1292" spans="1:6" s="21" customFormat="1" ht="15.75" hidden="1" customHeight="1">
      <c r="A1292" s="21">
        <v>291230</v>
      </c>
      <c r="B1292" s="21" t="s">
        <v>1150</v>
      </c>
      <c r="C1292" s="21" t="s">
        <v>1150</v>
      </c>
      <c r="D1292" s="21" t="s">
        <v>11</v>
      </c>
      <c r="E1292" s="21" t="s">
        <v>11</v>
      </c>
    </row>
    <row r="1293" spans="1:6" s="21" customFormat="1" ht="15.75" hidden="1" customHeight="1">
      <c r="A1293" s="21">
        <v>291241</v>
      </c>
      <c r="B1293" s="21" t="s">
        <v>1151</v>
      </c>
      <c r="C1293" s="21" t="s">
        <v>5438</v>
      </c>
      <c r="D1293" s="21" t="s">
        <v>11</v>
      </c>
      <c r="E1293" s="21" t="s">
        <v>11</v>
      </c>
    </row>
    <row r="1294" spans="1:6" s="21" customFormat="1" ht="15.75" hidden="1" customHeight="1">
      <c r="A1294" s="21">
        <v>291242</v>
      </c>
      <c r="B1294" s="21" t="s">
        <v>1152</v>
      </c>
      <c r="C1294" s="21" t="s">
        <v>5438</v>
      </c>
      <c r="D1294" s="21" t="s">
        <v>11</v>
      </c>
      <c r="E1294" s="21" t="s">
        <v>11</v>
      </c>
    </row>
    <row r="1295" spans="1:6" s="21" customFormat="1" ht="15.75" hidden="1" customHeight="1">
      <c r="A1295" s="21">
        <v>291249</v>
      </c>
      <c r="B1295" s="21" t="s">
        <v>1153</v>
      </c>
      <c r="C1295" s="21" t="s">
        <v>5438</v>
      </c>
      <c r="D1295" s="21" t="s">
        <v>11</v>
      </c>
      <c r="E1295" s="21" t="s">
        <v>11</v>
      </c>
    </row>
    <row r="1296" spans="1:6" ht="15.75" hidden="1" customHeight="1">
      <c r="A1296" s="21">
        <v>291250</v>
      </c>
      <c r="B1296" s="21" t="s">
        <v>1154</v>
      </c>
      <c r="C1296" s="21" t="s">
        <v>5437</v>
      </c>
      <c r="D1296" s="21" t="s">
        <v>11</v>
      </c>
      <c r="E1296" s="21" t="s">
        <v>11</v>
      </c>
      <c r="F1296" s="21"/>
    </row>
    <row r="1297" spans="1:6" ht="15.75" hidden="1" customHeight="1">
      <c r="A1297" s="21">
        <v>291260</v>
      </c>
      <c r="B1297" s="21" t="s">
        <v>1155</v>
      </c>
      <c r="C1297" s="21" t="s">
        <v>1155</v>
      </c>
      <c r="D1297" s="21" t="s">
        <v>11</v>
      </c>
      <c r="E1297" s="21" t="s">
        <v>11</v>
      </c>
      <c r="F1297" s="21"/>
    </row>
    <row r="1298" spans="1:6" ht="15.75" hidden="1" customHeight="1">
      <c r="A1298" s="21">
        <v>291300</v>
      </c>
      <c r="B1298" s="21" t="s">
        <v>1156</v>
      </c>
      <c r="C1298" s="21" t="s">
        <v>5437</v>
      </c>
      <c r="D1298" s="21" t="s">
        <v>11</v>
      </c>
      <c r="E1298" s="21" t="s">
        <v>11</v>
      </c>
      <c r="F1298" s="21"/>
    </row>
    <row r="1299" spans="1:6" s="21" customFormat="1" ht="15.75" hidden="1" customHeight="1">
      <c r="A1299" s="21">
        <v>291411</v>
      </c>
      <c r="B1299" s="21" t="s">
        <v>1157</v>
      </c>
      <c r="C1299" s="21" t="s">
        <v>5439</v>
      </c>
      <c r="D1299" s="21" t="s">
        <v>11</v>
      </c>
      <c r="E1299" s="21" t="s">
        <v>11</v>
      </c>
    </row>
    <row r="1300" spans="1:6" s="21" customFormat="1" ht="15.75" hidden="1" customHeight="1">
      <c r="A1300" s="21">
        <v>291412</v>
      </c>
      <c r="B1300" s="21" t="s">
        <v>1158</v>
      </c>
      <c r="C1300" s="21" t="s">
        <v>5439</v>
      </c>
      <c r="D1300" s="21" t="s">
        <v>11</v>
      </c>
      <c r="E1300" s="21" t="s">
        <v>11</v>
      </c>
    </row>
    <row r="1301" spans="1:6" s="21" customFormat="1" ht="15.75" hidden="1" customHeight="1">
      <c r="A1301" s="21">
        <v>291413</v>
      </c>
      <c r="B1301" s="21" t="s">
        <v>1159</v>
      </c>
      <c r="C1301" s="21" t="s">
        <v>5439</v>
      </c>
      <c r="D1301" s="21" t="s">
        <v>11</v>
      </c>
      <c r="E1301" s="21" t="s">
        <v>11</v>
      </c>
    </row>
    <row r="1302" spans="1:6" s="21" customFormat="1" ht="15.75" hidden="1" customHeight="1">
      <c r="A1302" s="21">
        <v>291419</v>
      </c>
      <c r="B1302" s="21" t="s">
        <v>1160</v>
      </c>
      <c r="C1302" s="21" t="s">
        <v>5439</v>
      </c>
      <c r="D1302" s="21" t="s">
        <v>11</v>
      </c>
      <c r="E1302" s="21" t="s">
        <v>11</v>
      </c>
    </row>
    <row r="1303" spans="1:6" s="21" customFormat="1" ht="15.75" hidden="1" customHeight="1">
      <c r="A1303" s="21">
        <v>291421</v>
      </c>
      <c r="B1303" s="21" t="s">
        <v>1161</v>
      </c>
      <c r="C1303" s="21" t="s">
        <v>5439</v>
      </c>
      <c r="D1303" s="21" t="s">
        <v>11</v>
      </c>
      <c r="E1303" s="21" t="s">
        <v>11</v>
      </c>
    </row>
    <row r="1304" spans="1:6" s="21" customFormat="1" ht="15.75" hidden="1" customHeight="1">
      <c r="A1304" s="21">
        <v>291422</v>
      </c>
      <c r="B1304" s="21" t="s">
        <v>1162</v>
      </c>
      <c r="C1304" s="21" t="s">
        <v>5439</v>
      </c>
      <c r="D1304" s="21" t="s">
        <v>11</v>
      </c>
      <c r="E1304" s="21" t="s">
        <v>11</v>
      </c>
    </row>
    <row r="1305" spans="1:6" s="21" customFormat="1" ht="15.75" hidden="1" customHeight="1">
      <c r="A1305" s="21">
        <v>291423</v>
      </c>
      <c r="B1305" s="21" t="s">
        <v>1163</v>
      </c>
      <c r="C1305" s="21" t="s">
        <v>5439</v>
      </c>
      <c r="D1305" s="21" t="s">
        <v>11</v>
      </c>
      <c r="E1305" s="21" t="s">
        <v>11</v>
      </c>
    </row>
    <row r="1306" spans="1:6" ht="15.75" hidden="1" customHeight="1">
      <c r="A1306" s="21">
        <v>291429</v>
      </c>
      <c r="B1306" s="21" t="s">
        <v>1164</v>
      </c>
      <c r="C1306" s="21" t="s">
        <v>5439</v>
      </c>
      <c r="D1306" s="21" t="s">
        <v>11</v>
      </c>
      <c r="E1306" s="21" t="s">
        <v>11</v>
      </c>
      <c r="F1306" s="21"/>
    </row>
    <row r="1307" spans="1:6" ht="15.75" hidden="1" customHeight="1">
      <c r="A1307" s="21">
        <v>291431</v>
      </c>
      <c r="B1307" s="21" t="s">
        <v>1165</v>
      </c>
      <c r="C1307" s="21" t="s">
        <v>5439</v>
      </c>
      <c r="D1307" s="21" t="s">
        <v>11</v>
      </c>
      <c r="E1307" s="21" t="s">
        <v>11</v>
      </c>
      <c r="F1307" s="21"/>
    </row>
    <row r="1308" spans="1:6" ht="15.75" hidden="1" customHeight="1">
      <c r="A1308" s="21">
        <v>291439</v>
      </c>
      <c r="B1308" s="21" t="s">
        <v>1166</v>
      </c>
      <c r="C1308" s="21" t="s">
        <v>5439</v>
      </c>
      <c r="D1308" s="21" t="s">
        <v>11</v>
      </c>
      <c r="E1308" s="21" t="s">
        <v>11</v>
      </c>
      <c r="F1308" s="21"/>
    </row>
    <row r="1309" spans="1:6" ht="15.75" hidden="1" customHeight="1">
      <c r="A1309" s="21">
        <v>291440</v>
      </c>
      <c r="B1309" s="21" t="s">
        <v>1167</v>
      </c>
      <c r="C1309" s="21" t="s">
        <v>1167</v>
      </c>
      <c r="D1309" s="21" t="s">
        <v>11</v>
      </c>
      <c r="E1309" s="21" t="s">
        <v>11</v>
      </c>
      <c r="F1309" s="21"/>
    </row>
    <row r="1310" spans="1:6" ht="15.75" hidden="1" customHeight="1">
      <c r="A1310" s="21">
        <v>291450</v>
      </c>
      <c r="B1310" s="21" t="s">
        <v>1168</v>
      </c>
      <c r="C1310" s="21" t="s">
        <v>1168</v>
      </c>
      <c r="D1310" s="21" t="s">
        <v>11</v>
      </c>
      <c r="E1310" s="21" t="s">
        <v>11</v>
      </c>
      <c r="F1310" s="21"/>
    </row>
    <row r="1311" spans="1:6" s="21" customFormat="1" ht="15.75" hidden="1" customHeight="1">
      <c r="A1311" s="21">
        <v>291461</v>
      </c>
      <c r="B1311" s="21" t="s">
        <v>1169</v>
      </c>
      <c r="C1311" s="21" t="s">
        <v>5440</v>
      </c>
      <c r="D1311" s="21" t="s">
        <v>11</v>
      </c>
      <c r="E1311" s="21" t="s">
        <v>11</v>
      </c>
    </row>
    <row r="1312" spans="1:6" ht="12.75" hidden="1" customHeight="1">
      <c r="A1312" s="21">
        <v>291469</v>
      </c>
      <c r="B1312" s="21" t="s">
        <v>1170</v>
      </c>
      <c r="C1312" s="21" t="s">
        <v>5440</v>
      </c>
      <c r="D1312" s="21" t="s">
        <v>11</v>
      </c>
      <c r="E1312" s="21" t="s">
        <v>11</v>
      </c>
      <c r="F1312" s="21"/>
    </row>
    <row r="1313" spans="1:6" s="21" customFormat="1" ht="15.75" hidden="1" customHeight="1">
      <c r="A1313" s="21">
        <v>291470</v>
      </c>
      <c r="B1313" s="21" t="s">
        <v>1171</v>
      </c>
      <c r="C1313" s="21" t="s">
        <v>5441</v>
      </c>
      <c r="D1313" s="21" t="s">
        <v>11</v>
      </c>
      <c r="E1313" s="21" t="s">
        <v>11</v>
      </c>
    </row>
    <row r="1314" spans="1:6" s="21" customFormat="1" ht="15.75" hidden="1" customHeight="1">
      <c r="A1314" s="21">
        <v>291511</v>
      </c>
      <c r="B1314" s="21" t="s">
        <v>1172</v>
      </c>
      <c r="C1314" s="21" t="s">
        <v>5097</v>
      </c>
      <c r="D1314" s="21" t="s">
        <v>11</v>
      </c>
      <c r="E1314" s="21" t="s">
        <v>11</v>
      </c>
    </row>
    <row r="1315" spans="1:6" s="21" customFormat="1" ht="15.75" hidden="1" customHeight="1">
      <c r="A1315" s="21">
        <v>291512</v>
      </c>
      <c r="B1315" s="21" t="s">
        <v>1173</v>
      </c>
      <c r="C1315" s="21" t="s">
        <v>5097</v>
      </c>
      <c r="D1315" s="21" t="s">
        <v>11</v>
      </c>
      <c r="E1315" s="21" t="s">
        <v>11</v>
      </c>
    </row>
    <row r="1316" spans="1:6" s="21" customFormat="1" ht="15.75" hidden="1" customHeight="1">
      <c r="A1316" s="21">
        <v>291513</v>
      </c>
      <c r="B1316" s="21" t="s">
        <v>1174</v>
      </c>
      <c r="C1316" s="21" t="s">
        <v>5097</v>
      </c>
      <c r="D1316" s="21" t="s">
        <v>11</v>
      </c>
      <c r="E1316" s="21" t="s">
        <v>11</v>
      </c>
    </row>
    <row r="1317" spans="1:6" s="21" customFormat="1" ht="15.75" hidden="1" customHeight="1">
      <c r="A1317" s="21">
        <v>291521</v>
      </c>
      <c r="B1317" s="21" t="s">
        <v>1175</v>
      </c>
      <c r="C1317" s="21" t="s">
        <v>5097</v>
      </c>
      <c r="D1317" s="21" t="s">
        <v>11</v>
      </c>
      <c r="E1317" s="21" t="s">
        <v>11</v>
      </c>
    </row>
    <row r="1318" spans="1:6" s="21" customFormat="1" ht="15.75" hidden="1" customHeight="1">
      <c r="A1318" s="21">
        <v>291524</v>
      </c>
      <c r="B1318" s="21" t="s">
        <v>1176</v>
      </c>
      <c r="C1318" s="21" t="s">
        <v>5097</v>
      </c>
      <c r="D1318" s="21" t="s">
        <v>11</v>
      </c>
      <c r="E1318" s="21" t="s">
        <v>11</v>
      </c>
    </row>
    <row r="1319" spans="1:6" s="21" customFormat="1" ht="15.75" hidden="1" customHeight="1">
      <c r="A1319" s="21">
        <v>291529</v>
      </c>
      <c r="B1319" s="21" t="s">
        <v>1177</v>
      </c>
      <c r="C1319" s="21" t="s">
        <v>5097</v>
      </c>
      <c r="D1319" s="21" t="s">
        <v>11</v>
      </c>
      <c r="E1319" s="21" t="s">
        <v>11</v>
      </c>
    </row>
    <row r="1320" spans="1:6" ht="15.75" hidden="1" customHeight="1">
      <c r="A1320" s="21">
        <v>291531</v>
      </c>
      <c r="B1320" s="21" t="s">
        <v>1178</v>
      </c>
      <c r="C1320" s="21" t="s">
        <v>5097</v>
      </c>
      <c r="D1320" s="21" t="s">
        <v>11</v>
      </c>
      <c r="E1320" s="21" t="s">
        <v>11</v>
      </c>
      <c r="F1320" s="21"/>
    </row>
    <row r="1321" spans="1:6" s="21" customFormat="1" ht="15.75" hidden="1" customHeight="1">
      <c r="A1321" s="21">
        <v>291532</v>
      </c>
      <c r="B1321" s="21" t="s">
        <v>1179</v>
      </c>
      <c r="C1321" s="21" t="s">
        <v>5097</v>
      </c>
      <c r="D1321" s="21" t="s">
        <v>11</v>
      </c>
      <c r="E1321" s="21" t="s">
        <v>11</v>
      </c>
    </row>
    <row r="1322" spans="1:6" s="21" customFormat="1" ht="15.75" hidden="1" customHeight="1">
      <c r="A1322" s="21">
        <v>291533</v>
      </c>
      <c r="B1322" s="21" t="s">
        <v>1180</v>
      </c>
      <c r="C1322" s="21" t="s">
        <v>5097</v>
      </c>
      <c r="D1322" s="21" t="s">
        <v>11</v>
      </c>
      <c r="E1322" s="21" t="s">
        <v>11</v>
      </c>
    </row>
    <row r="1323" spans="1:6" ht="15.75" hidden="1" customHeight="1">
      <c r="A1323" s="21">
        <v>291536</v>
      </c>
      <c r="B1323" s="21" t="s">
        <v>1181</v>
      </c>
      <c r="C1323" s="21" t="s">
        <v>5097</v>
      </c>
      <c r="D1323" s="21" t="s">
        <v>11</v>
      </c>
      <c r="E1323" s="21" t="s">
        <v>11</v>
      </c>
      <c r="F1323" s="21"/>
    </row>
    <row r="1324" spans="1:6" ht="15.75" hidden="1" customHeight="1">
      <c r="A1324" s="21">
        <v>291539</v>
      </c>
      <c r="B1324" s="21" t="s">
        <v>1182</v>
      </c>
      <c r="C1324" s="21" t="s">
        <v>5097</v>
      </c>
      <c r="D1324" s="21" t="s">
        <v>11</v>
      </c>
      <c r="E1324" s="21" t="s">
        <v>11</v>
      </c>
      <c r="F1324" s="21"/>
    </row>
    <row r="1325" spans="1:6" s="21" customFormat="1" ht="15.75" hidden="1" customHeight="1">
      <c r="A1325" s="21">
        <v>291540</v>
      </c>
      <c r="B1325" s="21" t="s">
        <v>1183</v>
      </c>
      <c r="C1325" s="21" t="s">
        <v>5097</v>
      </c>
      <c r="D1325" s="21" t="s">
        <v>11</v>
      </c>
      <c r="E1325" s="21" t="s">
        <v>11</v>
      </c>
    </row>
    <row r="1326" spans="1:6" ht="15.75" hidden="1" customHeight="1">
      <c r="A1326" s="21">
        <v>291550</v>
      </c>
      <c r="B1326" s="21" t="s">
        <v>1184</v>
      </c>
      <c r="C1326" s="21" t="s">
        <v>5097</v>
      </c>
      <c r="D1326" s="21" t="s">
        <v>11</v>
      </c>
      <c r="E1326" s="21" t="s">
        <v>11</v>
      </c>
      <c r="F1326" s="21"/>
    </row>
    <row r="1327" spans="1:6" ht="15.75" hidden="1" customHeight="1">
      <c r="A1327" s="21">
        <v>291560</v>
      </c>
      <c r="B1327" s="21" t="s">
        <v>1185</v>
      </c>
      <c r="C1327" s="21" t="s">
        <v>5097</v>
      </c>
      <c r="D1327" s="21" t="s">
        <v>11</v>
      </c>
      <c r="E1327" s="21" t="s">
        <v>11</v>
      </c>
      <c r="F1327" s="21"/>
    </row>
    <row r="1328" spans="1:6" ht="15.75" hidden="1" customHeight="1">
      <c r="A1328" s="21">
        <v>291570</v>
      </c>
      <c r="B1328" s="21" t="s">
        <v>1186</v>
      </c>
      <c r="C1328" s="21" t="s">
        <v>5097</v>
      </c>
      <c r="D1328" s="21" t="s">
        <v>11</v>
      </c>
      <c r="E1328" s="21" t="s">
        <v>11</v>
      </c>
      <c r="F1328" s="21"/>
    </row>
    <row r="1329" spans="1:6" ht="15.75" hidden="1" customHeight="1">
      <c r="A1329" s="21">
        <v>291590</v>
      </c>
      <c r="B1329" s="21" t="s">
        <v>1187</v>
      </c>
      <c r="C1329" s="21" t="s">
        <v>5097</v>
      </c>
      <c r="D1329" s="21" t="s">
        <v>11</v>
      </c>
      <c r="E1329" s="21" t="s">
        <v>11</v>
      </c>
      <c r="F1329" s="21"/>
    </row>
    <row r="1330" spans="1:6" ht="15.75" hidden="1" customHeight="1">
      <c r="A1330" s="21">
        <v>291611</v>
      </c>
      <c r="B1330" s="21" t="s">
        <v>1188</v>
      </c>
      <c r="C1330" s="21" t="s">
        <v>5097</v>
      </c>
      <c r="D1330" s="21" t="s">
        <v>11</v>
      </c>
      <c r="E1330" s="21" t="s">
        <v>11</v>
      </c>
      <c r="F1330" s="21"/>
    </row>
    <row r="1331" spans="1:6" ht="15.75" hidden="1" customHeight="1">
      <c r="A1331" s="21">
        <v>291612</v>
      </c>
      <c r="B1331" s="21" t="s">
        <v>1189</v>
      </c>
      <c r="C1331" s="21" t="s">
        <v>5097</v>
      </c>
      <c r="D1331" s="21" t="s">
        <v>11</v>
      </c>
      <c r="E1331" s="21" t="s">
        <v>11</v>
      </c>
      <c r="F1331" s="21"/>
    </row>
    <row r="1332" spans="1:6" ht="15.75" hidden="1" customHeight="1">
      <c r="A1332" s="21">
        <v>291613</v>
      </c>
      <c r="B1332" s="21" t="s">
        <v>1190</v>
      </c>
      <c r="C1332" s="21" t="s">
        <v>5097</v>
      </c>
      <c r="D1332" s="21" t="s">
        <v>11</v>
      </c>
      <c r="E1332" s="21" t="s">
        <v>11</v>
      </c>
      <c r="F1332" s="21"/>
    </row>
    <row r="1333" spans="1:6" ht="15.75" hidden="1" customHeight="1">
      <c r="A1333" s="21">
        <v>291614</v>
      </c>
      <c r="B1333" s="21" t="s">
        <v>1191</v>
      </c>
      <c r="C1333" s="21" t="s">
        <v>5097</v>
      </c>
      <c r="D1333" s="21" t="s">
        <v>11</v>
      </c>
      <c r="E1333" s="21" t="s">
        <v>11</v>
      </c>
      <c r="F1333" s="21"/>
    </row>
    <row r="1334" spans="1:6" ht="15.75" hidden="1" customHeight="1">
      <c r="A1334" s="21">
        <v>291615</v>
      </c>
      <c r="B1334" s="21" t="s">
        <v>1192</v>
      </c>
      <c r="C1334" s="21" t="s">
        <v>5097</v>
      </c>
      <c r="D1334" s="21" t="s">
        <v>11</v>
      </c>
      <c r="E1334" s="21" t="s">
        <v>11</v>
      </c>
      <c r="F1334" s="21"/>
    </row>
    <row r="1335" spans="1:6" ht="15.75" hidden="1" customHeight="1">
      <c r="A1335" s="21">
        <v>291619</v>
      </c>
      <c r="B1335" s="21" t="s">
        <v>1193</v>
      </c>
      <c r="C1335" s="21" t="s">
        <v>5097</v>
      </c>
      <c r="D1335" s="21" t="s">
        <v>11</v>
      </c>
      <c r="E1335" s="21" t="s">
        <v>11</v>
      </c>
      <c r="F1335" s="21"/>
    </row>
    <row r="1336" spans="1:6" ht="15.75" hidden="1" customHeight="1">
      <c r="A1336" s="21">
        <v>291620</v>
      </c>
      <c r="B1336" s="21" t="s">
        <v>1194</v>
      </c>
      <c r="C1336" s="21" t="s">
        <v>5097</v>
      </c>
      <c r="D1336" s="21" t="s">
        <v>11</v>
      </c>
      <c r="E1336" s="21" t="s">
        <v>11</v>
      </c>
      <c r="F1336" s="21"/>
    </row>
    <row r="1337" spans="1:6" ht="15.75" hidden="1" customHeight="1">
      <c r="A1337" s="21">
        <v>291631</v>
      </c>
      <c r="B1337" s="21" t="s">
        <v>1195</v>
      </c>
      <c r="C1337" s="21" t="s">
        <v>5097</v>
      </c>
      <c r="D1337" s="21" t="s">
        <v>11</v>
      </c>
      <c r="E1337" s="21" t="s">
        <v>11</v>
      </c>
      <c r="F1337" s="21"/>
    </row>
    <row r="1338" spans="1:6" ht="15.75" hidden="1" customHeight="1">
      <c r="A1338" s="21">
        <v>291632</v>
      </c>
      <c r="B1338" s="21" t="s">
        <v>1196</v>
      </c>
      <c r="C1338" s="21" t="s">
        <v>5097</v>
      </c>
      <c r="D1338" s="21" t="s">
        <v>11</v>
      </c>
      <c r="E1338" s="21" t="s">
        <v>11</v>
      </c>
      <c r="F1338" s="21"/>
    </row>
    <row r="1339" spans="1:6" ht="15.75" hidden="1" customHeight="1">
      <c r="A1339" s="21">
        <v>291634</v>
      </c>
      <c r="B1339" s="21" t="s">
        <v>1197</v>
      </c>
      <c r="C1339" s="21" t="s">
        <v>5097</v>
      </c>
      <c r="D1339" s="21" t="s">
        <v>11</v>
      </c>
      <c r="E1339" s="21" t="s">
        <v>11</v>
      </c>
      <c r="F1339" s="21"/>
    </row>
    <row r="1340" spans="1:6" ht="15.75" hidden="1" customHeight="1">
      <c r="A1340" s="21">
        <v>291635</v>
      </c>
      <c r="B1340" s="21" t="s">
        <v>1198</v>
      </c>
      <c r="C1340" s="21" t="s">
        <v>5097</v>
      </c>
      <c r="D1340" s="21" t="s">
        <v>11</v>
      </c>
      <c r="E1340" s="21" t="s">
        <v>11</v>
      </c>
      <c r="F1340" s="21"/>
    </row>
    <row r="1341" spans="1:6" ht="15.75" hidden="1" customHeight="1">
      <c r="A1341" s="21">
        <v>291636</v>
      </c>
      <c r="B1341" s="21" t="s">
        <v>1199</v>
      </c>
      <c r="C1341" s="21" t="s">
        <v>5097</v>
      </c>
      <c r="D1341" s="21" t="s">
        <v>11</v>
      </c>
      <c r="E1341" s="21" t="s">
        <v>11</v>
      </c>
      <c r="F1341" s="21"/>
    </row>
    <row r="1342" spans="1:6" ht="15.75" hidden="1" customHeight="1">
      <c r="A1342" s="21">
        <v>291639</v>
      </c>
      <c r="B1342" s="21" t="s">
        <v>1200</v>
      </c>
      <c r="C1342" s="21" t="s">
        <v>5097</v>
      </c>
      <c r="D1342" s="21" t="s">
        <v>11</v>
      </c>
      <c r="E1342" s="21" t="s">
        <v>11</v>
      </c>
      <c r="F1342" s="21"/>
    </row>
    <row r="1343" spans="1:6" ht="15.75" hidden="1" customHeight="1">
      <c r="A1343" s="21">
        <v>291711</v>
      </c>
      <c r="B1343" s="21" t="s">
        <v>1201</v>
      </c>
      <c r="C1343" s="21" t="s">
        <v>5097</v>
      </c>
      <c r="D1343" s="21" t="s">
        <v>11</v>
      </c>
      <c r="E1343" s="21" t="s">
        <v>11</v>
      </c>
      <c r="F1343" s="21"/>
    </row>
    <row r="1344" spans="1:6" ht="15.75" hidden="1" customHeight="1">
      <c r="A1344" s="21">
        <v>291712</v>
      </c>
      <c r="B1344" s="21" t="s">
        <v>1202</v>
      </c>
      <c r="C1344" s="21" t="s">
        <v>5097</v>
      </c>
      <c r="D1344" s="21" t="s">
        <v>11</v>
      </c>
      <c r="E1344" s="21" t="s">
        <v>11</v>
      </c>
      <c r="F1344" s="21"/>
    </row>
    <row r="1345" spans="1:6" ht="15.75" hidden="1" customHeight="1">
      <c r="A1345" s="21">
        <v>291713</v>
      </c>
      <c r="B1345" s="21" t="s">
        <v>1203</v>
      </c>
      <c r="C1345" s="21" t="s">
        <v>5097</v>
      </c>
      <c r="D1345" s="21" t="s">
        <v>11</v>
      </c>
      <c r="E1345" s="21" t="s">
        <v>11</v>
      </c>
      <c r="F1345" s="21"/>
    </row>
    <row r="1346" spans="1:6" ht="15.75" hidden="1" customHeight="1">
      <c r="A1346" s="21">
        <v>291714</v>
      </c>
      <c r="B1346" s="21" t="s">
        <v>1204</v>
      </c>
      <c r="C1346" s="21" t="s">
        <v>5097</v>
      </c>
      <c r="D1346" s="21" t="s">
        <v>11</v>
      </c>
      <c r="E1346" s="21" t="s">
        <v>11</v>
      </c>
      <c r="F1346" s="21"/>
    </row>
    <row r="1347" spans="1:6" ht="15.75" hidden="1" customHeight="1">
      <c r="A1347" s="21">
        <v>291719</v>
      </c>
      <c r="B1347" s="21" t="s">
        <v>1205</v>
      </c>
      <c r="C1347" s="21" t="s">
        <v>5097</v>
      </c>
      <c r="D1347" s="21" t="s">
        <v>11</v>
      </c>
      <c r="E1347" s="21" t="s">
        <v>11</v>
      </c>
      <c r="F1347" s="21"/>
    </row>
    <row r="1348" spans="1:6" ht="15.75" hidden="1" customHeight="1">
      <c r="A1348" s="21">
        <v>291720</v>
      </c>
      <c r="B1348" s="21" t="s">
        <v>1206</v>
      </c>
      <c r="C1348" s="21" t="s">
        <v>5097</v>
      </c>
      <c r="D1348" s="21" t="s">
        <v>11</v>
      </c>
      <c r="E1348" s="21" t="s">
        <v>11</v>
      </c>
      <c r="F1348" s="21"/>
    </row>
    <row r="1349" spans="1:6" ht="15.75" hidden="1" customHeight="1">
      <c r="A1349" s="21">
        <v>291732</v>
      </c>
      <c r="B1349" s="21" t="s">
        <v>1207</v>
      </c>
      <c r="C1349" s="21" t="s">
        <v>5097</v>
      </c>
      <c r="D1349" s="21" t="s">
        <v>11</v>
      </c>
      <c r="E1349" s="21" t="s">
        <v>11</v>
      </c>
      <c r="F1349" s="21"/>
    </row>
    <row r="1350" spans="1:6" ht="15.75" hidden="1" customHeight="1">
      <c r="A1350" s="21">
        <v>291733</v>
      </c>
      <c r="B1350" s="21" t="s">
        <v>1208</v>
      </c>
      <c r="C1350" s="21" t="s">
        <v>5097</v>
      </c>
      <c r="D1350" s="21" t="s">
        <v>11</v>
      </c>
      <c r="E1350" s="21" t="s">
        <v>11</v>
      </c>
      <c r="F1350" s="21"/>
    </row>
    <row r="1351" spans="1:6" ht="15.75" hidden="1" customHeight="1">
      <c r="A1351" s="21">
        <v>291734</v>
      </c>
      <c r="B1351" s="21" t="s">
        <v>1209</v>
      </c>
      <c r="C1351" s="21" t="s">
        <v>5097</v>
      </c>
      <c r="D1351" s="21" t="s">
        <v>11</v>
      </c>
      <c r="E1351" s="21" t="s">
        <v>11</v>
      </c>
      <c r="F1351" s="21"/>
    </row>
    <row r="1352" spans="1:6" ht="15.75" hidden="1" customHeight="1">
      <c r="A1352" s="21">
        <v>291735</v>
      </c>
      <c r="B1352" s="21" t="s">
        <v>1210</v>
      </c>
      <c r="C1352" s="21" t="s">
        <v>5097</v>
      </c>
      <c r="D1352" s="21" t="s">
        <v>11</v>
      </c>
      <c r="E1352" s="21" t="s">
        <v>11</v>
      </c>
      <c r="F1352" s="21"/>
    </row>
    <row r="1353" spans="1:6" ht="15.75" hidden="1" customHeight="1">
      <c r="A1353" s="21">
        <v>291736</v>
      </c>
      <c r="B1353" s="21" t="s">
        <v>1211</v>
      </c>
      <c r="C1353" s="21" t="s">
        <v>5097</v>
      </c>
      <c r="D1353" s="21" t="s">
        <v>11</v>
      </c>
      <c r="E1353" s="21" t="s">
        <v>11</v>
      </c>
      <c r="F1353" s="21"/>
    </row>
    <row r="1354" spans="1:6" ht="15.75" hidden="1" customHeight="1">
      <c r="A1354" s="21">
        <v>291737</v>
      </c>
      <c r="B1354" s="21" t="s">
        <v>1212</v>
      </c>
      <c r="C1354" s="21" t="s">
        <v>5097</v>
      </c>
      <c r="D1354" s="21" t="s">
        <v>11</v>
      </c>
      <c r="E1354" s="21" t="s">
        <v>11</v>
      </c>
      <c r="F1354" s="21"/>
    </row>
    <row r="1355" spans="1:6" ht="15.75" hidden="1" customHeight="1">
      <c r="A1355" s="21">
        <v>291739</v>
      </c>
      <c r="B1355" s="21" t="s">
        <v>1213</v>
      </c>
      <c r="C1355" s="21" t="s">
        <v>5097</v>
      </c>
      <c r="D1355" s="21" t="s">
        <v>11</v>
      </c>
      <c r="E1355" s="21" t="s">
        <v>11</v>
      </c>
      <c r="F1355" s="21"/>
    </row>
    <row r="1356" spans="1:6" ht="15.75" hidden="1" customHeight="1">
      <c r="A1356" s="21">
        <v>291811</v>
      </c>
      <c r="B1356" s="21" t="s">
        <v>1214</v>
      </c>
      <c r="C1356" s="21" t="s">
        <v>5097</v>
      </c>
      <c r="D1356" s="21" t="s">
        <v>11</v>
      </c>
      <c r="E1356" s="21" t="s">
        <v>11</v>
      </c>
      <c r="F1356" s="21"/>
    </row>
    <row r="1357" spans="1:6" ht="15.75" hidden="1" customHeight="1">
      <c r="A1357" s="21">
        <v>291812</v>
      </c>
      <c r="B1357" s="21" t="s">
        <v>1215</v>
      </c>
      <c r="C1357" s="21" t="s">
        <v>5097</v>
      </c>
      <c r="D1357" s="21" t="s">
        <v>11</v>
      </c>
      <c r="E1357" s="21" t="s">
        <v>11</v>
      </c>
      <c r="F1357" s="21"/>
    </row>
    <row r="1358" spans="1:6" ht="15.75" hidden="1" customHeight="1">
      <c r="A1358" s="21">
        <v>291813</v>
      </c>
      <c r="B1358" s="21" t="s">
        <v>1216</v>
      </c>
      <c r="C1358" s="21" t="s">
        <v>5097</v>
      </c>
      <c r="D1358" s="21" t="s">
        <v>11</v>
      </c>
      <c r="E1358" s="21" t="s">
        <v>11</v>
      </c>
      <c r="F1358" s="21"/>
    </row>
    <row r="1359" spans="1:6" ht="15.75" hidden="1" customHeight="1">
      <c r="A1359" s="21">
        <v>291814</v>
      </c>
      <c r="B1359" s="21" t="s">
        <v>1217</v>
      </c>
      <c r="C1359" s="21" t="s">
        <v>5097</v>
      </c>
      <c r="D1359" s="21" t="s">
        <v>11</v>
      </c>
      <c r="E1359" s="21" t="s">
        <v>11</v>
      </c>
      <c r="F1359" s="21"/>
    </row>
    <row r="1360" spans="1:6" ht="15.75" hidden="1" customHeight="1">
      <c r="A1360" s="21">
        <v>291815</v>
      </c>
      <c r="B1360" s="21" t="s">
        <v>1218</v>
      </c>
      <c r="C1360" s="21" t="s">
        <v>5097</v>
      </c>
      <c r="D1360" s="21" t="s">
        <v>11</v>
      </c>
      <c r="E1360" s="21" t="s">
        <v>11</v>
      </c>
      <c r="F1360" s="21"/>
    </row>
    <row r="1361" spans="1:11" ht="15.75" hidden="1" customHeight="1">
      <c r="A1361" s="21">
        <v>291816</v>
      </c>
      <c r="B1361" s="21" t="s">
        <v>1219</v>
      </c>
      <c r="C1361" s="21" t="s">
        <v>5097</v>
      </c>
      <c r="D1361" s="21" t="s">
        <v>11</v>
      </c>
      <c r="E1361" s="21" t="s">
        <v>11</v>
      </c>
      <c r="F1361" s="21"/>
    </row>
    <row r="1362" spans="1:11" ht="15.75" hidden="1" customHeight="1">
      <c r="A1362" s="21">
        <v>291818</v>
      </c>
      <c r="B1362" s="21" t="s">
        <v>1220</v>
      </c>
      <c r="C1362" s="21" t="s">
        <v>5097</v>
      </c>
      <c r="D1362" s="21" t="s">
        <v>11</v>
      </c>
      <c r="E1362" s="21" t="s">
        <v>11</v>
      </c>
      <c r="F1362" s="21"/>
    </row>
    <row r="1363" spans="1:11" ht="15.75" hidden="1" customHeight="1">
      <c r="A1363" s="21">
        <v>291819</v>
      </c>
      <c r="B1363" s="21" t="s">
        <v>1221</v>
      </c>
      <c r="C1363" s="21" t="s">
        <v>5097</v>
      </c>
      <c r="D1363" s="21" t="s">
        <v>11</v>
      </c>
      <c r="E1363" s="21" t="s">
        <v>11</v>
      </c>
      <c r="F1363" s="21"/>
    </row>
    <row r="1364" spans="1:11" ht="15.75" hidden="1" customHeight="1">
      <c r="A1364" s="23">
        <v>291829</v>
      </c>
      <c r="B1364" s="23" t="s">
        <v>1227</v>
      </c>
      <c r="C1364" s="21" t="s">
        <v>5097</v>
      </c>
      <c r="D1364" s="23" t="s">
        <v>11</v>
      </c>
      <c r="E1364" s="21" t="s">
        <v>11</v>
      </c>
      <c r="F1364" s="21"/>
      <c r="G1364" s="24"/>
      <c r="H1364" s="24"/>
      <c r="I1364" s="24"/>
      <c r="J1364" s="24"/>
      <c r="K1364" s="24"/>
    </row>
    <row r="1365" spans="1:11" ht="15.75" hidden="1" customHeight="1">
      <c r="A1365" s="21">
        <v>291830</v>
      </c>
      <c r="B1365" s="21" t="s">
        <v>1229</v>
      </c>
      <c r="C1365" s="21" t="s">
        <v>5097</v>
      </c>
      <c r="D1365" s="21" t="s">
        <v>11</v>
      </c>
      <c r="E1365" s="21" t="s">
        <v>11</v>
      </c>
      <c r="F1365" s="21"/>
    </row>
    <row r="1366" spans="1:11" ht="15.75" hidden="1" customHeight="1">
      <c r="A1366" s="21">
        <v>291891</v>
      </c>
      <c r="B1366" s="21" t="s">
        <v>1230</v>
      </c>
      <c r="C1366" s="21" t="s">
        <v>5097</v>
      </c>
      <c r="D1366" s="21" t="s">
        <v>11</v>
      </c>
      <c r="E1366" s="21" t="s">
        <v>11</v>
      </c>
      <c r="F1366" s="21"/>
    </row>
    <row r="1367" spans="1:11" ht="15.75" hidden="1" customHeight="1">
      <c r="A1367" s="21">
        <v>291899</v>
      </c>
      <c r="B1367" s="21" t="s">
        <v>1231</v>
      </c>
      <c r="C1367" s="21" t="s">
        <v>5097</v>
      </c>
      <c r="D1367" s="21" t="s">
        <v>11</v>
      </c>
      <c r="E1367" s="21" t="s">
        <v>11</v>
      </c>
      <c r="F1367" s="21"/>
    </row>
    <row r="1368" spans="1:11" ht="15.75" hidden="1" customHeight="1">
      <c r="A1368" s="21">
        <v>291910</v>
      </c>
      <c r="B1368" s="21" t="s">
        <v>1232</v>
      </c>
      <c r="C1368" s="21" t="s">
        <v>5442</v>
      </c>
      <c r="D1368" s="21" t="s">
        <v>11</v>
      </c>
      <c r="E1368" s="21" t="s">
        <v>11</v>
      </c>
      <c r="F1368" s="21"/>
    </row>
    <row r="1369" spans="1:11" ht="15.75" hidden="1" customHeight="1">
      <c r="A1369" s="21">
        <v>291990</v>
      </c>
      <c r="B1369" s="21" t="s">
        <v>1233</v>
      </c>
      <c r="C1369" s="21" t="s">
        <v>5442</v>
      </c>
      <c r="D1369" s="21" t="s">
        <v>11</v>
      </c>
      <c r="E1369" s="21" t="s">
        <v>11</v>
      </c>
      <c r="F1369" s="21"/>
    </row>
    <row r="1370" spans="1:11" ht="15.75" hidden="1" customHeight="1">
      <c r="A1370" s="21">
        <v>292011</v>
      </c>
      <c r="B1370" s="21" t="s">
        <v>1234</v>
      </c>
      <c r="C1370" s="21" t="s">
        <v>5442</v>
      </c>
      <c r="D1370" s="21" t="s">
        <v>11</v>
      </c>
      <c r="E1370" s="21" t="s">
        <v>11</v>
      </c>
      <c r="F1370" s="21"/>
    </row>
    <row r="1371" spans="1:11" s="21" customFormat="1" ht="15.75" hidden="1" customHeight="1">
      <c r="A1371" s="21">
        <v>292019</v>
      </c>
      <c r="B1371" s="21" t="s">
        <v>1235</v>
      </c>
      <c r="C1371" s="21" t="s">
        <v>5442</v>
      </c>
      <c r="D1371" s="21" t="s">
        <v>11</v>
      </c>
      <c r="E1371" s="21" t="s">
        <v>11</v>
      </c>
    </row>
    <row r="1372" spans="1:11" ht="15.75" hidden="1" customHeight="1">
      <c r="A1372" s="21">
        <v>292090</v>
      </c>
      <c r="B1372" s="21" t="s">
        <v>1236</v>
      </c>
      <c r="C1372" s="21" t="s">
        <v>5442</v>
      </c>
      <c r="D1372" s="21" t="s">
        <v>11</v>
      </c>
      <c r="E1372" s="21" t="s">
        <v>11</v>
      </c>
      <c r="F1372" s="21"/>
    </row>
    <row r="1373" spans="1:11" ht="15.75" hidden="1" customHeight="1">
      <c r="A1373" s="21">
        <v>292111</v>
      </c>
      <c r="B1373" s="21" t="s">
        <v>1237</v>
      </c>
      <c r="C1373" s="21" t="s">
        <v>5443</v>
      </c>
      <c r="D1373" s="21" t="s">
        <v>11</v>
      </c>
      <c r="E1373" s="21" t="s">
        <v>11</v>
      </c>
      <c r="F1373" s="21"/>
    </row>
    <row r="1374" spans="1:11" ht="15.75" hidden="1" customHeight="1">
      <c r="A1374" s="21">
        <v>292119</v>
      </c>
      <c r="B1374" s="21" t="s">
        <v>1238</v>
      </c>
      <c r="C1374" s="21" t="s">
        <v>5443</v>
      </c>
      <c r="D1374" s="21" t="s">
        <v>11</v>
      </c>
      <c r="E1374" s="21" t="s">
        <v>11</v>
      </c>
      <c r="F1374" s="21"/>
    </row>
    <row r="1375" spans="1:11" ht="15.75" hidden="1" customHeight="1">
      <c r="A1375" s="21">
        <v>292121</v>
      </c>
      <c r="B1375" s="21" t="s">
        <v>1239</v>
      </c>
      <c r="C1375" s="21" t="s">
        <v>5443</v>
      </c>
      <c r="D1375" s="21" t="s">
        <v>11</v>
      </c>
      <c r="E1375" s="21" t="s">
        <v>11</v>
      </c>
      <c r="F1375" s="21"/>
    </row>
    <row r="1376" spans="1:11" ht="15.75" hidden="1" customHeight="1">
      <c r="A1376" s="23">
        <v>292122</v>
      </c>
      <c r="B1376" s="23" t="s">
        <v>1240</v>
      </c>
      <c r="C1376" s="21" t="s">
        <v>5443</v>
      </c>
      <c r="D1376" s="23" t="s">
        <v>11</v>
      </c>
      <c r="E1376" s="21" t="s">
        <v>11</v>
      </c>
      <c r="F1376" s="21"/>
      <c r="G1376" s="24"/>
      <c r="H1376" s="24"/>
      <c r="I1376" s="24"/>
      <c r="J1376" s="24"/>
      <c r="K1376" s="24"/>
    </row>
    <row r="1377" spans="1:6" ht="15.75" hidden="1" customHeight="1">
      <c r="A1377" s="21">
        <v>292129</v>
      </c>
      <c r="B1377" s="21" t="s">
        <v>1241</v>
      </c>
      <c r="C1377" s="21" t="s">
        <v>5443</v>
      </c>
      <c r="D1377" s="21" t="s">
        <v>11</v>
      </c>
      <c r="E1377" s="21" t="s">
        <v>11</v>
      </c>
      <c r="F1377" s="21"/>
    </row>
    <row r="1378" spans="1:6" ht="15.75" hidden="1" customHeight="1">
      <c r="A1378" s="21">
        <v>292130</v>
      </c>
      <c r="B1378" s="21" t="s">
        <v>1242</v>
      </c>
      <c r="C1378" s="21" t="s">
        <v>5443</v>
      </c>
      <c r="D1378" s="21" t="s">
        <v>11</v>
      </c>
      <c r="E1378" s="21" t="s">
        <v>11</v>
      </c>
      <c r="F1378" s="21"/>
    </row>
    <row r="1379" spans="1:6" ht="15.75" hidden="1" customHeight="1">
      <c r="A1379" s="21">
        <v>292141</v>
      </c>
      <c r="B1379" s="21" t="s">
        <v>1243</v>
      </c>
      <c r="C1379" s="21" t="s">
        <v>5443</v>
      </c>
      <c r="D1379" s="21" t="s">
        <v>11</v>
      </c>
      <c r="E1379" s="21" t="s">
        <v>11</v>
      </c>
      <c r="F1379" s="21"/>
    </row>
    <row r="1380" spans="1:6" ht="15.75" hidden="1" customHeight="1">
      <c r="A1380" s="21">
        <v>292142</v>
      </c>
      <c r="B1380" s="21" t="s">
        <v>1244</v>
      </c>
      <c r="C1380" s="21" t="s">
        <v>5444</v>
      </c>
      <c r="D1380" s="21" t="s">
        <v>11</v>
      </c>
      <c r="E1380" s="21" t="s">
        <v>11</v>
      </c>
      <c r="F1380" s="21"/>
    </row>
    <row r="1381" spans="1:6" ht="15.75" hidden="1" customHeight="1">
      <c r="A1381" s="21">
        <v>292143</v>
      </c>
      <c r="B1381" s="21" t="s">
        <v>1245</v>
      </c>
      <c r="C1381" s="21" t="s">
        <v>5443</v>
      </c>
      <c r="D1381" s="21" t="s">
        <v>11</v>
      </c>
      <c r="E1381" s="21" t="s">
        <v>11</v>
      </c>
      <c r="F1381" s="21"/>
    </row>
    <row r="1382" spans="1:6" ht="15.75" hidden="1" customHeight="1">
      <c r="A1382" s="21">
        <v>292144</v>
      </c>
      <c r="B1382" s="21" t="s">
        <v>1246</v>
      </c>
      <c r="C1382" s="21" t="s">
        <v>5443</v>
      </c>
      <c r="D1382" s="21" t="s">
        <v>11</v>
      </c>
      <c r="E1382" s="21" t="s">
        <v>11</v>
      </c>
      <c r="F1382" s="21"/>
    </row>
    <row r="1383" spans="1:6" ht="15.75" hidden="1" customHeight="1">
      <c r="A1383" s="21">
        <v>292145</v>
      </c>
      <c r="B1383" s="21" t="s">
        <v>1247</v>
      </c>
      <c r="C1383" s="21" t="s">
        <v>5443</v>
      </c>
      <c r="D1383" s="21" t="s">
        <v>11</v>
      </c>
      <c r="E1383" s="21" t="s">
        <v>11</v>
      </c>
      <c r="F1383" s="21"/>
    </row>
    <row r="1384" spans="1:6" ht="15.75" hidden="1" customHeight="1">
      <c r="A1384" s="21">
        <v>292146</v>
      </c>
      <c r="B1384" s="21" t="s">
        <v>1248</v>
      </c>
      <c r="C1384" s="21" t="s">
        <v>5443</v>
      </c>
      <c r="D1384" s="21" t="s">
        <v>11</v>
      </c>
      <c r="E1384" s="21" t="s">
        <v>11</v>
      </c>
      <c r="F1384" s="21"/>
    </row>
    <row r="1385" spans="1:6" ht="15.75" hidden="1" customHeight="1">
      <c r="A1385" s="21">
        <v>292149</v>
      </c>
      <c r="B1385" s="21" t="s">
        <v>1249</v>
      </c>
      <c r="C1385" s="21" t="s">
        <v>5443</v>
      </c>
      <c r="D1385" s="21" t="s">
        <v>11</v>
      </c>
      <c r="E1385" s="21" t="s">
        <v>11</v>
      </c>
      <c r="F1385" s="21"/>
    </row>
    <row r="1386" spans="1:6" ht="15.75" hidden="1" customHeight="1">
      <c r="A1386" s="21">
        <v>292151</v>
      </c>
      <c r="B1386" s="21" t="s">
        <v>1250</v>
      </c>
      <c r="C1386" s="21" t="s">
        <v>5443</v>
      </c>
      <c r="D1386" s="21" t="s">
        <v>11</v>
      </c>
      <c r="E1386" s="21" t="s">
        <v>11</v>
      </c>
      <c r="F1386" s="21"/>
    </row>
    <row r="1387" spans="1:6" ht="15.75" hidden="1" customHeight="1">
      <c r="A1387" s="21">
        <v>292159</v>
      </c>
      <c r="B1387" s="21" t="s">
        <v>1251</v>
      </c>
      <c r="C1387" s="21" t="s">
        <v>5443</v>
      </c>
      <c r="D1387" s="21" t="s">
        <v>11</v>
      </c>
      <c r="E1387" s="21" t="s">
        <v>11</v>
      </c>
      <c r="F1387" s="21"/>
    </row>
    <row r="1388" spans="1:6" ht="15.75" hidden="1" customHeight="1">
      <c r="A1388" s="21">
        <v>292211</v>
      </c>
      <c r="B1388" s="21" t="s">
        <v>1252</v>
      </c>
      <c r="C1388" s="21" t="s">
        <v>5445</v>
      </c>
      <c r="D1388" s="21" t="s">
        <v>11</v>
      </c>
      <c r="E1388" s="21" t="s">
        <v>11</v>
      </c>
      <c r="F1388" s="21"/>
    </row>
    <row r="1389" spans="1:6" ht="15.75" hidden="1" customHeight="1">
      <c r="A1389" s="21">
        <v>292212</v>
      </c>
      <c r="B1389" s="21" t="s">
        <v>1253</v>
      </c>
      <c r="C1389" s="21" t="s">
        <v>5445</v>
      </c>
      <c r="D1389" s="21" t="s">
        <v>11</v>
      </c>
      <c r="E1389" s="21" t="s">
        <v>11</v>
      </c>
      <c r="F1389" s="21"/>
    </row>
    <row r="1390" spans="1:6" ht="15.75" hidden="1" customHeight="1">
      <c r="A1390" s="21">
        <v>292213</v>
      </c>
      <c r="B1390" s="21" t="s">
        <v>1254</v>
      </c>
      <c r="C1390" s="21" t="s">
        <v>5445</v>
      </c>
      <c r="D1390" s="21" t="s">
        <v>11</v>
      </c>
      <c r="E1390" s="21" t="s">
        <v>11</v>
      </c>
      <c r="F1390" s="21"/>
    </row>
    <row r="1391" spans="1:6" ht="15.75" hidden="1" customHeight="1">
      <c r="A1391" s="21">
        <v>292214</v>
      </c>
      <c r="B1391" s="21" t="s">
        <v>1255</v>
      </c>
      <c r="C1391" s="21" t="s">
        <v>5445</v>
      </c>
      <c r="D1391" s="21" t="s">
        <v>11</v>
      </c>
      <c r="E1391" s="21" t="s">
        <v>11</v>
      </c>
      <c r="F1391" s="21"/>
    </row>
    <row r="1392" spans="1:6" ht="15.75" hidden="1" customHeight="1">
      <c r="A1392" s="21">
        <v>292219</v>
      </c>
      <c r="B1392" s="21" t="s">
        <v>1256</v>
      </c>
      <c r="C1392" s="21" t="s">
        <v>5446</v>
      </c>
      <c r="D1392" s="21" t="s">
        <v>11</v>
      </c>
      <c r="E1392" s="21" t="s">
        <v>11</v>
      </c>
      <c r="F1392" s="21"/>
    </row>
    <row r="1393" spans="1:11" ht="15.75" hidden="1" customHeight="1">
      <c r="A1393" s="21">
        <v>292221</v>
      </c>
      <c r="B1393" s="21" t="s">
        <v>1257</v>
      </c>
      <c r="C1393" s="21" t="s">
        <v>5447</v>
      </c>
      <c r="D1393" s="21" t="s">
        <v>11</v>
      </c>
      <c r="E1393" s="21" t="s">
        <v>11</v>
      </c>
      <c r="F1393" s="21"/>
    </row>
    <row r="1394" spans="1:11" ht="15.75" hidden="1" customHeight="1">
      <c r="A1394" s="21">
        <v>292229</v>
      </c>
      <c r="B1394" s="21" t="s">
        <v>1258</v>
      </c>
      <c r="C1394" s="21" t="s">
        <v>5448</v>
      </c>
      <c r="D1394" s="21" t="s">
        <v>11</v>
      </c>
      <c r="E1394" s="21" t="s">
        <v>11</v>
      </c>
      <c r="F1394" s="21"/>
    </row>
    <row r="1395" spans="1:11" ht="15.75" hidden="1" customHeight="1">
      <c r="A1395" s="23">
        <v>292231</v>
      </c>
      <c r="B1395" s="23" t="s">
        <v>1259</v>
      </c>
      <c r="C1395" s="21" t="s">
        <v>5449</v>
      </c>
      <c r="D1395" s="23" t="s">
        <v>11</v>
      </c>
      <c r="E1395" s="21" t="s">
        <v>11</v>
      </c>
      <c r="F1395" s="21"/>
      <c r="G1395" s="24"/>
      <c r="H1395" s="24"/>
      <c r="I1395" s="24"/>
      <c r="J1395" s="24"/>
      <c r="K1395" s="24"/>
    </row>
    <row r="1396" spans="1:11" ht="15.75" hidden="1" customHeight="1">
      <c r="A1396" s="23">
        <v>292239</v>
      </c>
      <c r="B1396" s="23" t="s">
        <v>1260</v>
      </c>
      <c r="C1396" s="21" t="s">
        <v>5449</v>
      </c>
      <c r="D1396" s="23" t="s">
        <v>11</v>
      </c>
      <c r="E1396" s="21" t="s">
        <v>11</v>
      </c>
      <c r="F1396" s="21"/>
    </row>
    <row r="1397" spans="1:11" ht="15.75" hidden="1" customHeight="1">
      <c r="A1397" s="21">
        <v>292243</v>
      </c>
      <c r="B1397" s="21" t="s">
        <v>1263</v>
      </c>
      <c r="C1397" s="21" t="s">
        <v>5098</v>
      </c>
      <c r="D1397" s="21" t="s">
        <v>11</v>
      </c>
      <c r="E1397" s="21" t="s">
        <v>11</v>
      </c>
      <c r="F1397" s="21"/>
    </row>
    <row r="1398" spans="1:11" ht="15.75" hidden="1" customHeight="1">
      <c r="A1398" s="21">
        <v>292244</v>
      </c>
      <c r="B1398" s="21" t="s">
        <v>1264</v>
      </c>
      <c r="C1398" s="21" t="s">
        <v>5098</v>
      </c>
      <c r="D1398" s="21" t="s">
        <v>11</v>
      </c>
      <c r="E1398" s="21" t="s">
        <v>11</v>
      </c>
      <c r="F1398" s="21"/>
    </row>
    <row r="1399" spans="1:11" ht="15.75" hidden="1" customHeight="1">
      <c r="A1399" s="21">
        <v>292249</v>
      </c>
      <c r="B1399" s="21" t="s">
        <v>1265</v>
      </c>
      <c r="C1399" s="21" t="s">
        <v>5450</v>
      </c>
      <c r="D1399" s="21" t="s">
        <v>11</v>
      </c>
      <c r="E1399" s="21" t="s">
        <v>11</v>
      </c>
      <c r="F1399" s="21"/>
    </row>
    <row r="1400" spans="1:11" ht="15.75" hidden="1" customHeight="1">
      <c r="A1400" s="21">
        <v>292250</v>
      </c>
      <c r="B1400" s="21" t="s">
        <v>1266</v>
      </c>
      <c r="C1400" s="21" t="s">
        <v>1266</v>
      </c>
      <c r="D1400" s="21" t="s">
        <v>11</v>
      </c>
      <c r="E1400" s="21" t="s">
        <v>11</v>
      </c>
      <c r="F1400" s="21"/>
    </row>
    <row r="1401" spans="1:11" ht="15.75" hidden="1" customHeight="1">
      <c r="A1401" s="21">
        <v>292421</v>
      </c>
      <c r="B1401" s="21" t="s">
        <v>1273</v>
      </c>
      <c r="C1401" s="21" t="s">
        <v>5451</v>
      </c>
      <c r="D1401" s="21" t="s">
        <v>11</v>
      </c>
      <c r="E1401" s="21" t="s">
        <v>11</v>
      </c>
      <c r="F1401" s="21"/>
    </row>
    <row r="1402" spans="1:11" ht="15.75" hidden="1" customHeight="1">
      <c r="A1402" s="21">
        <v>292511</v>
      </c>
      <c r="B1402" s="21" t="s">
        <v>1277</v>
      </c>
      <c r="C1402" s="21" t="s">
        <v>5452</v>
      </c>
      <c r="D1402" s="21" t="s">
        <v>11</v>
      </c>
      <c r="E1402" s="21" t="s">
        <v>11</v>
      </c>
      <c r="F1402" s="21"/>
    </row>
    <row r="1403" spans="1:11" s="21" customFormat="1" ht="15.75" hidden="1" customHeight="1">
      <c r="A1403" s="21">
        <v>292512</v>
      </c>
      <c r="B1403" s="21" t="s">
        <v>1278</v>
      </c>
      <c r="C1403" s="21" t="s">
        <v>5452</v>
      </c>
      <c r="D1403" s="21" t="s">
        <v>11</v>
      </c>
      <c r="E1403" s="21" t="s">
        <v>11</v>
      </c>
    </row>
    <row r="1404" spans="1:11" s="21" customFormat="1" ht="15.75" hidden="1" customHeight="1">
      <c r="A1404" s="21">
        <v>292519</v>
      </c>
      <c r="B1404" s="21" t="s">
        <v>1279</v>
      </c>
      <c r="C1404" s="21" t="s">
        <v>5452</v>
      </c>
      <c r="D1404" s="21" t="s">
        <v>11</v>
      </c>
      <c r="E1404" s="21" t="s">
        <v>11</v>
      </c>
    </row>
    <row r="1405" spans="1:11" s="21" customFormat="1" ht="15.75" hidden="1" customHeight="1">
      <c r="A1405" s="21">
        <v>292521</v>
      </c>
      <c r="B1405" s="21" t="s">
        <v>1281</v>
      </c>
      <c r="C1405" s="21" t="s">
        <v>5453</v>
      </c>
      <c r="D1405" s="21" t="s">
        <v>11</v>
      </c>
      <c r="E1405" s="21" t="s">
        <v>11</v>
      </c>
    </row>
    <row r="1406" spans="1:11" s="21" customFormat="1" ht="15.75" hidden="1" customHeight="1">
      <c r="A1406" s="21">
        <v>292529</v>
      </c>
      <c r="B1406" s="21" t="s">
        <v>1282</v>
      </c>
      <c r="C1406" s="21" t="s">
        <v>5453</v>
      </c>
      <c r="D1406" s="21" t="s">
        <v>11</v>
      </c>
      <c r="E1406" s="21" t="s">
        <v>11</v>
      </c>
    </row>
    <row r="1407" spans="1:11" s="21" customFormat="1" ht="15.75" hidden="1" customHeight="1">
      <c r="A1407" s="21">
        <v>292610</v>
      </c>
      <c r="B1407" s="21" t="s">
        <v>1283</v>
      </c>
      <c r="C1407" s="21" t="s">
        <v>5454</v>
      </c>
      <c r="D1407" s="21" t="s">
        <v>11</v>
      </c>
      <c r="E1407" s="21" t="s">
        <v>11</v>
      </c>
    </row>
    <row r="1408" spans="1:11" s="21" customFormat="1" ht="15.75" hidden="1" customHeight="1">
      <c r="A1408" s="21">
        <v>292620</v>
      </c>
      <c r="B1408" s="21" t="s">
        <v>1284</v>
      </c>
      <c r="C1408" s="21" t="s">
        <v>5454</v>
      </c>
      <c r="D1408" s="21" t="s">
        <v>11</v>
      </c>
      <c r="E1408" s="21" t="s">
        <v>11</v>
      </c>
    </row>
    <row r="1409" spans="1:5" s="21" customFormat="1" ht="15.75" hidden="1" customHeight="1">
      <c r="A1409" s="21">
        <v>292630</v>
      </c>
      <c r="B1409" s="21" t="s">
        <v>1285</v>
      </c>
      <c r="C1409" s="21" t="s">
        <v>5454</v>
      </c>
      <c r="D1409" s="21" t="s">
        <v>11</v>
      </c>
      <c r="E1409" s="21" t="s">
        <v>11</v>
      </c>
    </row>
    <row r="1410" spans="1:5" s="21" customFormat="1" ht="15.75" hidden="1" customHeight="1">
      <c r="A1410" s="21">
        <v>292690</v>
      </c>
      <c r="B1410" s="21" t="s">
        <v>1286</v>
      </c>
      <c r="C1410" s="21" t="s">
        <v>1286</v>
      </c>
      <c r="D1410" s="21" t="s">
        <v>11</v>
      </c>
      <c r="E1410" s="21" t="s">
        <v>11</v>
      </c>
    </row>
    <row r="1411" spans="1:5" s="21" customFormat="1" ht="15.75" hidden="1" customHeight="1">
      <c r="A1411" s="21">
        <v>292700</v>
      </c>
      <c r="B1411" s="21" t="s">
        <v>1287</v>
      </c>
      <c r="C1411" s="21" t="s">
        <v>1287</v>
      </c>
      <c r="D1411" s="21" t="s">
        <v>11</v>
      </c>
      <c r="E1411" s="21" t="s">
        <v>11</v>
      </c>
    </row>
    <row r="1412" spans="1:5" s="21" customFormat="1" ht="15.75" hidden="1" customHeight="1">
      <c r="A1412" s="21">
        <v>292800</v>
      </c>
      <c r="B1412" s="21" t="s">
        <v>1288</v>
      </c>
      <c r="C1412" s="21" t="s">
        <v>1288</v>
      </c>
      <c r="D1412" s="21" t="s">
        <v>11</v>
      </c>
      <c r="E1412" s="21" t="s">
        <v>11</v>
      </c>
    </row>
    <row r="1413" spans="1:5" s="21" customFormat="1" ht="15.75" hidden="1" customHeight="1">
      <c r="A1413" s="21">
        <v>292910</v>
      </c>
      <c r="B1413" s="21" t="s">
        <v>1289</v>
      </c>
      <c r="C1413" s="21" t="s">
        <v>5455</v>
      </c>
      <c r="D1413" s="21" t="s">
        <v>11</v>
      </c>
      <c r="E1413" s="21" t="s">
        <v>11</v>
      </c>
    </row>
    <row r="1414" spans="1:5" s="21" customFormat="1" ht="15.75" hidden="1" customHeight="1">
      <c r="A1414" s="21">
        <v>292990</v>
      </c>
      <c r="B1414" s="21" t="s">
        <v>1290</v>
      </c>
      <c r="C1414" s="21" t="s">
        <v>5455</v>
      </c>
      <c r="D1414" s="21" t="s">
        <v>11</v>
      </c>
      <c r="E1414" s="21" t="s">
        <v>11</v>
      </c>
    </row>
    <row r="1415" spans="1:5" s="21" customFormat="1" ht="15.75" hidden="1" customHeight="1">
      <c r="A1415" s="21">
        <v>293020</v>
      </c>
      <c r="B1415" s="21" t="s">
        <v>1291</v>
      </c>
      <c r="C1415" s="21" t="s">
        <v>5456</v>
      </c>
      <c r="D1415" s="21" t="s">
        <v>11</v>
      </c>
      <c r="E1415" s="21" t="s">
        <v>11</v>
      </c>
    </row>
    <row r="1416" spans="1:5" s="21" customFormat="1" ht="15.75" hidden="1" customHeight="1">
      <c r="A1416" s="21">
        <v>293030</v>
      </c>
      <c r="B1416" s="21" t="s">
        <v>1292</v>
      </c>
      <c r="C1416" s="21" t="s">
        <v>5456</v>
      </c>
      <c r="D1416" s="21" t="s">
        <v>11</v>
      </c>
      <c r="E1416" s="21" t="s">
        <v>11</v>
      </c>
    </row>
    <row r="1417" spans="1:5" s="21" customFormat="1" ht="15.75" hidden="1" customHeight="1">
      <c r="A1417" s="21">
        <v>293040</v>
      </c>
      <c r="B1417" s="21" t="s">
        <v>1293</v>
      </c>
      <c r="C1417" s="21" t="s">
        <v>5456</v>
      </c>
      <c r="D1417" s="21" t="s">
        <v>11</v>
      </c>
      <c r="E1417" s="21" t="s">
        <v>11</v>
      </c>
    </row>
    <row r="1418" spans="1:5" s="21" customFormat="1" ht="15.75" hidden="1" customHeight="1">
      <c r="A1418" s="21">
        <v>293050</v>
      </c>
      <c r="B1418" s="21" t="s">
        <v>1294</v>
      </c>
      <c r="C1418" s="21" t="s">
        <v>5456</v>
      </c>
      <c r="D1418" s="21" t="s">
        <v>11</v>
      </c>
      <c r="E1418" s="21" t="s">
        <v>11</v>
      </c>
    </row>
    <row r="1419" spans="1:5" s="21" customFormat="1" ht="15.75" hidden="1" customHeight="1">
      <c r="A1419" s="21">
        <v>293090</v>
      </c>
      <c r="B1419" s="21" t="s">
        <v>1295</v>
      </c>
      <c r="C1419" s="21" t="s">
        <v>5456</v>
      </c>
      <c r="D1419" s="21" t="s">
        <v>11</v>
      </c>
      <c r="E1419" s="21" t="s">
        <v>11</v>
      </c>
    </row>
    <row r="1420" spans="1:5" s="21" customFormat="1" ht="15.75" hidden="1" customHeight="1">
      <c r="A1420" s="21">
        <v>293100</v>
      </c>
      <c r="B1420" s="21" t="s">
        <v>1296</v>
      </c>
      <c r="C1420" s="21" t="s">
        <v>5457</v>
      </c>
      <c r="D1420" s="21" t="s">
        <v>11</v>
      </c>
      <c r="E1420" s="21" t="s">
        <v>11</v>
      </c>
    </row>
    <row r="1421" spans="1:5" s="21" customFormat="1" ht="15.75" hidden="1" customHeight="1">
      <c r="A1421" s="21">
        <v>293211</v>
      </c>
      <c r="B1421" s="21" t="s">
        <v>1297</v>
      </c>
      <c r="C1421" s="21" t="s">
        <v>5103</v>
      </c>
      <c r="D1421" s="21" t="s">
        <v>11</v>
      </c>
      <c r="E1421" s="21" t="s">
        <v>11</v>
      </c>
    </row>
    <row r="1422" spans="1:5" s="21" customFormat="1" ht="15.75" hidden="1" customHeight="1">
      <c r="A1422" s="21">
        <v>293212</v>
      </c>
      <c r="B1422" s="21" t="s">
        <v>1298</v>
      </c>
      <c r="C1422" s="21" t="s">
        <v>5103</v>
      </c>
      <c r="D1422" s="21" t="s">
        <v>11</v>
      </c>
      <c r="E1422" s="21" t="s">
        <v>11</v>
      </c>
    </row>
    <row r="1423" spans="1:5" s="21" customFormat="1" ht="15.75" hidden="1" customHeight="1">
      <c r="A1423" s="21">
        <v>293213</v>
      </c>
      <c r="B1423" s="21" t="s">
        <v>1299</v>
      </c>
      <c r="C1423" s="21" t="s">
        <v>5103</v>
      </c>
      <c r="D1423" s="21" t="s">
        <v>11</v>
      </c>
      <c r="E1423" s="21" t="s">
        <v>11</v>
      </c>
    </row>
    <row r="1424" spans="1:5" s="21" customFormat="1" ht="15.75" hidden="1" customHeight="1">
      <c r="A1424" s="21">
        <v>293219</v>
      </c>
      <c r="B1424" s="21" t="s">
        <v>1300</v>
      </c>
      <c r="C1424" s="21" t="s">
        <v>5103</v>
      </c>
      <c r="D1424" s="21" t="s">
        <v>11</v>
      </c>
      <c r="E1424" s="21" t="s">
        <v>11</v>
      </c>
    </row>
    <row r="1425" spans="1:5" s="21" customFormat="1" ht="15.75" hidden="1" customHeight="1">
      <c r="A1425" s="21">
        <v>293221</v>
      </c>
      <c r="B1425" s="21" t="s">
        <v>1301</v>
      </c>
      <c r="C1425" s="21" t="s">
        <v>5103</v>
      </c>
      <c r="D1425" s="21" t="s">
        <v>11</v>
      </c>
      <c r="E1425" s="21" t="s">
        <v>11</v>
      </c>
    </row>
    <row r="1426" spans="1:5" s="21" customFormat="1" ht="15.75" hidden="1" customHeight="1">
      <c r="A1426" s="21">
        <v>293291</v>
      </c>
      <c r="B1426" s="21" t="s">
        <v>1303</v>
      </c>
      <c r="C1426" s="21" t="s">
        <v>5103</v>
      </c>
      <c r="D1426" s="21" t="s">
        <v>11</v>
      </c>
      <c r="E1426" s="21" t="s">
        <v>11</v>
      </c>
    </row>
    <row r="1427" spans="1:5" s="21" customFormat="1" ht="15.75" hidden="1" customHeight="1">
      <c r="A1427" s="21">
        <v>293292</v>
      </c>
      <c r="B1427" s="21" t="s">
        <v>1304</v>
      </c>
      <c r="C1427" s="21" t="s">
        <v>5103</v>
      </c>
      <c r="D1427" s="21" t="s">
        <v>11</v>
      </c>
      <c r="E1427" s="21" t="s">
        <v>11</v>
      </c>
    </row>
    <row r="1428" spans="1:5" s="21" customFormat="1" ht="15.75" hidden="1" customHeight="1">
      <c r="A1428" s="21">
        <v>293293</v>
      </c>
      <c r="B1428" s="21" t="s">
        <v>1305</v>
      </c>
      <c r="C1428" s="21" t="s">
        <v>5103</v>
      </c>
      <c r="D1428" s="21" t="s">
        <v>11</v>
      </c>
      <c r="E1428" s="21" t="s">
        <v>11</v>
      </c>
    </row>
    <row r="1429" spans="1:5" s="21" customFormat="1" ht="15.75" hidden="1" customHeight="1">
      <c r="A1429" s="21">
        <v>293294</v>
      </c>
      <c r="B1429" s="21" t="s">
        <v>1306</v>
      </c>
      <c r="C1429" s="21" t="s">
        <v>5103</v>
      </c>
      <c r="D1429" s="21" t="s">
        <v>11</v>
      </c>
      <c r="E1429" s="21" t="s">
        <v>11</v>
      </c>
    </row>
    <row r="1430" spans="1:5" s="21" customFormat="1" ht="15.75" hidden="1" customHeight="1">
      <c r="A1430" s="21">
        <v>293295</v>
      </c>
      <c r="B1430" s="21" t="s">
        <v>1307</v>
      </c>
      <c r="C1430" s="21" t="s">
        <v>5103</v>
      </c>
      <c r="D1430" s="21" t="s">
        <v>11</v>
      </c>
      <c r="E1430" s="21" t="s">
        <v>11</v>
      </c>
    </row>
    <row r="1431" spans="1:5" s="21" customFormat="1" ht="15.75" hidden="1" customHeight="1">
      <c r="A1431" s="21">
        <v>293299</v>
      </c>
      <c r="B1431" s="21" t="s">
        <v>1308</v>
      </c>
      <c r="C1431" s="21" t="s">
        <v>5103</v>
      </c>
      <c r="D1431" s="21" t="s">
        <v>11</v>
      </c>
      <c r="E1431" s="21" t="s">
        <v>11</v>
      </c>
    </row>
    <row r="1432" spans="1:5" s="21" customFormat="1" ht="15.75" hidden="1" customHeight="1">
      <c r="A1432" s="21">
        <v>293329</v>
      </c>
      <c r="B1432" s="21" t="s">
        <v>1312</v>
      </c>
      <c r="C1432" s="21" t="s">
        <v>5103</v>
      </c>
      <c r="D1432" s="21" t="s">
        <v>11</v>
      </c>
      <c r="E1432" s="21" t="s">
        <v>11</v>
      </c>
    </row>
    <row r="1433" spans="1:5" s="21" customFormat="1" ht="15.75" hidden="1" customHeight="1">
      <c r="A1433" s="21">
        <v>293331</v>
      </c>
      <c r="B1433" s="21" t="s">
        <v>1313</v>
      </c>
      <c r="C1433" s="21" t="s">
        <v>5103</v>
      </c>
      <c r="D1433" s="21" t="s">
        <v>11</v>
      </c>
      <c r="E1433" s="21" t="s">
        <v>11</v>
      </c>
    </row>
    <row r="1434" spans="1:5" s="21" customFormat="1" ht="15.75" hidden="1" customHeight="1">
      <c r="A1434" s="21">
        <v>293332</v>
      </c>
      <c r="B1434" s="21" t="s">
        <v>1314</v>
      </c>
      <c r="C1434" s="21" t="s">
        <v>5103</v>
      </c>
      <c r="D1434" s="21" t="s">
        <v>11</v>
      </c>
      <c r="E1434" s="21" t="s">
        <v>11</v>
      </c>
    </row>
    <row r="1435" spans="1:5" s="21" customFormat="1" ht="15.75" hidden="1" customHeight="1">
      <c r="A1435" s="21">
        <v>293333</v>
      </c>
      <c r="B1435" s="21" t="s">
        <v>1315</v>
      </c>
      <c r="C1435" s="21" t="s">
        <v>5103</v>
      </c>
      <c r="D1435" s="21" t="s">
        <v>11</v>
      </c>
      <c r="E1435" s="21" t="s">
        <v>11</v>
      </c>
    </row>
    <row r="1436" spans="1:5" s="21" customFormat="1" ht="15.75" hidden="1" customHeight="1">
      <c r="A1436" s="21">
        <v>293339</v>
      </c>
      <c r="B1436" s="21" t="s">
        <v>1316</v>
      </c>
      <c r="C1436" s="21" t="s">
        <v>5103</v>
      </c>
      <c r="D1436" s="21" t="s">
        <v>11</v>
      </c>
      <c r="E1436" s="21" t="s">
        <v>11</v>
      </c>
    </row>
    <row r="1437" spans="1:5" s="21" customFormat="1" ht="15.75" hidden="1" customHeight="1">
      <c r="A1437" s="21">
        <v>293341</v>
      </c>
      <c r="B1437" s="21" t="s">
        <v>1317</v>
      </c>
      <c r="C1437" s="21" t="s">
        <v>5103</v>
      </c>
      <c r="D1437" s="21" t="s">
        <v>11</v>
      </c>
      <c r="E1437" s="21" t="s">
        <v>11</v>
      </c>
    </row>
    <row r="1438" spans="1:5" s="21" customFormat="1" ht="15.75" hidden="1" customHeight="1">
      <c r="A1438" s="21">
        <v>293349</v>
      </c>
      <c r="B1438" s="21" t="s">
        <v>1318</v>
      </c>
      <c r="C1438" s="21" t="s">
        <v>5103</v>
      </c>
      <c r="D1438" s="21" t="s">
        <v>11</v>
      </c>
      <c r="E1438" s="21" t="s">
        <v>11</v>
      </c>
    </row>
    <row r="1439" spans="1:5" s="21" customFormat="1" ht="15.75" hidden="1" customHeight="1">
      <c r="A1439" s="21">
        <v>293361</v>
      </c>
      <c r="B1439" s="21" t="s">
        <v>1324</v>
      </c>
      <c r="C1439" s="21" t="s">
        <v>5103</v>
      </c>
      <c r="D1439" s="21" t="s">
        <v>11</v>
      </c>
      <c r="E1439" s="21" t="s">
        <v>11</v>
      </c>
    </row>
    <row r="1440" spans="1:5" s="21" customFormat="1" ht="15.75" hidden="1" customHeight="1">
      <c r="A1440" s="21">
        <v>293371</v>
      </c>
      <c r="B1440" s="21" t="s">
        <v>1326</v>
      </c>
      <c r="C1440" s="21" t="s">
        <v>5103</v>
      </c>
      <c r="D1440" s="21" t="s">
        <v>11</v>
      </c>
      <c r="E1440" s="21" t="s">
        <v>11</v>
      </c>
    </row>
    <row r="1441" spans="1:6" s="21" customFormat="1" ht="15.75" hidden="1" customHeight="1">
      <c r="A1441" s="21">
        <v>293372</v>
      </c>
      <c r="B1441" s="21" t="s">
        <v>1327</v>
      </c>
      <c r="C1441" s="21" t="s">
        <v>5103</v>
      </c>
      <c r="D1441" s="21" t="s">
        <v>11</v>
      </c>
      <c r="E1441" s="21" t="s">
        <v>11</v>
      </c>
    </row>
    <row r="1442" spans="1:6" s="21" customFormat="1" ht="15.75" hidden="1" customHeight="1">
      <c r="A1442" s="21">
        <v>293379</v>
      </c>
      <c r="B1442" s="21" t="s">
        <v>1328</v>
      </c>
      <c r="C1442" s="21" t="s">
        <v>5103</v>
      </c>
      <c r="D1442" s="21" t="s">
        <v>11</v>
      </c>
      <c r="E1442" s="21" t="s">
        <v>11</v>
      </c>
    </row>
    <row r="1443" spans="1:6" s="21" customFormat="1" ht="15.75" hidden="1" customHeight="1">
      <c r="A1443" s="21">
        <v>293391</v>
      </c>
      <c r="B1443" s="21" t="s">
        <v>1329</v>
      </c>
      <c r="C1443" s="21" t="s">
        <v>5103</v>
      </c>
      <c r="D1443" s="21" t="s">
        <v>11</v>
      </c>
      <c r="E1443" s="21" t="s">
        <v>11</v>
      </c>
    </row>
    <row r="1444" spans="1:6" s="21" customFormat="1" ht="15.75" hidden="1" customHeight="1">
      <c r="A1444" s="21">
        <v>293399</v>
      </c>
      <c r="B1444" s="21" t="s">
        <v>1330</v>
      </c>
      <c r="C1444" s="21" t="s">
        <v>5103</v>
      </c>
      <c r="D1444" s="21" t="s">
        <v>11</v>
      </c>
      <c r="E1444" s="21" t="s">
        <v>11</v>
      </c>
    </row>
    <row r="1445" spans="1:6" s="21" customFormat="1" ht="15.75" hidden="1" customHeight="1">
      <c r="A1445" s="21">
        <v>293410</v>
      </c>
      <c r="B1445" s="21" t="s">
        <v>1331</v>
      </c>
      <c r="C1445" s="21" t="s">
        <v>5103</v>
      </c>
      <c r="D1445" s="21" t="s">
        <v>11</v>
      </c>
      <c r="E1445" s="21" t="s">
        <v>11</v>
      </c>
    </row>
    <row r="1446" spans="1:6" s="21" customFormat="1" ht="15.75" hidden="1" customHeight="1">
      <c r="A1446" s="21">
        <v>293420</v>
      </c>
      <c r="B1446" s="21" t="s">
        <v>1332</v>
      </c>
      <c r="C1446" s="21" t="s">
        <v>5103</v>
      </c>
      <c r="D1446" s="21" t="s">
        <v>11</v>
      </c>
      <c r="E1446" s="21" t="s">
        <v>11</v>
      </c>
    </row>
    <row r="1447" spans="1:6" s="21" customFormat="1" ht="15.75" hidden="1" customHeight="1">
      <c r="A1447" s="21">
        <v>293491</v>
      </c>
      <c r="B1447" s="21" t="s">
        <v>1334</v>
      </c>
      <c r="C1447" s="21" t="s">
        <v>1334</v>
      </c>
      <c r="D1447" s="21" t="s">
        <v>11</v>
      </c>
      <c r="E1447" s="21" t="s">
        <v>11</v>
      </c>
    </row>
    <row r="1448" spans="1:6" s="21" customFormat="1" ht="15.75" hidden="1" customHeight="1">
      <c r="A1448" s="21">
        <v>293499</v>
      </c>
      <c r="B1448" s="21" t="s">
        <v>1335</v>
      </c>
      <c r="C1448" s="21" t="s">
        <v>1335</v>
      </c>
      <c r="D1448" s="21" t="s">
        <v>11</v>
      </c>
      <c r="E1448" s="21" t="s">
        <v>11</v>
      </c>
    </row>
    <row r="1449" spans="1:6" s="21" customFormat="1" ht="15.75" hidden="1" customHeight="1">
      <c r="A1449" s="21">
        <v>293622</v>
      </c>
      <c r="B1449" s="21" t="s">
        <v>1338</v>
      </c>
      <c r="C1449" s="21" t="s">
        <v>5105</v>
      </c>
      <c r="D1449" s="21" t="s">
        <v>11</v>
      </c>
      <c r="E1449" s="21" t="s">
        <v>11</v>
      </c>
    </row>
    <row r="1450" spans="1:6" s="21" customFormat="1" ht="15.75" hidden="1" customHeight="1">
      <c r="A1450" s="21">
        <v>294200</v>
      </c>
      <c r="B1450" s="21" t="s">
        <v>1386</v>
      </c>
      <c r="C1450" s="21" t="s">
        <v>5458</v>
      </c>
      <c r="D1450" s="21" t="s">
        <v>11</v>
      </c>
      <c r="E1450" s="21" t="s">
        <v>11</v>
      </c>
    </row>
    <row r="1451" spans="1:6" s="21" customFormat="1" ht="15.75" hidden="1" customHeight="1">
      <c r="A1451" s="21">
        <v>310100</v>
      </c>
      <c r="B1451" s="21" t="s">
        <v>1434</v>
      </c>
      <c r="C1451" s="21" t="s">
        <v>5459</v>
      </c>
      <c r="D1451" s="21" t="s">
        <v>11</v>
      </c>
      <c r="E1451" s="21" t="s">
        <v>11</v>
      </c>
      <c r="F1451" s="21" t="s">
        <v>6252</v>
      </c>
    </row>
    <row r="1452" spans="1:6" s="21" customFormat="1" ht="15.75" hidden="1" customHeight="1">
      <c r="A1452" s="21">
        <v>310210</v>
      </c>
      <c r="B1452" s="21" t="s">
        <v>1435</v>
      </c>
      <c r="C1452" s="21" t="s">
        <v>5460</v>
      </c>
      <c r="D1452" s="21" t="s">
        <v>11</v>
      </c>
      <c r="E1452" s="21" t="s">
        <v>11</v>
      </c>
      <c r="F1452" s="21" t="s">
        <v>6249</v>
      </c>
    </row>
    <row r="1453" spans="1:6" s="21" customFormat="1" ht="15.75" hidden="1" customHeight="1">
      <c r="A1453" s="21">
        <v>310221</v>
      </c>
      <c r="B1453" s="21" t="s">
        <v>1436</v>
      </c>
      <c r="C1453" s="21" t="s">
        <v>5460</v>
      </c>
      <c r="D1453" s="21" t="s">
        <v>11</v>
      </c>
      <c r="E1453" s="21" t="s">
        <v>11</v>
      </c>
      <c r="F1453" s="21" t="s">
        <v>6251</v>
      </c>
    </row>
    <row r="1454" spans="1:6" s="21" customFormat="1" ht="15.75" hidden="1" customHeight="1">
      <c r="A1454" s="21">
        <v>310229</v>
      </c>
      <c r="B1454" s="21" t="s">
        <v>1437</v>
      </c>
      <c r="C1454" s="21" t="s">
        <v>5460</v>
      </c>
      <c r="D1454" s="21" t="s">
        <v>11</v>
      </c>
      <c r="E1454" s="21" t="s">
        <v>11</v>
      </c>
      <c r="F1454" s="21" t="s">
        <v>6253</v>
      </c>
    </row>
    <row r="1455" spans="1:6" s="21" customFormat="1" ht="15.75" hidden="1" customHeight="1">
      <c r="A1455" s="21">
        <v>310230</v>
      </c>
      <c r="B1455" s="21" t="s">
        <v>1438</v>
      </c>
      <c r="C1455" s="21" t="s">
        <v>5460</v>
      </c>
      <c r="D1455" s="21" t="s">
        <v>11</v>
      </c>
      <c r="E1455" s="21" t="s">
        <v>11</v>
      </c>
      <c r="F1455" s="21" t="s">
        <v>6254</v>
      </c>
    </row>
    <row r="1456" spans="1:6" s="21" customFormat="1" ht="15.75" hidden="1" customHeight="1">
      <c r="A1456" s="21">
        <v>310240</v>
      </c>
      <c r="B1456" s="21" t="s">
        <v>1439</v>
      </c>
      <c r="C1456" s="21" t="s">
        <v>5460</v>
      </c>
      <c r="D1456" s="21" t="s">
        <v>11</v>
      </c>
      <c r="E1456" s="21" t="s">
        <v>11</v>
      </c>
      <c r="F1456" s="21" t="s">
        <v>6253</v>
      </c>
    </row>
    <row r="1457" spans="1:6" s="21" customFormat="1" ht="15.75" hidden="1" customHeight="1">
      <c r="A1457" s="21">
        <v>310250</v>
      </c>
      <c r="B1457" s="21" t="s">
        <v>1440</v>
      </c>
      <c r="C1457" s="21" t="s">
        <v>5460</v>
      </c>
      <c r="D1457" s="21" t="s">
        <v>11</v>
      </c>
      <c r="E1457" s="21" t="s">
        <v>11</v>
      </c>
      <c r="F1457" s="21" t="s">
        <v>6253</v>
      </c>
    </row>
    <row r="1458" spans="1:6" s="21" customFormat="1" ht="15.75" hidden="1" customHeight="1">
      <c r="A1458" s="21">
        <v>310260</v>
      </c>
      <c r="B1458" s="21" t="s">
        <v>1441</v>
      </c>
      <c r="C1458" s="21" t="s">
        <v>5460</v>
      </c>
      <c r="D1458" s="21" t="s">
        <v>11</v>
      </c>
      <c r="E1458" s="21" t="s">
        <v>11</v>
      </c>
      <c r="F1458" s="21" t="s">
        <v>6253</v>
      </c>
    </row>
    <row r="1459" spans="1:6" s="21" customFormat="1" ht="15.75" hidden="1" customHeight="1">
      <c r="A1459" s="21">
        <v>310280</v>
      </c>
      <c r="B1459" s="21" t="s">
        <v>1442</v>
      </c>
      <c r="C1459" s="21" t="s">
        <v>5460</v>
      </c>
      <c r="D1459" s="21" t="s">
        <v>11</v>
      </c>
      <c r="E1459" s="21" t="s">
        <v>11</v>
      </c>
      <c r="F1459" s="21" t="s">
        <v>6253</v>
      </c>
    </row>
    <row r="1460" spans="1:6" s="21" customFormat="1" ht="15.75" hidden="1" customHeight="1">
      <c r="A1460" s="21">
        <v>310290</v>
      </c>
      <c r="B1460" s="21" t="s">
        <v>1443</v>
      </c>
      <c r="C1460" s="21" t="s">
        <v>5460</v>
      </c>
      <c r="D1460" s="21" t="s">
        <v>11</v>
      </c>
      <c r="E1460" s="21" t="s">
        <v>11</v>
      </c>
      <c r="F1460" s="21" t="s">
        <v>6253</v>
      </c>
    </row>
    <row r="1461" spans="1:6" s="21" customFormat="1" ht="15.75" hidden="1" customHeight="1">
      <c r="A1461" s="21">
        <v>310310</v>
      </c>
      <c r="B1461" s="21" t="s">
        <v>1444</v>
      </c>
      <c r="C1461" s="21" t="s">
        <v>5460</v>
      </c>
      <c r="D1461" s="21" t="s">
        <v>11</v>
      </c>
      <c r="E1461" s="21" t="s">
        <v>11</v>
      </c>
      <c r="F1461" s="21" t="s">
        <v>6253</v>
      </c>
    </row>
    <row r="1462" spans="1:6" s="21" customFormat="1" ht="15.75" hidden="1" customHeight="1">
      <c r="A1462" s="21">
        <v>310390</v>
      </c>
      <c r="B1462" s="21" t="s">
        <v>1445</v>
      </c>
      <c r="C1462" s="21" t="s">
        <v>5460</v>
      </c>
      <c r="D1462" s="21" t="s">
        <v>11</v>
      </c>
      <c r="E1462" s="21" t="s">
        <v>11</v>
      </c>
      <c r="F1462" s="21" t="s">
        <v>6253</v>
      </c>
    </row>
    <row r="1463" spans="1:6" s="21" customFormat="1" ht="15.75" hidden="1" customHeight="1">
      <c r="A1463" s="21">
        <v>310420</v>
      </c>
      <c r="B1463" s="21" t="s">
        <v>1446</v>
      </c>
      <c r="C1463" s="21" t="s">
        <v>5460</v>
      </c>
      <c r="D1463" s="21" t="s">
        <v>11</v>
      </c>
      <c r="E1463" s="21" t="s">
        <v>11</v>
      </c>
      <c r="F1463" s="21" t="s">
        <v>6253</v>
      </c>
    </row>
    <row r="1464" spans="1:6" s="21" customFormat="1" ht="15.75" hidden="1" customHeight="1">
      <c r="A1464" s="21">
        <v>310430</v>
      </c>
      <c r="B1464" s="21" t="s">
        <v>1447</v>
      </c>
      <c r="C1464" s="21" t="s">
        <v>5460</v>
      </c>
      <c r="D1464" s="21" t="s">
        <v>11</v>
      </c>
      <c r="E1464" s="21" t="s">
        <v>11</v>
      </c>
      <c r="F1464" s="21" t="s">
        <v>6253</v>
      </c>
    </row>
    <row r="1465" spans="1:6" s="21" customFormat="1" ht="15.75" hidden="1" customHeight="1">
      <c r="A1465" s="21">
        <v>310490</v>
      </c>
      <c r="B1465" s="21" t="s">
        <v>1448</v>
      </c>
      <c r="C1465" s="21" t="s">
        <v>5460</v>
      </c>
      <c r="D1465" s="21" t="s">
        <v>11</v>
      </c>
      <c r="E1465" s="21" t="s">
        <v>11</v>
      </c>
      <c r="F1465" s="21" t="s">
        <v>6253</v>
      </c>
    </row>
    <row r="1466" spans="1:6" s="21" customFormat="1" ht="15.75" hidden="1" customHeight="1">
      <c r="A1466" s="21">
        <v>310510</v>
      </c>
      <c r="B1466" s="21" t="s">
        <v>1449</v>
      </c>
      <c r="C1466" s="21" t="s">
        <v>5460</v>
      </c>
      <c r="D1466" s="21" t="s">
        <v>11</v>
      </c>
      <c r="E1466" s="21" t="s">
        <v>11</v>
      </c>
      <c r="F1466" s="21" t="s">
        <v>6250</v>
      </c>
    </row>
    <row r="1467" spans="1:6" s="21" customFormat="1" ht="15.75" hidden="1" customHeight="1">
      <c r="A1467" s="21">
        <v>310520</v>
      </c>
      <c r="B1467" s="21" t="s">
        <v>1450</v>
      </c>
      <c r="C1467" s="21" t="s">
        <v>5460</v>
      </c>
      <c r="D1467" s="21" t="s">
        <v>11</v>
      </c>
      <c r="E1467" s="21" t="s">
        <v>11</v>
      </c>
      <c r="F1467" s="21" t="s">
        <v>6250</v>
      </c>
    </row>
    <row r="1468" spans="1:6" s="21" customFormat="1" ht="15.75" hidden="1" customHeight="1">
      <c r="A1468" s="21">
        <v>310530</v>
      </c>
      <c r="B1468" s="21" t="s">
        <v>1451</v>
      </c>
      <c r="C1468" s="21" t="s">
        <v>5460</v>
      </c>
      <c r="D1468" s="21" t="s">
        <v>11</v>
      </c>
      <c r="E1468" s="21" t="s">
        <v>11</v>
      </c>
      <c r="F1468" s="21" t="s">
        <v>6250</v>
      </c>
    </row>
    <row r="1469" spans="1:6" s="21" customFormat="1" ht="15.75" hidden="1" customHeight="1">
      <c r="A1469" s="21">
        <v>310540</v>
      </c>
      <c r="B1469" s="21" t="s">
        <v>1452</v>
      </c>
      <c r="C1469" s="21" t="s">
        <v>5460</v>
      </c>
      <c r="D1469" s="21" t="s">
        <v>11</v>
      </c>
      <c r="E1469" s="21" t="s">
        <v>11</v>
      </c>
      <c r="F1469" s="21" t="s">
        <v>6255</v>
      </c>
    </row>
    <row r="1470" spans="1:6" s="21" customFormat="1" ht="15.75" hidden="1" customHeight="1">
      <c r="A1470" s="21">
        <v>310551</v>
      </c>
      <c r="B1470" s="21" t="s">
        <v>1453</v>
      </c>
      <c r="C1470" s="21" t="s">
        <v>5460</v>
      </c>
      <c r="D1470" s="21" t="s">
        <v>11</v>
      </c>
      <c r="E1470" s="21" t="s">
        <v>11</v>
      </c>
      <c r="F1470" s="21" t="s">
        <v>6256</v>
      </c>
    </row>
    <row r="1471" spans="1:6" s="21" customFormat="1" ht="15.75" hidden="1" customHeight="1">
      <c r="A1471" s="21">
        <v>310559</v>
      </c>
      <c r="B1471" s="21" t="s">
        <v>1454</v>
      </c>
      <c r="C1471" s="21" t="s">
        <v>5460</v>
      </c>
      <c r="D1471" s="21" t="s">
        <v>11</v>
      </c>
      <c r="E1471" s="21" t="s">
        <v>11</v>
      </c>
      <c r="F1471" s="21" t="s">
        <v>6256</v>
      </c>
    </row>
    <row r="1472" spans="1:6" s="21" customFormat="1" ht="15.75" hidden="1" customHeight="1">
      <c r="A1472" s="21">
        <v>310560</v>
      </c>
      <c r="B1472" s="21" t="s">
        <v>1455</v>
      </c>
      <c r="C1472" s="21" t="s">
        <v>5460</v>
      </c>
      <c r="D1472" s="21" t="s">
        <v>11</v>
      </c>
      <c r="E1472" s="21" t="s">
        <v>11</v>
      </c>
      <c r="F1472" s="21" t="s">
        <v>6256</v>
      </c>
    </row>
    <row r="1473" spans="1:6" s="21" customFormat="1" ht="15.75" hidden="1" customHeight="1">
      <c r="A1473" s="21">
        <v>310590</v>
      </c>
      <c r="B1473" s="21" t="s">
        <v>1456</v>
      </c>
      <c r="C1473" s="21" t="s">
        <v>5460</v>
      </c>
      <c r="D1473" s="21" t="s">
        <v>11</v>
      </c>
      <c r="E1473" s="21" t="s">
        <v>11</v>
      </c>
      <c r="F1473" s="21" t="s">
        <v>6255</v>
      </c>
    </row>
    <row r="1474" spans="1:6" s="21" customFormat="1" ht="15.75" hidden="1" customHeight="1">
      <c r="A1474" s="21">
        <v>320110</v>
      </c>
      <c r="B1474" s="21" t="s">
        <v>1457</v>
      </c>
      <c r="C1474" s="21" t="s">
        <v>5461</v>
      </c>
      <c r="D1474" s="21" t="s">
        <v>11</v>
      </c>
      <c r="E1474" s="21" t="s">
        <v>11</v>
      </c>
      <c r="F1474" s="21" t="s">
        <v>6257</v>
      </c>
    </row>
    <row r="1475" spans="1:6" s="21" customFormat="1" ht="15.75" hidden="1" customHeight="1">
      <c r="A1475" s="21">
        <v>320120</v>
      </c>
      <c r="B1475" s="21" t="s">
        <v>1458</v>
      </c>
      <c r="C1475" s="21" t="s">
        <v>5461</v>
      </c>
      <c r="D1475" s="21" t="s">
        <v>11</v>
      </c>
      <c r="E1475" s="21" t="s">
        <v>11</v>
      </c>
      <c r="F1475" s="21" t="s">
        <v>6247</v>
      </c>
    </row>
    <row r="1476" spans="1:6" s="21" customFormat="1" ht="15.75" hidden="1" customHeight="1">
      <c r="A1476" s="21">
        <v>320190</v>
      </c>
      <c r="B1476" s="21" t="s">
        <v>1459</v>
      </c>
      <c r="C1476" s="21" t="s">
        <v>5461</v>
      </c>
      <c r="D1476" s="21" t="s">
        <v>11</v>
      </c>
      <c r="E1476" s="21" t="s">
        <v>11</v>
      </c>
      <c r="F1476" s="21" t="s">
        <v>6247</v>
      </c>
    </row>
    <row r="1477" spans="1:6" s="21" customFormat="1" ht="15.75" hidden="1" customHeight="1">
      <c r="A1477" s="21">
        <v>320210</v>
      </c>
      <c r="B1477" s="21" t="s">
        <v>1460</v>
      </c>
      <c r="C1477" s="21" t="s">
        <v>5462</v>
      </c>
      <c r="D1477" s="21" t="s">
        <v>11</v>
      </c>
      <c r="E1477" s="21" t="s">
        <v>11</v>
      </c>
      <c r="F1477" s="21" t="s">
        <v>6247</v>
      </c>
    </row>
    <row r="1478" spans="1:6" s="21" customFormat="1" ht="15.75" hidden="1" customHeight="1">
      <c r="A1478" s="21">
        <v>320290</v>
      </c>
      <c r="B1478" s="21" t="s">
        <v>1461</v>
      </c>
      <c r="C1478" s="21" t="s">
        <v>5462</v>
      </c>
      <c r="D1478" s="21" t="s">
        <v>11</v>
      </c>
      <c r="E1478" s="21" t="s">
        <v>11</v>
      </c>
      <c r="F1478" s="21" t="s">
        <v>6248</v>
      </c>
    </row>
    <row r="1479" spans="1:6" s="21" customFormat="1" ht="15.75" hidden="1" customHeight="1">
      <c r="A1479" s="21">
        <v>320300</v>
      </c>
      <c r="B1479" s="21" t="s">
        <v>1462</v>
      </c>
      <c r="C1479" s="21" t="s">
        <v>5463</v>
      </c>
      <c r="D1479" s="21" t="s">
        <v>11</v>
      </c>
      <c r="E1479" s="21" t="s">
        <v>11</v>
      </c>
      <c r="F1479" s="21" t="s">
        <v>6248</v>
      </c>
    </row>
    <row r="1480" spans="1:6" s="21" customFormat="1" ht="15.75" hidden="1" customHeight="1">
      <c r="A1480" s="21">
        <v>320411</v>
      </c>
      <c r="B1480" s="21" t="s">
        <v>1463</v>
      </c>
      <c r="C1480" s="21" t="s">
        <v>5464</v>
      </c>
      <c r="D1480" s="21" t="s">
        <v>11</v>
      </c>
      <c r="E1480" s="21" t="s">
        <v>11</v>
      </c>
      <c r="F1480" s="21" t="s">
        <v>6253</v>
      </c>
    </row>
    <row r="1481" spans="1:6" s="21" customFormat="1" ht="15.75" hidden="1" customHeight="1">
      <c r="A1481" s="21">
        <v>320412</v>
      </c>
      <c r="B1481" s="21" t="s">
        <v>1464</v>
      </c>
      <c r="C1481" s="21" t="s">
        <v>5464</v>
      </c>
      <c r="D1481" s="21" t="s">
        <v>11</v>
      </c>
      <c r="E1481" s="21" t="s">
        <v>11</v>
      </c>
      <c r="F1481" s="21" t="s">
        <v>6248</v>
      </c>
    </row>
    <row r="1482" spans="1:6" s="21" customFormat="1" ht="15.75" hidden="1" customHeight="1">
      <c r="A1482" s="21">
        <v>320413</v>
      </c>
      <c r="B1482" s="21" t="s">
        <v>1465</v>
      </c>
      <c r="C1482" s="21" t="s">
        <v>5464</v>
      </c>
      <c r="D1482" s="21" t="s">
        <v>11</v>
      </c>
      <c r="E1482" s="21" t="s">
        <v>11</v>
      </c>
      <c r="F1482" s="21" t="s">
        <v>6253</v>
      </c>
    </row>
    <row r="1483" spans="1:6" s="21" customFormat="1" ht="15.75" hidden="1" customHeight="1">
      <c r="A1483" s="21">
        <v>320414</v>
      </c>
      <c r="B1483" s="21" t="s">
        <v>1466</v>
      </c>
      <c r="C1483" s="21" t="s">
        <v>5464</v>
      </c>
      <c r="D1483" s="21" t="s">
        <v>11</v>
      </c>
      <c r="E1483" s="21" t="s">
        <v>11</v>
      </c>
      <c r="F1483" s="21" t="s">
        <v>6253</v>
      </c>
    </row>
    <row r="1484" spans="1:6" s="21" customFormat="1" ht="15.75" hidden="1" customHeight="1">
      <c r="A1484" s="21">
        <v>320415</v>
      </c>
      <c r="B1484" s="21" t="s">
        <v>1467</v>
      </c>
      <c r="C1484" s="21" t="s">
        <v>5464</v>
      </c>
      <c r="D1484" s="21" t="s">
        <v>11</v>
      </c>
      <c r="E1484" s="21" t="s">
        <v>11</v>
      </c>
      <c r="F1484" s="21" t="s">
        <v>6253</v>
      </c>
    </row>
    <row r="1485" spans="1:6" s="21" customFormat="1" ht="15.75" hidden="1" customHeight="1">
      <c r="A1485" s="21">
        <v>320416</v>
      </c>
      <c r="B1485" s="21" t="s">
        <v>1468</v>
      </c>
      <c r="C1485" s="21" t="s">
        <v>5464</v>
      </c>
      <c r="D1485" s="21" t="s">
        <v>11</v>
      </c>
      <c r="E1485" s="21" t="s">
        <v>11</v>
      </c>
      <c r="F1485" s="21" t="s">
        <v>6248</v>
      </c>
    </row>
    <row r="1486" spans="1:6" s="21" customFormat="1" ht="15.75" hidden="1" customHeight="1">
      <c r="A1486" s="21">
        <v>320417</v>
      </c>
      <c r="B1486" s="21" t="s">
        <v>1469</v>
      </c>
      <c r="C1486" s="21" t="s">
        <v>5464</v>
      </c>
      <c r="D1486" s="21" t="s">
        <v>11</v>
      </c>
      <c r="E1486" s="21" t="s">
        <v>11</v>
      </c>
      <c r="F1486" s="21" t="s">
        <v>6248</v>
      </c>
    </row>
    <row r="1487" spans="1:6" s="21" customFormat="1" ht="15.75" hidden="1" customHeight="1">
      <c r="A1487" s="21">
        <v>320419</v>
      </c>
      <c r="B1487" s="21" t="s">
        <v>1470</v>
      </c>
      <c r="C1487" s="21" t="s">
        <v>5464</v>
      </c>
      <c r="D1487" s="21" t="s">
        <v>11</v>
      </c>
      <c r="E1487" s="21" t="s">
        <v>11</v>
      </c>
      <c r="F1487" s="21" t="s">
        <v>6253</v>
      </c>
    </row>
    <row r="1488" spans="1:6" s="21" customFormat="1" ht="15.75" hidden="1" customHeight="1">
      <c r="A1488" s="21">
        <v>320420</v>
      </c>
      <c r="B1488" s="21" t="s">
        <v>1471</v>
      </c>
      <c r="C1488" s="21" t="s">
        <v>5464</v>
      </c>
      <c r="D1488" s="21" t="s">
        <v>11</v>
      </c>
      <c r="E1488" s="21" t="s">
        <v>11</v>
      </c>
      <c r="F1488" s="21" t="s">
        <v>6253</v>
      </c>
    </row>
    <row r="1489" spans="1:6" s="21" customFormat="1" ht="15.75" hidden="1" customHeight="1">
      <c r="A1489" s="21">
        <v>320490</v>
      </c>
      <c r="B1489" s="21" t="s">
        <v>1472</v>
      </c>
      <c r="C1489" s="21" t="s">
        <v>5464</v>
      </c>
      <c r="D1489" s="21" t="s">
        <v>11</v>
      </c>
      <c r="E1489" s="21" t="s">
        <v>11</v>
      </c>
      <c r="F1489" s="21" t="s">
        <v>6253</v>
      </c>
    </row>
    <row r="1490" spans="1:6" s="21" customFormat="1" ht="15.75" hidden="1" customHeight="1">
      <c r="A1490" s="21">
        <v>320500</v>
      </c>
      <c r="B1490" s="21" t="s">
        <v>1473</v>
      </c>
      <c r="C1490" s="21" t="s">
        <v>5465</v>
      </c>
      <c r="D1490" s="21" t="s">
        <v>11</v>
      </c>
      <c r="E1490" s="21" t="s">
        <v>11</v>
      </c>
      <c r="F1490" s="21" t="s">
        <v>6258</v>
      </c>
    </row>
    <row r="1491" spans="1:6" s="21" customFormat="1" ht="15.75" hidden="1" customHeight="1">
      <c r="A1491" s="21">
        <v>320611</v>
      </c>
      <c r="B1491" s="21" t="s">
        <v>1474</v>
      </c>
      <c r="C1491" s="21" t="s">
        <v>5466</v>
      </c>
      <c r="D1491" s="21" t="s">
        <v>11</v>
      </c>
      <c r="E1491" s="21" t="s">
        <v>11</v>
      </c>
      <c r="F1491" s="21" t="s">
        <v>6253</v>
      </c>
    </row>
    <row r="1492" spans="1:6" s="21" customFormat="1" ht="15.75" hidden="1" customHeight="1">
      <c r="A1492" s="21">
        <v>320619</v>
      </c>
      <c r="B1492" s="21" t="s">
        <v>1475</v>
      </c>
      <c r="C1492" s="21" t="s">
        <v>5466</v>
      </c>
      <c r="D1492" s="21" t="s">
        <v>11</v>
      </c>
      <c r="E1492" s="21" t="s">
        <v>11</v>
      </c>
      <c r="F1492" s="21" t="s">
        <v>6256</v>
      </c>
    </row>
    <row r="1493" spans="1:6" s="21" customFormat="1" ht="15.75" hidden="1" customHeight="1">
      <c r="A1493" s="21">
        <v>320620</v>
      </c>
      <c r="B1493" s="21" t="s">
        <v>1476</v>
      </c>
      <c r="C1493" s="21" t="s">
        <v>5466</v>
      </c>
      <c r="D1493" s="21" t="s">
        <v>11</v>
      </c>
      <c r="E1493" s="21" t="s">
        <v>11</v>
      </c>
      <c r="F1493" s="21" t="s">
        <v>6256</v>
      </c>
    </row>
    <row r="1494" spans="1:6" s="21" customFormat="1" ht="15.75" hidden="1" customHeight="1">
      <c r="A1494" s="21">
        <v>320641</v>
      </c>
      <c r="B1494" s="21" t="s">
        <v>1477</v>
      </c>
      <c r="C1494" s="21" t="s">
        <v>5466</v>
      </c>
      <c r="D1494" s="21" t="s">
        <v>11</v>
      </c>
      <c r="E1494" s="21" t="s">
        <v>11</v>
      </c>
      <c r="F1494" s="21" t="s">
        <v>6256</v>
      </c>
    </row>
    <row r="1495" spans="1:6" s="21" customFormat="1" ht="15.75" hidden="1" customHeight="1">
      <c r="A1495" s="21">
        <v>320642</v>
      </c>
      <c r="B1495" s="21" t="s">
        <v>1478</v>
      </c>
      <c r="C1495" s="21" t="s">
        <v>5466</v>
      </c>
      <c r="D1495" s="21" t="s">
        <v>11</v>
      </c>
      <c r="E1495" s="21" t="s">
        <v>11</v>
      </c>
      <c r="F1495" s="21" t="s">
        <v>6256</v>
      </c>
    </row>
    <row r="1496" spans="1:6" s="21" customFormat="1" ht="15.75" hidden="1" customHeight="1">
      <c r="A1496" s="21">
        <v>320649</v>
      </c>
      <c r="B1496" s="21" t="s">
        <v>1479</v>
      </c>
      <c r="C1496" s="21" t="s">
        <v>5466</v>
      </c>
      <c r="D1496" s="21" t="s">
        <v>11</v>
      </c>
      <c r="E1496" s="21" t="s">
        <v>11</v>
      </c>
      <c r="F1496" s="21" t="s">
        <v>6256</v>
      </c>
    </row>
    <row r="1497" spans="1:6" s="21" customFormat="1" ht="15.75" hidden="1" customHeight="1">
      <c r="A1497" s="21">
        <v>320650</v>
      </c>
      <c r="B1497" s="21" t="s">
        <v>1480</v>
      </c>
      <c r="C1497" s="21" t="s">
        <v>5466</v>
      </c>
      <c r="D1497" s="21" t="s">
        <v>11</v>
      </c>
      <c r="E1497" s="21" t="s">
        <v>11</v>
      </c>
      <c r="F1497" s="21" t="s">
        <v>6256</v>
      </c>
    </row>
    <row r="1498" spans="1:6" s="21" customFormat="1" ht="15.75" hidden="1" customHeight="1">
      <c r="A1498" s="21">
        <v>320710</v>
      </c>
      <c r="B1498" s="21" t="s">
        <v>1481</v>
      </c>
      <c r="C1498" s="21" t="s">
        <v>5467</v>
      </c>
      <c r="D1498" s="21" t="s">
        <v>11</v>
      </c>
      <c r="E1498" s="21" t="s">
        <v>11</v>
      </c>
      <c r="F1498" s="21" t="s">
        <v>6256</v>
      </c>
    </row>
    <row r="1499" spans="1:6" s="21" customFormat="1" ht="15.75" hidden="1" customHeight="1">
      <c r="A1499" s="21">
        <v>320720</v>
      </c>
      <c r="B1499" s="21" t="s">
        <v>1482</v>
      </c>
      <c r="C1499" s="21" t="s">
        <v>5468</v>
      </c>
      <c r="D1499" s="21" t="s">
        <v>11</v>
      </c>
      <c r="E1499" s="21" t="s">
        <v>11</v>
      </c>
      <c r="F1499" s="21" t="s">
        <v>6259</v>
      </c>
    </row>
    <row r="1500" spans="1:6" s="21" customFormat="1" ht="15.75" hidden="1" customHeight="1">
      <c r="A1500" s="21">
        <v>320730</v>
      </c>
      <c r="B1500" s="21" t="s">
        <v>1483</v>
      </c>
      <c r="C1500" s="21" t="s">
        <v>5469</v>
      </c>
      <c r="D1500" s="21" t="s">
        <v>11</v>
      </c>
      <c r="E1500" s="21" t="s">
        <v>11</v>
      </c>
    </row>
    <row r="1501" spans="1:6" s="21" customFormat="1" ht="15.75" hidden="1" customHeight="1">
      <c r="A1501" s="21">
        <v>320740</v>
      </c>
      <c r="B1501" s="21" t="s">
        <v>1484</v>
      </c>
      <c r="C1501" s="21" t="s">
        <v>5470</v>
      </c>
      <c r="D1501" s="21" t="s">
        <v>11</v>
      </c>
      <c r="E1501" s="21" t="s">
        <v>11</v>
      </c>
    </row>
    <row r="1502" spans="1:6" s="21" customFormat="1" ht="15.75" hidden="1" customHeight="1">
      <c r="A1502" s="21">
        <v>320810</v>
      </c>
      <c r="B1502" s="21" t="s">
        <v>1485</v>
      </c>
      <c r="C1502" s="21" t="s">
        <v>5471</v>
      </c>
      <c r="D1502" s="21" t="s">
        <v>11</v>
      </c>
      <c r="E1502" s="21" t="s">
        <v>11</v>
      </c>
    </row>
    <row r="1503" spans="1:6" s="21" customFormat="1" ht="15.75" hidden="1" customHeight="1">
      <c r="A1503" s="21">
        <v>320820</v>
      </c>
      <c r="B1503" s="21" t="s">
        <v>1486</v>
      </c>
      <c r="C1503" s="21" t="s">
        <v>5471</v>
      </c>
      <c r="D1503" s="21" t="s">
        <v>11</v>
      </c>
      <c r="E1503" s="21" t="s">
        <v>11</v>
      </c>
    </row>
    <row r="1504" spans="1:6" s="21" customFormat="1" ht="15.75" hidden="1" customHeight="1">
      <c r="A1504" s="21">
        <v>320890</v>
      </c>
      <c r="B1504" s="21" t="s">
        <v>1487</v>
      </c>
      <c r="C1504" s="21" t="s">
        <v>5471</v>
      </c>
      <c r="D1504" s="21" t="s">
        <v>11</v>
      </c>
      <c r="E1504" s="21" t="s">
        <v>11</v>
      </c>
    </row>
    <row r="1505" spans="1:5" s="21" customFormat="1" ht="15.75" hidden="1" customHeight="1">
      <c r="A1505" s="21">
        <v>320910</v>
      </c>
      <c r="B1505" s="21" t="s">
        <v>1488</v>
      </c>
      <c r="C1505" s="21" t="s">
        <v>5471</v>
      </c>
      <c r="D1505" s="21" t="s">
        <v>11</v>
      </c>
      <c r="E1505" s="21" t="s">
        <v>11</v>
      </c>
    </row>
    <row r="1506" spans="1:5" s="21" customFormat="1" ht="15.75" hidden="1" customHeight="1">
      <c r="A1506" s="21">
        <v>320990</v>
      </c>
      <c r="B1506" s="21" t="s">
        <v>1489</v>
      </c>
      <c r="C1506" s="21" t="s">
        <v>5471</v>
      </c>
      <c r="D1506" s="21" t="s">
        <v>11</v>
      </c>
      <c r="E1506" s="21" t="s">
        <v>11</v>
      </c>
    </row>
    <row r="1507" spans="1:5" s="21" customFormat="1" ht="15.75" hidden="1" customHeight="1">
      <c r="A1507" s="21">
        <v>321000</v>
      </c>
      <c r="B1507" s="21" t="s">
        <v>1490</v>
      </c>
      <c r="C1507" s="21" t="s">
        <v>5471</v>
      </c>
      <c r="D1507" s="21" t="s">
        <v>11</v>
      </c>
      <c r="E1507" s="21" t="s">
        <v>11</v>
      </c>
    </row>
    <row r="1508" spans="1:5" s="21" customFormat="1" ht="15.75" hidden="1" customHeight="1">
      <c r="A1508" s="21">
        <v>321100</v>
      </c>
      <c r="B1508" s="21" t="s">
        <v>1491</v>
      </c>
      <c r="C1508" s="21" t="s">
        <v>5472</v>
      </c>
      <c r="D1508" s="21" t="s">
        <v>11</v>
      </c>
      <c r="E1508" s="21" t="s">
        <v>11</v>
      </c>
    </row>
    <row r="1509" spans="1:5" s="21" customFormat="1" ht="15.75" hidden="1" customHeight="1">
      <c r="A1509" s="21">
        <v>321210</v>
      </c>
      <c r="B1509" s="21" t="s">
        <v>1492</v>
      </c>
      <c r="C1509" s="21" t="s">
        <v>5467</v>
      </c>
      <c r="D1509" s="21" t="s">
        <v>11</v>
      </c>
      <c r="E1509" s="21" t="s">
        <v>11</v>
      </c>
    </row>
    <row r="1510" spans="1:5" s="21" customFormat="1" ht="15.75" hidden="1" customHeight="1">
      <c r="A1510" s="21">
        <v>321290</v>
      </c>
      <c r="B1510" s="21" t="s">
        <v>1493</v>
      </c>
      <c r="C1510" s="21" t="s">
        <v>5467</v>
      </c>
      <c r="D1510" s="21" t="s">
        <v>11</v>
      </c>
      <c r="E1510" s="21" t="s">
        <v>11</v>
      </c>
    </row>
    <row r="1511" spans="1:5" s="21" customFormat="1" ht="15.75" hidden="1" customHeight="1">
      <c r="A1511" s="21">
        <v>321310</v>
      </c>
      <c r="B1511" s="21" t="s">
        <v>1494</v>
      </c>
      <c r="C1511" s="21" t="s">
        <v>5473</v>
      </c>
      <c r="D1511" s="21" t="s">
        <v>11</v>
      </c>
      <c r="E1511" s="21" t="s">
        <v>11</v>
      </c>
    </row>
    <row r="1512" spans="1:5" s="21" customFormat="1" ht="15.75" hidden="1" customHeight="1">
      <c r="A1512" s="21">
        <v>321390</v>
      </c>
      <c r="B1512" s="21" t="s">
        <v>1495</v>
      </c>
      <c r="C1512" s="21" t="s">
        <v>5473</v>
      </c>
      <c r="D1512" s="21" t="s">
        <v>11</v>
      </c>
      <c r="E1512" s="21" t="s">
        <v>11</v>
      </c>
    </row>
    <row r="1513" spans="1:5" s="21" customFormat="1" ht="15.75" hidden="1" customHeight="1">
      <c r="A1513" s="21">
        <v>321410</v>
      </c>
      <c r="B1513" s="21" t="s">
        <v>1496</v>
      </c>
      <c r="C1513" s="21" t="s">
        <v>5474</v>
      </c>
      <c r="D1513" s="21" t="s">
        <v>11</v>
      </c>
      <c r="E1513" s="21" t="s">
        <v>11</v>
      </c>
    </row>
    <row r="1514" spans="1:5" s="21" customFormat="1" ht="15.75" hidden="1" customHeight="1">
      <c r="A1514" s="21">
        <v>321490</v>
      </c>
      <c r="B1514" s="21" t="s">
        <v>1497</v>
      </c>
      <c r="C1514" s="21" t="s">
        <v>5474</v>
      </c>
      <c r="D1514" s="21" t="s">
        <v>11</v>
      </c>
      <c r="E1514" s="21" t="s">
        <v>11</v>
      </c>
    </row>
    <row r="1515" spans="1:5" s="21" customFormat="1" ht="15.75" hidden="1" customHeight="1">
      <c r="A1515" s="21">
        <v>321511</v>
      </c>
      <c r="B1515" s="21" t="s">
        <v>1498</v>
      </c>
      <c r="C1515" s="21" t="s">
        <v>5475</v>
      </c>
      <c r="D1515" s="21" t="s">
        <v>11</v>
      </c>
      <c r="E1515" s="21" t="s">
        <v>11</v>
      </c>
    </row>
    <row r="1516" spans="1:5" s="21" customFormat="1" ht="15.75" hidden="1" customHeight="1">
      <c r="A1516" s="21">
        <v>321519</v>
      </c>
      <c r="B1516" s="21" t="s">
        <v>1499</v>
      </c>
      <c r="C1516" s="21" t="s">
        <v>5475</v>
      </c>
      <c r="D1516" s="21" t="s">
        <v>11</v>
      </c>
      <c r="E1516" s="21" t="s">
        <v>11</v>
      </c>
    </row>
    <row r="1517" spans="1:5" s="21" customFormat="1" ht="15.75" hidden="1" customHeight="1">
      <c r="A1517" s="21">
        <v>321590</v>
      </c>
      <c r="B1517" s="21" t="s">
        <v>1500</v>
      </c>
      <c r="C1517" s="21" t="s">
        <v>5475</v>
      </c>
      <c r="D1517" s="21" t="s">
        <v>11</v>
      </c>
      <c r="E1517" s="21" t="s">
        <v>11</v>
      </c>
    </row>
    <row r="1518" spans="1:5" s="21" customFormat="1" ht="15.75" hidden="1" customHeight="1">
      <c r="A1518" s="21">
        <v>330112</v>
      </c>
      <c r="B1518" s="21" t="s">
        <v>1501</v>
      </c>
      <c r="C1518" s="21" t="s">
        <v>5476</v>
      </c>
      <c r="D1518" s="21" t="s">
        <v>11</v>
      </c>
      <c r="E1518" s="21" t="s">
        <v>11</v>
      </c>
    </row>
    <row r="1519" spans="1:5" s="21" customFormat="1" ht="15.75" hidden="1" customHeight="1">
      <c r="A1519" s="21">
        <v>330113</v>
      </c>
      <c r="B1519" s="21" t="s">
        <v>1502</v>
      </c>
      <c r="C1519" s="21" t="s">
        <v>5476</v>
      </c>
      <c r="D1519" s="21" t="s">
        <v>11</v>
      </c>
      <c r="E1519" s="21" t="s">
        <v>11</v>
      </c>
    </row>
    <row r="1520" spans="1:5" s="21" customFormat="1" ht="15.75" hidden="1" customHeight="1">
      <c r="A1520" s="21">
        <v>330119</v>
      </c>
      <c r="B1520" s="21" t="s">
        <v>1503</v>
      </c>
      <c r="C1520" s="21" t="s">
        <v>5476</v>
      </c>
      <c r="D1520" s="21" t="s">
        <v>11</v>
      </c>
      <c r="E1520" s="21" t="s">
        <v>11</v>
      </c>
    </row>
    <row r="1521" spans="1:6" ht="24.75" hidden="1" customHeight="1">
      <c r="A1521" s="21">
        <v>330124</v>
      </c>
      <c r="B1521" s="21" t="s">
        <v>1504</v>
      </c>
      <c r="C1521" s="21" t="s">
        <v>5476</v>
      </c>
      <c r="D1521" s="21" t="s">
        <v>11</v>
      </c>
      <c r="E1521" s="21" t="s">
        <v>11</v>
      </c>
      <c r="F1521" s="21"/>
    </row>
    <row r="1522" spans="1:6" s="21" customFormat="1" ht="15.75" hidden="1" customHeight="1">
      <c r="A1522" s="21">
        <v>330125</v>
      </c>
      <c r="B1522" s="21" t="s">
        <v>1505</v>
      </c>
      <c r="C1522" s="21" t="s">
        <v>5476</v>
      </c>
      <c r="D1522" s="21" t="s">
        <v>11</v>
      </c>
      <c r="E1522" s="21" t="s">
        <v>11</v>
      </c>
    </row>
    <row r="1523" spans="1:6" s="21" customFormat="1" ht="15.75" hidden="1" customHeight="1">
      <c r="A1523" s="21">
        <v>330129</v>
      </c>
      <c r="B1523" s="21" t="s">
        <v>1506</v>
      </c>
      <c r="C1523" s="21" t="s">
        <v>5476</v>
      </c>
      <c r="D1523" s="21" t="s">
        <v>11</v>
      </c>
      <c r="E1523" s="21" t="s">
        <v>11</v>
      </c>
    </row>
    <row r="1524" spans="1:6" s="21" customFormat="1" ht="15.75" hidden="1" customHeight="1">
      <c r="A1524" s="21">
        <v>330130</v>
      </c>
      <c r="B1524" s="21" t="s">
        <v>1507</v>
      </c>
      <c r="C1524" s="21" t="s">
        <v>1507</v>
      </c>
      <c r="D1524" s="21" t="s">
        <v>11</v>
      </c>
      <c r="E1524" s="21" t="s">
        <v>11</v>
      </c>
    </row>
    <row r="1525" spans="1:6" s="21" customFormat="1" ht="15.75" hidden="1" customHeight="1">
      <c r="A1525" s="21">
        <v>330190</v>
      </c>
      <c r="B1525" s="21" t="s">
        <v>1508</v>
      </c>
      <c r="C1525" s="21" t="s">
        <v>5476</v>
      </c>
      <c r="D1525" s="21" t="s">
        <v>11</v>
      </c>
      <c r="E1525" s="21" t="s">
        <v>11</v>
      </c>
    </row>
    <row r="1526" spans="1:6" s="21" customFormat="1" ht="15.75" hidden="1" customHeight="1">
      <c r="A1526" s="21">
        <v>330210</v>
      </c>
      <c r="B1526" s="21" t="s">
        <v>1509</v>
      </c>
      <c r="C1526" s="21" t="s">
        <v>5477</v>
      </c>
      <c r="D1526" s="21" t="s">
        <v>11</v>
      </c>
      <c r="E1526" s="21" t="s">
        <v>11</v>
      </c>
    </row>
    <row r="1527" spans="1:6" s="21" customFormat="1" ht="15.75" hidden="1" customHeight="1">
      <c r="A1527" s="21">
        <v>330290</v>
      </c>
      <c r="B1527" s="21" t="s">
        <v>1510</v>
      </c>
      <c r="C1527" s="21" t="s">
        <v>5477</v>
      </c>
      <c r="D1527" s="21" t="s">
        <v>11</v>
      </c>
      <c r="E1527" s="21" t="s">
        <v>11</v>
      </c>
    </row>
    <row r="1528" spans="1:6" s="21" customFormat="1" ht="15.75" hidden="1" customHeight="1">
      <c r="A1528" s="21">
        <v>330300</v>
      </c>
      <c r="B1528" s="21" t="s">
        <v>1511</v>
      </c>
      <c r="C1528" s="21" t="s">
        <v>1511</v>
      </c>
      <c r="D1528" s="21" t="s">
        <v>11</v>
      </c>
      <c r="E1528" s="21" t="s">
        <v>11</v>
      </c>
    </row>
    <row r="1529" spans="1:6" s="21" customFormat="1" ht="15.75" hidden="1" customHeight="1">
      <c r="A1529" s="21">
        <v>330410</v>
      </c>
      <c r="B1529" s="21" t="s">
        <v>1512</v>
      </c>
      <c r="C1529" s="21" t="s">
        <v>5478</v>
      </c>
      <c r="D1529" s="21" t="s">
        <v>11</v>
      </c>
      <c r="E1529" s="21" t="s">
        <v>11</v>
      </c>
    </row>
    <row r="1530" spans="1:6" s="21" customFormat="1" ht="15.75" hidden="1" customHeight="1">
      <c r="A1530" s="21">
        <v>330420</v>
      </c>
      <c r="B1530" s="21" t="s">
        <v>1513</v>
      </c>
      <c r="C1530" s="21" t="s">
        <v>5478</v>
      </c>
      <c r="D1530" s="21" t="s">
        <v>11</v>
      </c>
      <c r="E1530" s="21" t="s">
        <v>11</v>
      </c>
    </row>
    <row r="1531" spans="1:6" s="21" customFormat="1" ht="15.75" hidden="1" customHeight="1">
      <c r="A1531" s="21">
        <v>330430</v>
      </c>
      <c r="B1531" s="21" t="s">
        <v>1514</v>
      </c>
      <c r="C1531" s="21" t="s">
        <v>5478</v>
      </c>
      <c r="D1531" s="21" t="s">
        <v>11</v>
      </c>
      <c r="E1531" s="21" t="s">
        <v>11</v>
      </c>
    </row>
    <row r="1532" spans="1:6" s="21" customFormat="1" ht="15.75" hidden="1" customHeight="1">
      <c r="A1532" s="21">
        <v>330491</v>
      </c>
      <c r="B1532" s="21" t="s">
        <v>1515</v>
      </c>
      <c r="C1532" s="21" t="s">
        <v>5478</v>
      </c>
      <c r="D1532" s="21" t="s">
        <v>11</v>
      </c>
      <c r="E1532" s="21" t="s">
        <v>11</v>
      </c>
    </row>
    <row r="1533" spans="1:6" s="21" customFormat="1" ht="15.75" hidden="1" customHeight="1">
      <c r="A1533" s="21">
        <v>330499</v>
      </c>
      <c r="B1533" s="21" t="s">
        <v>1516</v>
      </c>
      <c r="C1533" s="21" t="s">
        <v>5478</v>
      </c>
      <c r="D1533" s="21" t="s">
        <v>11</v>
      </c>
      <c r="E1533" s="21" t="s">
        <v>11</v>
      </c>
    </row>
    <row r="1534" spans="1:6" s="21" customFormat="1" ht="15.75" hidden="1" customHeight="1">
      <c r="A1534" s="21">
        <v>330510</v>
      </c>
      <c r="B1534" s="21" t="s">
        <v>1517</v>
      </c>
      <c r="C1534" s="21" t="s">
        <v>5479</v>
      </c>
      <c r="D1534" s="21" t="s">
        <v>11</v>
      </c>
      <c r="E1534" s="21" t="s">
        <v>11</v>
      </c>
    </row>
    <row r="1535" spans="1:6" s="21" customFormat="1" ht="15.75" hidden="1" customHeight="1">
      <c r="A1535" s="21">
        <v>330520</v>
      </c>
      <c r="B1535" s="21" t="s">
        <v>1518</v>
      </c>
      <c r="C1535" s="21" t="s">
        <v>5479</v>
      </c>
      <c r="D1535" s="21" t="s">
        <v>11</v>
      </c>
      <c r="E1535" s="21" t="s">
        <v>11</v>
      </c>
    </row>
    <row r="1536" spans="1:6" s="21" customFormat="1" ht="15.75" hidden="1" customHeight="1">
      <c r="A1536" s="21">
        <v>330530</v>
      </c>
      <c r="B1536" s="21" t="s">
        <v>1519</v>
      </c>
      <c r="C1536" s="21" t="s">
        <v>5479</v>
      </c>
      <c r="D1536" s="21" t="s">
        <v>11</v>
      </c>
      <c r="E1536" s="21" t="s">
        <v>11</v>
      </c>
    </row>
    <row r="1537" spans="1:5" s="21" customFormat="1" ht="15.75" hidden="1" customHeight="1">
      <c r="A1537" s="21">
        <v>330590</v>
      </c>
      <c r="B1537" s="21" t="s">
        <v>1520</v>
      </c>
      <c r="C1537" s="21" t="s">
        <v>5479</v>
      </c>
      <c r="D1537" s="21" t="s">
        <v>11</v>
      </c>
      <c r="E1537" s="21" t="s">
        <v>11</v>
      </c>
    </row>
    <row r="1538" spans="1:5" s="21" customFormat="1" ht="15.75" hidden="1" customHeight="1">
      <c r="A1538" s="21">
        <v>330610</v>
      </c>
      <c r="B1538" s="21" t="s">
        <v>1521</v>
      </c>
      <c r="C1538" s="21" t="s">
        <v>5480</v>
      </c>
      <c r="D1538" s="21" t="s">
        <v>11</v>
      </c>
      <c r="E1538" s="21" t="s">
        <v>11</v>
      </c>
    </row>
    <row r="1539" spans="1:5" s="21" customFormat="1" ht="15.75" hidden="1" customHeight="1">
      <c r="A1539" s="21">
        <v>330620</v>
      </c>
      <c r="B1539" s="21" t="s">
        <v>1522</v>
      </c>
      <c r="C1539" s="21" t="s">
        <v>5480</v>
      </c>
      <c r="D1539" s="21" t="s">
        <v>11</v>
      </c>
      <c r="E1539" s="21" t="s">
        <v>11</v>
      </c>
    </row>
    <row r="1540" spans="1:5" s="21" customFormat="1" ht="15.75" hidden="1" customHeight="1">
      <c r="A1540" s="21">
        <v>330690</v>
      </c>
      <c r="B1540" s="21" t="s">
        <v>1523</v>
      </c>
      <c r="C1540" s="21" t="s">
        <v>5480</v>
      </c>
      <c r="D1540" s="21" t="s">
        <v>11</v>
      </c>
      <c r="E1540" s="21" t="s">
        <v>11</v>
      </c>
    </row>
    <row r="1541" spans="1:5" s="21" customFormat="1" ht="15.75" hidden="1" customHeight="1">
      <c r="A1541" s="21">
        <v>330710</v>
      </c>
      <c r="B1541" s="21" t="s">
        <v>1524</v>
      </c>
      <c r="C1541" s="21" t="s">
        <v>5481</v>
      </c>
      <c r="D1541" s="21" t="s">
        <v>11</v>
      </c>
      <c r="E1541" s="21" t="s">
        <v>11</v>
      </c>
    </row>
    <row r="1542" spans="1:5" s="21" customFormat="1" ht="15.75" hidden="1" customHeight="1">
      <c r="A1542" s="21">
        <v>330720</v>
      </c>
      <c r="B1542" s="21" t="s">
        <v>1525</v>
      </c>
      <c r="C1542" s="21" t="s">
        <v>5481</v>
      </c>
      <c r="D1542" s="21" t="s">
        <v>11</v>
      </c>
      <c r="E1542" s="21" t="s">
        <v>11</v>
      </c>
    </row>
    <row r="1543" spans="1:5" s="21" customFormat="1" ht="15.75" hidden="1" customHeight="1">
      <c r="A1543" s="21">
        <v>330730</v>
      </c>
      <c r="B1543" s="21" t="s">
        <v>1526</v>
      </c>
      <c r="C1543" s="21" t="s">
        <v>5481</v>
      </c>
      <c r="D1543" s="21" t="s">
        <v>11</v>
      </c>
      <c r="E1543" s="21" t="s">
        <v>11</v>
      </c>
    </row>
    <row r="1544" spans="1:5" s="21" customFormat="1" ht="15.75" hidden="1" customHeight="1">
      <c r="A1544" s="21">
        <v>330741</v>
      </c>
      <c r="B1544" s="21" t="s">
        <v>1527</v>
      </c>
      <c r="C1544" s="21" t="s">
        <v>5482</v>
      </c>
      <c r="D1544" s="21" t="s">
        <v>11</v>
      </c>
      <c r="E1544" s="21" t="s">
        <v>11</v>
      </c>
    </row>
    <row r="1545" spans="1:5" s="21" customFormat="1" ht="15.75" hidden="1" customHeight="1">
      <c r="A1545" s="21">
        <v>330749</v>
      </c>
      <c r="B1545" s="21" t="s">
        <v>1528</v>
      </c>
      <c r="C1545" s="21" t="s">
        <v>5482</v>
      </c>
      <c r="D1545" s="21" t="s">
        <v>11</v>
      </c>
      <c r="E1545" s="21" t="s">
        <v>11</v>
      </c>
    </row>
    <row r="1546" spans="1:5" s="21" customFormat="1" ht="15.75" hidden="1" customHeight="1">
      <c r="A1546" s="21">
        <v>330790</v>
      </c>
      <c r="B1546" s="21" t="s">
        <v>1529</v>
      </c>
      <c r="C1546" s="21" t="s">
        <v>5482</v>
      </c>
      <c r="D1546" s="21" t="s">
        <v>11</v>
      </c>
      <c r="E1546" s="21" t="s">
        <v>11</v>
      </c>
    </row>
    <row r="1547" spans="1:5" s="21" customFormat="1" ht="15.75" hidden="1" customHeight="1">
      <c r="A1547" s="21">
        <v>340111</v>
      </c>
      <c r="B1547" s="21" t="s">
        <v>1530</v>
      </c>
      <c r="C1547" s="21" t="s">
        <v>5483</v>
      </c>
      <c r="D1547" s="21" t="s">
        <v>11</v>
      </c>
      <c r="E1547" s="21" t="s">
        <v>11</v>
      </c>
    </row>
    <row r="1548" spans="1:5" s="21" customFormat="1" ht="15.75" hidden="1" customHeight="1">
      <c r="A1548" s="21">
        <v>340119</v>
      </c>
      <c r="B1548" s="21" t="s">
        <v>1531</v>
      </c>
      <c r="C1548" s="21" t="s">
        <v>5483</v>
      </c>
      <c r="D1548" s="21" t="s">
        <v>11</v>
      </c>
      <c r="E1548" s="21" t="s">
        <v>11</v>
      </c>
    </row>
    <row r="1549" spans="1:5" s="21" customFormat="1" ht="15.75" hidden="1" customHeight="1">
      <c r="A1549" s="21">
        <v>340120</v>
      </c>
      <c r="B1549" s="21" t="s">
        <v>1532</v>
      </c>
      <c r="C1549" s="21" t="s">
        <v>5484</v>
      </c>
      <c r="D1549" s="21" t="s">
        <v>11</v>
      </c>
      <c r="E1549" s="21" t="s">
        <v>11</v>
      </c>
    </row>
    <row r="1550" spans="1:5" s="21" customFormat="1" ht="15.75" hidden="1" customHeight="1">
      <c r="A1550" s="21">
        <v>340130</v>
      </c>
      <c r="B1550" s="21" t="s">
        <v>1533</v>
      </c>
      <c r="C1550" s="21" t="s">
        <v>1533</v>
      </c>
      <c r="D1550" s="21" t="s">
        <v>11</v>
      </c>
      <c r="E1550" s="21" t="s">
        <v>11</v>
      </c>
    </row>
    <row r="1551" spans="1:5" s="21" customFormat="1" ht="15.75" hidden="1" customHeight="1">
      <c r="A1551" s="21">
        <v>340211</v>
      </c>
      <c r="B1551" s="21" t="s">
        <v>1534</v>
      </c>
      <c r="C1551" s="21" t="s">
        <v>5485</v>
      </c>
      <c r="D1551" s="21" t="s">
        <v>11</v>
      </c>
      <c r="E1551" s="21" t="s">
        <v>11</v>
      </c>
    </row>
    <row r="1552" spans="1:5" s="21" customFormat="1" ht="15.75" hidden="1" customHeight="1">
      <c r="A1552" s="21">
        <v>340212</v>
      </c>
      <c r="B1552" s="21" t="s">
        <v>1535</v>
      </c>
      <c r="C1552" s="21" t="s">
        <v>5485</v>
      </c>
      <c r="D1552" s="21" t="s">
        <v>11</v>
      </c>
      <c r="E1552" s="21" t="s">
        <v>11</v>
      </c>
    </row>
    <row r="1553" spans="1:5" s="21" customFormat="1" ht="15.75" hidden="1" customHeight="1">
      <c r="A1553" s="21">
        <v>340213</v>
      </c>
      <c r="B1553" s="21" t="s">
        <v>1536</v>
      </c>
      <c r="C1553" s="21" t="s">
        <v>5485</v>
      </c>
      <c r="D1553" s="21" t="s">
        <v>11</v>
      </c>
      <c r="E1553" s="21" t="s">
        <v>11</v>
      </c>
    </row>
    <row r="1554" spans="1:5" s="21" customFormat="1" ht="15.75" hidden="1" customHeight="1">
      <c r="A1554" s="21">
        <v>340219</v>
      </c>
      <c r="B1554" s="21" t="s">
        <v>1537</v>
      </c>
      <c r="C1554" s="21" t="s">
        <v>5485</v>
      </c>
      <c r="D1554" s="21" t="s">
        <v>11</v>
      </c>
      <c r="E1554" s="21" t="s">
        <v>11</v>
      </c>
    </row>
    <row r="1555" spans="1:5" s="21" customFormat="1" ht="15.75" hidden="1" customHeight="1">
      <c r="A1555" s="21">
        <v>340220</v>
      </c>
      <c r="B1555" s="21" t="s">
        <v>1538</v>
      </c>
      <c r="C1555" s="21" t="s">
        <v>5486</v>
      </c>
      <c r="D1555" s="21" t="s">
        <v>11</v>
      </c>
      <c r="E1555" s="21" t="s">
        <v>11</v>
      </c>
    </row>
    <row r="1556" spans="1:5" s="21" customFormat="1" ht="15.75" hidden="1" customHeight="1">
      <c r="A1556" s="21">
        <v>340290</v>
      </c>
      <c r="B1556" s="21" t="s">
        <v>1539</v>
      </c>
      <c r="C1556" s="21" t="s">
        <v>5486</v>
      </c>
      <c r="D1556" s="21" t="s">
        <v>11</v>
      </c>
      <c r="E1556" s="21" t="s">
        <v>11</v>
      </c>
    </row>
    <row r="1557" spans="1:5" s="21" customFormat="1" ht="15.75" hidden="1" customHeight="1">
      <c r="A1557" s="21">
        <v>340311</v>
      </c>
      <c r="B1557" s="21" t="s">
        <v>1540</v>
      </c>
      <c r="C1557" s="21" t="s">
        <v>5487</v>
      </c>
      <c r="D1557" s="21" t="s">
        <v>11</v>
      </c>
      <c r="E1557" s="21" t="s">
        <v>11</v>
      </c>
    </row>
    <row r="1558" spans="1:5" s="21" customFormat="1" ht="15.75" hidden="1" customHeight="1">
      <c r="A1558" s="21">
        <v>340319</v>
      </c>
      <c r="B1558" s="21" t="s">
        <v>1541</v>
      </c>
      <c r="C1558" s="21" t="s">
        <v>5487</v>
      </c>
      <c r="D1558" s="21" t="s">
        <v>11</v>
      </c>
      <c r="E1558" s="21" t="s">
        <v>11</v>
      </c>
    </row>
    <row r="1559" spans="1:5" s="21" customFormat="1" ht="15.75" hidden="1" customHeight="1">
      <c r="A1559" s="21">
        <v>340391</v>
      </c>
      <c r="B1559" s="21" t="s">
        <v>1542</v>
      </c>
      <c r="C1559" s="21" t="s">
        <v>5487</v>
      </c>
      <c r="D1559" s="21" t="s">
        <v>11</v>
      </c>
      <c r="E1559" s="21" t="s">
        <v>11</v>
      </c>
    </row>
    <row r="1560" spans="1:5" s="21" customFormat="1" ht="15.75" hidden="1" customHeight="1">
      <c r="A1560" s="21">
        <v>340399</v>
      </c>
      <c r="B1560" s="21" t="s">
        <v>1543</v>
      </c>
      <c r="C1560" s="21" t="s">
        <v>5487</v>
      </c>
      <c r="D1560" s="21" t="s">
        <v>11</v>
      </c>
      <c r="E1560" s="21" t="s">
        <v>11</v>
      </c>
    </row>
    <row r="1561" spans="1:5" s="21" customFormat="1" ht="15.75" hidden="1" customHeight="1">
      <c r="A1561" s="21">
        <v>340420</v>
      </c>
      <c r="B1561" s="21" t="s">
        <v>1544</v>
      </c>
      <c r="C1561" s="21" t="s">
        <v>5488</v>
      </c>
      <c r="D1561" s="21" t="s">
        <v>11</v>
      </c>
      <c r="E1561" s="21" t="s">
        <v>11</v>
      </c>
    </row>
    <row r="1562" spans="1:5" s="21" customFormat="1" ht="15.75" hidden="1" customHeight="1">
      <c r="A1562" s="21">
        <v>340490</v>
      </c>
      <c r="B1562" s="21" t="s">
        <v>1545</v>
      </c>
      <c r="C1562" s="21" t="s">
        <v>5488</v>
      </c>
      <c r="D1562" s="21" t="s">
        <v>11</v>
      </c>
      <c r="E1562" s="21" t="s">
        <v>11</v>
      </c>
    </row>
    <row r="1563" spans="1:5" s="21" customFormat="1" ht="15.75" hidden="1" customHeight="1">
      <c r="A1563" s="21">
        <v>340510</v>
      </c>
      <c r="B1563" s="21" t="s">
        <v>1546</v>
      </c>
      <c r="C1563" s="21" t="s">
        <v>5489</v>
      </c>
      <c r="D1563" s="21" t="s">
        <v>11</v>
      </c>
      <c r="E1563" s="21" t="s">
        <v>11</v>
      </c>
    </row>
    <row r="1564" spans="1:5" s="21" customFormat="1" ht="15.75" hidden="1" customHeight="1">
      <c r="A1564" s="21">
        <v>340520</v>
      </c>
      <c r="B1564" s="21" t="s">
        <v>1547</v>
      </c>
      <c r="C1564" s="21" t="s">
        <v>5489</v>
      </c>
      <c r="D1564" s="21" t="s">
        <v>11</v>
      </c>
      <c r="E1564" s="21" t="s">
        <v>11</v>
      </c>
    </row>
    <row r="1565" spans="1:5" s="21" customFormat="1" ht="15.75" hidden="1" customHeight="1">
      <c r="A1565" s="21">
        <v>340530</v>
      </c>
      <c r="B1565" s="21" t="s">
        <v>1548</v>
      </c>
      <c r="C1565" s="21" t="s">
        <v>5489</v>
      </c>
      <c r="D1565" s="21" t="s">
        <v>11</v>
      </c>
      <c r="E1565" s="21" t="s">
        <v>11</v>
      </c>
    </row>
    <row r="1566" spans="1:5" s="21" customFormat="1" ht="15.75" hidden="1" customHeight="1">
      <c r="A1566" s="21">
        <v>340540</v>
      </c>
      <c r="B1566" s="21" t="s">
        <v>1549</v>
      </c>
      <c r="C1566" s="21" t="s">
        <v>5490</v>
      </c>
      <c r="D1566" s="21" t="s">
        <v>11</v>
      </c>
      <c r="E1566" s="21" t="s">
        <v>11</v>
      </c>
    </row>
    <row r="1567" spans="1:5" s="21" customFormat="1" ht="15.75" hidden="1" customHeight="1">
      <c r="A1567" s="21">
        <v>340590</v>
      </c>
      <c r="B1567" s="21" t="s">
        <v>1550</v>
      </c>
      <c r="C1567" s="21" t="s">
        <v>5489</v>
      </c>
      <c r="D1567" s="21" t="s">
        <v>11</v>
      </c>
      <c r="E1567" s="21" t="s">
        <v>11</v>
      </c>
    </row>
    <row r="1568" spans="1:5" s="21" customFormat="1" ht="15.75" hidden="1" customHeight="1">
      <c r="A1568" s="21">
        <v>340600</v>
      </c>
      <c r="B1568" s="21" t="s">
        <v>1551</v>
      </c>
      <c r="C1568" s="21" t="s">
        <v>1551</v>
      </c>
      <c r="D1568" s="21" t="s">
        <v>11</v>
      </c>
      <c r="E1568" s="21" t="s">
        <v>11</v>
      </c>
    </row>
    <row r="1569" spans="1:5" s="21" customFormat="1" ht="15.75" hidden="1" customHeight="1">
      <c r="A1569" s="21">
        <v>350110</v>
      </c>
      <c r="B1569" s="21" t="s">
        <v>1553</v>
      </c>
      <c r="C1569" s="21" t="s">
        <v>1553</v>
      </c>
      <c r="D1569" s="21" t="s">
        <v>11</v>
      </c>
      <c r="E1569" s="21" t="s">
        <v>11</v>
      </c>
    </row>
    <row r="1570" spans="1:5" s="21" customFormat="1" ht="15.75" hidden="1" customHeight="1">
      <c r="A1570" s="21">
        <v>350190</v>
      </c>
      <c r="B1570" s="21" t="s">
        <v>1554</v>
      </c>
      <c r="C1570" s="21" t="s">
        <v>5491</v>
      </c>
      <c r="D1570" s="21" t="s">
        <v>11</v>
      </c>
      <c r="E1570" s="21" t="s">
        <v>11</v>
      </c>
    </row>
    <row r="1571" spans="1:5" s="21" customFormat="1" ht="15.75" hidden="1" customHeight="1">
      <c r="A1571" s="21">
        <v>350211</v>
      </c>
      <c r="B1571" s="21" t="s">
        <v>1555</v>
      </c>
      <c r="C1571" s="21" t="s">
        <v>5492</v>
      </c>
      <c r="D1571" s="21" t="s">
        <v>11</v>
      </c>
      <c r="E1571" s="21" t="s">
        <v>11</v>
      </c>
    </row>
    <row r="1572" spans="1:5" s="21" customFormat="1" ht="15.75" hidden="1" customHeight="1">
      <c r="A1572" s="21">
        <v>350219</v>
      </c>
      <c r="B1572" s="21" t="s">
        <v>1556</v>
      </c>
      <c r="C1572" s="21" t="s">
        <v>5492</v>
      </c>
      <c r="D1572" s="21" t="s">
        <v>11</v>
      </c>
      <c r="E1572" s="21" t="s">
        <v>11</v>
      </c>
    </row>
    <row r="1573" spans="1:5" s="21" customFormat="1" ht="15.75" hidden="1" customHeight="1">
      <c r="A1573" s="21">
        <v>350220</v>
      </c>
      <c r="B1573" s="21" t="s">
        <v>1557</v>
      </c>
      <c r="C1573" s="21" t="s">
        <v>5492</v>
      </c>
      <c r="D1573" s="21" t="s">
        <v>11</v>
      </c>
      <c r="E1573" s="21" t="s">
        <v>11</v>
      </c>
    </row>
    <row r="1574" spans="1:5" s="21" customFormat="1" ht="15.75" hidden="1" customHeight="1">
      <c r="A1574" s="21">
        <v>350290</v>
      </c>
      <c r="B1574" s="21" t="s">
        <v>1558</v>
      </c>
      <c r="C1574" s="21" t="s">
        <v>5493</v>
      </c>
      <c r="D1574" s="21" t="s">
        <v>11</v>
      </c>
      <c r="E1574" s="21" t="s">
        <v>11</v>
      </c>
    </row>
    <row r="1575" spans="1:5" s="21" customFormat="1" ht="15.75" hidden="1" customHeight="1">
      <c r="A1575" s="21">
        <v>350300</v>
      </c>
      <c r="B1575" s="21" t="s">
        <v>1559</v>
      </c>
      <c r="C1575" s="21" t="s">
        <v>5494</v>
      </c>
      <c r="D1575" s="21" t="s">
        <v>11</v>
      </c>
      <c r="E1575" s="21" t="s">
        <v>11</v>
      </c>
    </row>
    <row r="1576" spans="1:5" s="21" customFormat="1" ht="15.75" hidden="1" customHeight="1">
      <c r="A1576" s="21">
        <v>350400</v>
      </c>
      <c r="B1576" s="21" t="s">
        <v>1560</v>
      </c>
      <c r="C1576" s="21" t="s">
        <v>5495</v>
      </c>
      <c r="D1576" s="21" t="s">
        <v>11</v>
      </c>
      <c r="E1576" s="21" t="s">
        <v>11</v>
      </c>
    </row>
    <row r="1577" spans="1:5" s="21" customFormat="1" ht="15.75" hidden="1" customHeight="1">
      <c r="A1577" s="21">
        <v>350510</v>
      </c>
      <c r="B1577" s="21" t="s">
        <v>1561</v>
      </c>
      <c r="C1577" s="21" t="s">
        <v>1561</v>
      </c>
      <c r="D1577" s="21" t="s">
        <v>11</v>
      </c>
      <c r="E1577" s="21" t="s">
        <v>11</v>
      </c>
    </row>
    <row r="1578" spans="1:5" s="21" customFormat="1" ht="15.75" hidden="1" customHeight="1">
      <c r="A1578" s="21">
        <v>350520</v>
      </c>
      <c r="B1578" s="21" t="s">
        <v>1562</v>
      </c>
      <c r="C1578" s="21" t="s">
        <v>5496</v>
      </c>
      <c r="D1578" s="21" t="s">
        <v>11</v>
      </c>
      <c r="E1578" s="21" t="s">
        <v>11</v>
      </c>
    </row>
    <row r="1579" spans="1:5" s="21" customFormat="1" ht="15.75" hidden="1" customHeight="1">
      <c r="A1579" s="21">
        <v>350610</v>
      </c>
      <c r="B1579" s="21" t="s">
        <v>1563</v>
      </c>
      <c r="C1579" s="21" t="s">
        <v>5497</v>
      </c>
      <c r="D1579" s="21" t="s">
        <v>11</v>
      </c>
      <c r="E1579" s="21" t="s">
        <v>11</v>
      </c>
    </row>
    <row r="1580" spans="1:5" s="21" customFormat="1" ht="15.75" hidden="1" customHeight="1">
      <c r="A1580" s="21">
        <v>350691</v>
      </c>
      <c r="B1580" s="21" t="s">
        <v>1564</v>
      </c>
      <c r="C1580" s="21" t="s">
        <v>5498</v>
      </c>
      <c r="D1580" s="21" t="s">
        <v>11</v>
      </c>
      <c r="E1580" s="21" t="s">
        <v>11</v>
      </c>
    </row>
    <row r="1581" spans="1:5" s="21" customFormat="1" ht="15.75" hidden="1" customHeight="1">
      <c r="A1581" s="21">
        <v>350699</v>
      </c>
      <c r="B1581" s="21" t="s">
        <v>1565</v>
      </c>
      <c r="C1581" s="21" t="s">
        <v>5499</v>
      </c>
      <c r="D1581" s="21" t="s">
        <v>11</v>
      </c>
      <c r="E1581" s="21" t="s">
        <v>11</v>
      </c>
    </row>
    <row r="1582" spans="1:5" s="21" customFormat="1" ht="15.75" hidden="1" customHeight="1">
      <c r="A1582" s="21">
        <v>350710</v>
      </c>
      <c r="B1582" s="21" t="s">
        <v>1566</v>
      </c>
      <c r="C1582" s="21" t="s">
        <v>5500</v>
      </c>
      <c r="D1582" s="21" t="s">
        <v>11</v>
      </c>
      <c r="E1582" s="21" t="s">
        <v>11</v>
      </c>
    </row>
    <row r="1583" spans="1:5" s="21" customFormat="1" ht="15.75" hidden="1" customHeight="1">
      <c r="A1583" s="21">
        <v>350790</v>
      </c>
      <c r="B1583" s="21" t="s">
        <v>1567</v>
      </c>
      <c r="C1583" s="21" t="s">
        <v>5501</v>
      </c>
      <c r="D1583" s="21" t="s">
        <v>11</v>
      </c>
      <c r="E1583" s="21" t="s">
        <v>11</v>
      </c>
    </row>
    <row r="1584" spans="1:5" s="21" customFormat="1" ht="15.75" hidden="1" customHeight="1">
      <c r="A1584" s="21">
        <v>360100</v>
      </c>
      <c r="B1584" s="21" t="s">
        <v>1568</v>
      </c>
      <c r="C1584" s="21" t="s">
        <v>5502</v>
      </c>
      <c r="D1584" s="21" t="s">
        <v>11</v>
      </c>
      <c r="E1584" s="21" t="s">
        <v>11</v>
      </c>
    </row>
    <row r="1585" spans="1:5" s="21" customFormat="1" ht="15.75" hidden="1" customHeight="1">
      <c r="A1585" s="21">
        <v>360200</v>
      </c>
      <c r="B1585" s="21" t="s">
        <v>1569</v>
      </c>
      <c r="C1585" s="21" t="s">
        <v>5503</v>
      </c>
      <c r="D1585" s="21" t="s">
        <v>11</v>
      </c>
      <c r="E1585" s="21" t="s">
        <v>11</v>
      </c>
    </row>
    <row r="1586" spans="1:5" s="21" customFormat="1" ht="15.75" hidden="1" customHeight="1">
      <c r="A1586" s="21">
        <v>360300</v>
      </c>
      <c r="B1586" s="21" t="s">
        <v>1570</v>
      </c>
      <c r="C1586" s="21" t="s">
        <v>5504</v>
      </c>
      <c r="D1586" s="21" t="s">
        <v>11</v>
      </c>
      <c r="E1586" s="21" t="s">
        <v>11</v>
      </c>
    </row>
    <row r="1587" spans="1:5" s="21" customFormat="1" ht="15.75" hidden="1" customHeight="1">
      <c r="A1587" s="21">
        <v>360410</v>
      </c>
      <c r="B1587" s="21" t="s">
        <v>1571</v>
      </c>
      <c r="C1587" s="21" t="s">
        <v>5505</v>
      </c>
      <c r="D1587" s="21" t="s">
        <v>11</v>
      </c>
      <c r="E1587" s="21" t="s">
        <v>11</v>
      </c>
    </row>
    <row r="1588" spans="1:5" s="21" customFormat="1" ht="15.75" hidden="1" customHeight="1">
      <c r="A1588" s="21">
        <v>360490</v>
      </c>
      <c r="B1588" s="21" t="s">
        <v>1572</v>
      </c>
      <c r="C1588" s="21" t="s">
        <v>5505</v>
      </c>
      <c r="D1588" s="21" t="s">
        <v>11</v>
      </c>
      <c r="E1588" s="21" t="s">
        <v>11</v>
      </c>
    </row>
    <row r="1589" spans="1:5" s="21" customFormat="1" ht="15.75" hidden="1" customHeight="1">
      <c r="A1589" s="21">
        <v>360500</v>
      </c>
      <c r="B1589" s="21" t="s">
        <v>1573</v>
      </c>
      <c r="C1589" s="21" t="s">
        <v>5506</v>
      </c>
      <c r="D1589" s="21" t="s">
        <v>11</v>
      </c>
      <c r="E1589" s="21" t="s">
        <v>11</v>
      </c>
    </row>
    <row r="1590" spans="1:5" s="21" customFormat="1" ht="15.75" hidden="1" customHeight="1">
      <c r="A1590" s="21">
        <v>360610</v>
      </c>
      <c r="B1590" s="21" t="s">
        <v>1574</v>
      </c>
      <c r="C1590" s="21" t="s">
        <v>5507</v>
      </c>
      <c r="D1590" s="21" t="s">
        <v>11</v>
      </c>
      <c r="E1590" s="21" t="s">
        <v>11</v>
      </c>
    </row>
    <row r="1591" spans="1:5" s="21" customFormat="1" ht="15.75" hidden="1" customHeight="1">
      <c r="A1591" s="21">
        <v>360690</v>
      </c>
      <c r="B1591" s="21" t="s">
        <v>1575</v>
      </c>
      <c r="C1591" s="21" t="s">
        <v>5508</v>
      </c>
      <c r="D1591" s="21" t="s">
        <v>11</v>
      </c>
      <c r="E1591" s="21" t="s">
        <v>11</v>
      </c>
    </row>
    <row r="1592" spans="1:5" s="21" customFormat="1" ht="15.75" hidden="1" customHeight="1">
      <c r="A1592" s="21">
        <v>370110</v>
      </c>
      <c r="B1592" s="21" t="s">
        <v>1576</v>
      </c>
      <c r="C1592" s="21" t="s">
        <v>5509</v>
      </c>
      <c r="D1592" s="21" t="s">
        <v>11</v>
      </c>
      <c r="E1592" s="21" t="s">
        <v>11</v>
      </c>
    </row>
    <row r="1593" spans="1:5" s="21" customFormat="1" ht="15.75" hidden="1" customHeight="1">
      <c r="A1593" s="21">
        <v>370120</v>
      </c>
      <c r="B1593" s="21" t="s">
        <v>1577</v>
      </c>
      <c r="C1593" s="21" t="s">
        <v>5509</v>
      </c>
      <c r="D1593" s="21" t="s">
        <v>11</v>
      </c>
      <c r="E1593" s="21" t="s">
        <v>11</v>
      </c>
    </row>
    <row r="1594" spans="1:5" s="21" customFormat="1" ht="15.75" hidden="1" customHeight="1">
      <c r="A1594" s="21">
        <v>370130</v>
      </c>
      <c r="B1594" s="21" t="s">
        <v>1578</v>
      </c>
      <c r="C1594" s="21" t="s">
        <v>5509</v>
      </c>
      <c r="D1594" s="21" t="s">
        <v>11</v>
      </c>
      <c r="E1594" s="21" t="s">
        <v>11</v>
      </c>
    </row>
    <row r="1595" spans="1:5" s="21" customFormat="1" ht="15.75" hidden="1" customHeight="1">
      <c r="A1595" s="21">
        <v>370191</v>
      </c>
      <c r="B1595" s="21" t="s">
        <v>1579</v>
      </c>
      <c r="C1595" s="21" t="s">
        <v>5509</v>
      </c>
      <c r="D1595" s="21" t="s">
        <v>11</v>
      </c>
      <c r="E1595" s="21" t="s">
        <v>11</v>
      </c>
    </row>
    <row r="1596" spans="1:5" s="21" customFormat="1" ht="15.75" hidden="1" customHeight="1">
      <c r="A1596" s="21">
        <v>370199</v>
      </c>
      <c r="B1596" s="21" t="s">
        <v>1580</v>
      </c>
      <c r="C1596" s="21" t="s">
        <v>5509</v>
      </c>
      <c r="D1596" s="21" t="s">
        <v>11</v>
      </c>
      <c r="E1596" s="21" t="s">
        <v>11</v>
      </c>
    </row>
    <row r="1597" spans="1:5" s="21" customFormat="1" ht="15.75" hidden="1" customHeight="1">
      <c r="A1597" s="21">
        <v>370210</v>
      </c>
      <c r="B1597" s="21" t="s">
        <v>1581</v>
      </c>
      <c r="C1597" s="21" t="s">
        <v>5510</v>
      </c>
      <c r="D1597" s="21" t="s">
        <v>11</v>
      </c>
      <c r="E1597" s="21" t="s">
        <v>11</v>
      </c>
    </row>
    <row r="1598" spans="1:5" s="21" customFormat="1" ht="15.75" hidden="1" customHeight="1">
      <c r="A1598" s="21">
        <v>370231</v>
      </c>
      <c r="B1598" s="21" t="s">
        <v>1582</v>
      </c>
      <c r="C1598" s="21" t="s">
        <v>5510</v>
      </c>
      <c r="D1598" s="21" t="s">
        <v>11</v>
      </c>
      <c r="E1598" s="21" t="s">
        <v>11</v>
      </c>
    </row>
    <row r="1599" spans="1:5" s="21" customFormat="1" ht="15.75" hidden="1" customHeight="1">
      <c r="A1599" s="21">
        <v>370232</v>
      </c>
      <c r="B1599" s="21" t="s">
        <v>1583</v>
      </c>
      <c r="C1599" s="21" t="s">
        <v>5510</v>
      </c>
      <c r="D1599" s="21" t="s">
        <v>11</v>
      </c>
      <c r="E1599" s="21" t="s">
        <v>11</v>
      </c>
    </row>
    <row r="1600" spans="1:5" s="21" customFormat="1" ht="15.75" hidden="1" customHeight="1">
      <c r="A1600" s="21">
        <v>370239</v>
      </c>
      <c r="B1600" s="21" t="s">
        <v>1584</v>
      </c>
      <c r="C1600" s="21" t="s">
        <v>5510</v>
      </c>
      <c r="D1600" s="21" t="s">
        <v>11</v>
      </c>
      <c r="E1600" s="21" t="s">
        <v>11</v>
      </c>
    </row>
    <row r="1601" spans="1:5" s="21" customFormat="1" ht="15.75" hidden="1" customHeight="1">
      <c r="A1601" s="21">
        <v>370241</v>
      </c>
      <c r="B1601" s="21" t="s">
        <v>1585</v>
      </c>
      <c r="C1601" s="21" t="s">
        <v>5510</v>
      </c>
      <c r="D1601" s="21" t="s">
        <v>11</v>
      </c>
      <c r="E1601" s="21" t="s">
        <v>11</v>
      </c>
    </row>
    <row r="1602" spans="1:5" s="21" customFormat="1" ht="15.75" hidden="1" customHeight="1">
      <c r="A1602" s="21">
        <v>370242</v>
      </c>
      <c r="B1602" s="21" t="s">
        <v>1586</v>
      </c>
      <c r="C1602" s="21" t="s">
        <v>5510</v>
      </c>
      <c r="D1602" s="21" t="s">
        <v>11</v>
      </c>
      <c r="E1602" s="21" t="s">
        <v>11</v>
      </c>
    </row>
    <row r="1603" spans="1:5" s="21" customFormat="1" ht="15.75" hidden="1" customHeight="1">
      <c r="A1603" s="21">
        <v>370243</v>
      </c>
      <c r="B1603" s="21" t="s">
        <v>1587</v>
      </c>
      <c r="C1603" s="21" t="s">
        <v>5510</v>
      </c>
      <c r="D1603" s="21" t="s">
        <v>11</v>
      </c>
      <c r="E1603" s="21" t="s">
        <v>11</v>
      </c>
    </row>
    <row r="1604" spans="1:5" s="21" customFormat="1" ht="15.75" hidden="1" customHeight="1">
      <c r="A1604" s="21">
        <v>370244</v>
      </c>
      <c r="B1604" s="21" t="s">
        <v>1588</v>
      </c>
      <c r="C1604" s="21" t="s">
        <v>5510</v>
      </c>
      <c r="D1604" s="21" t="s">
        <v>11</v>
      </c>
      <c r="E1604" s="21" t="s">
        <v>11</v>
      </c>
    </row>
    <row r="1605" spans="1:5" s="21" customFormat="1" ht="15.75" hidden="1" customHeight="1">
      <c r="A1605" s="21">
        <v>370251</v>
      </c>
      <c r="B1605" s="21" t="s">
        <v>1589</v>
      </c>
      <c r="C1605" s="21" t="s">
        <v>5510</v>
      </c>
      <c r="D1605" s="21" t="s">
        <v>11</v>
      </c>
      <c r="E1605" s="21" t="s">
        <v>11</v>
      </c>
    </row>
    <row r="1606" spans="1:5" s="21" customFormat="1" ht="15.75" hidden="1" customHeight="1">
      <c r="A1606" s="21">
        <v>370252</v>
      </c>
      <c r="B1606" s="21" t="s">
        <v>1590</v>
      </c>
      <c r="C1606" s="21" t="s">
        <v>5510</v>
      </c>
      <c r="D1606" s="21" t="s">
        <v>11</v>
      </c>
      <c r="E1606" s="21" t="s">
        <v>11</v>
      </c>
    </row>
    <row r="1607" spans="1:5" s="21" customFormat="1" ht="15.75" hidden="1" customHeight="1">
      <c r="A1607" s="21">
        <v>370253</v>
      </c>
      <c r="B1607" s="21" t="s">
        <v>1591</v>
      </c>
      <c r="C1607" s="21" t="s">
        <v>5510</v>
      </c>
      <c r="D1607" s="21" t="s">
        <v>11</v>
      </c>
      <c r="E1607" s="21" t="s">
        <v>11</v>
      </c>
    </row>
    <row r="1608" spans="1:5" s="21" customFormat="1" ht="15.75" hidden="1" customHeight="1">
      <c r="A1608" s="21">
        <v>370254</v>
      </c>
      <c r="B1608" s="21" t="s">
        <v>1592</v>
      </c>
      <c r="C1608" s="21" t="s">
        <v>5510</v>
      </c>
      <c r="D1608" s="21" t="s">
        <v>11</v>
      </c>
      <c r="E1608" s="21" t="s">
        <v>11</v>
      </c>
    </row>
    <row r="1609" spans="1:5" s="21" customFormat="1" ht="15.75" hidden="1" customHeight="1">
      <c r="A1609" s="21">
        <v>370255</v>
      </c>
      <c r="B1609" s="21" t="s">
        <v>1593</v>
      </c>
      <c r="C1609" s="21" t="s">
        <v>5510</v>
      </c>
      <c r="D1609" s="21" t="s">
        <v>11</v>
      </c>
      <c r="E1609" s="21" t="s">
        <v>11</v>
      </c>
    </row>
    <row r="1610" spans="1:5" s="21" customFormat="1" ht="15.75" hidden="1" customHeight="1">
      <c r="A1610" s="21">
        <v>370256</v>
      </c>
      <c r="B1610" s="21" t="s">
        <v>1594</v>
      </c>
      <c r="C1610" s="21" t="s">
        <v>5510</v>
      </c>
      <c r="D1610" s="21" t="s">
        <v>11</v>
      </c>
      <c r="E1610" s="21" t="s">
        <v>11</v>
      </c>
    </row>
    <row r="1611" spans="1:5" s="21" customFormat="1" ht="15.75" hidden="1" customHeight="1">
      <c r="A1611" s="21">
        <v>370291</v>
      </c>
      <c r="B1611" s="21" t="s">
        <v>1595</v>
      </c>
      <c r="C1611" s="21" t="s">
        <v>5510</v>
      </c>
      <c r="D1611" s="21" t="s">
        <v>11</v>
      </c>
      <c r="E1611" s="21" t="s">
        <v>11</v>
      </c>
    </row>
    <row r="1612" spans="1:5" s="21" customFormat="1" ht="15.75" hidden="1" customHeight="1">
      <c r="A1612" s="21">
        <v>370293</v>
      </c>
      <c r="B1612" s="21" t="s">
        <v>1596</v>
      </c>
      <c r="C1612" s="21" t="s">
        <v>5510</v>
      </c>
      <c r="D1612" s="21" t="s">
        <v>11</v>
      </c>
      <c r="E1612" s="21" t="s">
        <v>11</v>
      </c>
    </row>
    <row r="1613" spans="1:5" s="21" customFormat="1" ht="15.75" hidden="1" customHeight="1">
      <c r="A1613" s="21">
        <v>370294</v>
      </c>
      <c r="B1613" s="21" t="s">
        <v>1597</v>
      </c>
      <c r="C1613" s="21" t="s">
        <v>5510</v>
      </c>
      <c r="D1613" s="21" t="s">
        <v>11</v>
      </c>
      <c r="E1613" s="21" t="s">
        <v>11</v>
      </c>
    </row>
    <row r="1614" spans="1:5" s="21" customFormat="1" ht="15.75" hidden="1" customHeight="1">
      <c r="A1614" s="21">
        <v>370295</v>
      </c>
      <c r="B1614" s="21" t="s">
        <v>1598</v>
      </c>
      <c r="C1614" s="21" t="s">
        <v>5510</v>
      </c>
      <c r="D1614" s="21" t="s">
        <v>11</v>
      </c>
      <c r="E1614" s="21" t="s">
        <v>11</v>
      </c>
    </row>
    <row r="1615" spans="1:5" s="21" customFormat="1" ht="15.75" hidden="1" customHeight="1">
      <c r="A1615" s="21">
        <v>370310</v>
      </c>
      <c r="B1615" s="21" t="s">
        <v>1599</v>
      </c>
      <c r="C1615" s="21" t="s">
        <v>5511</v>
      </c>
      <c r="D1615" s="21" t="s">
        <v>11</v>
      </c>
      <c r="E1615" s="21" t="s">
        <v>11</v>
      </c>
    </row>
    <row r="1616" spans="1:5" s="21" customFormat="1" ht="15.75" hidden="1" customHeight="1">
      <c r="A1616" s="21">
        <v>370320</v>
      </c>
      <c r="B1616" s="21" t="s">
        <v>1600</v>
      </c>
      <c r="C1616" s="21" t="s">
        <v>5511</v>
      </c>
      <c r="D1616" s="21" t="s">
        <v>11</v>
      </c>
      <c r="E1616" s="21" t="s">
        <v>11</v>
      </c>
    </row>
    <row r="1617" spans="1:11" s="21" customFormat="1" ht="15.75" hidden="1" customHeight="1">
      <c r="A1617" s="21">
        <v>370390</v>
      </c>
      <c r="B1617" s="21" t="s">
        <v>1601</v>
      </c>
      <c r="C1617" s="21" t="s">
        <v>5511</v>
      </c>
      <c r="D1617" s="21" t="s">
        <v>11</v>
      </c>
      <c r="E1617" s="21" t="s">
        <v>11</v>
      </c>
    </row>
    <row r="1618" spans="1:11" s="21" customFormat="1" ht="15.75" hidden="1" customHeight="1">
      <c r="A1618" s="21">
        <v>370400</v>
      </c>
      <c r="B1618" s="21" t="s">
        <v>1602</v>
      </c>
      <c r="C1618" s="21" t="s">
        <v>5512</v>
      </c>
      <c r="D1618" s="21" t="s">
        <v>11</v>
      </c>
      <c r="E1618" s="21" t="s">
        <v>11</v>
      </c>
    </row>
    <row r="1619" spans="1:11" s="21" customFormat="1" ht="15.75" hidden="1" customHeight="1">
      <c r="A1619" s="21">
        <v>370510</v>
      </c>
      <c r="B1619" s="21" t="s">
        <v>1603</v>
      </c>
      <c r="C1619" s="21" t="s">
        <v>5509</v>
      </c>
      <c r="D1619" s="21" t="s">
        <v>11</v>
      </c>
      <c r="E1619" s="21" t="s">
        <v>11</v>
      </c>
    </row>
    <row r="1620" spans="1:11" s="21" customFormat="1" ht="15.75" hidden="1" customHeight="1">
      <c r="A1620" s="21">
        <v>370590</v>
      </c>
      <c r="B1620" s="21" t="s">
        <v>1604</v>
      </c>
      <c r="C1620" s="21" t="s">
        <v>5509</v>
      </c>
      <c r="D1620" s="21" t="s">
        <v>11</v>
      </c>
      <c r="E1620" s="21" t="s">
        <v>11</v>
      </c>
    </row>
    <row r="1621" spans="1:11" s="21" customFormat="1" ht="15.75" hidden="1" customHeight="1">
      <c r="A1621" s="21">
        <v>370610</v>
      </c>
      <c r="B1621" s="21" t="s">
        <v>1605</v>
      </c>
      <c r="C1621" s="21" t="s">
        <v>5513</v>
      </c>
      <c r="D1621" s="21" t="s">
        <v>11</v>
      </c>
      <c r="E1621" s="21" t="s">
        <v>11</v>
      </c>
    </row>
    <row r="1622" spans="1:11" s="21" customFormat="1" ht="15.75" hidden="1" customHeight="1">
      <c r="A1622" s="21">
        <v>370690</v>
      </c>
      <c r="B1622" s="21" t="s">
        <v>1606</v>
      </c>
      <c r="C1622" s="21" t="s">
        <v>5513</v>
      </c>
      <c r="D1622" s="21" t="s">
        <v>11</v>
      </c>
      <c r="E1622" s="21" t="s">
        <v>11</v>
      </c>
    </row>
    <row r="1623" spans="1:11" s="21" customFormat="1" ht="15.75" hidden="1" customHeight="1">
      <c r="A1623" s="21">
        <v>370710</v>
      </c>
      <c r="B1623" s="21" t="s">
        <v>1607</v>
      </c>
      <c r="C1623" s="21" t="s">
        <v>5514</v>
      </c>
      <c r="D1623" s="21" t="s">
        <v>11</v>
      </c>
      <c r="E1623" s="21" t="s">
        <v>11</v>
      </c>
    </row>
    <row r="1624" spans="1:11" ht="15.75" hidden="1" customHeight="1">
      <c r="A1624" s="23">
        <v>370790</v>
      </c>
      <c r="B1624" s="23" t="s">
        <v>1608</v>
      </c>
      <c r="C1624" s="21" t="s">
        <v>5514</v>
      </c>
      <c r="D1624" s="21" t="s">
        <v>11</v>
      </c>
      <c r="E1624" s="21" t="s">
        <v>11</v>
      </c>
      <c r="F1624" s="23"/>
      <c r="G1624" s="24"/>
      <c r="H1624" s="24"/>
      <c r="I1624" s="24"/>
      <c r="J1624" s="24"/>
      <c r="K1624" s="24"/>
    </row>
    <row r="1625" spans="1:11" ht="15.75" hidden="1" customHeight="1">
      <c r="A1625" s="23">
        <v>380110</v>
      </c>
      <c r="B1625" s="23" t="s">
        <v>1609</v>
      </c>
      <c r="C1625" s="21" t="s">
        <v>5292</v>
      </c>
      <c r="D1625" s="23" t="s">
        <v>11</v>
      </c>
      <c r="E1625" s="21" t="s">
        <v>11</v>
      </c>
      <c r="F1625" s="21"/>
    </row>
    <row r="1626" spans="1:11" s="21" customFormat="1" ht="15.75" hidden="1" customHeight="1">
      <c r="A1626" s="21">
        <v>380120</v>
      </c>
      <c r="B1626" s="21" t="s">
        <v>1610</v>
      </c>
      <c r="C1626" s="21" t="s">
        <v>5292</v>
      </c>
      <c r="D1626" s="21" t="s">
        <v>11</v>
      </c>
      <c r="E1626" s="21" t="s">
        <v>11</v>
      </c>
    </row>
    <row r="1627" spans="1:11" s="21" customFormat="1" ht="15.75" hidden="1" customHeight="1">
      <c r="A1627" s="21">
        <v>380130</v>
      </c>
      <c r="B1627" s="21" t="s">
        <v>1611</v>
      </c>
      <c r="C1627" s="21" t="s">
        <v>5515</v>
      </c>
      <c r="D1627" s="21" t="s">
        <v>11</v>
      </c>
      <c r="E1627" s="21" t="s">
        <v>11</v>
      </c>
    </row>
    <row r="1628" spans="1:11" s="21" customFormat="1" ht="15.75" hidden="1" customHeight="1">
      <c r="A1628" s="21">
        <v>380190</v>
      </c>
      <c r="B1628" s="21" t="s">
        <v>1612</v>
      </c>
      <c r="C1628" s="21" t="s">
        <v>5516</v>
      </c>
      <c r="D1628" s="21" t="s">
        <v>11</v>
      </c>
      <c r="E1628" s="21" t="s">
        <v>11</v>
      </c>
    </row>
    <row r="1629" spans="1:11" s="21" customFormat="1" ht="15.75" hidden="1" customHeight="1">
      <c r="A1629" s="21">
        <v>380210</v>
      </c>
      <c r="B1629" s="21" t="s">
        <v>1613</v>
      </c>
      <c r="C1629" s="21" t="s">
        <v>5362</v>
      </c>
      <c r="D1629" s="21" t="s">
        <v>11</v>
      </c>
      <c r="E1629" s="21" t="s">
        <v>11</v>
      </c>
    </row>
    <row r="1630" spans="1:11" s="21" customFormat="1" ht="15.75" hidden="1" customHeight="1">
      <c r="A1630" s="21">
        <v>380290</v>
      </c>
      <c r="B1630" s="21" t="s">
        <v>1614</v>
      </c>
      <c r="C1630" s="21" t="s">
        <v>5517</v>
      </c>
      <c r="D1630" s="21" t="s">
        <v>11</v>
      </c>
      <c r="E1630" s="21" t="s">
        <v>11</v>
      </c>
    </row>
    <row r="1631" spans="1:11" s="21" customFormat="1" ht="15.75" hidden="1" customHeight="1">
      <c r="A1631" s="21">
        <v>380300</v>
      </c>
      <c r="B1631" s="21" t="s">
        <v>1615</v>
      </c>
      <c r="C1631" s="21" t="s">
        <v>5517</v>
      </c>
      <c r="D1631" s="21" t="s">
        <v>11</v>
      </c>
      <c r="E1631" s="21" t="s">
        <v>11</v>
      </c>
    </row>
    <row r="1632" spans="1:11" s="21" customFormat="1" ht="15.75" hidden="1" customHeight="1">
      <c r="A1632" s="21">
        <v>380400</v>
      </c>
      <c r="B1632" s="21" t="s">
        <v>1616</v>
      </c>
      <c r="C1632" s="21" t="s">
        <v>5518</v>
      </c>
      <c r="D1632" s="21" t="s">
        <v>11</v>
      </c>
      <c r="E1632" s="21" t="s">
        <v>11</v>
      </c>
    </row>
    <row r="1633" spans="1:5" s="21" customFormat="1" ht="15.75" hidden="1" customHeight="1">
      <c r="A1633" s="21">
        <v>380510</v>
      </c>
      <c r="B1633" s="21" t="s">
        <v>1617</v>
      </c>
      <c r="C1633" s="21" t="s">
        <v>5519</v>
      </c>
      <c r="D1633" s="21" t="s">
        <v>11</v>
      </c>
      <c r="E1633" s="21" t="s">
        <v>11</v>
      </c>
    </row>
    <row r="1634" spans="1:5" s="21" customFormat="1" ht="15.75" hidden="1" customHeight="1">
      <c r="A1634" s="21">
        <v>380590</v>
      </c>
      <c r="B1634" s="21" t="s">
        <v>1618</v>
      </c>
      <c r="C1634" s="21" t="s">
        <v>5519</v>
      </c>
      <c r="D1634" s="21" t="s">
        <v>11</v>
      </c>
      <c r="E1634" s="21" t="s">
        <v>11</v>
      </c>
    </row>
    <row r="1635" spans="1:5" s="21" customFormat="1" ht="15.75" hidden="1" customHeight="1">
      <c r="A1635" s="21">
        <v>380610</v>
      </c>
      <c r="B1635" s="21" t="s">
        <v>1619</v>
      </c>
      <c r="C1635" s="21" t="s">
        <v>1619</v>
      </c>
      <c r="D1635" s="21" t="s">
        <v>11</v>
      </c>
      <c r="E1635" s="21" t="s">
        <v>11</v>
      </c>
    </row>
    <row r="1636" spans="1:5" s="21" customFormat="1" ht="15.75" hidden="1" customHeight="1">
      <c r="A1636" s="21">
        <v>380620</v>
      </c>
      <c r="B1636" s="21" t="s">
        <v>1620</v>
      </c>
      <c r="C1636" s="21" t="s">
        <v>5520</v>
      </c>
      <c r="D1636" s="21" t="s">
        <v>11</v>
      </c>
      <c r="E1636" s="21" t="s">
        <v>11</v>
      </c>
    </row>
    <row r="1637" spans="1:5" s="21" customFormat="1" ht="15.75" hidden="1" customHeight="1">
      <c r="A1637" s="21">
        <v>380630</v>
      </c>
      <c r="B1637" s="21" t="s">
        <v>1621</v>
      </c>
      <c r="C1637" s="21" t="s">
        <v>1621</v>
      </c>
      <c r="D1637" s="21" t="s">
        <v>11</v>
      </c>
      <c r="E1637" s="21" t="s">
        <v>11</v>
      </c>
    </row>
    <row r="1638" spans="1:5" s="21" customFormat="1" ht="15.75" hidden="1" customHeight="1">
      <c r="A1638" s="21">
        <v>380690</v>
      </c>
      <c r="B1638" s="21" t="s">
        <v>1622</v>
      </c>
      <c r="C1638" s="21" t="s">
        <v>5521</v>
      </c>
      <c r="D1638" s="21" t="s">
        <v>11</v>
      </c>
      <c r="E1638" s="21" t="s">
        <v>11</v>
      </c>
    </row>
    <row r="1639" spans="1:5" s="21" customFormat="1" ht="15.75" hidden="1" customHeight="1">
      <c r="A1639" s="21">
        <v>380700</v>
      </c>
      <c r="B1639" s="21" t="s">
        <v>1623</v>
      </c>
      <c r="C1639" s="21" t="s">
        <v>5522</v>
      </c>
      <c r="D1639" s="21" t="s">
        <v>11</v>
      </c>
      <c r="E1639" s="21" t="s">
        <v>11</v>
      </c>
    </row>
    <row r="1640" spans="1:5" s="21" customFormat="1" ht="15.75" hidden="1" customHeight="1">
      <c r="A1640" s="21">
        <v>380850</v>
      </c>
      <c r="B1640" s="21" t="s">
        <v>1624</v>
      </c>
      <c r="C1640" s="21" t="s">
        <v>5523</v>
      </c>
      <c r="D1640" s="21" t="s">
        <v>11</v>
      </c>
      <c r="E1640" s="21" t="s">
        <v>11</v>
      </c>
    </row>
    <row r="1641" spans="1:5" s="21" customFormat="1" ht="15.75" hidden="1" customHeight="1">
      <c r="A1641" s="21">
        <v>380891</v>
      </c>
      <c r="B1641" s="21" t="s">
        <v>1625</v>
      </c>
      <c r="C1641" s="21" t="s">
        <v>5524</v>
      </c>
      <c r="D1641" s="21" t="s">
        <v>11</v>
      </c>
      <c r="E1641" s="21" t="s">
        <v>11</v>
      </c>
    </row>
    <row r="1642" spans="1:5" s="21" customFormat="1" ht="15.75" hidden="1" customHeight="1">
      <c r="A1642" s="21">
        <v>380892</v>
      </c>
      <c r="B1642" s="21" t="s">
        <v>1626</v>
      </c>
      <c r="C1642" s="21" t="s">
        <v>5525</v>
      </c>
      <c r="D1642" s="21" t="s">
        <v>11</v>
      </c>
      <c r="E1642" s="21" t="s">
        <v>11</v>
      </c>
    </row>
    <row r="1643" spans="1:5" s="21" customFormat="1" ht="15.75" hidden="1" customHeight="1">
      <c r="A1643" s="21">
        <v>380893</v>
      </c>
      <c r="B1643" s="21" t="s">
        <v>1627</v>
      </c>
      <c r="C1643" s="21" t="s">
        <v>5526</v>
      </c>
      <c r="D1643" s="21" t="s">
        <v>11</v>
      </c>
      <c r="E1643" s="21" t="s">
        <v>11</v>
      </c>
    </row>
    <row r="1644" spans="1:5" s="21" customFormat="1" ht="15.75" hidden="1" customHeight="1">
      <c r="A1644" s="21">
        <v>380894</v>
      </c>
      <c r="B1644" s="21" t="s">
        <v>1628</v>
      </c>
      <c r="C1644" s="21" t="s">
        <v>5527</v>
      </c>
      <c r="D1644" s="21" t="s">
        <v>11</v>
      </c>
      <c r="E1644" s="21" t="s">
        <v>11</v>
      </c>
    </row>
    <row r="1645" spans="1:5" s="21" customFormat="1" ht="15.75" hidden="1" customHeight="1">
      <c r="A1645" s="21">
        <v>380899</v>
      </c>
      <c r="B1645" s="21" t="s">
        <v>1629</v>
      </c>
      <c r="C1645" s="21" t="s">
        <v>5528</v>
      </c>
      <c r="D1645" s="21" t="s">
        <v>11</v>
      </c>
      <c r="E1645" s="21" t="s">
        <v>11</v>
      </c>
    </row>
    <row r="1646" spans="1:5" s="21" customFormat="1" ht="15.75" hidden="1" customHeight="1">
      <c r="A1646" s="21">
        <v>380910</v>
      </c>
      <c r="B1646" s="21" t="s">
        <v>1630</v>
      </c>
      <c r="C1646" s="21" t="s">
        <v>5529</v>
      </c>
      <c r="D1646" s="21" t="s">
        <v>11</v>
      </c>
      <c r="E1646" s="21" t="s">
        <v>11</v>
      </c>
    </row>
    <row r="1647" spans="1:5" s="21" customFormat="1" ht="15.75" hidden="1" customHeight="1">
      <c r="A1647" s="21">
        <v>380991</v>
      </c>
      <c r="B1647" s="21" t="s">
        <v>1631</v>
      </c>
      <c r="C1647" s="21" t="s">
        <v>5529</v>
      </c>
      <c r="D1647" s="21" t="s">
        <v>11</v>
      </c>
      <c r="E1647" s="21" t="s">
        <v>11</v>
      </c>
    </row>
    <row r="1648" spans="1:5" s="21" customFormat="1" ht="15.75" hidden="1" customHeight="1">
      <c r="A1648" s="21">
        <v>380992</v>
      </c>
      <c r="B1648" s="21" t="s">
        <v>1632</v>
      </c>
      <c r="C1648" s="21" t="s">
        <v>5529</v>
      </c>
      <c r="D1648" s="21" t="s">
        <v>11</v>
      </c>
      <c r="E1648" s="21" t="s">
        <v>11</v>
      </c>
    </row>
    <row r="1649" spans="1:5" s="21" customFormat="1" ht="15.75" hidden="1" customHeight="1">
      <c r="A1649" s="21">
        <v>380993</v>
      </c>
      <c r="B1649" s="21" t="s">
        <v>1633</v>
      </c>
      <c r="C1649" s="21" t="s">
        <v>5529</v>
      </c>
      <c r="D1649" s="21" t="s">
        <v>11</v>
      </c>
      <c r="E1649" s="21" t="s">
        <v>11</v>
      </c>
    </row>
    <row r="1650" spans="1:5" s="21" customFormat="1" ht="15.75" hidden="1" customHeight="1">
      <c r="A1650" s="21">
        <v>381010</v>
      </c>
      <c r="B1650" s="21" t="s">
        <v>1634</v>
      </c>
      <c r="C1650" s="21" t="s">
        <v>5530</v>
      </c>
      <c r="D1650" s="21" t="s">
        <v>11</v>
      </c>
      <c r="E1650" s="21" t="s">
        <v>11</v>
      </c>
    </row>
    <row r="1651" spans="1:5" s="21" customFormat="1" ht="15.75" hidden="1" customHeight="1">
      <c r="A1651" s="21">
        <v>381090</v>
      </c>
      <c r="B1651" s="21" t="s">
        <v>1635</v>
      </c>
      <c r="C1651" s="21" t="s">
        <v>5531</v>
      </c>
      <c r="D1651" s="21" t="s">
        <v>11</v>
      </c>
      <c r="E1651" s="21" t="s">
        <v>11</v>
      </c>
    </row>
    <row r="1652" spans="1:5" s="21" customFormat="1" ht="15.75" hidden="1" customHeight="1">
      <c r="A1652" s="21">
        <v>381111</v>
      </c>
      <c r="B1652" s="21" t="s">
        <v>1636</v>
      </c>
      <c r="C1652" s="21" t="s">
        <v>5532</v>
      </c>
      <c r="D1652" s="21" t="s">
        <v>11</v>
      </c>
      <c r="E1652" s="21" t="s">
        <v>11</v>
      </c>
    </row>
    <row r="1653" spans="1:5" s="21" customFormat="1" ht="15.75" hidden="1" customHeight="1">
      <c r="A1653" s="21">
        <v>381119</v>
      </c>
      <c r="B1653" s="21" t="s">
        <v>1637</v>
      </c>
      <c r="C1653" s="21" t="s">
        <v>5532</v>
      </c>
      <c r="D1653" s="21" t="s">
        <v>11</v>
      </c>
      <c r="E1653" s="21" t="s">
        <v>11</v>
      </c>
    </row>
    <row r="1654" spans="1:5" s="21" customFormat="1" ht="15.75" hidden="1" customHeight="1">
      <c r="A1654" s="21">
        <v>381121</v>
      </c>
      <c r="B1654" s="21" t="s">
        <v>1638</v>
      </c>
      <c r="C1654" s="21" t="s">
        <v>5533</v>
      </c>
      <c r="D1654" s="21" t="s">
        <v>11</v>
      </c>
      <c r="E1654" s="21" t="s">
        <v>11</v>
      </c>
    </row>
    <row r="1655" spans="1:5" s="21" customFormat="1" ht="15.75" hidden="1" customHeight="1">
      <c r="A1655" s="21">
        <v>381129</v>
      </c>
      <c r="B1655" s="21" t="s">
        <v>1639</v>
      </c>
      <c r="C1655" s="21" t="s">
        <v>5533</v>
      </c>
      <c r="D1655" s="21" t="s">
        <v>11</v>
      </c>
      <c r="E1655" s="21" t="s">
        <v>11</v>
      </c>
    </row>
    <row r="1656" spans="1:5" s="21" customFormat="1" ht="15.75" hidden="1" customHeight="1">
      <c r="A1656" s="21">
        <v>381190</v>
      </c>
      <c r="B1656" s="21" t="s">
        <v>1640</v>
      </c>
      <c r="C1656" s="21" t="s">
        <v>1640</v>
      </c>
      <c r="D1656" s="21" t="s">
        <v>11</v>
      </c>
      <c r="E1656" s="21" t="s">
        <v>11</v>
      </c>
    </row>
    <row r="1657" spans="1:5" s="21" customFormat="1" ht="15.75" hidden="1" customHeight="1">
      <c r="A1657" s="21">
        <v>381210</v>
      </c>
      <c r="B1657" s="21" t="s">
        <v>1641</v>
      </c>
      <c r="C1657" s="21" t="s">
        <v>5534</v>
      </c>
      <c r="D1657" s="21" t="s">
        <v>11</v>
      </c>
      <c r="E1657" s="21" t="s">
        <v>11</v>
      </c>
    </row>
    <row r="1658" spans="1:5" s="21" customFormat="1" ht="15.75" hidden="1" customHeight="1">
      <c r="A1658" s="21">
        <v>381220</v>
      </c>
      <c r="B1658" s="21" t="s">
        <v>1642</v>
      </c>
      <c r="C1658" s="21" t="s">
        <v>5535</v>
      </c>
      <c r="D1658" s="21" t="s">
        <v>11</v>
      </c>
      <c r="E1658" s="21" t="s">
        <v>11</v>
      </c>
    </row>
    <row r="1659" spans="1:5" s="21" customFormat="1" ht="15.75" hidden="1" customHeight="1">
      <c r="A1659" s="21">
        <v>381230</v>
      </c>
      <c r="B1659" s="21" t="s">
        <v>1643</v>
      </c>
      <c r="C1659" s="21" t="s">
        <v>5536</v>
      </c>
      <c r="D1659" s="21" t="s">
        <v>11</v>
      </c>
      <c r="E1659" s="21" t="s">
        <v>11</v>
      </c>
    </row>
    <row r="1660" spans="1:5" s="21" customFormat="1" ht="15.75" hidden="1" customHeight="1">
      <c r="A1660" s="21">
        <v>381300</v>
      </c>
      <c r="B1660" s="21" t="s">
        <v>1644</v>
      </c>
      <c r="C1660" s="21" t="s">
        <v>5537</v>
      </c>
      <c r="D1660" s="21" t="s">
        <v>11</v>
      </c>
      <c r="E1660" s="21" t="s">
        <v>11</v>
      </c>
    </row>
    <row r="1661" spans="1:5" s="21" customFormat="1" ht="15.75" hidden="1" customHeight="1">
      <c r="A1661" s="21">
        <v>381400</v>
      </c>
      <c r="B1661" s="21" t="s">
        <v>1645</v>
      </c>
      <c r="C1661" s="21" t="s">
        <v>5538</v>
      </c>
      <c r="D1661" s="21" t="s">
        <v>11</v>
      </c>
      <c r="E1661" s="21" t="s">
        <v>11</v>
      </c>
    </row>
    <row r="1662" spans="1:5" s="21" customFormat="1" ht="15.75" hidden="1" customHeight="1">
      <c r="A1662" s="21">
        <v>381511</v>
      </c>
      <c r="B1662" s="21" t="s">
        <v>1646</v>
      </c>
      <c r="C1662" s="21" t="s">
        <v>5539</v>
      </c>
      <c r="D1662" s="21" t="s">
        <v>11</v>
      </c>
      <c r="E1662" s="21" t="s">
        <v>11</v>
      </c>
    </row>
    <row r="1663" spans="1:5" s="21" customFormat="1" ht="15.75" hidden="1" customHeight="1">
      <c r="A1663" s="21">
        <v>381512</v>
      </c>
      <c r="B1663" s="21" t="s">
        <v>1647</v>
      </c>
      <c r="C1663" s="21" t="s">
        <v>5539</v>
      </c>
      <c r="D1663" s="21" t="s">
        <v>11</v>
      </c>
      <c r="E1663" s="21" t="s">
        <v>11</v>
      </c>
    </row>
    <row r="1664" spans="1:5" s="21" customFormat="1" ht="15.75" hidden="1" customHeight="1">
      <c r="A1664" s="21">
        <v>381519</v>
      </c>
      <c r="B1664" s="21" t="s">
        <v>1648</v>
      </c>
      <c r="C1664" s="21" t="s">
        <v>5539</v>
      </c>
      <c r="D1664" s="21" t="s">
        <v>11</v>
      </c>
      <c r="E1664" s="21" t="s">
        <v>11</v>
      </c>
    </row>
    <row r="1665" spans="1:5" s="21" customFormat="1" ht="15.75" hidden="1" customHeight="1">
      <c r="A1665" s="21">
        <v>381590</v>
      </c>
      <c r="B1665" s="21" t="s">
        <v>1649</v>
      </c>
      <c r="C1665" s="21" t="s">
        <v>1649</v>
      </c>
      <c r="D1665" s="21" t="s">
        <v>11</v>
      </c>
      <c r="E1665" s="21" t="s">
        <v>11</v>
      </c>
    </row>
    <row r="1666" spans="1:5" s="21" customFormat="1" ht="15.75" hidden="1" customHeight="1">
      <c r="A1666" s="21">
        <v>381600</v>
      </c>
      <c r="B1666" s="21" t="s">
        <v>1650</v>
      </c>
      <c r="C1666" s="21" t="s">
        <v>5540</v>
      </c>
      <c r="D1666" s="21" t="s">
        <v>11</v>
      </c>
      <c r="E1666" s="21" t="s">
        <v>11</v>
      </c>
    </row>
    <row r="1667" spans="1:5" s="21" customFormat="1" ht="15.75" hidden="1" customHeight="1">
      <c r="A1667" s="21">
        <v>381700</v>
      </c>
      <c r="B1667" s="21" t="s">
        <v>1651</v>
      </c>
      <c r="C1667" s="21" t="s">
        <v>1651</v>
      </c>
      <c r="D1667" s="21" t="s">
        <v>11</v>
      </c>
      <c r="E1667" s="21" t="s">
        <v>11</v>
      </c>
    </row>
    <row r="1668" spans="1:5" s="21" customFormat="1" ht="15.75" hidden="1" customHeight="1">
      <c r="A1668" s="21">
        <v>381800</v>
      </c>
      <c r="B1668" s="21" t="s">
        <v>1652</v>
      </c>
      <c r="C1668" s="21" t="s">
        <v>5541</v>
      </c>
      <c r="D1668" s="21" t="s">
        <v>11</v>
      </c>
      <c r="E1668" s="21" t="s">
        <v>11</v>
      </c>
    </row>
    <row r="1669" spans="1:5" s="21" customFormat="1" ht="15.75" hidden="1" customHeight="1">
      <c r="A1669" s="21">
        <v>381900</v>
      </c>
      <c r="B1669" s="21" t="s">
        <v>1653</v>
      </c>
      <c r="C1669" s="21" t="s">
        <v>5542</v>
      </c>
      <c r="D1669" s="21" t="s">
        <v>11</v>
      </c>
      <c r="E1669" s="21" t="s">
        <v>11</v>
      </c>
    </row>
    <row r="1670" spans="1:5" s="21" customFormat="1" ht="15.75" hidden="1" customHeight="1">
      <c r="A1670" s="21">
        <v>382000</v>
      </c>
      <c r="B1670" s="21" t="s">
        <v>1654</v>
      </c>
      <c r="C1670" s="21" t="s">
        <v>1654</v>
      </c>
      <c r="D1670" s="21" t="s">
        <v>11</v>
      </c>
      <c r="E1670" s="21" t="s">
        <v>11</v>
      </c>
    </row>
    <row r="1671" spans="1:5" s="21" customFormat="1" ht="15.75" hidden="1" customHeight="1">
      <c r="A1671" s="21">
        <v>382311</v>
      </c>
      <c r="B1671" s="21" t="s">
        <v>1658</v>
      </c>
      <c r="C1671" s="21" t="s">
        <v>5543</v>
      </c>
      <c r="D1671" s="21" t="s">
        <v>11</v>
      </c>
      <c r="E1671" s="21" t="s">
        <v>11</v>
      </c>
    </row>
    <row r="1672" spans="1:5" s="21" customFormat="1" ht="15.75" hidden="1" customHeight="1">
      <c r="A1672" s="21">
        <v>382312</v>
      </c>
      <c r="B1672" s="21" t="s">
        <v>1659</v>
      </c>
      <c r="C1672" s="21" t="s">
        <v>5543</v>
      </c>
      <c r="D1672" s="21" t="s">
        <v>11</v>
      </c>
      <c r="E1672" s="21" t="s">
        <v>11</v>
      </c>
    </row>
    <row r="1673" spans="1:5" s="21" customFormat="1" ht="15.75" hidden="1" customHeight="1">
      <c r="A1673" s="21">
        <v>382313</v>
      </c>
      <c r="B1673" s="21" t="s">
        <v>1660</v>
      </c>
      <c r="C1673" s="21" t="s">
        <v>5543</v>
      </c>
      <c r="D1673" s="21" t="s">
        <v>11</v>
      </c>
      <c r="E1673" s="21" t="s">
        <v>11</v>
      </c>
    </row>
    <row r="1674" spans="1:5" s="21" customFormat="1" ht="15.75" hidden="1" customHeight="1">
      <c r="A1674" s="21">
        <v>382319</v>
      </c>
      <c r="B1674" s="21" t="s">
        <v>1661</v>
      </c>
      <c r="C1674" s="21" t="s">
        <v>5544</v>
      </c>
      <c r="D1674" s="21" t="s">
        <v>11</v>
      </c>
      <c r="E1674" s="21" t="s">
        <v>11</v>
      </c>
    </row>
    <row r="1675" spans="1:5" s="21" customFormat="1" ht="15.75" hidden="1" customHeight="1">
      <c r="A1675" s="21">
        <v>382370</v>
      </c>
      <c r="B1675" s="21" t="s">
        <v>1662</v>
      </c>
      <c r="C1675" s="21" t="s">
        <v>1662</v>
      </c>
      <c r="D1675" s="21" t="s">
        <v>11</v>
      </c>
      <c r="E1675" s="21" t="s">
        <v>11</v>
      </c>
    </row>
    <row r="1676" spans="1:5" s="21" customFormat="1" ht="15.75" hidden="1" customHeight="1">
      <c r="A1676" s="21">
        <v>382410</v>
      </c>
      <c r="B1676" s="21" t="s">
        <v>1663</v>
      </c>
      <c r="C1676" s="21" t="s">
        <v>5545</v>
      </c>
      <c r="D1676" s="21" t="s">
        <v>11</v>
      </c>
      <c r="E1676" s="21" t="s">
        <v>11</v>
      </c>
    </row>
    <row r="1677" spans="1:5" s="21" customFormat="1" ht="15.75" hidden="1" customHeight="1">
      <c r="A1677" s="21">
        <v>382430</v>
      </c>
      <c r="B1677" s="21" t="s">
        <v>1664</v>
      </c>
      <c r="C1677" s="21" t="s">
        <v>5546</v>
      </c>
      <c r="D1677" s="21" t="s">
        <v>11</v>
      </c>
      <c r="E1677" s="21" t="s">
        <v>11</v>
      </c>
    </row>
    <row r="1678" spans="1:5" s="21" customFormat="1" ht="15.75" hidden="1" customHeight="1">
      <c r="A1678" s="21">
        <v>382440</v>
      </c>
      <c r="B1678" s="21" t="s">
        <v>1665</v>
      </c>
      <c r="C1678" s="21" t="s">
        <v>5547</v>
      </c>
      <c r="D1678" s="21" t="s">
        <v>11</v>
      </c>
      <c r="E1678" s="21" t="s">
        <v>11</v>
      </c>
    </row>
    <row r="1679" spans="1:5" s="21" customFormat="1" ht="15.75" hidden="1" customHeight="1">
      <c r="A1679" s="21">
        <v>382450</v>
      </c>
      <c r="B1679" s="21" t="s">
        <v>1666</v>
      </c>
      <c r="C1679" s="21" t="s">
        <v>5548</v>
      </c>
      <c r="D1679" s="21" t="s">
        <v>11</v>
      </c>
      <c r="E1679" s="21" t="s">
        <v>11</v>
      </c>
    </row>
    <row r="1680" spans="1:5" s="21" customFormat="1" ht="15.75" hidden="1" customHeight="1">
      <c r="A1680" s="21">
        <v>382460</v>
      </c>
      <c r="B1680" s="21" t="s">
        <v>1667</v>
      </c>
      <c r="C1680" s="21" t="s">
        <v>5549</v>
      </c>
      <c r="D1680" s="21" t="s">
        <v>11</v>
      </c>
      <c r="E1680" s="21" t="s">
        <v>11</v>
      </c>
    </row>
    <row r="1681" spans="1:5" s="21" customFormat="1" ht="15.75" hidden="1" customHeight="1">
      <c r="A1681" s="21">
        <v>382471</v>
      </c>
      <c r="B1681" s="21" t="s">
        <v>1668</v>
      </c>
      <c r="C1681" s="21" t="s">
        <v>5550</v>
      </c>
      <c r="D1681" s="21" t="s">
        <v>11</v>
      </c>
      <c r="E1681" s="21" t="s">
        <v>11</v>
      </c>
    </row>
    <row r="1682" spans="1:5" s="21" customFormat="1" ht="15.75" hidden="1" customHeight="1">
      <c r="A1682" s="21">
        <v>382472</v>
      </c>
      <c r="B1682" s="21" t="s">
        <v>1669</v>
      </c>
      <c r="C1682" s="21" t="s">
        <v>5550</v>
      </c>
      <c r="D1682" s="21" t="s">
        <v>11</v>
      </c>
      <c r="E1682" s="21" t="s">
        <v>11</v>
      </c>
    </row>
    <row r="1683" spans="1:5" s="21" customFormat="1" ht="15.75" hidden="1" customHeight="1">
      <c r="A1683" s="21">
        <v>382473</v>
      </c>
      <c r="B1683" s="21" t="s">
        <v>1670</v>
      </c>
      <c r="C1683" s="21" t="s">
        <v>5550</v>
      </c>
      <c r="D1683" s="21" t="s">
        <v>11</v>
      </c>
      <c r="E1683" s="21" t="s">
        <v>11</v>
      </c>
    </row>
    <row r="1684" spans="1:5" s="21" customFormat="1" ht="15.75" hidden="1" customHeight="1">
      <c r="A1684" s="21">
        <v>382474</v>
      </c>
      <c r="B1684" s="21" t="s">
        <v>1671</v>
      </c>
      <c r="C1684" s="21" t="s">
        <v>5550</v>
      </c>
      <c r="D1684" s="21" t="s">
        <v>11</v>
      </c>
      <c r="E1684" s="21" t="s">
        <v>11</v>
      </c>
    </row>
    <row r="1685" spans="1:5" s="21" customFormat="1" ht="15.75" hidden="1" customHeight="1">
      <c r="A1685" s="21">
        <v>382475</v>
      </c>
      <c r="B1685" s="21" t="s">
        <v>1672</v>
      </c>
      <c r="C1685" s="21" t="s">
        <v>5550</v>
      </c>
      <c r="D1685" s="21" t="s">
        <v>11</v>
      </c>
      <c r="E1685" s="21" t="s">
        <v>11</v>
      </c>
    </row>
    <row r="1686" spans="1:5" s="21" customFormat="1" ht="15.75" hidden="1" customHeight="1">
      <c r="A1686" s="21">
        <v>382476</v>
      </c>
      <c r="B1686" s="21" t="s">
        <v>1673</v>
      </c>
      <c r="C1686" s="21" t="s">
        <v>5550</v>
      </c>
      <c r="D1686" s="21" t="s">
        <v>11</v>
      </c>
      <c r="E1686" s="21" t="s">
        <v>11</v>
      </c>
    </row>
    <row r="1687" spans="1:5" s="21" customFormat="1" ht="15.75" hidden="1" customHeight="1">
      <c r="A1687" s="21">
        <v>382477</v>
      </c>
      <c r="B1687" s="21" t="s">
        <v>1674</v>
      </c>
      <c r="C1687" s="21" t="s">
        <v>5550</v>
      </c>
      <c r="D1687" s="21" t="s">
        <v>11</v>
      </c>
      <c r="E1687" s="21" t="s">
        <v>11</v>
      </c>
    </row>
    <row r="1688" spans="1:5" s="21" customFormat="1" ht="15.75" hidden="1" customHeight="1">
      <c r="A1688" s="21">
        <v>382478</v>
      </c>
      <c r="B1688" s="21" t="s">
        <v>1675</v>
      </c>
      <c r="C1688" s="21" t="s">
        <v>5550</v>
      </c>
      <c r="D1688" s="21" t="s">
        <v>11</v>
      </c>
      <c r="E1688" s="21" t="s">
        <v>11</v>
      </c>
    </row>
    <row r="1689" spans="1:5" s="21" customFormat="1" ht="15.75" hidden="1" customHeight="1">
      <c r="A1689" s="21">
        <v>382479</v>
      </c>
      <c r="B1689" s="21" t="s">
        <v>1676</v>
      </c>
      <c r="C1689" s="21" t="s">
        <v>5550</v>
      </c>
      <c r="D1689" s="21" t="s">
        <v>11</v>
      </c>
      <c r="E1689" s="21" t="s">
        <v>11</v>
      </c>
    </row>
    <row r="1690" spans="1:5" s="21" customFormat="1" ht="15.75" hidden="1" customHeight="1">
      <c r="A1690" s="21">
        <v>382481</v>
      </c>
      <c r="B1690" s="21" t="s">
        <v>1677</v>
      </c>
      <c r="C1690" s="21" t="s">
        <v>1677</v>
      </c>
      <c r="D1690" s="21" t="s">
        <v>11</v>
      </c>
      <c r="E1690" s="21" t="s">
        <v>11</v>
      </c>
    </row>
    <row r="1691" spans="1:5" s="21" customFormat="1" ht="15.75" hidden="1" customHeight="1">
      <c r="A1691" s="21">
        <v>382482</v>
      </c>
      <c r="B1691" s="21" t="s">
        <v>1678</v>
      </c>
      <c r="C1691" s="21" t="s">
        <v>1678</v>
      </c>
      <c r="D1691" s="21" t="s">
        <v>11</v>
      </c>
      <c r="E1691" s="21" t="s">
        <v>11</v>
      </c>
    </row>
    <row r="1692" spans="1:5" s="21" customFormat="1" ht="15.75" hidden="1" customHeight="1">
      <c r="A1692" s="21">
        <v>382483</v>
      </c>
      <c r="B1692" s="21" t="s">
        <v>1679</v>
      </c>
      <c r="C1692" s="21" t="s">
        <v>1679</v>
      </c>
      <c r="D1692" s="21" t="s">
        <v>11</v>
      </c>
      <c r="E1692" s="21" t="s">
        <v>11</v>
      </c>
    </row>
    <row r="1693" spans="1:5" s="21" customFormat="1" ht="15.75" hidden="1" customHeight="1">
      <c r="A1693" s="21">
        <v>382490</v>
      </c>
      <c r="B1693" s="21" t="s">
        <v>1680</v>
      </c>
      <c r="C1693" s="21" t="s">
        <v>1680</v>
      </c>
      <c r="D1693" s="21" t="s">
        <v>11</v>
      </c>
      <c r="E1693" s="21" t="s">
        <v>11</v>
      </c>
    </row>
    <row r="1694" spans="1:5" s="21" customFormat="1" ht="15.75" hidden="1" customHeight="1">
      <c r="A1694" s="21">
        <v>382510</v>
      </c>
      <c r="B1694" s="21" t="s">
        <v>1681</v>
      </c>
      <c r="C1694" s="21" t="s">
        <v>5551</v>
      </c>
      <c r="D1694" s="21" t="s">
        <v>11</v>
      </c>
      <c r="E1694" s="21" t="s">
        <v>11</v>
      </c>
    </row>
    <row r="1695" spans="1:5" s="21" customFormat="1" ht="15.75" hidden="1" customHeight="1">
      <c r="A1695" s="21">
        <v>382520</v>
      </c>
      <c r="B1695" s="21" t="s">
        <v>1682</v>
      </c>
      <c r="C1695" s="21" t="s">
        <v>5551</v>
      </c>
      <c r="D1695" s="21" t="s">
        <v>11</v>
      </c>
      <c r="E1695" s="21" t="s">
        <v>11</v>
      </c>
    </row>
    <row r="1696" spans="1:5" s="21" customFormat="1" ht="15.75" hidden="1" customHeight="1">
      <c r="A1696" s="21">
        <v>382530</v>
      </c>
      <c r="B1696" s="21" t="s">
        <v>1683</v>
      </c>
      <c r="C1696" s="21" t="s">
        <v>5551</v>
      </c>
      <c r="D1696" s="21" t="s">
        <v>11</v>
      </c>
      <c r="E1696" s="21" t="s">
        <v>11</v>
      </c>
    </row>
    <row r="1697" spans="1:5" s="21" customFormat="1" ht="15.75" hidden="1" customHeight="1">
      <c r="A1697" s="21">
        <v>382541</v>
      </c>
      <c r="B1697" s="21" t="s">
        <v>1684</v>
      </c>
      <c r="C1697" s="21" t="s">
        <v>5551</v>
      </c>
      <c r="D1697" s="21" t="s">
        <v>11</v>
      </c>
      <c r="E1697" s="21" t="s">
        <v>11</v>
      </c>
    </row>
    <row r="1698" spans="1:5" s="21" customFormat="1" ht="15.75" hidden="1" customHeight="1">
      <c r="A1698" s="21">
        <v>382549</v>
      </c>
      <c r="B1698" s="21" t="s">
        <v>1685</v>
      </c>
      <c r="C1698" s="21" t="s">
        <v>5551</v>
      </c>
      <c r="D1698" s="21" t="s">
        <v>11</v>
      </c>
      <c r="E1698" s="21" t="s">
        <v>11</v>
      </c>
    </row>
    <row r="1699" spans="1:5" s="21" customFormat="1" ht="15.75" hidden="1" customHeight="1">
      <c r="A1699" s="21">
        <v>382550</v>
      </c>
      <c r="B1699" s="21" t="s">
        <v>1686</v>
      </c>
      <c r="C1699" s="21" t="s">
        <v>5552</v>
      </c>
      <c r="D1699" s="21" t="s">
        <v>11</v>
      </c>
      <c r="E1699" s="21" t="s">
        <v>11</v>
      </c>
    </row>
    <row r="1700" spans="1:5" s="21" customFormat="1" ht="15.75" hidden="1" customHeight="1">
      <c r="A1700" s="21">
        <v>382561</v>
      </c>
      <c r="B1700" s="21" t="s">
        <v>1687</v>
      </c>
      <c r="C1700" s="21" t="s">
        <v>5551</v>
      </c>
      <c r="D1700" s="21" t="s">
        <v>11</v>
      </c>
      <c r="E1700" s="21" t="s">
        <v>11</v>
      </c>
    </row>
    <row r="1701" spans="1:5" s="21" customFormat="1" ht="15.75" hidden="1" customHeight="1">
      <c r="A1701" s="21">
        <v>382569</v>
      </c>
      <c r="B1701" s="21" t="s">
        <v>1688</v>
      </c>
      <c r="C1701" s="21" t="s">
        <v>5551</v>
      </c>
      <c r="D1701" s="21" t="s">
        <v>11</v>
      </c>
      <c r="E1701" s="21" t="s">
        <v>11</v>
      </c>
    </row>
    <row r="1702" spans="1:5" s="21" customFormat="1" ht="15.75" hidden="1" customHeight="1">
      <c r="A1702" s="21">
        <v>382590</v>
      </c>
      <c r="B1702" s="21" t="s">
        <v>1689</v>
      </c>
      <c r="C1702" s="21" t="s">
        <v>5551</v>
      </c>
      <c r="D1702" s="21" t="s">
        <v>11</v>
      </c>
      <c r="E1702" s="21" t="s">
        <v>11</v>
      </c>
    </row>
    <row r="1703" spans="1:5" s="21" customFormat="1" ht="15.75" hidden="1" customHeight="1">
      <c r="A1703" s="21">
        <v>390110</v>
      </c>
      <c r="B1703" s="21" t="s">
        <v>1690</v>
      </c>
      <c r="C1703" s="21" t="s">
        <v>5553</v>
      </c>
      <c r="D1703" s="21" t="s">
        <v>11</v>
      </c>
      <c r="E1703" s="21" t="s">
        <v>11</v>
      </c>
    </row>
    <row r="1704" spans="1:5" s="21" customFormat="1" ht="15.75" hidden="1" customHeight="1">
      <c r="A1704" s="21">
        <v>390120</v>
      </c>
      <c r="B1704" s="21" t="s">
        <v>1691</v>
      </c>
      <c r="C1704" s="21" t="s">
        <v>5553</v>
      </c>
      <c r="D1704" s="21" t="s">
        <v>11</v>
      </c>
      <c r="E1704" s="21" t="s">
        <v>11</v>
      </c>
    </row>
    <row r="1705" spans="1:5" s="21" customFormat="1" ht="15.75" hidden="1" customHeight="1">
      <c r="A1705" s="21">
        <v>390130</v>
      </c>
      <c r="B1705" s="21" t="s">
        <v>1692</v>
      </c>
      <c r="C1705" s="21" t="s">
        <v>5553</v>
      </c>
      <c r="D1705" s="21" t="s">
        <v>11</v>
      </c>
      <c r="E1705" s="21" t="s">
        <v>11</v>
      </c>
    </row>
    <row r="1706" spans="1:5" s="21" customFormat="1" ht="15.75" hidden="1" customHeight="1">
      <c r="A1706" s="21">
        <v>390190</v>
      </c>
      <c r="B1706" s="21" t="s">
        <v>1693</v>
      </c>
      <c r="C1706" s="21" t="s">
        <v>5553</v>
      </c>
      <c r="D1706" s="21" t="s">
        <v>11</v>
      </c>
      <c r="E1706" s="21" t="s">
        <v>11</v>
      </c>
    </row>
    <row r="1707" spans="1:5" s="21" customFormat="1" ht="15.75" hidden="1" customHeight="1">
      <c r="A1707" s="21">
        <v>390210</v>
      </c>
      <c r="B1707" s="21" t="s">
        <v>1694</v>
      </c>
      <c r="C1707" s="21" t="s">
        <v>5554</v>
      </c>
      <c r="D1707" s="21" t="s">
        <v>11</v>
      </c>
      <c r="E1707" s="21" t="s">
        <v>11</v>
      </c>
    </row>
    <row r="1708" spans="1:5" s="21" customFormat="1" ht="15.75" hidden="1" customHeight="1">
      <c r="A1708" s="21">
        <v>390220</v>
      </c>
      <c r="B1708" s="21" t="s">
        <v>1695</v>
      </c>
      <c r="C1708" s="21" t="s">
        <v>5554</v>
      </c>
      <c r="D1708" s="21" t="s">
        <v>11</v>
      </c>
      <c r="E1708" s="21" t="s">
        <v>11</v>
      </c>
    </row>
    <row r="1709" spans="1:5" s="21" customFormat="1" ht="15.75" hidden="1" customHeight="1">
      <c r="A1709" s="21">
        <v>390230</v>
      </c>
      <c r="B1709" s="21" t="s">
        <v>1696</v>
      </c>
      <c r="C1709" s="21" t="s">
        <v>5554</v>
      </c>
      <c r="D1709" s="21" t="s">
        <v>11</v>
      </c>
      <c r="E1709" s="21" t="s">
        <v>11</v>
      </c>
    </row>
    <row r="1710" spans="1:5" s="21" customFormat="1" ht="15.75" hidden="1" customHeight="1">
      <c r="A1710" s="21">
        <v>390290</v>
      </c>
      <c r="B1710" s="21" t="s">
        <v>1697</v>
      </c>
      <c r="C1710" s="21" t="s">
        <v>5554</v>
      </c>
      <c r="D1710" s="21" t="s">
        <v>11</v>
      </c>
      <c r="E1710" s="21" t="s">
        <v>11</v>
      </c>
    </row>
    <row r="1711" spans="1:5" s="21" customFormat="1" ht="15.75" hidden="1" customHeight="1">
      <c r="A1711" s="21">
        <v>390311</v>
      </c>
      <c r="B1711" s="21" t="s">
        <v>1698</v>
      </c>
      <c r="C1711" s="21" t="s">
        <v>5555</v>
      </c>
      <c r="D1711" s="21" t="s">
        <v>11</v>
      </c>
      <c r="E1711" s="21" t="s">
        <v>11</v>
      </c>
    </row>
    <row r="1712" spans="1:5" s="21" customFormat="1" ht="15.75" hidden="1" customHeight="1">
      <c r="A1712" s="21">
        <v>390319</v>
      </c>
      <c r="B1712" s="21" t="s">
        <v>1699</v>
      </c>
      <c r="C1712" s="21" t="s">
        <v>5555</v>
      </c>
      <c r="D1712" s="21" t="s">
        <v>11</v>
      </c>
      <c r="E1712" s="21" t="s">
        <v>11</v>
      </c>
    </row>
    <row r="1713" spans="1:5" s="21" customFormat="1" ht="15.75" hidden="1" customHeight="1">
      <c r="A1713" s="21">
        <v>390320</v>
      </c>
      <c r="B1713" s="21" t="s">
        <v>1700</v>
      </c>
      <c r="C1713" s="21" t="s">
        <v>5555</v>
      </c>
      <c r="D1713" s="21" t="s">
        <v>11</v>
      </c>
      <c r="E1713" s="21" t="s">
        <v>11</v>
      </c>
    </row>
    <row r="1714" spans="1:5" s="21" customFormat="1" ht="15.75" hidden="1" customHeight="1">
      <c r="A1714" s="21">
        <v>390330</v>
      </c>
      <c r="B1714" s="21" t="s">
        <v>1701</v>
      </c>
      <c r="C1714" s="21" t="s">
        <v>5555</v>
      </c>
      <c r="D1714" s="21" t="s">
        <v>11</v>
      </c>
      <c r="E1714" s="21" t="s">
        <v>11</v>
      </c>
    </row>
    <row r="1715" spans="1:5" s="21" customFormat="1" ht="15.75" hidden="1" customHeight="1">
      <c r="A1715" s="21">
        <v>390390</v>
      </c>
      <c r="B1715" s="21" t="s">
        <v>1702</v>
      </c>
      <c r="C1715" s="21" t="s">
        <v>5555</v>
      </c>
      <c r="D1715" s="21" t="s">
        <v>11</v>
      </c>
      <c r="E1715" s="21" t="s">
        <v>11</v>
      </c>
    </row>
    <row r="1716" spans="1:5" s="21" customFormat="1" ht="15.75" hidden="1" customHeight="1">
      <c r="A1716" s="21">
        <v>390410</v>
      </c>
      <c r="B1716" s="21" t="s">
        <v>1703</v>
      </c>
      <c r="C1716" s="21" t="s">
        <v>5556</v>
      </c>
      <c r="D1716" s="21" t="s">
        <v>11</v>
      </c>
      <c r="E1716" s="21" t="s">
        <v>11</v>
      </c>
    </row>
    <row r="1717" spans="1:5" s="21" customFormat="1" ht="15.75" hidden="1" customHeight="1">
      <c r="A1717" s="21">
        <v>390421</v>
      </c>
      <c r="B1717" s="21" t="s">
        <v>1704</v>
      </c>
      <c r="C1717" s="21" t="s">
        <v>5556</v>
      </c>
      <c r="D1717" s="21" t="s">
        <v>11</v>
      </c>
      <c r="E1717" s="21" t="s">
        <v>11</v>
      </c>
    </row>
    <row r="1718" spans="1:5" s="21" customFormat="1" ht="15.75" hidden="1" customHeight="1">
      <c r="A1718" s="21">
        <v>390422</v>
      </c>
      <c r="B1718" s="21" t="s">
        <v>1705</v>
      </c>
      <c r="C1718" s="21" t="s">
        <v>5556</v>
      </c>
      <c r="D1718" s="21" t="s">
        <v>11</v>
      </c>
      <c r="E1718" s="21" t="s">
        <v>11</v>
      </c>
    </row>
    <row r="1719" spans="1:5" s="21" customFormat="1" ht="15.75" hidden="1" customHeight="1">
      <c r="A1719" s="21">
        <v>390430</v>
      </c>
      <c r="B1719" s="21" t="s">
        <v>1706</v>
      </c>
      <c r="C1719" s="21" t="s">
        <v>5556</v>
      </c>
      <c r="D1719" s="21" t="s">
        <v>11</v>
      </c>
      <c r="E1719" s="21" t="s">
        <v>11</v>
      </c>
    </row>
    <row r="1720" spans="1:5" s="21" customFormat="1" ht="15.75" hidden="1" customHeight="1">
      <c r="A1720" s="21">
        <v>390440</v>
      </c>
      <c r="B1720" s="21" t="s">
        <v>1707</v>
      </c>
      <c r="C1720" s="21" t="s">
        <v>5556</v>
      </c>
      <c r="D1720" s="21" t="s">
        <v>11</v>
      </c>
      <c r="E1720" s="21" t="s">
        <v>11</v>
      </c>
    </row>
    <row r="1721" spans="1:5" s="21" customFormat="1" ht="15.75" hidden="1" customHeight="1">
      <c r="A1721" s="21">
        <v>390450</v>
      </c>
      <c r="B1721" s="21" t="s">
        <v>1708</v>
      </c>
      <c r="C1721" s="21" t="s">
        <v>5556</v>
      </c>
      <c r="D1721" s="21" t="s">
        <v>11</v>
      </c>
      <c r="E1721" s="21" t="s">
        <v>11</v>
      </c>
    </row>
    <row r="1722" spans="1:5" s="21" customFormat="1" ht="15.75" hidden="1" customHeight="1">
      <c r="A1722" s="21">
        <v>390461</v>
      </c>
      <c r="B1722" s="21" t="s">
        <v>1709</v>
      </c>
      <c r="C1722" s="21" t="s">
        <v>5557</v>
      </c>
      <c r="D1722" s="21" t="s">
        <v>11</v>
      </c>
      <c r="E1722" s="21" t="s">
        <v>11</v>
      </c>
    </row>
    <row r="1723" spans="1:5" s="21" customFormat="1" ht="15.75" hidden="1" customHeight="1">
      <c r="A1723" s="21">
        <v>390469</v>
      </c>
      <c r="B1723" s="21" t="s">
        <v>1710</v>
      </c>
      <c r="C1723" s="21" t="s">
        <v>5557</v>
      </c>
      <c r="D1723" s="21" t="s">
        <v>11</v>
      </c>
      <c r="E1723" s="21" t="s">
        <v>11</v>
      </c>
    </row>
    <row r="1724" spans="1:5" s="21" customFormat="1" ht="15.75" hidden="1" customHeight="1">
      <c r="A1724" s="21">
        <v>390490</v>
      </c>
      <c r="B1724" s="21" t="s">
        <v>1711</v>
      </c>
      <c r="C1724" s="21" t="s">
        <v>5556</v>
      </c>
      <c r="D1724" s="21" t="s">
        <v>11</v>
      </c>
      <c r="E1724" s="21" t="s">
        <v>11</v>
      </c>
    </row>
    <row r="1725" spans="1:5" s="21" customFormat="1" ht="15.75" hidden="1" customHeight="1">
      <c r="A1725" s="21">
        <v>390512</v>
      </c>
      <c r="B1725" s="21" t="s">
        <v>1712</v>
      </c>
      <c r="C1725" s="21" t="s">
        <v>5558</v>
      </c>
      <c r="D1725" s="21" t="s">
        <v>11</v>
      </c>
      <c r="E1725" s="21" t="s">
        <v>11</v>
      </c>
    </row>
    <row r="1726" spans="1:5" s="21" customFormat="1" ht="15.75" hidden="1" customHeight="1">
      <c r="A1726" s="21">
        <v>390519</v>
      </c>
      <c r="B1726" s="21" t="s">
        <v>1713</v>
      </c>
      <c r="C1726" s="21" t="s">
        <v>5558</v>
      </c>
      <c r="D1726" s="21" t="s">
        <v>11</v>
      </c>
      <c r="E1726" s="21" t="s">
        <v>11</v>
      </c>
    </row>
    <row r="1727" spans="1:5" s="21" customFormat="1" ht="15.75" hidden="1" customHeight="1">
      <c r="A1727" s="21">
        <v>390521</v>
      </c>
      <c r="B1727" s="21" t="s">
        <v>1714</v>
      </c>
      <c r="C1727" s="21" t="s">
        <v>5559</v>
      </c>
      <c r="D1727" s="21" t="s">
        <v>11</v>
      </c>
      <c r="E1727" s="21" t="s">
        <v>11</v>
      </c>
    </row>
    <row r="1728" spans="1:5" s="21" customFormat="1" ht="15.75" hidden="1" customHeight="1">
      <c r="A1728" s="21">
        <v>390529</v>
      </c>
      <c r="B1728" s="21" t="s">
        <v>1715</v>
      </c>
      <c r="C1728" s="21" t="s">
        <v>5559</v>
      </c>
      <c r="D1728" s="21" t="s">
        <v>11</v>
      </c>
      <c r="E1728" s="21" t="s">
        <v>11</v>
      </c>
    </row>
    <row r="1729" spans="1:11" s="21" customFormat="1" ht="15.75" hidden="1" customHeight="1">
      <c r="A1729" s="21">
        <v>390530</v>
      </c>
      <c r="B1729" s="21" t="s">
        <v>1716</v>
      </c>
      <c r="C1729" s="21" t="s">
        <v>5560</v>
      </c>
      <c r="D1729" s="21" t="s">
        <v>11</v>
      </c>
      <c r="E1729" s="21" t="s">
        <v>11</v>
      </c>
    </row>
    <row r="1730" spans="1:11" s="21" customFormat="1" ht="15.75" hidden="1" customHeight="1">
      <c r="A1730" s="21">
        <v>390591</v>
      </c>
      <c r="B1730" s="21" t="s">
        <v>1717</v>
      </c>
      <c r="C1730" s="21" t="s">
        <v>5561</v>
      </c>
      <c r="D1730" s="21" t="s">
        <v>11</v>
      </c>
      <c r="E1730" s="21" t="s">
        <v>11</v>
      </c>
    </row>
    <row r="1731" spans="1:11" s="21" customFormat="1" ht="15.75" hidden="1" customHeight="1">
      <c r="A1731" s="21">
        <v>390599</v>
      </c>
      <c r="B1731" s="21" t="s">
        <v>1718</v>
      </c>
      <c r="C1731" s="21" t="s">
        <v>5561</v>
      </c>
      <c r="D1731" s="21" t="s">
        <v>11</v>
      </c>
      <c r="E1731" s="21" t="s">
        <v>11</v>
      </c>
    </row>
    <row r="1732" spans="1:11" s="21" customFormat="1" ht="15.75" hidden="1" customHeight="1">
      <c r="A1732" s="21">
        <v>390610</v>
      </c>
      <c r="B1732" s="21" t="s">
        <v>1719</v>
      </c>
      <c r="C1732" s="21" t="s">
        <v>5562</v>
      </c>
      <c r="D1732" s="21" t="s">
        <v>11</v>
      </c>
      <c r="E1732" s="21" t="s">
        <v>11</v>
      </c>
    </row>
    <row r="1733" spans="1:11" ht="15.75" hidden="1" customHeight="1">
      <c r="A1733" s="23">
        <v>390690</v>
      </c>
      <c r="B1733" s="23" t="s">
        <v>1720</v>
      </c>
      <c r="C1733" s="21" t="s">
        <v>5562</v>
      </c>
      <c r="D1733" s="23" t="s">
        <v>11</v>
      </c>
      <c r="E1733" s="21" t="s">
        <v>11</v>
      </c>
      <c r="F1733" s="23"/>
      <c r="G1733" s="24"/>
      <c r="H1733" s="24"/>
      <c r="I1733" s="24"/>
      <c r="J1733" s="24"/>
      <c r="K1733" s="24"/>
    </row>
    <row r="1734" spans="1:11" s="21" customFormat="1" ht="15.75" hidden="1" customHeight="1">
      <c r="A1734" s="21">
        <v>390710</v>
      </c>
      <c r="B1734" s="21" t="s">
        <v>1721</v>
      </c>
      <c r="C1734" s="21" t="s">
        <v>5563</v>
      </c>
      <c r="D1734" s="21" t="s">
        <v>11</v>
      </c>
      <c r="E1734" s="21" t="s">
        <v>11</v>
      </c>
    </row>
    <row r="1735" spans="1:11" s="21" customFormat="1" ht="15.75" hidden="1" customHeight="1">
      <c r="A1735" s="21">
        <v>390720</v>
      </c>
      <c r="B1735" s="21" t="s">
        <v>1722</v>
      </c>
      <c r="C1735" s="21" t="s">
        <v>5564</v>
      </c>
      <c r="D1735" s="21" t="s">
        <v>11</v>
      </c>
      <c r="E1735" s="21" t="s">
        <v>11</v>
      </c>
    </row>
    <row r="1736" spans="1:11" s="21" customFormat="1" ht="15.75" hidden="1" customHeight="1">
      <c r="A1736" s="21">
        <v>390730</v>
      </c>
      <c r="B1736" s="21" t="s">
        <v>1723</v>
      </c>
      <c r="C1736" s="21" t="s">
        <v>5565</v>
      </c>
      <c r="D1736" s="21" t="s">
        <v>11</v>
      </c>
      <c r="E1736" s="21" t="s">
        <v>11</v>
      </c>
    </row>
    <row r="1737" spans="1:11" s="21" customFormat="1" ht="15.75" hidden="1" customHeight="1">
      <c r="A1737" s="21">
        <v>390740</v>
      </c>
      <c r="B1737" s="21" t="s">
        <v>1724</v>
      </c>
      <c r="C1737" s="21" t="s">
        <v>5566</v>
      </c>
      <c r="D1737" s="21" t="s">
        <v>11</v>
      </c>
      <c r="E1737" s="21" t="s">
        <v>11</v>
      </c>
    </row>
    <row r="1738" spans="1:11" s="21" customFormat="1" ht="15.75" hidden="1" customHeight="1">
      <c r="A1738" s="21">
        <v>390750</v>
      </c>
      <c r="B1738" s="21" t="s">
        <v>1725</v>
      </c>
      <c r="C1738" s="21" t="s">
        <v>5567</v>
      </c>
      <c r="D1738" s="21" t="s">
        <v>11</v>
      </c>
      <c r="E1738" s="21" t="s">
        <v>11</v>
      </c>
    </row>
    <row r="1739" spans="1:11" s="21" customFormat="1" ht="15.75" hidden="1" customHeight="1">
      <c r="A1739" s="21">
        <v>390760</v>
      </c>
      <c r="B1739" s="21" t="s">
        <v>1726</v>
      </c>
      <c r="C1739" s="21" t="s">
        <v>5568</v>
      </c>
      <c r="D1739" s="21" t="s">
        <v>11</v>
      </c>
      <c r="E1739" s="21" t="s">
        <v>11</v>
      </c>
    </row>
    <row r="1740" spans="1:11" s="21" customFormat="1" ht="15.75" hidden="1" customHeight="1">
      <c r="A1740" s="21">
        <v>390770</v>
      </c>
      <c r="B1740" s="21" t="s">
        <v>1727</v>
      </c>
      <c r="C1740" s="21" t="s">
        <v>5569</v>
      </c>
      <c r="D1740" s="21" t="s">
        <v>11</v>
      </c>
      <c r="E1740" s="21" t="s">
        <v>11</v>
      </c>
    </row>
    <row r="1741" spans="1:11" s="21" customFormat="1" ht="15.75" hidden="1" customHeight="1">
      <c r="A1741" s="21">
        <v>390791</v>
      </c>
      <c r="B1741" s="21" t="s">
        <v>1728</v>
      </c>
      <c r="C1741" s="21" t="s">
        <v>5570</v>
      </c>
      <c r="D1741" s="21" t="s">
        <v>11</v>
      </c>
      <c r="E1741" s="21" t="s">
        <v>11</v>
      </c>
    </row>
    <row r="1742" spans="1:11" s="21" customFormat="1" ht="15.75" hidden="1" customHeight="1">
      <c r="A1742" s="21">
        <v>390799</v>
      </c>
      <c r="B1742" s="21" t="s">
        <v>1729</v>
      </c>
      <c r="C1742" s="21" t="s">
        <v>5570</v>
      </c>
      <c r="D1742" s="21" t="s">
        <v>11</v>
      </c>
      <c r="E1742" s="21" t="s">
        <v>11</v>
      </c>
    </row>
    <row r="1743" spans="1:11" s="21" customFormat="1" ht="15.75" hidden="1" customHeight="1">
      <c r="A1743" s="21">
        <v>390810</v>
      </c>
      <c r="B1743" s="21" t="s">
        <v>1730</v>
      </c>
      <c r="C1743" s="21" t="s">
        <v>5571</v>
      </c>
      <c r="D1743" s="21" t="s">
        <v>11</v>
      </c>
      <c r="E1743" s="21" t="s">
        <v>11</v>
      </c>
    </row>
    <row r="1744" spans="1:11" s="21" customFormat="1" ht="15.75" hidden="1" customHeight="1">
      <c r="A1744" s="21">
        <v>390890</v>
      </c>
      <c r="B1744" s="21" t="s">
        <v>1731</v>
      </c>
      <c r="C1744" s="21" t="s">
        <v>5571</v>
      </c>
      <c r="D1744" s="21" t="s">
        <v>11</v>
      </c>
      <c r="E1744" s="21" t="s">
        <v>11</v>
      </c>
    </row>
    <row r="1745" spans="1:5" s="21" customFormat="1" ht="15.75" hidden="1" customHeight="1">
      <c r="A1745" s="21">
        <v>390910</v>
      </c>
      <c r="B1745" s="21" t="s">
        <v>1732</v>
      </c>
      <c r="C1745" s="21" t="s">
        <v>5572</v>
      </c>
      <c r="D1745" s="21" t="s">
        <v>11</v>
      </c>
      <c r="E1745" s="21" t="s">
        <v>11</v>
      </c>
    </row>
    <row r="1746" spans="1:5" s="21" customFormat="1" ht="15.75" hidden="1" customHeight="1">
      <c r="A1746" s="21">
        <v>390920</v>
      </c>
      <c r="B1746" s="21" t="s">
        <v>1733</v>
      </c>
      <c r="C1746" s="21" t="s">
        <v>5572</v>
      </c>
      <c r="D1746" s="21" t="s">
        <v>11</v>
      </c>
      <c r="E1746" s="21" t="s">
        <v>11</v>
      </c>
    </row>
    <row r="1747" spans="1:5" s="21" customFormat="1" ht="15.75" hidden="1" customHeight="1">
      <c r="A1747" s="21">
        <v>390930</v>
      </c>
      <c r="B1747" s="21" t="s">
        <v>1734</v>
      </c>
      <c r="C1747" s="21" t="s">
        <v>5572</v>
      </c>
      <c r="D1747" s="21" t="s">
        <v>11</v>
      </c>
      <c r="E1747" s="21" t="s">
        <v>11</v>
      </c>
    </row>
    <row r="1748" spans="1:5" s="21" customFormat="1" ht="15.75" hidden="1" customHeight="1">
      <c r="A1748" s="21">
        <v>390940</v>
      </c>
      <c r="B1748" s="21" t="s">
        <v>1735</v>
      </c>
      <c r="C1748" s="21" t="s">
        <v>5573</v>
      </c>
      <c r="D1748" s="21" t="s">
        <v>11</v>
      </c>
      <c r="E1748" s="21" t="s">
        <v>11</v>
      </c>
    </row>
    <row r="1749" spans="1:5" s="21" customFormat="1" ht="15.75" hidden="1" customHeight="1">
      <c r="A1749" s="21">
        <v>390950</v>
      </c>
      <c r="B1749" s="21" t="s">
        <v>1736</v>
      </c>
      <c r="C1749" s="21" t="s">
        <v>5574</v>
      </c>
      <c r="D1749" s="21" t="s">
        <v>11</v>
      </c>
      <c r="E1749" s="21" t="s">
        <v>11</v>
      </c>
    </row>
    <row r="1750" spans="1:5" s="21" customFormat="1" ht="15.75" hidden="1" customHeight="1">
      <c r="A1750" s="21">
        <v>391000</v>
      </c>
      <c r="B1750" s="21" t="s">
        <v>1737</v>
      </c>
      <c r="C1750" s="21" t="s">
        <v>5575</v>
      </c>
      <c r="D1750" s="21" t="s">
        <v>11</v>
      </c>
      <c r="E1750" s="21" t="s">
        <v>11</v>
      </c>
    </row>
    <row r="1751" spans="1:5" s="21" customFormat="1" ht="15.75" hidden="1" customHeight="1">
      <c r="A1751" s="21">
        <v>391110</v>
      </c>
      <c r="B1751" s="21" t="s">
        <v>1738</v>
      </c>
      <c r="C1751" s="21" t="s">
        <v>5576</v>
      </c>
      <c r="D1751" s="21" t="s">
        <v>11</v>
      </c>
      <c r="E1751" s="21" t="s">
        <v>11</v>
      </c>
    </row>
    <row r="1752" spans="1:5" s="21" customFormat="1" ht="15.75" hidden="1" customHeight="1">
      <c r="A1752" s="21">
        <v>391190</v>
      </c>
      <c r="B1752" s="21" t="s">
        <v>1739</v>
      </c>
      <c r="C1752" s="21" t="s">
        <v>5577</v>
      </c>
      <c r="D1752" s="21" t="s">
        <v>11</v>
      </c>
      <c r="E1752" s="21" t="s">
        <v>11</v>
      </c>
    </row>
    <row r="1753" spans="1:5" s="21" customFormat="1" ht="15.75" hidden="1" customHeight="1">
      <c r="A1753" s="21">
        <v>391211</v>
      </c>
      <c r="B1753" s="21" t="s">
        <v>1740</v>
      </c>
      <c r="C1753" s="21" t="s">
        <v>5578</v>
      </c>
      <c r="D1753" s="21" t="s">
        <v>11</v>
      </c>
      <c r="E1753" s="21" t="s">
        <v>11</v>
      </c>
    </row>
    <row r="1754" spans="1:5" s="21" customFormat="1" ht="15.75" hidden="1" customHeight="1">
      <c r="A1754" s="21">
        <v>391212</v>
      </c>
      <c r="B1754" s="21" t="s">
        <v>1741</v>
      </c>
      <c r="C1754" s="21" t="s">
        <v>5578</v>
      </c>
      <c r="D1754" s="21" t="s">
        <v>11</v>
      </c>
      <c r="E1754" s="21" t="s">
        <v>11</v>
      </c>
    </row>
    <row r="1755" spans="1:5" s="21" customFormat="1" ht="15.75" hidden="1" customHeight="1">
      <c r="A1755" s="21">
        <v>391220</v>
      </c>
      <c r="B1755" s="21" t="s">
        <v>1742</v>
      </c>
      <c r="C1755" s="21" t="s">
        <v>5579</v>
      </c>
      <c r="D1755" s="21" t="s">
        <v>11</v>
      </c>
      <c r="E1755" s="21" t="s">
        <v>11</v>
      </c>
    </row>
    <row r="1756" spans="1:5" s="21" customFormat="1" ht="15.75" hidden="1" customHeight="1">
      <c r="A1756" s="21">
        <v>391231</v>
      </c>
      <c r="B1756" s="21" t="s">
        <v>1743</v>
      </c>
      <c r="C1756" s="21" t="s">
        <v>5580</v>
      </c>
      <c r="D1756" s="21" t="s">
        <v>11</v>
      </c>
      <c r="E1756" s="21" t="s">
        <v>11</v>
      </c>
    </row>
    <row r="1757" spans="1:5" s="21" customFormat="1" ht="15.75" hidden="1" customHeight="1">
      <c r="A1757" s="21">
        <v>391239</v>
      </c>
      <c r="B1757" s="21" t="s">
        <v>1744</v>
      </c>
      <c r="C1757" s="21" t="s">
        <v>5580</v>
      </c>
      <c r="D1757" s="21" t="s">
        <v>11</v>
      </c>
      <c r="E1757" s="21" t="s">
        <v>11</v>
      </c>
    </row>
    <row r="1758" spans="1:5" s="21" customFormat="1" ht="15.75" hidden="1" customHeight="1">
      <c r="A1758" s="21">
        <v>391290</v>
      </c>
      <c r="B1758" s="21" t="s">
        <v>1745</v>
      </c>
      <c r="C1758" s="21" t="s">
        <v>5581</v>
      </c>
      <c r="D1758" s="21" t="s">
        <v>11</v>
      </c>
      <c r="E1758" s="21" t="s">
        <v>11</v>
      </c>
    </row>
    <row r="1759" spans="1:5" s="21" customFormat="1" ht="15.75" hidden="1" customHeight="1">
      <c r="A1759" s="21">
        <v>391310</v>
      </c>
      <c r="B1759" s="21" t="s">
        <v>1746</v>
      </c>
      <c r="C1759" s="21" t="s">
        <v>5582</v>
      </c>
      <c r="D1759" s="21" t="s">
        <v>11</v>
      </c>
      <c r="E1759" s="21" t="s">
        <v>11</v>
      </c>
    </row>
    <row r="1760" spans="1:5" s="21" customFormat="1" ht="15.75" hidden="1" customHeight="1">
      <c r="A1760" s="21">
        <v>391390</v>
      </c>
      <c r="B1760" s="21" t="s">
        <v>1747</v>
      </c>
      <c r="C1760" s="21" t="s">
        <v>5583</v>
      </c>
      <c r="D1760" s="21" t="s">
        <v>11</v>
      </c>
      <c r="E1760" s="21" t="s">
        <v>11</v>
      </c>
    </row>
    <row r="1761" spans="1:5" s="21" customFormat="1" ht="15.75" hidden="1" customHeight="1">
      <c r="A1761" s="21">
        <v>391400</v>
      </c>
      <c r="B1761" s="21" t="s">
        <v>1748</v>
      </c>
      <c r="C1761" s="21" t="s">
        <v>5584</v>
      </c>
      <c r="D1761" s="21" t="s">
        <v>11</v>
      </c>
      <c r="E1761" s="21" t="s">
        <v>11</v>
      </c>
    </row>
    <row r="1762" spans="1:5" s="21" customFormat="1" ht="15.75" hidden="1" customHeight="1">
      <c r="A1762" s="21">
        <v>391510</v>
      </c>
      <c r="B1762" s="21" t="s">
        <v>1749</v>
      </c>
      <c r="C1762" s="21" t="s">
        <v>5553</v>
      </c>
      <c r="D1762" s="21" t="s">
        <v>11</v>
      </c>
      <c r="E1762" s="21" t="s">
        <v>11</v>
      </c>
    </row>
    <row r="1763" spans="1:5" s="21" customFormat="1" ht="15.75" hidden="1" customHeight="1">
      <c r="A1763" s="21">
        <v>391520</v>
      </c>
      <c r="B1763" s="21" t="s">
        <v>1750</v>
      </c>
      <c r="C1763" s="21" t="s">
        <v>5555</v>
      </c>
      <c r="D1763" s="21" t="s">
        <v>11</v>
      </c>
      <c r="E1763" s="21" t="s">
        <v>11</v>
      </c>
    </row>
    <row r="1764" spans="1:5" s="21" customFormat="1" ht="15.75" hidden="1" customHeight="1">
      <c r="A1764" s="21">
        <v>391530</v>
      </c>
      <c r="B1764" s="21" t="s">
        <v>1751</v>
      </c>
      <c r="C1764" s="21" t="s">
        <v>5585</v>
      </c>
      <c r="D1764" s="21" t="s">
        <v>11</v>
      </c>
      <c r="E1764" s="21" t="s">
        <v>11</v>
      </c>
    </row>
    <row r="1765" spans="1:5" s="21" customFormat="1" ht="15.75" hidden="1" customHeight="1">
      <c r="A1765" s="21">
        <v>391590</v>
      </c>
      <c r="B1765" s="21" t="s">
        <v>1752</v>
      </c>
      <c r="C1765" s="21" t="s">
        <v>5586</v>
      </c>
      <c r="D1765" s="21" t="s">
        <v>11</v>
      </c>
      <c r="E1765" s="21" t="s">
        <v>11</v>
      </c>
    </row>
    <row r="1766" spans="1:5" s="21" customFormat="1" ht="15.75" hidden="1" customHeight="1">
      <c r="A1766" s="21">
        <v>391610</v>
      </c>
      <c r="B1766" s="21" t="s">
        <v>1753</v>
      </c>
      <c r="C1766" s="21" t="s">
        <v>5553</v>
      </c>
      <c r="D1766" s="21" t="s">
        <v>11</v>
      </c>
      <c r="E1766" s="21" t="s">
        <v>11</v>
      </c>
    </row>
    <row r="1767" spans="1:5" s="21" customFormat="1" ht="15.75" hidden="1" customHeight="1">
      <c r="A1767" s="21">
        <v>391620</v>
      </c>
      <c r="B1767" s="21" t="s">
        <v>1754</v>
      </c>
      <c r="C1767" s="21" t="s">
        <v>5585</v>
      </c>
      <c r="D1767" s="21" t="s">
        <v>11</v>
      </c>
      <c r="E1767" s="21" t="s">
        <v>11</v>
      </c>
    </row>
    <row r="1768" spans="1:5" s="21" customFormat="1" ht="15.75" hidden="1" customHeight="1">
      <c r="A1768" s="21">
        <v>391690</v>
      </c>
      <c r="B1768" s="21" t="s">
        <v>1755</v>
      </c>
      <c r="C1768" s="21" t="s">
        <v>5587</v>
      </c>
      <c r="D1768" s="21" t="s">
        <v>11</v>
      </c>
      <c r="E1768" s="21" t="s">
        <v>11</v>
      </c>
    </row>
    <row r="1769" spans="1:5" s="21" customFormat="1" ht="15.75" hidden="1" customHeight="1">
      <c r="A1769" s="21">
        <v>391710</v>
      </c>
      <c r="B1769" s="21" t="s">
        <v>1756</v>
      </c>
      <c r="C1769" s="21" t="s">
        <v>5587</v>
      </c>
      <c r="D1769" s="21" t="s">
        <v>11</v>
      </c>
      <c r="E1769" s="21" t="s">
        <v>11</v>
      </c>
    </row>
    <row r="1770" spans="1:5" s="21" customFormat="1" ht="15.75" hidden="1" customHeight="1">
      <c r="A1770" s="21">
        <v>391721</v>
      </c>
      <c r="B1770" s="21" t="s">
        <v>1757</v>
      </c>
      <c r="C1770" s="21" t="s">
        <v>5587</v>
      </c>
      <c r="D1770" s="21" t="s">
        <v>11</v>
      </c>
      <c r="E1770" s="21" t="s">
        <v>11</v>
      </c>
    </row>
    <row r="1771" spans="1:5" s="21" customFormat="1" ht="15.75" hidden="1" customHeight="1">
      <c r="A1771" s="21">
        <v>391722</v>
      </c>
      <c r="B1771" s="21" t="s">
        <v>1758</v>
      </c>
      <c r="C1771" s="21" t="s">
        <v>5587</v>
      </c>
      <c r="D1771" s="21" t="s">
        <v>11</v>
      </c>
      <c r="E1771" s="21" t="s">
        <v>11</v>
      </c>
    </row>
    <row r="1772" spans="1:5" s="21" customFormat="1" ht="15.75" hidden="1" customHeight="1">
      <c r="A1772" s="21">
        <v>391723</v>
      </c>
      <c r="B1772" s="21" t="s">
        <v>1759</v>
      </c>
      <c r="C1772" s="21" t="s">
        <v>5587</v>
      </c>
      <c r="D1772" s="21" t="s">
        <v>11</v>
      </c>
      <c r="E1772" s="21" t="s">
        <v>11</v>
      </c>
    </row>
    <row r="1773" spans="1:5" s="21" customFormat="1" ht="15.75" hidden="1" customHeight="1">
      <c r="A1773" s="21">
        <v>391729</v>
      </c>
      <c r="B1773" s="21" t="s">
        <v>1760</v>
      </c>
      <c r="C1773" s="21" t="s">
        <v>5587</v>
      </c>
      <c r="D1773" s="21" t="s">
        <v>11</v>
      </c>
      <c r="E1773" s="21" t="s">
        <v>11</v>
      </c>
    </row>
    <row r="1774" spans="1:5" s="21" customFormat="1" ht="15.75" hidden="1" customHeight="1">
      <c r="A1774" s="21">
        <v>391731</v>
      </c>
      <c r="B1774" s="21" t="s">
        <v>1761</v>
      </c>
      <c r="C1774" s="21" t="s">
        <v>5587</v>
      </c>
      <c r="D1774" s="21" t="s">
        <v>11</v>
      </c>
      <c r="E1774" s="21" t="s">
        <v>11</v>
      </c>
    </row>
    <row r="1775" spans="1:5" s="21" customFormat="1" ht="15.75" hidden="1" customHeight="1">
      <c r="A1775" s="21">
        <v>391732</v>
      </c>
      <c r="B1775" s="21" t="s">
        <v>1762</v>
      </c>
      <c r="C1775" s="21" t="s">
        <v>5587</v>
      </c>
      <c r="D1775" s="21" t="s">
        <v>11</v>
      </c>
      <c r="E1775" s="21" t="s">
        <v>11</v>
      </c>
    </row>
    <row r="1776" spans="1:5" s="21" customFormat="1" ht="15.75" hidden="1" customHeight="1">
      <c r="A1776" s="21">
        <v>391733</v>
      </c>
      <c r="B1776" s="21" t="s">
        <v>1763</v>
      </c>
      <c r="C1776" s="21" t="s">
        <v>5587</v>
      </c>
      <c r="D1776" s="21" t="s">
        <v>11</v>
      </c>
      <c r="E1776" s="21" t="s">
        <v>11</v>
      </c>
    </row>
    <row r="1777" spans="1:5" s="21" customFormat="1" ht="15.75" hidden="1" customHeight="1">
      <c r="A1777" s="21">
        <v>391739</v>
      </c>
      <c r="B1777" s="21" t="s">
        <v>1764</v>
      </c>
      <c r="C1777" s="21" t="s">
        <v>5587</v>
      </c>
      <c r="D1777" s="21" t="s">
        <v>11</v>
      </c>
      <c r="E1777" s="21" t="s">
        <v>11</v>
      </c>
    </row>
    <row r="1778" spans="1:5" s="21" customFormat="1" ht="15.75" hidden="1" customHeight="1">
      <c r="A1778" s="21">
        <v>391810</v>
      </c>
      <c r="B1778" s="21" t="s">
        <v>1766</v>
      </c>
      <c r="C1778" s="21" t="s">
        <v>5588</v>
      </c>
      <c r="D1778" s="21" t="s">
        <v>11</v>
      </c>
      <c r="E1778" s="21" t="s">
        <v>11</v>
      </c>
    </row>
    <row r="1779" spans="1:5" s="21" customFormat="1" ht="15.75" hidden="1" customHeight="1">
      <c r="A1779" s="21">
        <v>391890</v>
      </c>
      <c r="B1779" s="21" t="s">
        <v>1767</v>
      </c>
      <c r="C1779" s="21" t="s">
        <v>5588</v>
      </c>
      <c r="D1779" s="21" t="s">
        <v>11</v>
      </c>
      <c r="E1779" s="21" t="s">
        <v>11</v>
      </c>
    </row>
    <row r="1780" spans="1:5" s="21" customFormat="1" ht="15.75" hidden="1" customHeight="1">
      <c r="A1780" s="21">
        <v>391910</v>
      </c>
      <c r="B1780" s="21" t="s">
        <v>1768</v>
      </c>
      <c r="C1780" s="21" t="s">
        <v>5587</v>
      </c>
      <c r="D1780" s="21" t="s">
        <v>11</v>
      </c>
      <c r="E1780" s="21" t="s">
        <v>11</v>
      </c>
    </row>
    <row r="1781" spans="1:5" s="21" customFormat="1" ht="15.75" hidden="1" customHeight="1">
      <c r="A1781" s="21">
        <v>391990</v>
      </c>
      <c r="B1781" s="21" t="s">
        <v>1769</v>
      </c>
      <c r="C1781" s="21" t="s">
        <v>5587</v>
      </c>
      <c r="D1781" s="21" t="s">
        <v>11</v>
      </c>
      <c r="E1781" s="21" t="s">
        <v>11</v>
      </c>
    </row>
    <row r="1782" spans="1:5" s="21" customFormat="1" ht="15.75" hidden="1" customHeight="1">
      <c r="A1782" s="21">
        <v>392010</v>
      </c>
      <c r="B1782" s="21" t="s">
        <v>1770</v>
      </c>
      <c r="C1782" s="21" t="s">
        <v>5587</v>
      </c>
      <c r="D1782" s="21" t="s">
        <v>11</v>
      </c>
      <c r="E1782" s="21" t="s">
        <v>11</v>
      </c>
    </row>
    <row r="1783" spans="1:5" s="21" customFormat="1" ht="15.75" hidden="1" customHeight="1">
      <c r="A1783" s="21">
        <v>392020</v>
      </c>
      <c r="B1783" s="21" t="s">
        <v>1771</v>
      </c>
      <c r="C1783" s="21" t="s">
        <v>5587</v>
      </c>
      <c r="D1783" s="21" t="s">
        <v>11</v>
      </c>
      <c r="E1783" s="21" t="s">
        <v>11</v>
      </c>
    </row>
    <row r="1784" spans="1:5" s="21" customFormat="1" ht="15.75" hidden="1" customHeight="1">
      <c r="A1784" s="21">
        <v>392030</v>
      </c>
      <c r="B1784" s="21" t="s">
        <v>1772</v>
      </c>
      <c r="C1784" s="21" t="s">
        <v>5587</v>
      </c>
      <c r="D1784" s="21" t="s">
        <v>11</v>
      </c>
      <c r="E1784" s="21" t="s">
        <v>11</v>
      </c>
    </row>
    <row r="1785" spans="1:5" s="21" customFormat="1" ht="15.75" hidden="1" customHeight="1">
      <c r="A1785" s="21">
        <v>392043</v>
      </c>
      <c r="B1785" s="21" t="s">
        <v>1773</v>
      </c>
      <c r="C1785" s="21" t="s">
        <v>5587</v>
      </c>
      <c r="D1785" s="21" t="s">
        <v>11</v>
      </c>
      <c r="E1785" s="21" t="s">
        <v>11</v>
      </c>
    </row>
    <row r="1786" spans="1:5" s="21" customFormat="1" ht="15.75" hidden="1" customHeight="1">
      <c r="A1786" s="21">
        <v>392049</v>
      </c>
      <c r="B1786" s="21" t="s">
        <v>1774</v>
      </c>
      <c r="C1786" s="21" t="s">
        <v>5587</v>
      </c>
      <c r="D1786" s="21" t="s">
        <v>11</v>
      </c>
      <c r="E1786" s="21" t="s">
        <v>11</v>
      </c>
    </row>
    <row r="1787" spans="1:5" s="21" customFormat="1" ht="15.75" hidden="1" customHeight="1">
      <c r="A1787" s="21">
        <v>392051</v>
      </c>
      <c r="B1787" s="21" t="s">
        <v>1775</v>
      </c>
      <c r="C1787" s="21" t="s">
        <v>5587</v>
      </c>
      <c r="D1787" s="21" t="s">
        <v>11</v>
      </c>
      <c r="E1787" s="21" t="s">
        <v>11</v>
      </c>
    </row>
    <row r="1788" spans="1:5" s="21" customFormat="1" ht="15.75" hidden="1" customHeight="1">
      <c r="A1788" s="21">
        <v>392059</v>
      </c>
      <c r="B1788" s="21" t="s">
        <v>1776</v>
      </c>
      <c r="C1788" s="21" t="s">
        <v>5587</v>
      </c>
      <c r="D1788" s="21" t="s">
        <v>11</v>
      </c>
      <c r="E1788" s="21" t="s">
        <v>11</v>
      </c>
    </row>
    <row r="1789" spans="1:5" s="21" customFormat="1" ht="15.75" hidden="1" customHeight="1">
      <c r="A1789" s="21">
        <v>392061</v>
      </c>
      <c r="B1789" s="21" t="s">
        <v>1777</v>
      </c>
      <c r="C1789" s="21" t="s">
        <v>5587</v>
      </c>
      <c r="D1789" s="21" t="s">
        <v>11</v>
      </c>
      <c r="E1789" s="21" t="s">
        <v>11</v>
      </c>
    </row>
    <row r="1790" spans="1:5" s="21" customFormat="1" ht="15.75" hidden="1" customHeight="1">
      <c r="A1790" s="21">
        <v>392062</v>
      </c>
      <c r="B1790" s="21" t="s">
        <v>1778</v>
      </c>
      <c r="C1790" s="21" t="s">
        <v>5587</v>
      </c>
      <c r="D1790" s="21" t="s">
        <v>11</v>
      </c>
      <c r="E1790" s="21" t="s">
        <v>11</v>
      </c>
    </row>
    <row r="1791" spans="1:5" s="21" customFormat="1" ht="15.75" hidden="1" customHeight="1">
      <c r="A1791" s="21">
        <v>392063</v>
      </c>
      <c r="B1791" s="21" t="s">
        <v>1779</v>
      </c>
      <c r="C1791" s="21" t="s">
        <v>5587</v>
      </c>
      <c r="D1791" s="21" t="s">
        <v>11</v>
      </c>
      <c r="E1791" s="21" t="s">
        <v>11</v>
      </c>
    </row>
    <row r="1792" spans="1:5" s="21" customFormat="1" ht="15.75" hidden="1" customHeight="1">
      <c r="A1792" s="21">
        <v>392069</v>
      </c>
      <c r="B1792" s="21" t="s">
        <v>1780</v>
      </c>
      <c r="C1792" s="21" t="s">
        <v>5587</v>
      </c>
      <c r="D1792" s="21" t="s">
        <v>11</v>
      </c>
      <c r="E1792" s="21" t="s">
        <v>11</v>
      </c>
    </row>
    <row r="1793" spans="1:5" s="21" customFormat="1" ht="15.75" hidden="1" customHeight="1">
      <c r="A1793" s="21">
        <v>392071</v>
      </c>
      <c r="B1793" s="21" t="s">
        <v>1781</v>
      </c>
      <c r="C1793" s="21" t="s">
        <v>5587</v>
      </c>
      <c r="D1793" s="21" t="s">
        <v>11</v>
      </c>
      <c r="E1793" s="21" t="s">
        <v>11</v>
      </c>
    </row>
    <row r="1794" spans="1:5" s="21" customFormat="1" ht="15.75" hidden="1" customHeight="1">
      <c r="A1794" s="21">
        <v>392073</v>
      </c>
      <c r="B1794" s="21" t="s">
        <v>1782</v>
      </c>
      <c r="C1794" s="21" t="s">
        <v>5587</v>
      </c>
      <c r="D1794" s="21" t="s">
        <v>11</v>
      </c>
      <c r="E1794" s="21" t="s">
        <v>11</v>
      </c>
    </row>
    <row r="1795" spans="1:5" s="21" customFormat="1" ht="15.75" hidden="1" customHeight="1">
      <c r="A1795" s="21">
        <v>392079</v>
      </c>
      <c r="B1795" s="21" t="s">
        <v>1783</v>
      </c>
      <c r="C1795" s="21" t="s">
        <v>5587</v>
      </c>
      <c r="D1795" s="21" t="s">
        <v>11</v>
      </c>
      <c r="E1795" s="21" t="s">
        <v>11</v>
      </c>
    </row>
    <row r="1796" spans="1:5" s="21" customFormat="1" ht="15.75" hidden="1" customHeight="1">
      <c r="A1796" s="21">
        <v>392091</v>
      </c>
      <c r="B1796" s="21" t="s">
        <v>1784</v>
      </c>
      <c r="C1796" s="21" t="s">
        <v>5587</v>
      </c>
      <c r="D1796" s="21" t="s">
        <v>11</v>
      </c>
      <c r="E1796" s="21" t="s">
        <v>11</v>
      </c>
    </row>
    <row r="1797" spans="1:5" s="21" customFormat="1" ht="15.75" hidden="1" customHeight="1">
      <c r="A1797" s="21">
        <v>392092</v>
      </c>
      <c r="B1797" s="21" t="s">
        <v>1785</v>
      </c>
      <c r="C1797" s="21" t="s">
        <v>5587</v>
      </c>
      <c r="D1797" s="21" t="s">
        <v>11</v>
      </c>
      <c r="E1797" s="21" t="s">
        <v>11</v>
      </c>
    </row>
    <row r="1798" spans="1:5" s="21" customFormat="1" ht="15.75" hidden="1" customHeight="1">
      <c r="A1798" s="21">
        <v>392093</v>
      </c>
      <c r="B1798" s="21" t="s">
        <v>1786</v>
      </c>
      <c r="C1798" s="21" t="s">
        <v>5587</v>
      </c>
      <c r="D1798" s="21" t="s">
        <v>11</v>
      </c>
      <c r="E1798" s="21" t="s">
        <v>11</v>
      </c>
    </row>
    <row r="1799" spans="1:5" s="21" customFormat="1" ht="15.75" hidden="1" customHeight="1">
      <c r="A1799" s="21">
        <v>392094</v>
      </c>
      <c r="B1799" s="21" t="s">
        <v>1787</v>
      </c>
      <c r="C1799" s="21" t="s">
        <v>5587</v>
      </c>
      <c r="D1799" s="21" t="s">
        <v>11</v>
      </c>
      <c r="E1799" s="21" t="s">
        <v>11</v>
      </c>
    </row>
    <row r="1800" spans="1:5" s="21" customFormat="1" ht="15.75" hidden="1" customHeight="1">
      <c r="A1800" s="21">
        <v>392099</v>
      </c>
      <c r="B1800" s="21" t="s">
        <v>1788</v>
      </c>
      <c r="C1800" s="21" t="s">
        <v>5587</v>
      </c>
      <c r="D1800" s="21" t="s">
        <v>11</v>
      </c>
      <c r="E1800" s="21" t="s">
        <v>11</v>
      </c>
    </row>
    <row r="1801" spans="1:5" s="21" customFormat="1" ht="15.75" hidden="1" customHeight="1">
      <c r="A1801" s="21">
        <v>392111</v>
      </c>
      <c r="B1801" s="21" t="s">
        <v>1789</v>
      </c>
      <c r="C1801" s="21" t="s">
        <v>5587</v>
      </c>
      <c r="D1801" s="21" t="s">
        <v>11</v>
      </c>
      <c r="E1801" s="21" t="s">
        <v>11</v>
      </c>
    </row>
    <row r="1802" spans="1:5" s="21" customFormat="1" ht="15.75" hidden="1" customHeight="1">
      <c r="A1802" s="21">
        <v>392112</v>
      </c>
      <c r="B1802" s="21" t="s">
        <v>1790</v>
      </c>
      <c r="C1802" s="21" t="s">
        <v>5587</v>
      </c>
      <c r="D1802" s="21" t="s">
        <v>11</v>
      </c>
      <c r="E1802" s="21" t="s">
        <v>11</v>
      </c>
    </row>
    <row r="1803" spans="1:5" s="21" customFormat="1" ht="15.75" hidden="1" customHeight="1">
      <c r="A1803" s="21">
        <v>392113</v>
      </c>
      <c r="B1803" s="21" t="s">
        <v>1791</v>
      </c>
      <c r="C1803" s="21" t="s">
        <v>5587</v>
      </c>
      <c r="D1803" s="21" t="s">
        <v>11</v>
      </c>
      <c r="E1803" s="21" t="s">
        <v>11</v>
      </c>
    </row>
    <row r="1804" spans="1:5" s="21" customFormat="1" ht="15.75" hidden="1" customHeight="1">
      <c r="A1804" s="21">
        <v>392114</v>
      </c>
      <c r="B1804" s="21" t="s">
        <v>1792</v>
      </c>
      <c r="C1804" s="21" t="s">
        <v>5587</v>
      </c>
      <c r="D1804" s="21" t="s">
        <v>11</v>
      </c>
      <c r="E1804" s="21" t="s">
        <v>11</v>
      </c>
    </row>
    <row r="1805" spans="1:5" s="21" customFormat="1" ht="15.75" hidden="1" customHeight="1">
      <c r="A1805" s="21">
        <v>392119</v>
      </c>
      <c r="B1805" s="21" t="s">
        <v>1793</v>
      </c>
      <c r="C1805" s="21" t="s">
        <v>5587</v>
      </c>
      <c r="D1805" s="21" t="s">
        <v>11</v>
      </c>
      <c r="E1805" s="21" t="s">
        <v>11</v>
      </c>
    </row>
    <row r="1806" spans="1:5" s="21" customFormat="1" ht="15.75" hidden="1" customHeight="1">
      <c r="A1806" s="21">
        <v>392190</v>
      </c>
      <c r="B1806" s="21" t="s">
        <v>1794</v>
      </c>
      <c r="C1806" s="21" t="s">
        <v>5587</v>
      </c>
      <c r="D1806" s="21" t="s">
        <v>11</v>
      </c>
      <c r="E1806" s="21" t="s">
        <v>11</v>
      </c>
    </row>
    <row r="1807" spans="1:5" s="21" customFormat="1" ht="15.75" hidden="1" customHeight="1">
      <c r="A1807" s="21">
        <v>392210</v>
      </c>
      <c r="B1807" s="21" t="s">
        <v>1795</v>
      </c>
      <c r="C1807" s="21" t="s">
        <v>5587</v>
      </c>
      <c r="D1807" s="21" t="s">
        <v>11</v>
      </c>
      <c r="E1807" s="21" t="s">
        <v>11</v>
      </c>
    </row>
    <row r="1808" spans="1:5" s="21" customFormat="1" ht="15.75" hidden="1" customHeight="1">
      <c r="A1808" s="21">
        <v>392220</v>
      </c>
      <c r="B1808" s="21" t="s">
        <v>1796</v>
      </c>
      <c r="C1808" s="21" t="s">
        <v>5587</v>
      </c>
      <c r="D1808" s="21" t="s">
        <v>11</v>
      </c>
      <c r="E1808" s="21" t="s">
        <v>11</v>
      </c>
    </row>
    <row r="1809" spans="1:5" s="21" customFormat="1" ht="15.75" hidden="1" customHeight="1">
      <c r="A1809" s="21">
        <v>392290</v>
      </c>
      <c r="B1809" s="21" t="s">
        <v>1797</v>
      </c>
      <c r="C1809" s="21" t="s">
        <v>5587</v>
      </c>
      <c r="D1809" s="21" t="s">
        <v>11</v>
      </c>
      <c r="E1809" s="21" t="s">
        <v>11</v>
      </c>
    </row>
    <row r="1810" spans="1:5" s="21" customFormat="1" ht="15.75" hidden="1" customHeight="1">
      <c r="A1810" s="21">
        <v>392310</v>
      </c>
      <c r="B1810" s="21" t="s">
        <v>1798</v>
      </c>
      <c r="C1810" s="21" t="s">
        <v>5587</v>
      </c>
      <c r="D1810" s="21" t="s">
        <v>11</v>
      </c>
      <c r="E1810" s="21" t="s">
        <v>11</v>
      </c>
    </row>
    <row r="1811" spans="1:5" s="21" customFormat="1" ht="15.75" hidden="1" customHeight="1">
      <c r="A1811" s="21">
        <v>392321</v>
      </c>
      <c r="B1811" s="21" t="s">
        <v>1799</v>
      </c>
      <c r="C1811" s="21" t="s">
        <v>5553</v>
      </c>
      <c r="D1811" s="21" t="s">
        <v>11</v>
      </c>
      <c r="E1811" s="21" t="s">
        <v>11</v>
      </c>
    </row>
    <row r="1812" spans="1:5" s="21" customFormat="1" ht="15.75" hidden="1" customHeight="1">
      <c r="A1812" s="21">
        <v>392329</v>
      </c>
      <c r="B1812" s="21" t="s">
        <v>1800</v>
      </c>
      <c r="C1812" s="21" t="s">
        <v>5587</v>
      </c>
      <c r="D1812" s="21" t="s">
        <v>11</v>
      </c>
      <c r="E1812" s="21" t="s">
        <v>11</v>
      </c>
    </row>
    <row r="1813" spans="1:5" s="21" customFormat="1" ht="15.75" hidden="1" customHeight="1">
      <c r="A1813" s="21">
        <v>392330</v>
      </c>
      <c r="B1813" s="21" t="s">
        <v>1801</v>
      </c>
      <c r="C1813" s="21" t="s">
        <v>5587</v>
      </c>
      <c r="D1813" s="21" t="s">
        <v>11</v>
      </c>
      <c r="E1813" s="21" t="s">
        <v>11</v>
      </c>
    </row>
    <row r="1814" spans="1:5" s="21" customFormat="1" ht="15.75" hidden="1" customHeight="1">
      <c r="A1814" s="21">
        <v>392340</v>
      </c>
      <c r="B1814" s="21" t="s">
        <v>1802</v>
      </c>
      <c r="C1814" s="21" t="s">
        <v>5587</v>
      </c>
      <c r="D1814" s="21" t="s">
        <v>11</v>
      </c>
      <c r="E1814" s="21" t="s">
        <v>11</v>
      </c>
    </row>
    <row r="1815" spans="1:5" s="21" customFormat="1" ht="15.75" hidden="1" customHeight="1">
      <c r="A1815" s="21">
        <v>392350</v>
      </c>
      <c r="B1815" s="21" t="s">
        <v>1803</v>
      </c>
      <c r="C1815" s="21" t="s">
        <v>5587</v>
      </c>
      <c r="D1815" s="21" t="s">
        <v>11</v>
      </c>
      <c r="E1815" s="21" t="s">
        <v>11</v>
      </c>
    </row>
    <row r="1816" spans="1:5" s="21" customFormat="1" ht="15.75" hidden="1" customHeight="1">
      <c r="A1816" s="21">
        <v>392390</v>
      </c>
      <c r="B1816" s="21" t="s">
        <v>1804</v>
      </c>
      <c r="C1816" s="21" t="s">
        <v>5587</v>
      </c>
      <c r="D1816" s="21" t="s">
        <v>11</v>
      </c>
      <c r="E1816" s="21" t="s">
        <v>11</v>
      </c>
    </row>
    <row r="1817" spans="1:5" s="21" customFormat="1" ht="15.75" hidden="1" customHeight="1">
      <c r="A1817" s="21">
        <v>392410</v>
      </c>
      <c r="B1817" s="21" t="s">
        <v>1805</v>
      </c>
      <c r="C1817" s="21" t="s">
        <v>5587</v>
      </c>
      <c r="D1817" s="21" t="s">
        <v>11</v>
      </c>
      <c r="E1817" s="21" t="s">
        <v>11</v>
      </c>
    </row>
    <row r="1818" spans="1:5" s="21" customFormat="1" ht="15.75" hidden="1" customHeight="1">
      <c r="A1818" s="21">
        <v>392490</v>
      </c>
      <c r="B1818" s="21" t="s">
        <v>1806</v>
      </c>
      <c r="C1818" s="21" t="s">
        <v>5587</v>
      </c>
      <c r="D1818" s="21" t="s">
        <v>11</v>
      </c>
      <c r="E1818" s="21" t="s">
        <v>11</v>
      </c>
    </row>
    <row r="1819" spans="1:5" s="21" customFormat="1" ht="15.75" hidden="1" customHeight="1">
      <c r="A1819" s="21">
        <v>392510</v>
      </c>
      <c r="B1819" s="21" t="s">
        <v>1807</v>
      </c>
      <c r="C1819" s="21" t="s">
        <v>5587</v>
      </c>
      <c r="D1819" s="21" t="s">
        <v>11</v>
      </c>
      <c r="E1819" s="21" t="s">
        <v>11</v>
      </c>
    </row>
    <row r="1820" spans="1:5" s="21" customFormat="1" ht="15.75" hidden="1" customHeight="1">
      <c r="A1820" s="21">
        <v>392520</v>
      </c>
      <c r="B1820" s="21" t="s">
        <v>1808</v>
      </c>
      <c r="C1820" s="21" t="s">
        <v>5587</v>
      </c>
      <c r="D1820" s="21" t="s">
        <v>11</v>
      </c>
      <c r="E1820" s="21" t="s">
        <v>11</v>
      </c>
    </row>
    <row r="1821" spans="1:5" s="21" customFormat="1" ht="15.75" hidden="1" customHeight="1">
      <c r="A1821" s="21">
        <v>392530</v>
      </c>
      <c r="B1821" s="21" t="s">
        <v>1809</v>
      </c>
      <c r="C1821" s="21" t="s">
        <v>5587</v>
      </c>
      <c r="D1821" s="21" t="s">
        <v>11</v>
      </c>
      <c r="E1821" s="21" t="s">
        <v>11</v>
      </c>
    </row>
    <row r="1822" spans="1:5" s="21" customFormat="1" ht="15.75" hidden="1" customHeight="1">
      <c r="A1822" s="21">
        <v>392590</v>
      </c>
      <c r="B1822" s="21" t="s">
        <v>1810</v>
      </c>
      <c r="C1822" s="21" t="s">
        <v>5587</v>
      </c>
      <c r="D1822" s="21" t="s">
        <v>11</v>
      </c>
      <c r="E1822" s="21" t="s">
        <v>11</v>
      </c>
    </row>
    <row r="1823" spans="1:5" s="21" customFormat="1" ht="15.75" hidden="1" customHeight="1">
      <c r="A1823" s="21">
        <v>392610</v>
      </c>
      <c r="B1823" s="21" t="s">
        <v>1811</v>
      </c>
      <c r="C1823" s="21" t="s">
        <v>5587</v>
      </c>
      <c r="D1823" s="21" t="s">
        <v>11</v>
      </c>
      <c r="E1823" s="21" t="s">
        <v>11</v>
      </c>
    </row>
    <row r="1824" spans="1:5" s="21" customFormat="1" ht="15.75" hidden="1" customHeight="1">
      <c r="A1824" s="21">
        <v>392620</v>
      </c>
      <c r="B1824" s="21" t="s">
        <v>1812</v>
      </c>
      <c r="C1824" s="21" t="s">
        <v>5587</v>
      </c>
      <c r="D1824" s="21" t="s">
        <v>11</v>
      </c>
      <c r="E1824" s="21" t="s">
        <v>11</v>
      </c>
    </row>
    <row r="1825" spans="1:5" s="21" customFormat="1" ht="15.75" hidden="1" customHeight="1">
      <c r="A1825" s="21">
        <v>392630</v>
      </c>
      <c r="B1825" s="21" t="s">
        <v>1813</v>
      </c>
      <c r="C1825" s="21" t="s">
        <v>5587</v>
      </c>
      <c r="D1825" s="21" t="s">
        <v>11</v>
      </c>
      <c r="E1825" s="21" t="s">
        <v>11</v>
      </c>
    </row>
    <row r="1826" spans="1:5" s="21" customFormat="1" ht="15.75" hidden="1" customHeight="1">
      <c r="A1826" s="21">
        <v>392640</v>
      </c>
      <c r="B1826" s="21" t="s">
        <v>1814</v>
      </c>
      <c r="C1826" s="21" t="s">
        <v>5587</v>
      </c>
      <c r="D1826" s="21" t="s">
        <v>11</v>
      </c>
      <c r="E1826" s="21" t="s">
        <v>11</v>
      </c>
    </row>
    <row r="1827" spans="1:5" s="21" customFormat="1" ht="15.75" hidden="1" customHeight="1">
      <c r="A1827" s="21">
        <v>392690</v>
      </c>
      <c r="B1827" s="21" t="s">
        <v>1815</v>
      </c>
      <c r="C1827" s="21" t="s">
        <v>5587</v>
      </c>
      <c r="D1827" s="21" t="s">
        <v>11</v>
      </c>
      <c r="E1827" s="21" t="s">
        <v>11</v>
      </c>
    </row>
    <row r="1828" spans="1:5" s="21" customFormat="1" ht="15.75" hidden="1" customHeight="1">
      <c r="A1828" s="21">
        <v>400110</v>
      </c>
      <c r="B1828" s="21" t="s">
        <v>1816</v>
      </c>
      <c r="C1828" s="21" t="s">
        <v>5121</v>
      </c>
      <c r="D1828" s="21" t="s">
        <v>11</v>
      </c>
      <c r="E1828" s="21" t="s">
        <v>11</v>
      </c>
    </row>
    <row r="1829" spans="1:5" s="21" customFormat="1" ht="15.75" hidden="1" customHeight="1">
      <c r="A1829" s="21">
        <v>400121</v>
      </c>
      <c r="B1829" s="21" t="s">
        <v>1817</v>
      </c>
      <c r="C1829" s="21" t="s">
        <v>5121</v>
      </c>
      <c r="D1829" s="21" t="s">
        <v>11</v>
      </c>
      <c r="E1829" s="21" t="s">
        <v>11</v>
      </c>
    </row>
    <row r="1830" spans="1:5" s="21" customFormat="1" ht="15.75" hidden="1" customHeight="1">
      <c r="A1830" s="21">
        <v>400122</v>
      </c>
      <c r="B1830" s="21" t="s">
        <v>1818</v>
      </c>
      <c r="C1830" s="21" t="s">
        <v>5121</v>
      </c>
      <c r="D1830" s="21" t="s">
        <v>11</v>
      </c>
      <c r="E1830" s="21" t="s">
        <v>11</v>
      </c>
    </row>
    <row r="1831" spans="1:5" s="21" customFormat="1" ht="15.75" hidden="1" customHeight="1">
      <c r="A1831" s="21">
        <v>400129</v>
      </c>
      <c r="B1831" s="21" t="s">
        <v>1819</v>
      </c>
      <c r="C1831" s="21" t="s">
        <v>5121</v>
      </c>
      <c r="D1831" s="21" t="s">
        <v>11</v>
      </c>
      <c r="E1831" s="21" t="s">
        <v>11</v>
      </c>
    </row>
    <row r="1832" spans="1:5" s="21" customFormat="1" ht="15.75" hidden="1" customHeight="1">
      <c r="A1832" s="21">
        <v>400130</v>
      </c>
      <c r="B1832" s="21" t="s">
        <v>1820</v>
      </c>
      <c r="C1832" s="21" t="s">
        <v>5589</v>
      </c>
      <c r="D1832" s="21" t="s">
        <v>11</v>
      </c>
      <c r="E1832" s="21" t="s">
        <v>11</v>
      </c>
    </row>
    <row r="1833" spans="1:5" s="21" customFormat="1" ht="15.75" hidden="1" customHeight="1">
      <c r="A1833" s="21">
        <v>400211</v>
      </c>
      <c r="B1833" s="21" t="s">
        <v>1821</v>
      </c>
      <c r="C1833" s="21" t="s">
        <v>5121</v>
      </c>
      <c r="D1833" s="21" t="s">
        <v>11</v>
      </c>
      <c r="E1833" s="21" t="s">
        <v>11</v>
      </c>
    </row>
    <row r="1834" spans="1:5" s="21" customFormat="1" ht="15.75" hidden="1" customHeight="1">
      <c r="A1834" s="21">
        <v>400219</v>
      </c>
      <c r="B1834" s="21" t="s">
        <v>1822</v>
      </c>
      <c r="C1834" s="21" t="s">
        <v>5121</v>
      </c>
      <c r="D1834" s="21" t="s">
        <v>11</v>
      </c>
      <c r="E1834" s="21" t="s">
        <v>11</v>
      </c>
    </row>
    <row r="1835" spans="1:5" s="21" customFormat="1" ht="15.75" hidden="1" customHeight="1">
      <c r="A1835" s="21">
        <v>400220</v>
      </c>
      <c r="B1835" s="21" t="s">
        <v>1823</v>
      </c>
      <c r="C1835" s="21" t="s">
        <v>5121</v>
      </c>
      <c r="D1835" s="21" t="s">
        <v>11</v>
      </c>
      <c r="E1835" s="21" t="s">
        <v>11</v>
      </c>
    </row>
    <row r="1836" spans="1:5" s="21" customFormat="1" ht="15.75" hidden="1" customHeight="1">
      <c r="A1836" s="21">
        <v>400231</v>
      </c>
      <c r="B1836" s="21" t="s">
        <v>1824</v>
      </c>
      <c r="C1836" s="21" t="s">
        <v>5121</v>
      </c>
      <c r="D1836" s="21" t="s">
        <v>11</v>
      </c>
      <c r="E1836" s="21" t="s">
        <v>11</v>
      </c>
    </row>
    <row r="1837" spans="1:5" s="21" customFormat="1" ht="15.75" hidden="1" customHeight="1">
      <c r="A1837" s="21">
        <v>400239</v>
      </c>
      <c r="B1837" s="21" t="s">
        <v>1825</v>
      </c>
      <c r="C1837" s="21" t="s">
        <v>5121</v>
      </c>
      <c r="D1837" s="21" t="s">
        <v>11</v>
      </c>
      <c r="E1837" s="21" t="s">
        <v>11</v>
      </c>
    </row>
    <row r="1838" spans="1:5" s="21" customFormat="1" ht="15.75" hidden="1" customHeight="1">
      <c r="A1838" s="21">
        <v>400241</v>
      </c>
      <c r="B1838" s="21" t="s">
        <v>1826</v>
      </c>
      <c r="C1838" s="21" t="s">
        <v>5121</v>
      </c>
      <c r="D1838" s="21" t="s">
        <v>11</v>
      </c>
      <c r="E1838" s="21" t="s">
        <v>11</v>
      </c>
    </row>
    <row r="1839" spans="1:5" s="21" customFormat="1" ht="15.75" hidden="1" customHeight="1">
      <c r="A1839" s="21">
        <v>400249</v>
      </c>
      <c r="B1839" s="21" t="s">
        <v>1827</v>
      </c>
      <c r="C1839" s="21" t="s">
        <v>5121</v>
      </c>
      <c r="D1839" s="21" t="s">
        <v>11</v>
      </c>
      <c r="E1839" s="21" t="s">
        <v>11</v>
      </c>
    </row>
    <row r="1840" spans="1:5" s="21" customFormat="1" ht="15.75" hidden="1" customHeight="1">
      <c r="A1840" s="21">
        <v>400251</v>
      </c>
      <c r="B1840" s="21" t="s">
        <v>1828</v>
      </c>
      <c r="C1840" s="21" t="s">
        <v>5121</v>
      </c>
      <c r="D1840" s="21" t="s">
        <v>11</v>
      </c>
      <c r="E1840" s="21" t="s">
        <v>11</v>
      </c>
    </row>
    <row r="1841" spans="1:5" s="21" customFormat="1" ht="15.75" hidden="1" customHeight="1">
      <c r="A1841" s="21">
        <v>400259</v>
      </c>
      <c r="B1841" s="21" t="s">
        <v>1829</v>
      </c>
      <c r="C1841" s="21" t="s">
        <v>5121</v>
      </c>
      <c r="D1841" s="21" t="s">
        <v>11</v>
      </c>
      <c r="E1841" s="21" t="s">
        <v>11</v>
      </c>
    </row>
    <row r="1842" spans="1:5" s="21" customFormat="1" ht="15.75" hidden="1" customHeight="1">
      <c r="A1842" s="21">
        <v>400260</v>
      </c>
      <c r="B1842" s="21" t="s">
        <v>1830</v>
      </c>
      <c r="C1842" s="21" t="s">
        <v>5121</v>
      </c>
      <c r="D1842" s="21" t="s">
        <v>11</v>
      </c>
      <c r="E1842" s="21" t="s">
        <v>11</v>
      </c>
    </row>
    <row r="1843" spans="1:5" s="21" customFormat="1" ht="15.75" hidden="1" customHeight="1">
      <c r="A1843" s="21">
        <v>400270</v>
      </c>
      <c r="B1843" s="21" t="s">
        <v>1831</v>
      </c>
      <c r="C1843" s="21" t="s">
        <v>5121</v>
      </c>
      <c r="D1843" s="21" t="s">
        <v>11</v>
      </c>
      <c r="E1843" s="21" t="s">
        <v>11</v>
      </c>
    </row>
    <row r="1844" spans="1:5" s="21" customFormat="1" ht="15.75" hidden="1" customHeight="1">
      <c r="A1844" s="21">
        <v>400280</v>
      </c>
      <c r="B1844" s="21" t="s">
        <v>1832</v>
      </c>
      <c r="C1844" s="21" t="s">
        <v>5121</v>
      </c>
      <c r="D1844" s="21" t="s">
        <v>11</v>
      </c>
      <c r="E1844" s="21" t="s">
        <v>11</v>
      </c>
    </row>
    <row r="1845" spans="1:5" s="21" customFormat="1" ht="15.75" hidden="1" customHeight="1">
      <c r="A1845" s="21">
        <v>400291</v>
      </c>
      <c r="B1845" s="21" t="s">
        <v>1833</v>
      </c>
      <c r="C1845" s="21" t="s">
        <v>5121</v>
      </c>
      <c r="D1845" s="21" t="s">
        <v>11</v>
      </c>
      <c r="E1845" s="21" t="s">
        <v>11</v>
      </c>
    </row>
    <row r="1846" spans="1:5" s="21" customFormat="1" ht="15.75" hidden="1" customHeight="1">
      <c r="A1846" s="21">
        <v>400299</v>
      </c>
      <c r="B1846" s="21" t="s">
        <v>1834</v>
      </c>
      <c r="C1846" s="21" t="s">
        <v>5121</v>
      </c>
      <c r="D1846" s="21" t="s">
        <v>11</v>
      </c>
      <c r="E1846" s="21" t="s">
        <v>11</v>
      </c>
    </row>
    <row r="1847" spans="1:5" s="21" customFormat="1" ht="15.75" hidden="1" customHeight="1">
      <c r="A1847" s="21">
        <v>400300</v>
      </c>
      <c r="B1847" s="21" t="s">
        <v>1835</v>
      </c>
      <c r="C1847" s="21" t="s">
        <v>5121</v>
      </c>
      <c r="D1847" s="21" t="s">
        <v>11</v>
      </c>
      <c r="E1847" s="21" t="s">
        <v>11</v>
      </c>
    </row>
    <row r="1848" spans="1:5" s="21" customFormat="1" ht="15.75" hidden="1" customHeight="1">
      <c r="A1848" s="21">
        <v>400400</v>
      </c>
      <c r="B1848" s="21" t="s">
        <v>1836</v>
      </c>
      <c r="C1848" s="21" t="s">
        <v>5121</v>
      </c>
      <c r="D1848" s="21" t="s">
        <v>11</v>
      </c>
      <c r="E1848" s="21" t="s">
        <v>11</v>
      </c>
    </row>
    <row r="1849" spans="1:5" s="21" customFormat="1" ht="15.75" hidden="1" customHeight="1">
      <c r="A1849" s="21">
        <v>400510</v>
      </c>
      <c r="B1849" s="21" t="s">
        <v>1837</v>
      </c>
      <c r="C1849" s="21" t="s">
        <v>5121</v>
      </c>
      <c r="D1849" s="21" t="s">
        <v>11</v>
      </c>
      <c r="E1849" s="21" t="s">
        <v>11</v>
      </c>
    </row>
    <row r="1850" spans="1:5" s="21" customFormat="1" ht="15.75" hidden="1" customHeight="1">
      <c r="A1850" s="21">
        <v>400520</v>
      </c>
      <c r="B1850" s="21" t="s">
        <v>1838</v>
      </c>
      <c r="C1850" s="21" t="s">
        <v>5121</v>
      </c>
      <c r="D1850" s="21" t="s">
        <v>11</v>
      </c>
      <c r="E1850" s="21" t="s">
        <v>11</v>
      </c>
    </row>
    <row r="1851" spans="1:5" s="21" customFormat="1" ht="15.75" hidden="1" customHeight="1">
      <c r="A1851" s="21">
        <v>400591</v>
      </c>
      <c r="B1851" s="21" t="s">
        <v>1839</v>
      </c>
      <c r="C1851" s="21" t="s">
        <v>5121</v>
      </c>
      <c r="D1851" s="21" t="s">
        <v>11</v>
      </c>
      <c r="E1851" s="21" t="s">
        <v>11</v>
      </c>
    </row>
    <row r="1852" spans="1:5" s="21" customFormat="1" ht="15.75" hidden="1" customHeight="1">
      <c r="A1852" s="21">
        <v>400599</v>
      </c>
      <c r="B1852" s="21" t="s">
        <v>1840</v>
      </c>
      <c r="C1852" s="21" t="s">
        <v>5121</v>
      </c>
      <c r="D1852" s="21" t="s">
        <v>11</v>
      </c>
      <c r="E1852" s="21" t="s">
        <v>11</v>
      </c>
    </row>
    <row r="1853" spans="1:5" s="21" customFormat="1" ht="15.75" hidden="1" customHeight="1">
      <c r="A1853" s="21">
        <v>400610</v>
      </c>
      <c r="B1853" s="21" t="s">
        <v>1841</v>
      </c>
      <c r="C1853" s="21" t="s">
        <v>5121</v>
      </c>
      <c r="D1853" s="21" t="s">
        <v>11</v>
      </c>
      <c r="E1853" s="21" t="s">
        <v>11</v>
      </c>
    </row>
    <row r="1854" spans="1:5" s="21" customFormat="1" ht="15.75" hidden="1" customHeight="1">
      <c r="A1854" s="21">
        <v>400690</v>
      </c>
      <c r="B1854" s="21" t="s">
        <v>1842</v>
      </c>
      <c r="C1854" s="21" t="s">
        <v>5121</v>
      </c>
      <c r="D1854" s="21" t="s">
        <v>11</v>
      </c>
      <c r="E1854" s="21" t="s">
        <v>11</v>
      </c>
    </row>
    <row r="1855" spans="1:5" s="21" customFormat="1" ht="15.75" hidden="1" customHeight="1">
      <c r="A1855" s="21">
        <v>400700</v>
      </c>
      <c r="B1855" s="21" t="s">
        <v>1843</v>
      </c>
      <c r="C1855" s="21" t="s">
        <v>5121</v>
      </c>
      <c r="D1855" s="21" t="s">
        <v>11</v>
      </c>
      <c r="E1855" s="21" t="s">
        <v>11</v>
      </c>
    </row>
    <row r="1856" spans="1:5" s="21" customFormat="1" ht="15.75" hidden="1" customHeight="1">
      <c r="A1856" s="21">
        <v>400811</v>
      </c>
      <c r="B1856" s="21" t="s">
        <v>1844</v>
      </c>
      <c r="C1856" s="21" t="s">
        <v>5121</v>
      </c>
      <c r="D1856" s="21" t="s">
        <v>11</v>
      </c>
      <c r="E1856" s="21" t="s">
        <v>11</v>
      </c>
    </row>
    <row r="1857" spans="1:6" ht="15.75" hidden="1" customHeight="1">
      <c r="A1857" s="21">
        <v>400819</v>
      </c>
      <c r="B1857" s="21" t="s">
        <v>1845</v>
      </c>
      <c r="C1857" s="21" t="s">
        <v>5121</v>
      </c>
      <c r="D1857" s="21" t="s">
        <v>11</v>
      </c>
      <c r="E1857" s="21" t="s">
        <v>11</v>
      </c>
      <c r="F1857" s="21"/>
    </row>
    <row r="1858" spans="1:6" ht="15.75" hidden="1" customHeight="1">
      <c r="A1858" s="21">
        <v>400821</v>
      </c>
      <c r="B1858" s="21" t="s">
        <v>1846</v>
      </c>
      <c r="C1858" s="21" t="s">
        <v>5121</v>
      </c>
      <c r="D1858" s="21" t="s">
        <v>11</v>
      </c>
      <c r="E1858" s="21" t="s">
        <v>11</v>
      </c>
      <c r="F1858" s="21"/>
    </row>
    <row r="1859" spans="1:6" s="21" customFormat="1" ht="15.75" hidden="1" customHeight="1">
      <c r="A1859" s="21">
        <v>400829</v>
      </c>
      <c r="B1859" s="21" t="s">
        <v>1847</v>
      </c>
      <c r="C1859" s="21" t="s">
        <v>5121</v>
      </c>
      <c r="D1859" s="21" t="s">
        <v>11</v>
      </c>
      <c r="E1859" s="21" t="s">
        <v>11</v>
      </c>
    </row>
    <row r="1860" spans="1:6" s="21" customFormat="1" ht="15.75" hidden="1" customHeight="1">
      <c r="A1860" s="21">
        <v>400911</v>
      </c>
      <c r="B1860" s="21" t="s">
        <v>1848</v>
      </c>
      <c r="C1860" s="21" t="s">
        <v>5121</v>
      </c>
      <c r="D1860" s="21" t="s">
        <v>11</v>
      </c>
      <c r="E1860" s="21" t="s">
        <v>11</v>
      </c>
    </row>
    <row r="1861" spans="1:6" s="21" customFormat="1" ht="15.75" hidden="1" customHeight="1">
      <c r="A1861" s="21">
        <v>400912</v>
      </c>
      <c r="B1861" s="21" t="s">
        <v>1849</v>
      </c>
      <c r="C1861" s="21" t="s">
        <v>5121</v>
      </c>
      <c r="D1861" s="21" t="s">
        <v>11</v>
      </c>
      <c r="E1861" s="21" t="s">
        <v>11</v>
      </c>
    </row>
    <row r="1862" spans="1:6" s="21" customFormat="1" ht="15.75" hidden="1" customHeight="1">
      <c r="A1862" s="21">
        <v>400921</v>
      </c>
      <c r="B1862" s="21" t="s">
        <v>1850</v>
      </c>
      <c r="C1862" s="21" t="s">
        <v>5121</v>
      </c>
      <c r="D1862" s="21" t="s">
        <v>11</v>
      </c>
      <c r="E1862" s="21" t="s">
        <v>11</v>
      </c>
    </row>
    <row r="1863" spans="1:6" s="21" customFormat="1" ht="15.75" hidden="1" customHeight="1">
      <c r="A1863" s="21">
        <v>400922</v>
      </c>
      <c r="B1863" s="21" t="s">
        <v>1851</v>
      </c>
      <c r="C1863" s="21" t="s">
        <v>5121</v>
      </c>
      <c r="D1863" s="21" t="s">
        <v>11</v>
      </c>
      <c r="E1863" s="21" t="s">
        <v>11</v>
      </c>
    </row>
    <row r="1864" spans="1:6" s="21" customFormat="1" ht="15.75" hidden="1" customHeight="1">
      <c r="A1864" s="21">
        <v>400931</v>
      </c>
      <c r="B1864" s="21" t="s">
        <v>1852</v>
      </c>
      <c r="C1864" s="21" t="s">
        <v>5121</v>
      </c>
      <c r="D1864" s="21" t="s">
        <v>11</v>
      </c>
      <c r="E1864" s="21" t="s">
        <v>11</v>
      </c>
    </row>
    <row r="1865" spans="1:6" s="21" customFormat="1" ht="15.75" hidden="1" customHeight="1">
      <c r="A1865" s="21">
        <v>400932</v>
      </c>
      <c r="B1865" s="21" t="s">
        <v>1853</v>
      </c>
      <c r="C1865" s="21" t="s">
        <v>5121</v>
      </c>
      <c r="D1865" s="21" t="s">
        <v>11</v>
      </c>
      <c r="E1865" s="21" t="s">
        <v>11</v>
      </c>
    </row>
    <row r="1866" spans="1:6" s="21" customFormat="1" ht="15.75" hidden="1" customHeight="1">
      <c r="A1866" s="21">
        <v>400941</v>
      </c>
      <c r="B1866" s="21" t="s">
        <v>1854</v>
      </c>
      <c r="C1866" s="21" t="s">
        <v>5121</v>
      </c>
      <c r="D1866" s="21" t="s">
        <v>11</v>
      </c>
      <c r="E1866" s="21" t="s">
        <v>11</v>
      </c>
    </row>
    <row r="1867" spans="1:6" s="21" customFormat="1" ht="15.75" hidden="1" customHeight="1">
      <c r="A1867" s="21">
        <v>400942</v>
      </c>
      <c r="B1867" s="21" t="s">
        <v>1855</v>
      </c>
      <c r="C1867" s="21" t="s">
        <v>5121</v>
      </c>
      <c r="D1867" s="21" t="s">
        <v>11</v>
      </c>
      <c r="E1867" s="21" t="s">
        <v>11</v>
      </c>
    </row>
    <row r="1868" spans="1:6" s="21" customFormat="1" ht="15.75" hidden="1" customHeight="1">
      <c r="A1868" s="21">
        <v>401011</v>
      </c>
      <c r="B1868" s="21" t="s">
        <v>1856</v>
      </c>
      <c r="C1868" s="21" t="s">
        <v>5121</v>
      </c>
      <c r="D1868" s="21" t="s">
        <v>11</v>
      </c>
      <c r="E1868" s="21" t="s">
        <v>11</v>
      </c>
    </row>
    <row r="1869" spans="1:6" s="21" customFormat="1" ht="15.75" hidden="1" customHeight="1">
      <c r="A1869" s="21">
        <v>401012</v>
      </c>
      <c r="B1869" s="21" t="s">
        <v>1857</v>
      </c>
      <c r="C1869" s="21" t="s">
        <v>5121</v>
      </c>
      <c r="D1869" s="21" t="s">
        <v>11</v>
      </c>
      <c r="E1869" s="21" t="s">
        <v>11</v>
      </c>
    </row>
    <row r="1870" spans="1:6" s="21" customFormat="1" ht="15.75" hidden="1" customHeight="1">
      <c r="A1870" s="21">
        <v>401019</v>
      </c>
      <c r="B1870" s="21" t="s">
        <v>1858</v>
      </c>
      <c r="C1870" s="21" t="s">
        <v>5121</v>
      </c>
      <c r="D1870" s="21" t="s">
        <v>11</v>
      </c>
      <c r="E1870" s="21" t="s">
        <v>11</v>
      </c>
    </row>
    <row r="1871" spans="1:6" s="21" customFormat="1" ht="15.75" hidden="1" customHeight="1">
      <c r="A1871" s="21">
        <v>401031</v>
      </c>
      <c r="B1871" s="21" t="s">
        <v>1859</v>
      </c>
      <c r="C1871" s="21" t="s">
        <v>5121</v>
      </c>
      <c r="D1871" s="21" t="s">
        <v>11</v>
      </c>
      <c r="E1871" s="21" t="s">
        <v>11</v>
      </c>
    </row>
    <row r="1872" spans="1:6" s="21" customFormat="1" ht="15.75" hidden="1" customHeight="1">
      <c r="A1872" s="21">
        <v>401032</v>
      </c>
      <c r="B1872" s="21" t="s">
        <v>1860</v>
      </c>
      <c r="C1872" s="21" t="s">
        <v>5121</v>
      </c>
      <c r="D1872" s="21" t="s">
        <v>11</v>
      </c>
      <c r="E1872" s="21" t="s">
        <v>11</v>
      </c>
    </row>
    <row r="1873" spans="1:5" s="21" customFormat="1" ht="15.75" hidden="1" customHeight="1">
      <c r="A1873" s="21">
        <v>401033</v>
      </c>
      <c r="B1873" s="21" t="s">
        <v>1861</v>
      </c>
      <c r="C1873" s="21" t="s">
        <v>5121</v>
      </c>
      <c r="D1873" s="21" t="s">
        <v>11</v>
      </c>
      <c r="E1873" s="21" t="s">
        <v>11</v>
      </c>
    </row>
    <row r="1874" spans="1:5" s="21" customFormat="1" ht="15.75" hidden="1" customHeight="1">
      <c r="A1874" s="21">
        <v>401034</v>
      </c>
      <c r="B1874" s="21" t="s">
        <v>1862</v>
      </c>
      <c r="C1874" s="21" t="s">
        <v>5121</v>
      </c>
      <c r="D1874" s="21" t="s">
        <v>11</v>
      </c>
      <c r="E1874" s="21" t="s">
        <v>11</v>
      </c>
    </row>
    <row r="1875" spans="1:5" s="21" customFormat="1" ht="15.75" hidden="1" customHeight="1">
      <c r="A1875" s="21">
        <v>401035</v>
      </c>
      <c r="B1875" s="21" t="s">
        <v>1863</v>
      </c>
      <c r="C1875" s="21" t="s">
        <v>5121</v>
      </c>
      <c r="D1875" s="21" t="s">
        <v>11</v>
      </c>
      <c r="E1875" s="21" t="s">
        <v>11</v>
      </c>
    </row>
    <row r="1876" spans="1:5" s="21" customFormat="1" ht="15.75" hidden="1" customHeight="1">
      <c r="A1876" s="21">
        <v>401036</v>
      </c>
      <c r="B1876" s="21" t="s">
        <v>1864</v>
      </c>
      <c r="C1876" s="21" t="s">
        <v>5121</v>
      </c>
      <c r="D1876" s="21" t="s">
        <v>11</v>
      </c>
      <c r="E1876" s="21" t="s">
        <v>11</v>
      </c>
    </row>
    <row r="1877" spans="1:5" s="21" customFormat="1" ht="15.75" hidden="1" customHeight="1">
      <c r="A1877" s="21">
        <v>401039</v>
      </c>
      <c r="B1877" s="21" t="s">
        <v>1865</v>
      </c>
      <c r="C1877" s="21" t="s">
        <v>5121</v>
      </c>
      <c r="D1877" s="21" t="s">
        <v>11</v>
      </c>
      <c r="E1877" s="21" t="s">
        <v>11</v>
      </c>
    </row>
    <row r="1878" spans="1:5" s="21" customFormat="1" ht="15.75" hidden="1" customHeight="1">
      <c r="A1878" s="21">
        <v>401110</v>
      </c>
      <c r="B1878" s="21" t="s">
        <v>1866</v>
      </c>
      <c r="C1878" s="21" t="s">
        <v>5121</v>
      </c>
      <c r="D1878" s="21" t="s">
        <v>11</v>
      </c>
      <c r="E1878" s="21" t="s">
        <v>11</v>
      </c>
    </row>
    <row r="1879" spans="1:5" s="21" customFormat="1" ht="15.75" hidden="1" customHeight="1">
      <c r="A1879" s="21">
        <v>401120</v>
      </c>
      <c r="B1879" s="21" t="s">
        <v>1867</v>
      </c>
      <c r="C1879" s="21" t="s">
        <v>5121</v>
      </c>
      <c r="D1879" s="21" t="s">
        <v>11</v>
      </c>
      <c r="E1879" s="21" t="s">
        <v>11</v>
      </c>
    </row>
    <row r="1880" spans="1:5" s="21" customFormat="1" ht="15.75" hidden="1" customHeight="1">
      <c r="A1880" s="21">
        <v>401130</v>
      </c>
      <c r="B1880" s="21" t="s">
        <v>1868</v>
      </c>
      <c r="C1880" s="21" t="s">
        <v>5121</v>
      </c>
      <c r="D1880" s="21" t="s">
        <v>11</v>
      </c>
      <c r="E1880" s="21" t="s">
        <v>11</v>
      </c>
    </row>
    <row r="1881" spans="1:5" s="21" customFormat="1" ht="15.75" hidden="1" customHeight="1">
      <c r="A1881" s="21">
        <v>401140</v>
      </c>
      <c r="B1881" s="21" t="s">
        <v>1869</v>
      </c>
      <c r="C1881" s="21" t="s">
        <v>5121</v>
      </c>
      <c r="D1881" s="21" t="s">
        <v>11</v>
      </c>
      <c r="E1881" s="21" t="s">
        <v>11</v>
      </c>
    </row>
    <row r="1882" spans="1:5" s="21" customFormat="1" ht="15.75" hidden="1" customHeight="1">
      <c r="A1882" s="21">
        <v>401150</v>
      </c>
      <c r="B1882" s="21" t="s">
        <v>1870</v>
      </c>
      <c r="C1882" s="21" t="s">
        <v>5121</v>
      </c>
      <c r="D1882" s="21" t="s">
        <v>11</v>
      </c>
      <c r="E1882" s="21" t="s">
        <v>11</v>
      </c>
    </row>
    <row r="1883" spans="1:5" s="21" customFormat="1" ht="15.75" hidden="1" customHeight="1">
      <c r="A1883" s="21">
        <v>401161</v>
      </c>
      <c r="B1883" s="21" t="s">
        <v>1871</v>
      </c>
      <c r="C1883" s="21" t="s">
        <v>5121</v>
      </c>
      <c r="D1883" s="21" t="s">
        <v>11</v>
      </c>
      <c r="E1883" s="21" t="s">
        <v>11</v>
      </c>
    </row>
    <row r="1884" spans="1:5" s="21" customFormat="1" ht="15.75" hidden="1" customHeight="1">
      <c r="A1884" s="21">
        <v>401162</v>
      </c>
      <c r="B1884" s="21" t="s">
        <v>1872</v>
      </c>
      <c r="C1884" s="21" t="s">
        <v>5121</v>
      </c>
      <c r="D1884" s="21" t="s">
        <v>11</v>
      </c>
      <c r="E1884" s="21" t="s">
        <v>11</v>
      </c>
    </row>
    <row r="1885" spans="1:5" s="21" customFormat="1" ht="15.75" hidden="1" customHeight="1">
      <c r="A1885" s="21">
        <v>401163</v>
      </c>
      <c r="B1885" s="21" t="s">
        <v>1873</v>
      </c>
      <c r="C1885" s="21" t="s">
        <v>5121</v>
      </c>
      <c r="D1885" s="21" t="s">
        <v>11</v>
      </c>
      <c r="E1885" s="21" t="s">
        <v>11</v>
      </c>
    </row>
    <row r="1886" spans="1:5" s="21" customFormat="1" ht="15.75" hidden="1" customHeight="1">
      <c r="A1886" s="21">
        <v>401169</v>
      </c>
      <c r="B1886" s="21" t="s">
        <v>1874</v>
      </c>
      <c r="C1886" s="21" t="s">
        <v>5121</v>
      </c>
      <c r="D1886" s="21" t="s">
        <v>11</v>
      </c>
      <c r="E1886" s="21" t="s">
        <v>11</v>
      </c>
    </row>
    <row r="1887" spans="1:5" s="21" customFormat="1" ht="15.75" hidden="1" customHeight="1">
      <c r="A1887" s="21">
        <v>401192</v>
      </c>
      <c r="B1887" s="21" t="s">
        <v>1875</v>
      </c>
      <c r="C1887" s="21" t="s">
        <v>5121</v>
      </c>
      <c r="D1887" s="21" t="s">
        <v>11</v>
      </c>
      <c r="E1887" s="21" t="s">
        <v>11</v>
      </c>
    </row>
    <row r="1888" spans="1:5" s="21" customFormat="1" ht="15.75" hidden="1" customHeight="1">
      <c r="A1888" s="21">
        <v>401193</v>
      </c>
      <c r="B1888" s="21" t="s">
        <v>1876</v>
      </c>
      <c r="C1888" s="21" t="s">
        <v>5121</v>
      </c>
      <c r="D1888" s="21" t="s">
        <v>11</v>
      </c>
      <c r="E1888" s="21" t="s">
        <v>11</v>
      </c>
    </row>
    <row r="1889" spans="1:5" s="21" customFormat="1" ht="15.75" hidden="1" customHeight="1">
      <c r="A1889" s="21">
        <v>401194</v>
      </c>
      <c r="B1889" s="21" t="s">
        <v>1877</v>
      </c>
      <c r="C1889" s="21" t="s">
        <v>5121</v>
      </c>
      <c r="D1889" s="21" t="s">
        <v>11</v>
      </c>
      <c r="E1889" s="21" t="s">
        <v>11</v>
      </c>
    </row>
    <row r="1890" spans="1:5" s="21" customFormat="1" ht="15.75" hidden="1" customHeight="1">
      <c r="A1890" s="21">
        <v>401199</v>
      </c>
      <c r="B1890" s="21" t="s">
        <v>1878</v>
      </c>
      <c r="C1890" s="21" t="s">
        <v>5121</v>
      </c>
      <c r="D1890" s="21" t="s">
        <v>11</v>
      </c>
      <c r="E1890" s="21" t="s">
        <v>11</v>
      </c>
    </row>
    <row r="1891" spans="1:5" s="21" customFormat="1" ht="15.75" hidden="1" customHeight="1">
      <c r="A1891" s="21">
        <v>401211</v>
      </c>
      <c r="B1891" s="21" t="s">
        <v>1879</v>
      </c>
      <c r="C1891" s="21" t="s">
        <v>5590</v>
      </c>
      <c r="D1891" s="21" t="s">
        <v>11</v>
      </c>
      <c r="E1891" s="21" t="s">
        <v>11</v>
      </c>
    </row>
    <row r="1892" spans="1:5" s="21" customFormat="1" ht="15.75" hidden="1" customHeight="1">
      <c r="A1892" s="21">
        <v>401212</v>
      </c>
      <c r="B1892" s="21" t="s">
        <v>1880</v>
      </c>
      <c r="C1892" s="21" t="s">
        <v>5591</v>
      </c>
      <c r="D1892" s="21" t="s">
        <v>11</v>
      </c>
      <c r="E1892" s="21" t="s">
        <v>11</v>
      </c>
    </row>
    <row r="1893" spans="1:5" s="21" customFormat="1" ht="15.75" hidden="1" customHeight="1">
      <c r="A1893" s="21">
        <v>401213</v>
      </c>
      <c r="B1893" s="21" t="s">
        <v>1881</v>
      </c>
      <c r="C1893" s="21" t="s">
        <v>5591</v>
      </c>
      <c r="D1893" s="21" t="s">
        <v>11</v>
      </c>
      <c r="E1893" s="21" t="s">
        <v>11</v>
      </c>
    </row>
    <row r="1894" spans="1:5" s="21" customFormat="1" ht="15.75" hidden="1" customHeight="1">
      <c r="A1894" s="21">
        <v>401219</v>
      </c>
      <c r="B1894" s="21" t="s">
        <v>1882</v>
      </c>
      <c r="C1894" s="21" t="s">
        <v>5591</v>
      </c>
      <c r="D1894" s="21" t="s">
        <v>11</v>
      </c>
      <c r="E1894" s="21" t="s">
        <v>11</v>
      </c>
    </row>
    <row r="1895" spans="1:5" s="21" customFormat="1" ht="15.75" hidden="1" customHeight="1">
      <c r="A1895" s="21">
        <v>401220</v>
      </c>
      <c r="B1895" s="21" t="s">
        <v>1883</v>
      </c>
      <c r="C1895" s="21" t="s">
        <v>5121</v>
      </c>
      <c r="D1895" s="21" t="s">
        <v>11</v>
      </c>
      <c r="E1895" s="21" t="s">
        <v>11</v>
      </c>
    </row>
    <row r="1896" spans="1:5" s="21" customFormat="1" ht="15.75" hidden="1" customHeight="1">
      <c r="A1896" s="21">
        <v>401290</v>
      </c>
      <c r="B1896" s="21" t="s">
        <v>1884</v>
      </c>
      <c r="C1896" s="21" t="s">
        <v>5121</v>
      </c>
      <c r="D1896" s="21" t="s">
        <v>11</v>
      </c>
      <c r="E1896" s="21" t="s">
        <v>11</v>
      </c>
    </row>
    <row r="1897" spans="1:5" s="21" customFormat="1" ht="15.75" hidden="1" customHeight="1">
      <c r="A1897" s="21">
        <v>401310</v>
      </c>
      <c r="B1897" s="21" t="s">
        <v>1885</v>
      </c>
      <c r="C1897" s="21" t="s">
        <v>5121</v>
      </c>
      <c r="D1897" s="21" t="s">
        <v>11</v>
      </c>
      <c r="E1897" s="21" t="s">
        <v>11</v>
      </c>
    </row>
    <row r="1898" spans="1:5" s="21" customFormat="1" ht="15.75" hidden="1" customHeight="1">
      <c r="A1898" s="21">
        <v>401320</v>
      </c>
      <c r="B1898" s="21" t="s">
        <v>1886</v>
      </c>
      <c r="C1898" s="21" t="s">
        <v>5121</v>
      </c>
      <c r="D1898" s="21" t="s">
        <v>11</v>
      </c>
      <c r="E1898" s="21" t="s">
        <v>11</v>
      </c>
    </row>
    <row r="1899" spans="1:5" s="21" customFormat="1" ht="15.75" hidden="1" customHeight="1">
      <c r="A1899" s="21">
        <v>401390</v>
      </c>
      <c r="B1899" s="21" t="s">
        <v>1887</v>
      </c>
      <c r="C1899" s="21" t="s">
        <v>5121</v>
      </c>
      <c r="D1899" s="21" t="s">
        <v>11</v>
      </c>
      <c r="E1899" s="21" t="s">
        <v>11</v>
      </c>
    </row>
    <row r="1900" spans="1:5" s="21" customFormat="1" ht="15.75" hidden="1" customHeight="1">
      <c r="A1900" s="21">
        <v>401410</v>
      </c>
      <c r="B1900" s="21" t="s">
        <v>1888</v>
      </c>
      <c r="C1900" s="21" t="s">
        <v>5121</v>
      </c>
      <c r="D1900" s="21" t="s">
        <v>11</v>
      </c>
      <c r="E1900" s="21" t="s">
        <v>11</v>
      </c>
    </row>
    <row r="1901" spans="1:5" s="21" customFormat="1" ht="15.75" hidden="1" customHeight="1">
      <c r="A1901" s="21">
        <v>401519</v>
      </c>
      <c r="B1901" s="21" t="s">
        <v>1891</v>
      </c>
      <c r="C1901" s="21" t="s">
        <v>5121</v>
      </c>
      <c r="D1901" s="21" t="s">
        <v>11</v>
      </c>
      <c r="E1901" s="21" t="s">
        <v>11</v>
      </c>
    </row>
    <row r="1902" spans="1:5" s="21" customFormat="1" ht="15.75" hidden="1" customHeight="1">
      <c r="A1902" s="21">
        <v>401590</v>
      </c>
      <c r="B1902" s="21" t="s">
        <v>1892</v>
      </c>
      <c r="C1902" s="21" t="s">
        <v>5121</v>
      </c>
      <c r="D1902" s="21" t="s">
        <v>11</v>
      </c>
      <c r="E1902" s="21" t="s">
        <v>11</v>
      </c>
    </row>
    <row r="1903" spans="1:5" s="21" customFormat="1" ht="15.75" hidden="1" customHeight="1">
      <c r="A1903" s="21">
        <v>401610</v>
      </c>
      <c r="B1903" s="21" t="s">
        <v>1893</v>
      </c>
      <c r="C1903" s="21" t="s">
        <v>5121</v>
      </c>
      <c r="D1903" s="21" t="s">
        <v>11</v>
      </c>
      <c r="E1903" s="21" t="s">
        <v>11</v>
      </c>
    </row>
    <row r="1904" spans="1:5" s="21" customFormat="1" ht="15.75" hidden="1" customHeight="1">
      <c r="A1904" s="21">
        <v>401691</v>
      </c>
      <c r="B1904" s="21" t="s">
        <v>1894</v>
      </c>
      <c r="C1904" s="21" t="s">
        <v>5121</v>
      </c>
      <c r="D1904" s="21" t="s">
        <v>11</v>
      </c>
      <c r="E1904" s="21" t="s">
        <v>11</v>
      </c>
    </row>
    <row r="1905" spans="1:5" s="21" customFormat="1" ht="15.75" hidden="1" customHeight="1">
      <c r="A1905" s="21">
        <v>401692</v>
      </c>
      <c r="B1905" s="21" t="s">
        <v>1895</v>
      </c>
      <c r="C1905" s="21" t="s">
        <v>5121</v>
      </c>
      <c r="D1905" s="21" t="s">
        <v>11</v>
      </c>
      <c r="E1905" s="21" t="s">
        <v>11</v>
      </c>
    </row>
    <row r="1906" spans="1:5" s="21" customFormat="1" ht="15.75" hidden="1" customHeight="1">
      <c r="A1906" s="21">
        <v>401693</v>
      </c>
      <c r="B1906" s="21" t="s">
        <v>1896</v>
      </c>
      <c r="C1906" s="21" t="s">
        <v>5121</v>
      </c>
      <c r="D1906" s="21" t="s">
        <v>11</v>
      </c>
      <c r="E1906" s="21" t="s">
        <v>11</v>
      </c>
    </row>
    <row r="1907" spans="1:5" s="21" customFormat="1" ht="15.75" hidden="1" customHeight="1">
      <c r="A1907" s="21">
        <v>401694</v>
      </c>
      <c r="B1907" s="21" t="s">
        <v>1897</v>
      </c>
      <c r="C1907" s="21" t="s">
        <v>5121</v>
      </c>
      <c r="D1907" s="21" t="s">
        <v>11</v>
      </c>
      <c r="E1907" s="21" t="s">
        <v>11</v>
      </c>
    </row>
    <row r="1908" spans="1:5" s="21" customFormat="1" ht="15.75" hidden="1" customHeight="1">
      <c r="A1908" s="21">
        <v>401695</v>
      </c>
      <c r="B1908" s="21" t="s">
        <v>1898</v>
      </c>
      <c r="C1908" s="21" t="s">
        <v>5121</v>
      </c>
      <c r="D1908" s="21" t="s">
        <v>11</v>
      </c>
      <c r="E1908" s="21" t="s">
        <v>11</v>
      </c>
    </row>
    <row r="1909" spans="1:5" s="21" customFormat="1" ht="15.75" hidden="1" customHeight="1">
      <c r="A1909" s="21">
        <v>401699</v>
      </c>
      <c r="B1909" s="21" t="s">
        <v>1899</v>
      </c>
      <c r="C1909" s="21" t="s">
        <v>5121</v>
      </c>
      <c r="D1909" s="21" t="s">
        <v>11</v>
      </c>
      <c r="E1909" s="21" t="s">
        <v>11</v>
      </c>
    </row>
    <row r="1910" spans="1:5" s="21" customFormat="1" ht="15.75" hidden="1" customHeight="1">
      <c r="A1910" s="21">
        <v>401700</v>
      </c>
      <c r="B1910" s="21" t="s">
        <v>1900</v>
      </c>
      <c r="C1910" s="21" t="s">
        <v>5121</v>
      </c>
      <c r="D1910" s="21" t="s">
        <v>11</v>
      </c>
      <c r="E1910" s="21" t="s">
        <v>11</v>
      </c>
    </row>
    <row r="1911" spans="1:5" s="21" customFormat="1" ht="15.75" hidden="1" customHeight="1">
      <c r="A1911" s="21">
        <v>410120</v>
      </c>
      <c r="B1911" s="21" t="s">
        <v>1901</v>
      </c>
      <c r="C1911" s="21" t="s">
        <v>5592</v>
      </c>
      <c r="D1911" s="21" t="s">
        <v>11</v>
      </c>
      <c r="E1911" s="21" t="s">
        <v>11</v>
      </c>
    </row>
    <row r="1912" spans="1:5" s="21" customFormat="1" ht="15.75" hidden="1" customHeight="1">
      <c r="A1912" s="21">
        <v>410150</v>
      </c>
      <c r="B1912" s="21" t="s">
        <v>1902</v>
      </c>
      <c r="C1912" s="21" t="s">
        <v>5592</v>
      </c>
      <c r="D1912" s="21" t="s">
        <v>11</v>
      </c>
      <c r="E1912" s="21" t="s">
        <v>11</v>
      </c>
    </row>
    <row r="1913" spans="1:5" s="21" customFormat="1" ht="15.75" hidden="1" customHeight="1">
      <c r="A1913" s="21">
        <v>410190</v>
      </c>
      <c r="B1913" s="21" t="s">
        <v>1903</v>
      </c>
      <c r="C1913" s="21" t="s">
        <v>5592</v>
      </c>
      <c r="D1913" s="21" t="s">
        <v>11</v>
      </c>
      <c r="E1913" s="21" t="s">
        <v>11</v>
      </c>
    </row>
    <row r="1914" spans="1:5" s="21" customFormat="1" ht="15.75" hidden="1" customHeight="1">
      <c r="A1914" s="21">
        <v>410210</v>
      </c>
      <c r="B1914" s="21" t="s">
        <v>1904</v>
      </c>
      <c r="C1914" s="21" t="s">
        <v>5593</v>
      </c>
      <c r="D1914" s="21" t="s">
        <v>11</v>
      </c>
      <c r="E1914" s="21" t="s">
        <v>11</v>
      </c>
    </row>
    <row r="1915" spans="1:5" s="21" customFormat="1" ht="15.75" hidden="1" customHeight="1">
      <c r="A1915" s="21">
        <v>410221</v>
      </c>
      <c r="B1915" s="21" t="s">
        <v>1905</v>
      </c>
      <c r="C1915" s="21" t="s">
        <v>5593</v>
      </c>
      <c r="D1915" s="21" t="s">
        <v>11</v>
      </c>
      <c r="E1915" s="21" t="s">
        <v>11</v>
      </c>
    </row>
    <row r="1916" spans="1:5" s="21" customFormat="1" ht="15.75" hidden="1" customHeight="1">
      <c r="A1916" s="21">
        <v>410229</v>
      </c>
      <c r="B1916" s="21" t="s">
        <v>1906</v>
      </c>
      <c r="C1916" s="21" t="s">
        <v>5592</v>
      </c>
      <c r="D1916" s="21" t="s">
        <v>11</v>
      </c>
      <c r="E1916" s="21" t="s">
        <v>11</v>
      </c>
    </row>
    <row r="1917" spans="1:5" s="21" customFormat="1" ht="15.75" hidden="1" customHeight="1">
      <c r="A1917" s="21">
        <v>410320</v>
      </c>
      <c r="B1917" s="21" t="s">
        <v>1907</v>
      </c>
      <c r="C1917" s="21" t="s">
        <v>5592</v>
      </c>
      <c r="D1917" s="21" t="s">
        <v>11</v>
      </c>
      <c r="E1917" s="21" t="s">
        <v>11</v>
      </c>
    </row>
    <row r="1918" spans="1:5" s="21" customFormat="1" ht="15.75" hidden="1" customHeight="1">
      <c r="A1918" s="21">
        <v>410330</v>
      </c>
      <c r="B1918" s="21" t="s">
        <v>1908</v>
      </c>
      <c r="C1918" s="21" t="s">
        <v>5592</v>
      </c>
      <c r="D1918" s="21" t="s">
        <v>11</v>
      </c>
      <c r="E1918" s="21" t="s">
        <v>11</v>
      </c>
    </row>
    <row r="1919" spans="1:5" s="21" customFormat="1" ht="15.75" hidden="1" customHeight="1">
      <c r="A1919" s="21">
        <v>410390</v>
      </c>
      <c r="B1919" s="21" t="s">
        <v>1906</v>
      </c>
      <c r="C1919" s="21" t="s">
        <v>5592</v>
      </c>
      <c r="D1919" s="21" t="s">
        <v>11</v>
      </c>
      <c r="E1919" s="21" t="s">
        <v>11</v>
      </c>
    </row>
    <row r="1920" spans="1:5" s="21" customFormat="1" ht="15.75" hidden="1" customHeight="1">
      <c r="A1920" s="21">
        <v>410411</v>
      </c>
      <c r="B1920" s="21" t="s">
        <v>1909</v>
      </c>
      <c r="C1920" s="21" t="s">
        <v>5594</v>
      </c>
      <c r="D1920" s="21" t="s">
        <v>11</v>
      </c>
      <c r="E1920" s="21" t="s">
        <v>11</v>
      </c>
    </row>
    <row r="1921" spans="1:5" s="21" customFormat="1" ht="15.75" hidden="1" customHeight="1">
      <c r="A1921" s="21">
        <v>410419</v>
      </c>
      <c r="B1921" s="21" t="s">
        <v>1910</v>
      </c>
      <c r="C1921" s="21" t="s">
        <v>5594</v>
      </c>
      <c r="D1921" s="21" t="s">
        <v>11</v>
      </c>
      <c r="E1921" s="21" t="s">
        <v>11</v>
      </c>
    </row>
    <row r="1922" spans="1:5" s="21" customFormat="1" ht="15.75" hidden="1" customHeight="1">
      <c r="A1922" s="21">
        <v>410441</v>
      </c>
      <c r="B1922" s="21" t="s">
        <v>1911</v>
      </c>
      <c r="C1922" s="21" t="s">
        <v>5594</v>
      </c>
      <c r="D1922" s="21" t="s">
        <v>11</v>
      </c>
      <c r="E1922" s="21" t="s">
        <v>11</v>
      </c>
    </row>
    <row r="1923" spans="1:5" s="21" customFormat="1" ht="15.75" hidden="1" customHeight="1">
      <c r="A1923" s="21">
        <v>410449</v>
      </c>
      <c r="B1923" s="21" t="s">
        <v>1912</v>
      </c>
      <c r="C1923" s="21" t="s">
        <v>5594</v>
      </c>
      <c r="D1923" s="21" t="s">
        <v>11</v>
      </c>
      <c r="E1923" s="21" t="s">
        <v>11</v>
      </c>
    </row>
    <row r="1924" spans="1:5" s="21" customFormat="1" ht="15.75" hidden="1" customHeight="1">
      <c r="A1924" s="21">
        <v>410510</v>
      </c>
      <c r="B1924" s="21" t="s">
        <v>1913</v>
      </c>
      <c r="C1924" s="21" t="s">
        <v>1913</v>
      </c>
      <c r="D1924" s="21" t="s">
        <v>11</v>
      </c>
      <c r="E1924" s="21" t="s">
        <v>11</v>
      </c>
    </row>
    <row r="1925" spans="1:5" s="21" customFormat="1" ht="15.75" hidden="1" customHeight="1">
      <c r="A1925" s="21">
        <v>410530</v>
      </c>
      <c r="B1925" s="21" t="s">
        <v>1914</v>
      </c>
      <c r="C1925" s="21" t="s">
        <v>5595</v>
      </c>
      <c r="D1925" s="21" t="s">
        <v>11</v>
      </c>
      <c r="E1925" s="21" t="s">
        <v>11</v>
      </c>
    </row>
    <row r="1926" spans="1:5" s="21" customFormat="1" ht="15.75" hidden="1" customHeight="1">
      <c r="A1926" s="21">
        <v>410621</v>
      </c>
      <c r="B1926" s="21" t="s">
        <v>1915</v>
      </c>
      <c r="C1926" s="21" t="s">
        <v>5594</v>
      </c>
      <c r="D1926" s="21" t="s">
        <v>11</v>
      </c>
      <c r="E1926" s="21" t="s">
        <v>11</v>
      </c>
    </row>
    <row r="1927" spans="1:5" s="21" customFormat="1" ht="15.75" hidden="1" customHeight="1">
      <c r="A1927" s="21">
        <v>410622</v>
      </c>
      <c r="B1927" s="21" t="s">
        <v>1916</v>
      </c>
      <c r="C1927" s="21" t="s">
        <v>5594</v>
      </c>
      <c r="D1927" s="21" t="s">
        <v>11</v>
      </c>
      <c r="E1927" s="21" t="s">
        <v>11</v>
      </c>
    </row>
    <row r="1928" spans="1:5" s="21" customFormat="1" ht="15.75" hidden="1" customHeight="1">
      <c r="A1928" s="21">
        <v>410631</v>
      </c>
      <c r="B1928" s="21" t="s">
        <v>1917</v>
      </c>
      <c r="C1928" s="21" t="s">
        <v>5594</v>
      </c>
      <c r="D1928" s="21" t="s">
        <v>11</v>
      </c>
      <c r="E1928" s="21" t="s">
        <v>11</v>
      </c>
    </row>
    <row r="1929" spans="1:5" s="21" customFormat="1" ht="15.75" hidden="1" customHeight="1">
      <c r="A1929" s="21">
        <v>410632</v>
      </c>
      <c r="B1929" s="21" t="s">
        <v>1918</v>
      </c>
      <c r="C1929" s="21" t="s">
        <v>5594</v>
      </c>
      <c r="D1929" s="21" t="s">
        <v>11</v>
      </c>
      <c r="E1929" s="21" t="s">
        <v>11</v>
      </c>
    </row>
    <row r="1930" spans="1:5" s="21" customFormat="1" ht="15.75" hidden="1" customHeight="1">
      <c r="A1930" s="21">
        <v>410640</v>
      </c>
      <c r="B1930" s="21" t="s">
        <v>1919</v>
      </c>
      <c r="C1930" s="21" t="s">
        <v>5594</v>
      </c>
      <c r="D1930" s="21" t="s">
        <v>11</v>
      </c>
      <c r="E1930" s="21" t="s">
        <v>11</v>
      </c>
    </row>
    <row r="1931" spans="1:5" s="21" customFormat="1" ht="15.75" hidden="1" customHeight="1">
      <c r="A1931" s="21">
        <v>410691</v>
      </c>
      <c r="B1931" s="21" t="s">
        <v>1920</v>
      </c>
      <c r="C1931" s="21" t="s">
        <v>5594</v>
      </c>
      <c r="D1931" s="21" t="s">
        <v>11</v>
      </c>
      <c r="E1931" s="21" t="s">
        <v>11</v>
      </c>
    </row>
    <row r="1932" spans="1:5" s="21" customFormat="1" ht="15.75" hidden="1" customHeight="1">
      <c r="A1932" s="21">
        <v>410692</v>
      </c>
      <c r="B1932" s="21" t="s">
        <v>1921</v>
      </c>
      <c r="C1932" s="21" t="s">
        <v>5594</v>
      </c>
      <c r="D1932" s="21" t="s">
        <v>11</v>
      </c>
      <c r="E1932" s="21" t="s">
        <v>11</v>
      </c>
    </row>
    <row r="1933" spans="1:5" s="21" customFormat="1" ht="15.75" hidden="1" customHeight="1">
      <c r="A1933" s="21">
        <v>410711</v>
      </c>
      <c r="B1933" s="21" t="s">
        <v>1922</v>
      </c>
      <c r="C1933" s="21" t="s">
        <v>5596</v>
      </c>
      <c r="D1933" s="21" t="s">
        <v>11</v>
      </c>
      <c r="E1933" s="21" t="s">
        <v>11</v>
      </c>
    </row>
    <row r="1934" spans="1:5" s="21" customFormat="1" ht="15.75" hidden="1" customHeight="1">
      <c r="A1934" s="21">
        <v>410712</v>
      </c>
      <c r="B1934" s="21" t="s">
        <v>1923</v>
      </c>
      <c r="C1934" s="21" t="s">
        <v>5596</v>
      </c>
      <c r="D1934" s="21" t="s">
        <v>11</v>
      </c>
      <c r="E1934" s="21" t="s">
        <v>11</v>
      </c>
    </row>
    <row r="1935" spans="1:5" s="21" customFormat="1" ht="15.75" hidden="1" customHeight="1">
      <c r="A1935" s="21">
        <v>410719</v>
      </c>
      <c r="B1935" s="21" t="s">
        <v>1924</v>
      </c>
      <c r="C1935" s="21" t="s">
        <v>5596</v>
      </c>
      <c r="D1935" s="21" t="s">
        <v>11</v>
      </c>
      <c r="E1935" s="21" t="s">
        <v>11</v>
      </c>
    </row>
    <row r="1936" spans="1:5" s="21" customFormat="1" ht="15.75" hidden="1" customHeight="1">
      <c r="A1936" s="21">
        <v>410791</v>
      </c>
      <c r="B1936" s="21" t="s">
        <v>1925</v>
      </c>
      <c r="C1936" s="21" t="s">
        <v>5596</v>
      </c>
      <c r="D1936" s="21" t="s">
        <v>11</v>
      </c>
      <c r="E1936" s="21" t="s">
        <v>11</v>
      </c>
    </row>
    <row r="1937" spans="1:5" s="21" customFormat="1" ht="15.75" hidden="1" customHeight="1">
      <c r="A1937" s="21">
        <v>410792</v>
      </c>
      <c r="B1937" s="21" t="s">
        <v>1926</v>
      </c>
      <c r="C1937" s="21" t="s">
        <v>5596</v>
      </c>
      <c r="D1937" s="21" t="s">
        <v>11</v>
      </c>
      <c r="E1937" s="21" t="s">
        <v>11</v>
      </c>
    </row>
    <row r="1938" spans="1:5" s="21" customFormat="1" ht="15.75" hidden="1" customHeight="1">
      <c r="A1938" s="21">
        <v>410799</v>
      </c>
      <c r="B1938" s="21" t="s">
        <v>1927</v>
      </c>
      <c r="C1938" s="21" t="s">
        <v>5596</v>
      </c>
      <c r="D1938" s="21" t="s">
        <v>11</v>
      </c>
      <c r="E1938" s="21" t="s">
        <v>11</v>
      </c>
    </row>
    <row r="1939" spans="1:5" s="21" customFormat="1" ht="15.75" hidden="1" customHeight="1">
      <c r="A1939" s="21">
        <v>411200</v>
      </c>
      <c r="B1939" s="21" t="s">
        <v>1928</v>
      </c>
      <c r="C1939" s="21" t="s">
        <v>5596</v>
      </c>
      <c r="D1939" s="21" t="s">
        <v>11</v>
      </c>
      <c r="E1939" s="21" t="s">
        <v>11</v>
      </c>
    </row>
    <row r="1940" spans="1:5" s="21" customFormat="1" ht="15.75" hidden="1" customHeight="1">
      <c r="A1940" s="21">
        <v>411310</v>
      </c>
      <c r="B1940" s="21" t="s">
        <v>1929</v>
      </c>
      <c r="C1940" s="21" t="s">
        <v>5596</v>
      </c>
      <c r="D1940" s="21" t="s">
        <v>11</v>
      </c>
      <c r="E1940" s="21" t="s">
        <v>11</v>
      </c>
    </row>
    <row r="1941" spans="1:5" s="21" customFormat="1" ht="15.75" hidden="1" customHeight="1">
      <c r="A1941" s="21">
        <v>411320</v>
      </c>
      <c r="B1941" s="21" t="s">
        <v>1930</v>
      </c>
      <c r="C1941" s="21" t="s">
        <v>5596</v>
      </c>
      <c r="D1941" s="21" t="s">
        <v>11</v>
      </c>
      <c r="E1941" s="21" t="s">
        <v>11</v>
      </c>
    </row>
    <row r="1942" spans="1:5" s="21" customFormat="1" ht="15.75" hidden="1" customHeight="1">
      <c r="A1942" s="21">
        <v>411330</v>
      </c>
      <c r="B1942" s="21" t="s">
        <v>1931</v>
      </c>
      <c r="C1942" s="21" t="s">
        <v>5596</v>
      </c>
      <c r="D1942" s="21" t="s">
        <v>11</v>
      </c>
      <c r="E1942" s="21" t="s">
        <v>11</v>
      </c>
    </row>
    <row r="1943" spans="1:5" s="21" customFormat="1" ht="15.75" hidden="1" customHeight="1">
      <c r="A1943" s="21">
        <v>411390</v>
      </c>
      <c r="B1943" s="21" t="s">
        <v>1932</v>
      </c>
      <c r="C1943" s="21" t="s">
        <v>5596</v>
      </c>
      <c r="D1943" s="21" t="s">
        <v>11</v>
      </c>
      <c r="E1943" s="21" t="s">
        <v>11</v>
      </c>
    </row>
    <row r="1944" spans="1:5" s="21" customFormat="1" ht="15.75" hidden="1" customHeight="1">
      <c r="A1944" s="21">
        <v>411410</v>
      </c>
      <c r="B1944" s="21" t="s">
        <v>1933</v>
      </c>
      <c r="C1944" s="21" t="s">
        <v>5596</v>
      </c>
      <c r="D1944" s="21" t="s">
        <v>11</v>
      </c>
      <c r="E1944" s="21" t="s">
        <v>11</v>
      </c>
    </row>
    <row r="1945" spans="1:5" s="21" customFormat="1" ht="15.75" hidden="1" customHeight="1">
      <c r="A1945" s="21">
        <v>411420</v>
      </c>
      <c r="B1945" s="21" t="s">
        <v>1934</v>
      </c>
      <c r="C1945" s="21" t="s">
        <v>5596</v>
      </c>
      <c r="D1945" s="21" t="s">
        <v>11</v>
      </c>
      <c r="E1945" s="21" t="s">
        <v>11</v>
      </c>
    </row>
    <row r="1946" spans="1:5" s="21" customFormat="1" ht="15.75" hidden="1" customHeight="1">
      <c r="A1946" s="21">
        <v>411510</v>
      </c>
      <c r="B1946" s="21" t="s">
        <v>1935</v>
      </c>
      <c r="C1946" s="21" t="s">
        <v>5596</v>
      </c>
      <c r="D1946" s="21" t="s">
        <v>11</v>
      </c>
      <c r="E1946" s="21" t="s">
        <v>11</v>
      </c>
    </row>
    <row r="1947" spans="1:5" s="21" customFormat="1" ht="15.75" hidden="1" customHeight="1">
      <c r="A1947" s="21">
        <v>411520</v>
      </c>
      <c r="B1947" s="21" t="s">
        <v>1936</v>
      </c>
      <c r="C1947" s="21" t="s">
        <v>5596</v>
      </c>
      <c r="D1947" s="21" t="s">
        <v>11</v>
      </c>
      <c r="E1947" s="21" t="s">
        <v>11</v>
      </c>
    </row>
    <row r="1948" spans="1:5" s="21" customFormat="1" ht="15.75" hidden="1" customHeight="1">
      <c r="A1948" s="21">
        <v>420100</v>
      </c>
      <c r="B1948" s="21" t="s">
        <v>1937</v>
      </c>
      <c r="C1948" s="21" t="s">
        <v>5597</v>
      </c>
      <c r="D1948" s="21" t="s">
        <v>11</v>
      </c>
      <c r="E1948" s="21" t="s">
        <v>11</v>
      </c>
    </row>
    <row r="1949" spans="1:5" s="21" customFormat="1" ht="15.75" hidden="1" customHeight="1">
      <c r="A1949" s="21">
        <v>420211</v>
      </c>
      <c r="B1949" s="21" t="s">
        <v>1938</v>
      </c>
      <c r="C1949" s="21" t="s">
        <v>5598</v>
      </c>
      <c r="D1949" s="21" t="s">
        <v>11</v>
      </c>
      <c r="E1949" s="21" t="s">
        <v>11</v>
      </c>
    </row>
    <row r="1950" spans="1:5" s="21" customFormat="1" ht="15.75" hidden="1" customHeight="1">
      <c r="A1950" s="21">
        <v>420212</v>
      </c>
      <c r="B1950" s="21" t="s">
        <v>1939</v>
      </c>
      <c r="C1950" s="21" t="s">
        <v>5598</v>
      </c>
      <c r="D1950" s="21" t="s">
        <v>11</v>
      </c>
      <c r="E1950" s="21" t="s">
        <v>11</v>
      </c>
    </row>
    <row r="1951" spans="1:5" s="21" customFormat="1" ht="15.75" hidden="1" customHeight="1">
      <c r="A1951" s="21">
        <v>420219</v>
      </c>
      <c r="B1951" s="21" t="s">
        <v>1940</v>
      </c>
      <c r="C1951" s="21" t="s">
        <v>5598</v>
      </c>
      <c r="D1951" s="21" t="s">
        <v>11</v>
      </c>
      <c r="E1951" s="21" t="s">
        <v>11</v>
      </c>
    </row>
    <row r="1952" spans="1:5" s="21" customFormat="1" ht="15.75" hidden="1" customHeight="1">
      <c r="A1952" s="21">
        <v>420221</v>
      </c>
      <c r="B1952" s="21" t="s">
        <v>1941</v>
      </c>
      <c r="C1952" s="21" t="s">
        <v>5598</v>
      </c>
      <c r="D1952" s="21" t="s">
        <v>11</v>
      </c>
      <c r="E1952" s="21" t="s">
        <v>11</v>
      </c>
    </row>
    <row r="1953" spans="1:5" s="21" customFormat="1" ht="15.75" hidden="1" customHeight="1">
      <c r="A1953" s="21">
        <v>420222</v>
      </c>
      <c r="B1953" s="21" t="s">
        <v>1942</v>
      </c>
      <c r="C1953" s="21" t="s">
        <v>5598</v>
      </c>
      <c r="D1953" s="21" t="s">
        <v>11</v>
      </c>
      <c r="E1953" s="21" t="s">
        <v>11</v>
      </c>
    </row>
    <row r="1954" spans="1:5" s="21" customFormat="1" ht="15.75" hidden="1" customHeight="1">
      <c r="A1954" s="21">
        <v>420229</v>
      </c>
      <c r="B1954" s="21" t="s">
        <v>1943</v>
      </c>
      <c r="C1954" s="21" t="s">
        <v>5598</v>
      </c>
      <c r="D1954" s="21" t="s">
        <v>11</v>
      </c>
      <c r="E1954" s="21" t="s">
        <v>11</v>
      </c>
    </row>
    <row r="1955" spans="1:5" s="21" customFormat="1" ht="15.75" hidden="1" customHeight="1">
      <c r="A1955" s="21">
        <v>420231</v>
      </c>
      <c r="B1955" s="21" t="s">
        <v>1944</v>
      </c>
      <c r="C1955" s="21" t="s">
        <v>5598</v>
      </c>
      <c r="D1955" s="21" t="s">
        <v>11</v>
      </c>
      <c r="E1955" s="21" t="s">
        <v>11</v>
      </c>
    </row>
    <row r="1956" spans="1:5" s="21" customFormat="1" ht="15.75" hidden="1" customHeight="1">
      <c r="A1956" s="21">
        <v>420232</v>
      </c>
      <c r="B1956" s="21" t="s">
        <v>1945</v>
      </c>
      <c r="C1956" s="21" t="s">
        <v>5598</v>
      </c>
      <c r="D1956" s="21" t="s">
        <v>11</v>
      </c>
      <c r="E1956" s="21" t="s">
        <v>11</v>
      </c>
    </row>
    <row r="1957" spans="1:5" s="21" customFormat="1" ht="15.75" hidden="1" customHeight="1">
      <c r="A1957" s="21">
        <v>420239</v>
      </c>
      <c r="B1957" s="21" t="s">
        <v>1946</v>
      </c>
      <c r="C1957" s="21" t="s">
        <v>5598</v>
      </c>
      <c r="D1957" s="21" t="s">
        <v>11</v>
      </c>
      <c r="E1957" s="21" t="s">
        <v>11</v>
      </c>
    </row>
    <row r="1958" spans="1:5" s="21" customFormat="1" ht="15.75" hidden="1" customHeight="1">
      <c r="A1958" s="21">
        <v>420291</v>
      </c>
      <c r="B1958" s="21" t="s">
        <v>1947</v>
      </c>
      <c r="C1958" s="21" t="s">
        <v>5598</v>
      </c>
      <c r="D1958" s="21" t="s">
        <v>11</v>
      </c>
      <c r="E1958" s="21" t="s">
        <v>11</v>
      </c>
    </row>
    <row r="1959" spans="1:5" s="21" customFormat="1" ht="15.75" hidden="1" customHeight="1">
      <c r="A1959" s="21">
        <v>420292</v>
      </c>
      <c r="B1959" s="21" t="s">
        <v>1948</v>
      </c>
      <c r="C1959" s="21" t="s">
        <v>5598</v>
      </c>
      <c r="D1959" s="21" t="s">
        <v>11</v>
      </c>
      <c r="E1959" s="21" t="s">
        <v>11</v>
      </c>
    </row>
    <row r="1960" spans="1:5" s="21" customFormat="1" ht="15.75" hidden="1" customHeight="1">
      <c r="A1960" s="21">
        <v>420299</v>
      </c>
      <c r="B1960" s="21" t="s">
        <v>1949</v>
      </c>
      <c r="C1960" s="21" t="s">
        <v>5598</v>
      </c>
      <c r="D1960" s="21" t="s">
        <v>11</v>
      </c>
      <c r="E1960" s="21" t="s">
        <v>11</v>
      </c>
    </row>
    <row r="1961" spans="1:5" s="21" customFormat="1" ht="15.75" hidden="1" customHeight="1">
      <c r="A1961" s="21">
        <v>420310</v>
      </c>
      <c r="B1961" s="21" t="s">
        <v>1950</v>
      </c>
      <c r="C1961" s="21" t="s">
        <v>5599</v>
      </c>
      <c r="D1961" s="21" t="s">
        <v>11</v>
      </c>
      <c r="E1961" s="21" t="s">
        <v>11</v>
      </c>
    </row>
    <row r="1962" spans="1:5" s="21" customFormat="1" ht="15.75" hidden="1" customHeight="1">
      <c r="A1962" s="21">
        <v>420321</v>
      </c>
      <c r="B1962" s="21" t="s">
        <v>1951</v>
      </c>
      <c r="C1962" s="21" t="s">
        <v>5600</v>
      </c>
      <c r="D1962" s="21" t="s">
        <v>11</v>
      </c>
      <c r="E1962" s="21" t="s">
        <v>11</v>
      </c>
    </row>
    <row r="1963" spans="1:5" s="21" customFormat="1" ht="15.75" hidden="1" customHeight="1">
      <c r="A1963" s="21">
        <v>420329</v>
      </c>
      <c r="B1963" s="21" t="s">
        <v>1952</v>
      </c>
      <c r="C1963" s="21" t="s">
        <v>5600</v>
      </c>
      <c r="D1963" s="21" t="s">
        <v>11</v>
      </c>
      <c r="E1963" s="21" t="s">
        <v>11</v>
      </c>
    </row>
    <row r="1964" spans="1:5" s="21" customFormat="1" ht="15.75" hidden="1" customHeight="1">
      <c r="A1964" s="21">
        <v>420330</v>
      </c>
      <c r="B1964" s="21" t="s">
        <v>1953</v>
      </c>
      <c r="C1964" s="21" t="s">
        <v>5600</v>
      </c>
      <c r="D1964" s="21" t="s">
        <v>11</v>
      </c>
      <c r="E1964" s="21" t="s">
        <v>11</v>
      </c>
    </row>
    <row r="1965" spans="1:5" s="21" customFormat="1" ht="15.75" hidden="1" customHeight="1">
      <c r="A1965" s="21">
        <v>420340</v>
      </c>
      <c r="B1965" s="21" t="s">
        <v>1954</v>
      </c>
      <c r="C1965" s="21" t="s">
        <v>5600</v>
      </c>
      <c r="D1965" s="21" t="s">
        <v>11</v>
      </c>
      <c r="E1965" s="21" t="s">
        <v>11</v>
      </c>
    </row>
    <row r="1966" spans="1:5" s="21" customFormat="1" ht="15.75" hidden="1" customHeight="1">
      <c r="A1966" s="21">
        <v>420500</v>
      </c>
      <c r="B1966" s="21" t="s">
        <v>1955</v>
      </c>
      <c r="C1966" s="21" t="s">
        <v>5601</v>
      </c>
      <c r="D1966" s="21" t="s">
        <v>11</v>
      </c>
      <c r="E1966" s="21" t="s">
        <v>11</v>
      </c>
    </row>
    <row r="1967" spans="1:5" s="21" customFormat="1" ht="15.75" hidden="1" customHeight="1">
      <c r="A1967" s="21">
        <v>420600</v>
      </c>
      <c r="B1967" s="21" t="s">
        <v>1956</v>
      </c>
      <c r="C1967" s="21" t="s">
        <v>1956</v>
      </c>
      <c r="D1967" s="21" t="s">
        <v>11</v>
      </c>
      <c r="E1967" s="21" t="s">
        <v>11</v>
      </c>
    </row>
    <row r="1968" spans="1:5" s="21" customFormat="1" ht="15.75" hidden="1" customHeight="1">
      <c r="A1968" s="21">
        <v>430110</v>
      </c>
      <c r="B1968" s="21" t="s">
        <v>1957</v>
      </c>
      <c r="C1968" s="21" t="s">
        <v>5602</v>
      </c>
      <c r="D1968" s="21" t="s">
        <v>11</v>
      </c>
      <c r="E1968" s="21" t="s">
        <v>11</v>
      </c>
    </row>
    <row r="1969" spans="1:5" s="21" customFormat="1" ht="15.75" hidden="1" customHeight="1">
      <c r="A1969" s="21">
        <v>430130</v>
      </c>
      <c r="B1969" s="21" t="s">
        <v>1958</v>
      </c>
      <c r="C1969" s="21" t="s">
        <v>5602</v>
      </c>
      <c r="D1969" s="21" t="s">
        <v>11</v>
      </c>
      <c r="E1969" s="21" t="s">
        <v>11</v>
      </c>
    </row>
    <row r="1970" spans="1:5" s="21" customFormat="1" ht="15.75" hidden="1" customHeight="1">
      <c r="A1970" s="21">
        <v>430160</v>
      </c>
      <c r="B1970" s="21" t="s">
        <v>1959</v>
      </c>
      <c r="C1970" s="21" t="s">
        <v>5602</v>
      </c>
      <c r="D1970" s="21" t="s">
        <v>11</v>
      </c>
      <c r="E1970" s="21" t="s">
        <v>11</v>
      </c>
    </row>
    <row r="1971" spans="1:5" s="21" customFormat="1" ht="15.75" hidden="1" customHeight="1">
      <c r="A1971" s="21">
        <v>430180</v>
      </c>
      <c r="B1971" s="21" t="s">
        <v>1960</v>
      </c>
      <c r="C1971" s="21" t="s">
        <v>5602</v>
      </c>
      <c r="D1971" s="21" t="s">
        <v>11</v>
      </c>
      <c r="E1971" s="21" t="s">
        <v>11</v>
      </c>
    </row>
    <row r="1972" spans="1:5" s="21" customFormat="1" ht="15.75" hidden="1" customHeight="1">
      <c r="A1972" s="21">
        <v>430190</v>
      </c>
      <c r="B1972" s="21" t="s">
        <v>1961</v>
      </c>
      <c r="C1972" s="21" t="s">
        <v>5602</v>
      </c>
      <c r="D1972" s="21" t="s">
        <v>11</v>
      </c>
      <c r="E1972" s="21" t="s">
        <v>11</v>
      </c>
    </row>
    <row r="1973" spans="1:5" s="21" customFormat="1" ht="15.75" hidden="1" customHeight="1">
      <c r="A1973" s="21">
        <v>430211</v>
      </c>
      <c r="B1973" s="21" t="s">
        <v>1962</v>
      </c>
      <c r="C1973" s="21" t="s">
        <v>5602</v>
      </c>
      <c r="D1973" s="21" t="s">
        <v>11</v>
      </c>
      <c r="E1973" s="21" t="s">
        <v>11</v>
      </c>
    </row>
    <row r="1974" spans="1:5" s="21" customFormat="1" ht="15.75" hidden="1" customHeight="1">
      <c r="A1974" s="21">
        <v>430219</v>
      </c>
      <c r="B1974" s="21" t="s">
        <v>1963</v>
      </c>
      <c r="C1974" s="21" t="s">
        <v>5602</v>
      </c>
      <c r="D1974" s="21" t="s">
        <v>11</v>
      </c>
      <c r="E1974" s="21" t="s">
        <v>11</v>
      </c>
    </row>
    <row r="1975" spans="1:5" s="21" customFormat="1" ht="15.75" hidden="1" customHeight="1">
      <c r="A1975" s="21">
        <v>430220</v>
      </c>
      <c r="B1975" s="21" t="s">
        <v>1964</v>
      </c>
      <c r="C1975" s="21" t="s">
        <v>5602</v>
      </c>
      <c r="D1975" s="21" t="s">
        <v>11</v>
      </c>
      <c r="E1975" s="21" t="s">
        <v>11</v>
      </c>
    </row>
    <row r="1976" spans="1:5" s="21" customFormat="1" ht="15.75" hidden="1" customHeight="1">
      <c r="A1976" s="21">
        <v>430230</v>
      </c>
      <c r="B1976" s="21" t="s">
        <v>1965</v>
      </c>
      <c r="C1976" s="21" t="s">
        <v>5602</v>
      </c>
      <c r="D1976" s="21" t="s">
        <v>11</v>
      </c>
      <c r="E1976" s="21" t="s">
        <v>11</v>
      </c>
    </row>
    <row r="1977" spans="1:5" s="21" customFormat="1" ht="15.75" hidden="1" customHeight="1">
      <c r="A1977" s="21">
        <v>430310</v>
      </c>
      <c r="B1977" s="21" t="s">
        <v>1966</v>
      </c>
      <c r="C1977" s="21" t="s">
        <v>5603</v>
      </c>
      <c r="D1977" s="21" t="s">
        <v>11</v>
      </c>
      <c r="E1977" s="21" t="s">
        <v>11</v>
      </c>
    </row>
    <row r="1978" spans="1:5" s="21" customFormat="1" ht="15.75" hidden="1" customHeight="1">
      <c r="A1978" s="21">
        <v>430390</v>
      </c>
      <c r="B1978" s="21" t="s">
        <v>1967</v>
      </c>
      <c r="C1978" s="21" t="s">
        <v>5603</v>
      </c>
      <c r="D1978" s="21" t="s">
        <v>11</v>
      </c>
      <c r="E1978" s="21" t="s">
        <v>11</v>
      </c>
    </row>
    <row r="1979" spans="1:5" s="21" customFormat="1" ht="15.75" hidden="1" customHeight="1">
      <c r="A1979" s="21">
        <v>430400</v>
      </c>
      <c r="B1979" s="21" t="s">
        <v>1968</v>
      </c>
      <c r="C1979" s="21" t="s">
        <v>5604</v>
      </c>
      <c r="D1979" s="21" t="s">
        <v>11</v>
      </c>
      <c r="E1979" s="21" t="s">
        <v>11</v>
      </c>
    </row>
    <row r="1980" spans="1:5" s="21" customFormat="1" ht="15.75" hidden="1" customHeight="1">
      <c r="A1980" s="21">
        <v>440110</v>
      </c>
      <c r="B1980" s="21" t="s">
        <v>1969</v>
      </c>
      <c r="C1980" s="21" t="s">
        <v>5605</v>
      </c>
      <c r="D1980" s="21" t="s">
        <v>11</v>
      </c>
      <c r="E1980" s="21" t="s">
        <v>11</v>
      </c>
    </row>
    <row r="1981" spans="1:5" s="21" customFormat="1" ht="15.75" hidden="1" customHeight="1">
      <c r="A1981" s="21">
        <v>440121</v>
      </c>
      <c r="B1981" s="21" t="s">
        <v>1970</v>
      </c>
      <c r="C1981" s="21" t="s">
        <v>5605</v>
      </c>
      <c r="D1981" s="21" t="s">
        <v>11</v>
      </c>
      <c r="E1981" s="21" t="s">
        <v>11</v>
      </c>
    </row>
    <row r="1982" spans="1:5" s="21" customFormat="1" ht="15.75" hidden="1" customHeight="1">
      <c r="A1982" s="21">
        <v>440122</v>
      </c>
      <c r="B1982" s="21" t="s">
        <v>1971</v>
      </c>
      <c r="C1982" s="21" t="s">
        <v>5605</v>
      </c>
      <c r="D1982" s="21" t="s">
        <v>11</v>
      </c>
      <c r="E1982" s="21" t="s">
        <v>11</v>
      </c>
    </row>
    <row r="1983" spans="1:5" s="21" customFormat="1" ht="15.75" hidden="1" customHeight="1">
      <c r="A1983" s="21">
        <v>440130</v>
      </c>
      <c r="B1983" s="21" t="s">
        <v>1972</v>
      </c>
      <c r="C1983" s="21" t="s">
        <v>5605</v>
      </c>
      <c r="D1983" s="21" t="s">
        <v>11</v>
      </c>
      <c r="E1983" s="21" t="s">
        <v>11</v>
      </c>
    </row>
    <row r="1984" spans="1:5" s="21" customFormat="1" ht="15.75" hidden="1" customHeight="1">
      <c r="A1984" s="21">
        <v>440210</v>
      </c>
      <c r="B1984" s="21" t="s">
        <v>1973</v>
      </c>
      <c r="C1984" s="21" t="s">
        <v>5605</v>
      </c>
      <c r="D1984" s="21" t="s">
        <v>11</v>
      </c>
      <c r="E1984" s="21" t="s">
        <v>11</v>
      </c>
    </row>
    <row r="1985" spans="1:5" s="21" customFormat="1" ht="15.75" hidden="1" customHeight="1">
      <c r="A1985" s="21">
        <v>440290</v>
      </c>
      <c r="B1985" s="21" t="s">
        <v>1974</v>
      </c>
      <c r="C1985" s="21" t="s">
        <v>5605</v>
      </c>
      <c r="D1985" s="21" t="s">
        <v>11</v>
      </c>
      <c r="E1985" s="21" t="s">
        <v>11</v>
      </c>
    </row>
    <row r="1986" spans="1:5" s="21" customFormat="1" ht="15.75" hidden="1" customHeight="1">
      <c r="A1986" s="21">
        <v>440310</v>
      </c>
      <c r="B1986" s="21" t="s">
        <v>1975</v>
      </c>
      <c r="C1986" s="21" t="s">
        <v>5605</v>
      </c>
      <c r="D1986" s="21" t="s">
        <v>11</v>
      </c>
      <c r="E1986" s="21" t="s">
        <v>11</v>
      </c>
    </row>
    <row r="1987" spans="1:5" s="21" customFormat="1" ht="15.75" hidden="1" customHeight="1">
      <c r="A1987" s="21">
        <v>440320</v>
      </c>
      <c r="B1987" s="21" t="s">
        <v>1976</v>
      </c>
      <c r="C1987" s="21" t="s">
        <v>5605</v>
      </c>
      <c r="D1987" s="21" t="s">
        <v>11</v>
      </c>
      <c r="E1987" s="21" t="s">
        <v>11</v>
      </c>
    </row>
    <row r="1988" spans="1:5" s="21" customFormat="1" ht="15.75" hidden="1" customHeight="1">
      <c r="A1988" s="21">
        <v>440341</v>
      </c>
      <c r="B1988" s="21" t="s">
        <v>1977</v>
      </c>
      <c r="C1988" s="21" t="s">
        <v>5606</v>
      </c>
      <c r="D1988" s="21" t="s">
        <v>11</v>
      </c>
      <c r="E1988" s="21" t="s">
        <v>11</v>
      </c>
    </row>
    <row r="1989" spans="1:5" s="21" customFormat="1" ht="15.75" hidden="1" customHeight="1">
      <c r="A1989" s="21">
        <v>440349</v>
      </c>
      <c r="B1989" s="21" t="s">
        <v>1978</v>
      </c>
      <c r="C1989" s="21" t="s">
        <v>5606</v>
      </c>
      <c r="D1989" s="21" t="s">
        <v>11</v>
      </c>
      <c r="E1989" s="21" t="s">
        <v>11</v>
      </c>
    </row>
    <row r="1990" spans="1:5" s="21" customFormat="1" ht="15.75" hidden="1" customHeight="1">
      <c r="A1990" s="21">
        <v>440391</v>
      </c>
      <c r="B1990" s="21" t="s">
        <v>1979</v>
      </c>
      <c r="C1990" s="21" t="s">
        <v>5605</v>
      </c>
      <c r="D1990" s="21" t="s">
        <v>11</v>
      </c>
      <c r="E1990" s="21" t="s">
        <v>11</v>
      </c>
    </row>
    <row r="1991" spans="1:5" s="21" customFormat="1" ht="15.75" hidden="1" customHeight="1">
      <c r="A1991" s="21">
        <v>440392</v>
      </c>
      <c r="B1991" s="21" t="s">
        <v>1980</v>
      </c>
      <c r="C1991" s="21" t="s">
        <v>5605</v>
      </c>
      <c r="D1991" s="21" t="s">
        <v>11</v>
      </c>
      <c r="E1991" s="21" t="s">
        <v>11</v>
      </c>
    </row>
    <row r="1992" spans="1:5" s="21" customFormat="1" ht="15.75" hidden="1" customHeight="1">
      <c r="A1992" s="21">
        <v>440399</v>
      </c>
      <c r="B1992" s="21" t="s">
        <v>1981</v>
      </c>
      <c r="C1992" s="21" t="s">
        <v>5605</v>
      </c>
      <c r="D1992" s="21" t="s">
        <v>11</v>
      </c>
      <c r="E1992" s="21" t="s">
        <v>11</v>
      </c>
    </row>
    <row r="1993" spans="1:5" s="21" customFormat="1" ht="15.75" hidden="1" customHeight="1">
      <c r="A1993" s="21">
        <v>440410</v>
      </c>
      <c r="B1993" s="21" t="s">
        <v>1982</v>
      </c>
      <c r="C1993" s="21" t="s">
        <v>5605</v>
      </c>
      <c r="D1993" s="21" t="s">
        <v>11</v>
      </c>
      <c r="E1993" s="21" t="s">
        <v>11</v>
      </c>
    </row>
    <row r="1994" spans="1:5" s="21" customFormat="1" ht="15.75" hidden="1" customHeight="1">
      <c r="A1994" s="21">
        <v>440420</v>
      </c>
      <c r="B1994" s="21" t="s">
        <v>1983</v>
      </c>
      <c r="C1994" s="21" t="s">
        <v>5605</v>
      </c>
      <c r="D1994" s="21" t="s">
        <v>11</v>
      </c>
      <c r="E1994" s="21" t="s">
        <v>11</v>
      </c>
    </row>
    <row r="1995" spans="1:5" s="21" customFormat="1" ht="15.75" hidden="1" customHeight="1">
      <c r="A1995" s="21">
        <v>440500</v>
      </c>
      <c r="B1995" s="21" t="s">
        <v>1984</v>
      </c>
      <c r="C1995" s="21" t="s">
        <v>5605</v>
      </c>
      <c r="D1995" s="21" t="s">
        <v>11</v>
      </c>
      <c r="E1995" s="21" t="s">
        <v>11</v>
      </c>
    </row>
    <row r="1996" spans="1:5" s="21" customFormat="1" ht="15.75" hidden="1" customHeight="1">
      <c r="A1996" s="21">
        <v>440610</v>
      </c>
      <c r="B1996" s="21" t="s">
        <v>1985</v>
      </c>
      <c r="C1996" s="21" t="s">
        <v>5605</v>
      </c>
      <c r="D1996" s="21" t="s">
        <v>11</v>
      </c>
      <c r="E1996" s="21" t="s">
        <v>11</v>
      </c>
    </row>
    <row r="1997" spans="1:5" s="21" customFormat="1" ht="15.75" hidden="1" customHeight="1">
      <c r="A1997" s="21">
        <v>440690</v>
      </c>
      <c r="B1997" s="21" t="s">
        <v>1986</v>
      </c>
      <c r="C1997" s="21" t="s">
        <v>5605</v>
      </c>
      <c r="D1997" s="21" t="s">
        <v>11</v>
      </c>
      <c r="E1997" s="21" t="s">
        <v>11</v>
      </c>
    </row>
    <row r="1998" spans="1:5" s="21" customFormat="1" ht="15.75" hidden="1" customHeight="1">
      <c r="A1998" s="21">
        <v>440710</v>
      </c>
      <c r="B1998" s="21" t="s">
        <v>1987</v>
      </c>
      <c r="C1998" s="21" t="s">
        <v>5607</v>
      </c>
      <c r="D1998" s="21" t="s">
        <v>11</v>
      </c>
      <c r="E1998" s="21" t="s">
        <v>11</v>
      </c>
    </row>
    <row r="1999" spans="1:5" s="21" customFormat="1" ht="15.75" hidden="1" customHeight="1">
      <c r="A1999" s="21">
        <v>440721</v>
      </c>
      <c r="B1999" s="21" t="s">
        <v>1988</v>
      </c>
      <c r="C1999" s="21" t="s">
        <v>5606</v>
      </c>
      <c r="D1999" s="21" t="s">
        <v>11</v>
      </c>
      <c r="E1999" s="21" t="s">
        <v>11</v>
      </c>
    </row>
    <row r="2000" spans="1:5" s="21" customFormat="1" ht="15.75" hidden="1" customHeight="1">
      <c r="A2000" s="21">
        <v>440722</v>
      </c>
      <c r="B2000" s="21" t="s">
        <v>1989</v>
      </c>
      <c r="C2000" s="21" t="s">
        <v>5606</v>
      </c>
      <c r="D2000" s="21" t="s">
        <v>11</v>
      </c>
      <c r="E2000" s="21" t="s">
        <v>11</v>
      </c>
    </row>
    <row r="2001" spans="1:5" s="21" customFormat="1" ht="15.75" hidden="1" customHeight="1">
      <c r="A2001" s="21">
        <v>440725</v>
      </c>
      <c r="B2001" s="21" t="s">
        <v>1990</v>
      </c>
      <c r="C2001" s="21" t="s">
        <v>5606</v>
      </c>
      <c r="D2001" s="21" t="s">
        <v>11</v>
      </c>
      <c r="E2001" s="21" t="s">
        <v>11</v>
      </c>
    </row>
    <row r="2002" spans="1:5" s="21" customFormat="1" ht="15.75" hidden="1" customHeight="1">
      <c r="A2002" s="21">
        <v>440726</v>
      </c>
      <c r="B2002" s="21" t="s">
        <v>1991</v>
      </c>
      <c r="C2002" s="21" t="s">
        <v>5606</v>
      </c>
      <c r="D2002" s="21" t="s">
        <v>11</v>
      </c>
      <c r="E2002" s="21" t="s">
        <v>11</v>
      </c>
    </row>
    <row r="2003" spans="1:5" s="21" customFormat="1" ht="15.75" hidden="1" customHeight="1">
      <c r="A2003" s="21">
        <v>440727</v>
      </c>
      <c r="B2003" s="21" t="s">
        <v>1992</v>
      </c>
      <c r="C2003" s="21" t="s">
        <v>5606</v>
      </c>
      <c r="D2003" s="21" t="s">
        <v>11</v>
      </c>
      <c r="E2003" s="21" t="s">
        <v>11</v>
      </c>
    </row>
    <row r="2004" spans="1:5" s="21" customFormat="1" ht="15.75" hidden="1" customHeight="1">
      <c r="A2004" s="21">
        <v>440728</v>
      </c>
      <c r="B2004" s="21" t="s">
        <v>1993</v>
      </c>
      <c r="C2004" s="21" t="s">
        <v>5606</v>
      </c>
      <c r="D2004" s="21" t="s">
        <v>11</v>
      </c>
      <c r="E2004" s="21" t="s">
        <v>11</v>
      </c>
    </row>
    <row r="2005" spans="1:5" s="21" customFormat="1" ht="15.75" hidden="1" customHeight="1">
      <c r="A2005" s="21">
        <v>440729</v>
      </c>
      <c r="B2005" s="21" t="s">
        <v>1994</v>
      </c>
      <c r="C2005" s="21" t="s">
        <v>5606</v>
      </c>
      <c r="D2005" s="21" t="s">
        <v>11</v>
      </c>
      <c r="E2005" s="21" t="s">
        <v>11</v>
      </c>
    </row>
    <row r="2006" spans="1:5" s="21" customFormat="1" ht="15.75" hidden="1" customHeight="1">
      <c r="A2006" s="21">
        <v>440791</v>
      </c>
      <c r="B2006" s="21" t="s">
        <v>1995</v>
      </c>
      <c r="C2006" s="21" t="s">
        <v>5605</v>
      </c>
      <c r="D2006" s="21" t="s">
        <v>11</v>
      </c>
      <c r="E2006" s="21" t="s">
        <v>11</v>
      </c>
    </row>
    <row r="2007" spans="1:5" s="21" customFormat="1" ht="15.75" hidden="1" customHeight="1">
      <c r="A2007" s="21">
        <v>440792</v>
      </c>
      <c r="B2007" s="21" t="s">
        <v>1996</v>
      </c>
      <c r="C2007" s="21" t="s">
        <v>5605</v>
      </c>
      <c r="D2007" s="21" t="s">
        <v>11</v>
      </c>
      <c r="E2007" s="21" t="s">
        <v>11</v>
      </c>
    </row>
    <row r="2008" spans="1:5" s="21" customFormat="1" ht="15.75" hidden="1" customHeight="1">
      <c r="A2008" s="21">
        <v>440793</v>
      </c>
      <c r="B2008" s="21" t="s">
        <v>1997</v>
      </c>
      <c r="C2008" s="21" t="s">
        <v>5605</v>
      </c>
      <c r="D2008" s="21" t="s">
        <v>11</v>
      </c>
      <c r="E2008" s="21" t="s">
        <v>11</v>
      </c>
    </row>
    <row r="2009" spans="1:5" s="21" customFormat="1" ht="15.75" hidden="1" customHeight="1">
      <c r="A2009" s="21">
        <v>440794</v>
      </c>
      <c r="B2009" s="21" t="s">
        <v>1998</v>
      </c>
      <c r="C2009" s="21" t="s">
        <v>5605</v>
      </c>
      <c r="D2009" s="21" t="s">
        <v>11</v>
      </c>
      <c r="E2009" s="21" t="s">
        <v>11</v>
      </c>
    </row>
    <row r="2010" spans="1:5" s="21" customFormat="1" ht="15.75" hidden="1" customHeight="1">
      <c r="A2010" s="21">
        <v>440795</v>
      </c>
      <c r="B2010" s="21" t="s">
        <v>1999</v>
      </c>
      <c r="C2010" s="21" t="s">
        <v>5605</v>
      </c>
      <c r="D2010" s="21" t="s">
        <v>11</v>
      </c>
      <c r="E2010" s="21" t="s">
        <v>11</v>
      </c>
    </row>
    <row r="2011" spans="1:5" s="21" customFormat="1" ht="15.75" hidden="1" customHeight="1">
      <c r="A2011" s="21">
        <v>440799</v>
      </c>
      <c r="B2011" s="21" t="s">
        <v>2000</v>
      </c>
      <c r="C2011" s="21" t="s">
        <v>5605</v>
      </c>
      <c r="D2011" s="21" t="s">
        <v>11</v>
      </c>
      <c r="E2011" s="21" t="s">
        <v>11</v>
      </c>
    </row>
    <row r="2012" spans="1:5" s="21" customFormat="1" ht="15.75" hidden="1" customHeight="1">
      <c r="A2012" s="21">
        <v>440810</v>
      </c>
      <c r="B2012" s="21" t="s">
        <v>2001</v>
      </c>
      <c r="C2012" s="21" t="s">
        <v>5605</v>
      </c>
      <c r="D2012" s="21" t="s">
        <v>11</v>
      </c>
      <c r="E2012" s="21" t="s">
        <v>11</v>
      </c>
    </row>
    <row r="2013" spans="1:5" s="21" customFormat="1" ht="15.75" hidden="1" customHeight="1">
      <c r="A2013" s="21">
        <v>440831</v>
      </c>
      <c r="B2013" s="21" t="s">
        <v>2002</v>
      </c>
      <c r="C2013" s="21" t="s">
        <v>5606</v>
      </c>
      <c r="D2013" s="21" t="s">
        <v>11</v>
      </c>
      <c r="E2013" s="21" t="s">
        <v>11</v>
      </c>
    </row>
    <row r="2014" spans="1:5" s="21" customFormat="1" ht="15.75" hidden="1" customHeight="1">
      <c r="A2014" s="21">
        <v>440839</v>
      </c>
      <c r="B2014" s="21" t="s">
        <v>2003</v>
      </c>
      <c r="C2014" s="21" t="s">
        <v>5606</v>
      </c>
      <c r="D2014" s="21" t="s">
        <v>11</v>
      </c>
      <c r="E2014" s="21" t="s">
        <v>11</v>
      </c>
    </row>
    <row r="2015" spans="1:5" s="21" customFormat="1" ht="15.75" hidden="1" customHeight="1">
      <c r="A2015" s="21">
        <v>440890</v>
      </c>
      <c r="B2015" s="21" t="s">
        <v>2004</v>
      </c>
      <c r="C2015" s="21" t="s">
        <v>5605</v>
      </c>
      <c r="D2015" s="21" t="s">
        <v>11</v>
      </c>
      <c r="E2015" s="21" t="s">
        <v>11</v>
      </c>
    </row>
    <row r="2016" spans="1:5" s="21" customFormat="1" ht="15.75" hidden="1" customHeight="1">
      <c r="A2016" s="21">
        <v>440910</v>
      </c>
      <c r="B2016" s="21" t="s">
        <v>2005</v>
      </c>
      <c r="C2016" s="21" t="s">
        <v>5605</v>
      </c>
      <c r="D2016" s="21" t="s">
        <v>11</v>
      </c>
      <c r="E2016" s="21" t="s">
        <v>11</v>
      </c>
    </row>
    <row r="2017" spans="1:5" s="21" customFormat="1" ht="15.75" hidden="1" customHeight="1">
      <c r="A2017" s="21">
        <v>440921</v>
      </c>
      <c r="B2017" s="21" t="s">
        <v>2006</v>
      </c>
      <c r="C2017" s="21" t="s">
        <v>5605</v>
      </c>
      <c r="D2017" s="21" t="s">
        <v>11</v>
      </c>
      <c r="E2017" s="21" t="s">
        <v>11</v>
      </c>
    </row>
    <row r="2018" spans="1:5" s="21" customFormat="1" ht="15.75" hidden="1" customHeight="1">
      <c r="A2018" s="21">
        <v>440929</v>
      </c>
      <c r="B2018" s="21" t="s">
        <v>2007</v>
      </c>
      <c r="C2018" s="21" t="s">
        <v>5605</v>
      </c>
      <c r="D2018" s="21" t="s">
        <v>11</v>
      </c>
      <c r="E2018" s="21" t="s">
        <v>11</v>
      </c>
    </row>
    <row r="2019" spans="1:5" s="21" customFormat="1" ht="15.75" hidden="1" customHeight="1">
      <c r="A2019" s="21">
        <v>441011</v>
      </c>
      <c r="B2019" s="21" t="s">
        <v>2008</v>
      </c>
      <c r="C2019" s="21" t="s">
        <v>2008</v>
      </c>
      <c r="D2019" s="21" t="s">
        <v>11</v>
      </c>
      <c r="E2019" s="21" t="s">
        <v>11</v>
      </c>
    </row>
    <row r="2020" spans="1:5" s="21" customFormat="1" ht="15.75" hidden="1" customHeight="1">
      <c r="A2020" s="21">
        <v>441012</v>
      </c>
      <c r="B2020" s="21" t="s">
        <v>2009</v>
      </c>
      <c r="C2020" s="21" t="s">
        <v>2009</v>
      </c>
      <c r="D2020" s="21" t="s">
        <v>11</v>
      </c>
      <c r="E2020" s="21" t="s">
        <v>11</v>
      </c>
    </row>
    <row r="2021" spans="1:5" s="21" customFormat="1" ht="15.75" hidden="1" customHeight="1">
      <c r="A2021" s="21">
        <v>441019</v>
      </c>
      <c r="B2021" s="21" t="s">
        <v>2010</v>
      </c>
      <c r="C2021" s="21" t="s">
        <v>2010</v>
      </c>
      <c r="D2021" s="21" t="s">
        <v>11</v>
      </c>
      <c r="E2021" s="21" t="s">
        <v>11</v>
      </c>
    </row>
    <row r="2022" spans="1:5" s="21" customFormat="1" ht="15.75" hidden="1" customHeight="1">
      <c r="A2022" s="21">
        <v>441090</v>
      </c>
      <c r="B2022" s="21" t="s">
        <v>2011</v>
      </c>
      <c r="C2022" s="21" t="s">
        <v>2011</v>
      </c>
      <c r="D2022" s="21" t="s">
        <v>11</v>
      </c>
      <c r="E2022" s="21" t="s">
        <v>11</v>
      </c>
    </row>
    <row r="2023" spans="1:5" s="21" customFormat="1" ht="15.75" hidden="1" customHeight="1">
      <c r="A2023" s="21">
        <v>441112</v>
      </c>
      <c r="B2023" s="21" t="s">
        <v>2012</v>
      </c>
      <c r="C2023" s="21" t="s">
        <v>2012</v>
      </c>
      <c r="D2023" s="21" t="s">
        <v>11</v>
      </c>
      <c r="E2023" s="21" t="s">
        <v>11</v>
      </c>
    </row>
    <row r="2024" spans="1:5" s="21" customFormat="1" ht="15.75" hidden="1" customHeight="1">
      <c r="A2024" s="21">
        <v>441113</v>
      </c>
      <c r="B2024" s="21" t="s">
        <v>2013</v>
      </c>
      <c r="C2024" s="21" t="s">
        <v>2013</v>
      </c>
      <c r="D2024" s="21" t="s">
        <v>11</v>
      </c>
      <c r="E2024" s="21" t="s">
        <v>11</v>
      </c>
    </row>
    <row r="2025" spans="1:5" s="21" customFormat="1" ht="15.75" hidden="1" customHeight="1">
      <c r="A2025" s="21">
        <v>441114</v>
      </c>
      <c r="B2025" s="21" t="s">
        <v>2014</v>
      </c>
      <c r="C2025" s="21" t="s">
        <v>2014</v>
      </c>
      <c r="D2025" s="21" t="s">
        <v>11</v>
      </c>
      <c r="E2025" s="21" t="s">
        <v>11</v>
      </c>
    </row>
    <row r="2026" spans="1:5" s="21" customFormat="1" ht="15.75" hidden="1" customHeight="1">
      <c r="A2026" s="21">
        <v>441192</v>
      </c>
      <c r="B2026" s="21" t="s">
        <v>2015</v>
      </c>
      <c r="C2026" s="21" t="s">
        <v>2015</v>
      </c>
      <c r="D2026" s="21" t="s">
        <v>11</v>
      </c>
      <c r="E2026" s="21" t="s">
        <v>11</v>
      </c>
    </row>
    <row r="2027" spans="1:5" s="21" customFormat="1" ht="15.75" hidden="1" customHeight="1">
      <c r="A2027" s="21">
        <v>441193</v>
      </c>
      <c r="B2027" s="21" t="s">
        <v>2016</v>
      </c>
      <c r="C2027" s="21" t="s">
        <v>2016</v>
      </c>
      <c r="D2027" s="21" t="s">
        <v>11</v>
      </c>
      <c r="E2027" s="21" t="s">
        <v>11</v>
      </c>
    </row>
    <row r="2028" spans="1:5" s="21" customFormat="1" ht="15.75" hidden="1" customHeight="1">
      <c r="A2028" s="21">
        <v>441194</v>
      </c>
      <c r="B2028" s="21" t="s">
        <v>2017</v>
      </c>
      <c r="C2028" s="21" t="s">
        <v>2017</v>
      </c>
      <c r="D2028" s="21" t="s">
        <v>11</v>
      </c>
      <c r="E2028" s="21" t="s">
        <v>11</v>
      </c>
    </row>
    <row r="2029" spans="1:5" s="21" customFormat="1" ht="15.75" hidden="1" customHeight="1">
      <c r="A2029" s="21">
        <v>441210</v>
      </c>
      <c r="B2029" s="21" t="s">
        <v>2018</v>
      </c>
      <c r="C2029" s="21" t="s">
        <v>5608</v>
      </c>
      <c r="D2029" s="21" t="s">
        <v>11</v>
      </c>
      <c r="E2029" s="21" t="s">
        <v>11</v>
      </c>
    </row>
    <row r="2030" spans="1:5" s="21" customFormat="1" ht="15.75" hidden="1" customHeight="1">
      <c r="A2030" s="21">
        <v>441231</v>
      </c>
      <c r="B2030" s="21" t="s">
        <v>2019</v>
      </c>
      <c r="C2030" s="21" t="s">
        <v>5609</v>
      </c>
      <c r="D2030" s="21" t="s">
        <v>11</v>
      </c>
      <c r="E2030" s="21" t="s">
        <v>11</v>
      </c>
    </row>
    <row r="2031" spans="1:5" s="21" customFormat="1" ht="15.75" hidden="1" customHeight="1">
      <c r="A2031" s="21">
        <v>441232</v>
      </c>
      <c r="B2031" s="21" t="s">
        <v>2020</v>
      </c>
      <c r="C2031" s="21" t="s">
        <v>5609</v>
      </c>
      <c r="D2031" s="21" t="s">
        <v>11</v>
      </c>
      <c r="E2031" s="21" t="s">
        <v>11</v>
      </c>
    </row>
    <row r="2032" spans="1:5" s="21" customFormat="1" ht="15.75" hidden="1" customHeight="1">
      <c r="A2032" s="21">
        <v>441239</v>
      </c>
      <c r="B2032" s="21" t="s">
        <v>2021</v>
      </c>
      <c r="C2032" s="21" t="s">
        <v>5609</v>
      </c>
      <c r="D2032" s="21" t="s">
        <v>11</v>
      </c>
      <c r="E2032" s="21" t="s">
        <v>11</v>
      </c>
    </row>
    <row r="2033" spans="1:5" s="21" customFormat="1" ht="15.75" hidden="1" customHeight="1">
      <c r="A2033" s="21">
        <v>441294</v>
      </c>
      <c r="B2033" s="21" t="s">
        <v>2022</v>
      </c>
      <c r="C2033" s="21" t="s">
        <v>2022</v>
      </c>
      <c r="D2033" s="21" t="s">
        <v>11</v>
      </c>
      <c r="E2033" s="21" t="s">
        <v>11</v>
      </c>
    </row>
    <row r="2034" spans="1:5" s="21" customFormat="1" ht="15.75" hidden="1" customHeight="1">
      <c r="A2034" s="21">
        <v>441299</v>
      </c>
      <c r="B2034" s="21" t="s">
        <v>2023</v>
      </c>
      <c r="C2034" s="21" t="s">
        <v>2023</v>
      </c>
      <c r="D2034" s="21" t="s">
        <v>11</v>
      </c>
      <c r="E2034" s="21" t="s">
        <v>11</v>
      </c>
    </row>
    <row r="2035" spans="1:5" s="21" customFormat="1" ht="15.75" hidden="1" customHeight="1">
      <c r="A2035" s="21">
        <v>441300</v>
      </c>
      <c r="B2035" s="21" t="s">
        <v>2024</v>
      </c>
      <c r="C2035" s="21" t="s">
        <v>5605</v>
      </c>
      <c r="D2035" s="21" t="s">
        <v>11</v>
      </c>
      <c r="E2035" s="21" t="s">
        <v>11</v>
      </c>
    </row>
    <row r="2036" spans="1:5" s="21" customFormat="1" ht="15.75" hidden="1" customHeight="1">
      <c r="A2036" s="21">
        <v>441400</v>
      </c>
      <c r="B2036" s="21" t="s">
        <v>2025</v>
      </c>
      <c r="C2036" s="21" t="s">
        <v>5610</v>
      </c>
      <c r="D2036" s="21" t="s">
        <v>11</v>
      </c>
      <c r="E2036" s="21" t="s">
        <v>11</v>
      </c>
    </row>
    <row r="2037" spans="1:5" s="21" customFormat="1" ht="15.75" hidden="1" customHeight="1">
      <c r="A2037" s="21">
        <v>441510</v>
      </c>
      <c r="B2037" s="21" t="s">
        <v>2026</v>
      </c>
      <c r="C2037" s="21" t="s">
        <v>5605</v>
      </c>
      <c r="D2037" s="21" t="s">
        <v>11</v>
      </c>
      <c r="E2037" s="21" t="s">
        <v>11</v>
      </c>
    </row>
    <row r="2038" spans="1:5" s="21" customFormat="1" ht="15.75" hidden="1" customHeight="1">
      <c r="A2038" s="21">
        <v>441520</v>
      </c>
      <c r="B2038" s="21" t="s">
        <v>2027</v>
      </c>
      <c r="C2038" s="21" t="s">
        <v>5605</v>
      </c>
      <c r="D2038" s="21" t="s">
        <v>11</v>
      </c>
      <c r="E2038" s="21" t="s">
        <v>11</v>
      </c>
    </row>
    <row r="2039" spans="1:5" s="21" customFormat="1" ht="15.75" hidden="1" customHeight="1">
      <c r="A2039" s="21">
        <v>441600</v>
      </c>
      <c r="B2039" s="21" t="s">
        <v>2028</v>
      </c>
      <c r="C2039" s="21" t="s">
        <v>5605</v>
      </c>
      <c r="D2039" s="21" t="s">
        <v>11</v>
      </c>
      <c r="E2039" s="21" t="s">
        <v>11</v>
      </c>
    </row>
    <row r="2040" spans="1:5" s="21" customFormat="1" ht="15.75" hidden="1" customHeight="1">
      <c r="A2040" s="21">
        <v>441700</v>
      </c>
      <c r="B2040" s="21" t="s">
        <v>2029</v>
      </c>
      <c r="C2040" s="21" t="s">
        <v>5605</v>
      </c>
      <c r="D2040" s="21" t="s">
        <v>11</v>
      </c>
      <c r="E2040" s="21" t="s">
        <v>11</v>
      </c>
    </row>
    <row r="2041" spans="1:5" s="21" customFormat="1" ht="15.75" hidden="1" customHeight="1">
      <c r="A2041" s="21">
        <v>441810</v>
      </c>
      <c r="B2041" s="21" t="s">
        <v>2030</v>
      </c>
      <c r="C2041" s="21" t="s">
        <v>5605</v>
      </c>
      <c r="D2041" s="21" t="s">
        <v>11</v>
      </c>
      <c r="E2041" s="21" t="s">
        <v>11</v>
      </c>
    </row>
    <row r="2042" spans="1:5" s="21" customFormat="1" ht="15.75" hidden="1" customHeight="1">
      <c r="A2042" s="21">
        <v>441820</v>
      </c>
      <c r="B2042" s="21" t="s">
        <v>2031</v>
      </c>
      <c r="C2042" s="21" t="s">
        <v>5605</v>
      </c>
      <c r="D2042" s="21" t="s">
        <v>11</v>
      </c>
      <c r="E2042" s="21" t="s">
        <v>11</v>
      </c>
    </row>
    <row r="2043" spans="1:5" s="21" customFormat="1" ht="15.75" hidden="1" customHeight="1">
      <c r="A2043" s="21">
        <v>441840</v>
      </c>
      <c r="B2043" s="21" t="s">
        <v>2032</v>
      </c>
      <c r="C2043" s="21" t="s">
        <v>5605</v>
      </c>
      <c r="D2043" s="21" t="s">
        <v>11</v>
      </c>
      <c r="E2043" s="21" t="s">
        <v>11</v>
      </c>
    </row>
    <row r="2044" spans="1:5" s="21" customFormat="1" ht="15.75" hidden="1" customHeight="1">
      <c r="A2044" s="21">
        <v>441850</v>
      </c>
      <c r="B2044" s="21" t="s">
        <v>2033</v>
      </c>
      <c r="C2044" s="21" t="s">
        <v>5605</v>
      </c>
      <c r="D2044" s="21" t="s">
        <v>11</v>
      </c>
      <c r="E2044" s="21" t="s">
        <v>11</v>
      </c>
    </row>
    <row r="2045" spans="1:5" s="21" customFormat="1" ht="15.75" hidden="1" customHeight="1">
      <c r="A2045" s="21">
        <v>441860</v>
      </c>
      <c r="B2045" s="21" t="s">
        <v>2034</v>
      </c>
      <c r="C2045" s="21" t="s">
        <v>5605</v>
      </c>
      <c r="D2045" s="21" t="s">
        <v>11</v>
      </c>
      <c r="E2045" s="21" t="s">
        <v>11</v>
      </c>
    </row>
    <row r="2046" spans="1:5" s="21" customFormat="1" ht="15.75" hidden="1" customHeight="1">
      <c r="A2046" s="21">
        <v>441871</v>
      </c>
      <c r="B2046" s="21" t="s">
        <v>2035</v>
      </c>
      <c r="C2046" s="21" t="s">
        <v>5605</v>
      </c>
      <c r="D2046" s="21" t="s">
        <v>11</v>
      </c>
      <c r="E2046" s="21" t="s">
        <v>11</v>
      </c>
    </row>
    <row r="2047" spans="1:5" s="21" customFormat="1" ht="15.75" hidden="1" customHeight="1">
      <c r="A2047" s="21">
        <v>441872</v>
      </c>
      <c r="B2047" s="21" t="s">
        <v>2036</v>
      </c>
      <c r="C2047" s="21" t="s">
        <v>5605</v>
      </c>
      <c r="D2047" s="21" t="s">
        <v>11</v>
      </c>
      <c r="E2047" s="21" t="s">
        <v>11</v>
      </c>
    </row>
    <row r="2048" spans="1:5" s="21" customFormat="1" ht="15.75" hidden="1" customHeight="1">
      <c r="A2048" s="21">
        <v>441879</v>
      </c>
      <c r="B2048" s="21" t="s">
        <v>2037</v>
      </c>
      <c r="C2048" s="21" t="s">
        <v>5605</v>
      </c>
      <c r="D2048" s="21" t="s">
        <v>11</v>
      </c>
      <c r="E2048" s="21" t="s">
        <v>11</v>
      </c>
    </row>
    <row r="2049" spans="1:5" s="21" customFormat="1" ht="15.75" hidden="1" customHeight="1">
      <c r="A2049" s="21">
        <v>441890</v>
      </c>
      <c r="B2049" s="21" t="s">
        <v>2038</v>
      </c>
      <c r="C2049" s="21" t="s">
        <v>5605</v>
      </c>
      <c r="D2049" s="21" t="s">
        <v>11</v>
      </c>
      <c r="E2049" s="21" t="s">
        <v>11</v>
      </c>
    </row>
    <row r="2050" spans="1:5" s="21" customFormat="1" ht="15.75" hidden="1" customHeight="1">
      <c r="A2050" s="21">
        <v>441900</v>
      </c>
      <c r="B2050" s="21" t="s">
        <v>2039</v>
      </c>
      <c r="C2050" s="21" t="s">
        <v>5605</v>
      </c>
      <c r="D2050" s="21" t="s">
        <v>11</v>
      </c>
      <c r="E2050" s="21" t="s">
        <v>11</v>
      </c>
    </row>
    <row r="2051" spans="1:5" s="21" customFormat="1" ht="15.75" hidden="1" customHeight="1">
      <c r="A2051" s="21">
        <v>442010</v>
      </c>
      <c r="B2051" s="21" t="s">
        <v>2040</v>
      </c>
      <c r="C2051" s="21" t="s">
        <v>5605</v>
      </c>
      <c r="D2051" s="21" t="s">
        <v>11</v>
      </c>
      <c r="E2051" s="21" t="s">
        <v>11</v>
      </c>
    </row>
    <row r="2052" spans="1:5" s="21" customFormat="1" ht="15.75" hidden="1" customHeight="1">
      <c r="A2052" s="21">
        <v>442090</v>
      </c>
      <c r="B2052" s="21" t="s">
        <v>2041</v>
      </c>
      <c r="C2052" s="21" t="s">
        <v>5605</v>
      </c>
      <c r="D2052" s="21" t="s">
        <v>11</v>
      </c>
      <c r="E2052" s="21" t="s">
        <v>11</v>
      </c>
    </row>
    <row r="2053" spans="1:5" s="21" customFormat="1" ht="15.75" hidden="1" customHeight="1">
      <c r="A2053" s="21">
        <v>442110</v>
      </c>
      <c r="B2053" s="21" t="s">
        <v>2042</v>
      </c>
      <c r="C2053" s="21" t="s">
        <v>5605</v>
      </c>
      <c r="D2053" s="21" t="s">
        <v>11</v>
      </c>
      <c r="E2053" s="21" t="s">
        <v>11</v>
      </c>
    </row>
    <row r="2054" spans="1:5" s="21" customFormat="1" ht="15.75" hidden="1" customHeight="1">
      <c r="A2054" s="21">
        <v>442190</v>
      </c>
      <c r="B2054" s="21" t="s">
        <v>2043</v>
      </c>
      <c r="C2054" s="21" t="s">
        <v>5605</v>
      </c>
      <c r="D2054" s="21" t="s">
        <v>11</v>
      </c>
      <c r="E2054" s="21" t="s">
        <v>11</v>
      </c>
    </row>
    <row r="2055" spans="1:5" s="21" customFormat="1" ht="15.75" hidden="1" customHeight="1">
      <c r="A2055" s="21">
        <v>450110</v>
      </c>
      <c r="B2055" s="21" t="s">
        <v>2044</v>
      </c>
      <c r="C2055" s="21" t="s">
        <v>5611</v>
      </c>
      <c r="D2055" s="21" t="s">
        <v>11</v>
      </c>
      <c r="E2055" s="21" t="s">
        <v>11</v>
      </c>
    </row>
    <row r="2056" spans="1:5" s="21" customFormat="1" ht="15.75" hidden="1" customHeight="1">
      <c r="A2056" s="21">
        <v>450190</v>
      </c>
      <c r="B2056" s="21" t="s">
        <v>2045</v>
      </c>
      <c r="C2056" s="21" t="s">
        <v>5611</v>
      </c>
      <c r="D2056" s="21" t="s">
        <v>11</v>
      </c>
      <c r="E2056" s="21" t="s">
        <v>11</v>
      </c>
    </row>
    <row r="2057" spans="1:5" s="21" customFormat="1" ht="15.75" hidden="1" customHeight="1">
      <c r="A2057" s="21">
        <v>450200</v>
      </c>
      <c r="B2057" s="21" t="s">
        <v>2046</v>
      </c>
      <c r="C2057" s="21" t="s">
        <v>5611</v>
      </c>
      <c r="D2057" s="21" t="s">
        <v>11</v>
      </c>
      <c r="E2057" s="21" t="s">
        <v>11</v>
      </c>
    </row>
    <row r="2058" spans="1:5" s="21" customFormat="1" ht="15.75" hidden="1" customHeight="1">
      <c r="A2058" s="21">
        <v>450310</v>
      </c>
      <c r="B2058" s="21" t="s">
        <v>2047</v>
      </c>
      <c r="C2058" s="21" t="s">
        <v>5611</v>
      </c>
      <c r="D2058" s="21" t="s">
        <v>11</v>
      </c>
      <c r="E2058" s="21" t="s">
        <v>11</v>
      </c>
    </row>
    <row r="2059" spans="1:5" s="21" customFormat="1" ht="15.75" hidden="1" customHeight="1">
      <c r="A2059" s="21">
        <v>450390</v>
      </c>
      <c r="B2059" s="21" t="s">
        <v>2048</v>
      </c>
      <c r="C2059" s="21" t="s">
        <v>5611</v>
      </c>
      <c r="D2059" s="21" t="s">
        <v>11</v>
      </c>
      <c r="E2059" s="21" t="s">
        <v>11</v>
      </c>
    </row>
    <row r="2060" spans="1:5" s="21" customFormat="1" ht="15.75" hidden="1" customHeight="1">
      <c r="A2060" s="21">
        <v>450410</v>
      </c>
      <c r="B2060" s="21" t="s">
        <v>2049</v>
      </c>
      <c r="C2060" s="21" t="s">
        <v>5611</v>
      </c>
      <c r="D2060" s="21" t="s">
        <v>11</v>
      </c>
      <c r="E2060" s="21" t="s">
        <v>11</v>
      </c>
    </row>
    <row r="2061" spans="1:5" s="21" customFormat="1" ht="15.75" hidden="1" customHeight="1">
      <c r="A2061" s="21">
        <v>450490</v>
      </c>
      <c r="B2061" s="21" t="s">
        <v>2050</v>
      </c>
      <c r="C2061" s="21" t="s">
        <v>5611</v>
      </c>
      <c r="D2061" s="21" t="s">
        <v>11</v>
      </c>
      <c r="E2061" s="21" t="s">
        <v>11</v>
      </c>
    </row>
    <row r="2062" spans="1:5" s="21" customFormat="1" ht="15.75" hidden="1" customHeight="1">
      <c r="A2062" s="21">
        <v>460121</v>
      </c>
      <c r="B2062" s="21" t="s">
        <v>2051</v>
      </c>
      <c r="C2062" s="21" t="s">
        <v>5612</v>
      </c>
      <c r="D2062" s="21" t="s">
        <v>11</v>
      </c>
      <c r="E2062" s="21" t="s">
        <v>11</v>
      </c>
    </row>
    <row r="2063" spans="1:5" s="21" customFormat="1" ht="15.75" hidden="1" customHeight="1">
      <c r="A2063" s="21">
        <v>460122</v>
      </c>
      <c r="B2063" s="21" t="s">
        <v>2052</v>
      </c>
      <c r="C2063" s="21" t="s">
        <v>5612</v>
      </c>
      <c r="D2063" s="21" t="s">
        <v>11</v>
      </c>
      <c r="E2063" s="21" t="s">
        <v>11</v>
      </c>
    </row>
    <row r="2064" spans="1:5" s="21" customFormat="1" ht="15.75" hidden="1" customHeight="1">
      <c r="A2064" s="21">
        <v>460129</v>
      </c>
      <c r="B2064" s="21" t="s">
        <v>2053</v>
      </c>
      <c r="C2064" s="21" t="s">
        <v>5612</v>
      </c>
      <c r="D2064" s="21" t="s">
        <v>11</v>
      </c>
      <c r="E2064" s="21" t="s">
        <v>11</v>
      </c>
    </row>
    <row r="2065" spans="1:5" s="21" customFormat="1" ht="15.75" hidden="1" customHeight="1">
      <c r="A2065" s="21">
        <v>460192</v>
      </c>
      <c r="B2065" s="21" t="s">
        <v>2054</v>
      </c>
      <c r="C2065" s="21" t="s">
        <v>5612</v>
      </c>
      <c r="D2065" s="21" t="s">
        <v>11</v>
      </c>
      <c r="E2065" s="21" t="s">
        <v>11</v>
      </c>
    </row>
    <row r="2066" spans="1:5" s="21" customFormat="1" ht="15.75" hidden="1" customHeight="1">
      <c r="A2066" s="21">
        <v>460193</v>
      </c>
      <c r="B2066" s="21" t="s">
        <v>2055</v>
      </c>
      <c r="C2066" s="21" t="s">
        <v>5612</v>
      </c>
      <c r="D2066" s="21" t="s">
        <v>11</v>
      </c>
      <c r="E2066" s="21" t="s">
        <v>11</v>
      </c>
    </row>
    <row r="2067" spans="1:5" s="21" customFormat="1" ht="15.75" hidden="1" customHeight="1">
      <c r="A2067" s="21">
        <v>460194</v>
      </c>
      <c r="B2067" s="21" t="s">
        <v>2056</v>
      </c>
      <c r="C2067" s="21" t="s">
        <v>5612</v>
      </c>
      <c r="D2067" s="21" t="s">
        <v>11</v>
      </c>
      <c r="E2067" s="21" t="s">
        <v>11</v>
      </c>
    </row>
    <row r="2068" spans="1:5" s="21" customFormat="1" ht="15.75" hidden="1" customHeight="1">
      <c r="A2068" s="21">
        <v>460199</v>
      </c>
      <c r="B2068" s="21" t="s">
        <v>2057</v>
      </c>
      <c r="C2068" s="21" t="s">
        <v>5612</v>
      </c>
      <c r="D2068" s="21" t="s">
        <v>11</v>
      </c>
      <c r="E2068" s="21" t="s">
        <v>11</v>
      </c>
    </row>
    <row r="2069" spans="1:5" s="21" customFormat="1" ht="15.75" hidden="1" customHeight="1">
      <c r="A2069" s="21">
        <v>460211</v>
      </c>
      <c r="B2069" s="21" t="s">
        <v>2058</v>
      </c>
      <c r="C2069" s="21" t="s">
        <v>5613</v>
      </c>
      <c r="D2069" s="21" t="s">
        <v>11</v>
      </c>
      <c r="E2069" s="21" t="s">
        <v>11</v>
      </c>
    </row>
    <row r="2070" spans="1:5" s="21" customFormat="1" ht="15.75" hidden="1" customHeight="1">
      <c r="A2070" s="21">
        <v>460212</v>
      </c>
      <c r="B2070" s="21" t="s">
        <v>2059</v>
      </c>
      <c r="C2070" s="21" t="s">
        <v>5613</v>
      </c>
      <c r="D2070" s="21" t="s">
        <v>11</v>
      </c>
      <c r="E2070" s="21" t="s">
        <v>11</v>
      </c>
    </row>
    <row r="2071" spans="1:5" s="21" customFormat="1" ht="15.75" hidden="1" customHeight="1">
      <c r="A2071" s="21">
        <v>460219</v>
      </c>
      <c r="B2071" s="21" t="s">
        <v>2060</v>
      </c>
      <c r="C2071" s="21" t="s">
        <v>5613</v>
      </c>
      <c r="D2071" s="21" t="s">
        <v>11</v>
      </c>
      <c r="E2071" s="21" t="s">
        <v>11</v>
      </c>
    </row>
    <row r="2072" spans="1:5" s="21" customFormat="1" ht="15.75" hidden="1" customHeight="1">
      <c r="A2072" s="21">
        <v>460290</v>
      </c>
      <c r="B2072" s="21" t="s">
        <v>2061</v>
      </c>
      <c r="C2072" s="21" t="s">
        <v>5613</v>
      </c>
      <c r="D2072" s="21" t="s">
        <v>11</v>
      </c>
      <c r="E2072" s="21" t="s">
        <v>11</v>
      </c>
    </row>
    <row r="2073" spans="1:5" s="21" customFormat="1" ht="15.75" hidden="1" customHeight="1">
      <c r="A2073" s="21">
        <v>470100</v>
      </c>
      <c r="B2073" s="21" t="s">
        <v>2062</v>
      </c>
      <c r="C2073" s="21" t="s">
        <v>5614</v>
      </c>
      <c r="D2073" s="21" t="s">
        <v>11</v>
      </c>
      <c r="E2073" s="21" t="s">
        <v>11</v>
      </c>
    </row>
    <row r="2074" spans="1:5" s="21" customFormat="1" ht="15.75" hidden="1" customHeight="1">
      <c r="A2074" s="21">
        <v>470200</v>
      </c>
      <c r="B2074" s="21" t="s">
        <v>2063</v>
      </c>
      <c r="C2074" s="21" t="s">
        <v>5614</v>
      </c>
      <c r="D2074" s="21" t="s">
        <v>11</v>
      </c>
      <c r="E2074" s="21" t="s">
        <v>11</v>
      </c>
    </row>
    <row r="2075" spans="1:5" s="21" customFormat="1" ht="15.75" hidden="1" customHeight="1">
      <c r="A2075" s="21">
        <v>470311</v>
      </c>
      <c r="B2075" s="21" t="s">
        <v>2064</v>
      </c>
      <c r="C2075" s="21" t="s">
        <v>5614</v>
      </c>
      <c r="D2075" s="21" t="s">
        <v>11</v>
      </c>
      <c r="E2075" s="21" t="s">
        <v>11</v>
      </c>
    </row>
    <row r="2076" spans="1:5" s="21" customFormat="1" ht="15.75" hidden="1" customHeight="1">
      <c r="A2076" s="21">
        <v>470319</v>
      </c>
      <c r="B2076" s="21" t="s">
        <v>2065</v>
      </c>
      <c r="C2076" s="21" t="s">
        <v>5614</v>
      </c>
      <c r="D2076" s="21" t="s">
        <v>11</v>
      </c>
      <c r="E2076" s="21" t="s">
        <v>11</v>
      </c>
    </row>
    <row r="2077" spans="1:5" s="21" customFormat="1" ht="15.75" hidden="1" customHeight="1">
      <c r="A2077" s="21">
        <v>470321</v>
      </c>
      <c r="B2077" s="21" t="s">
        <v>2066</v>
      </c>
      <c r="C2077" s="21" t="s">
        <v>5614</v>
      </c>
      <c r="D2077" s="21" t="s">
        <v>11</v>
      </c>
      <c r="E2077" s="21" t="s">
        <v>11</v>
      </c>
    </row>
    <row r="2078" spans="1:5" s="21" customFormat="1" ht="15.75" hidden="1" customHeight="1">
      <c r="A2078" s="21">
        <v>470329</v>
      </c>
      <c r="B2078" s="21" t="s">
        <v>2067</v>
      </c>
      <c r="C2078" s="21" t="s">
        <v>5614</v>
      </c>
      <c r="D2078" s="21" t="s">
        <v>11</v>
      </c>
      <c r="E2078" s="21" t="s">
        <v>11</v>
      </c>
    </row>
    <row r="2079" spans="1:5" s="21" customFormat="1" ht="15.75" hidden="1" customHeight="1">
      <c r="A2079" s="21">
        <v>470411</v>
      </c>
      <c r="B2079" s="21" t="s">
        <v>2068</v>
      </c>
      <c r="C2079" s="21" t="s">
        <v>5614</v>
      </c>
      <c r="D2079" s="21" t="s">
        <v>11</v>
      </c>
      <c r="E2079" s="21" t="s">
        <v>11</v>
      </c>
    </row>
    <row r="2080" spans="1:5" s="21" customFormat="1" ht="15.75" hidden="1" customHeight="1">
      <c r="A2080" s="21">
        <v>470419</v>
      </c>
      <c r="B2080" s="21" t="s">
        <v>2069</v>
      </c>
      <c r="C2080" s="21" t="s">
        <v>5614</v>
      </c>
      <c r="D2080" s="21" t="s">
        <v>11</v>
      </c>
      <c r="E2080" s="21" t="s">
        <v>11</v>
      </c>
    </row>
    <row r="2081" spans="1:5" s="21" customFormat="1" ht="15.75" hidden="1" customHeight="1">
      <c r="A2081" s="21">
        <v>470421</v>
      </c>
      <c r="B2081" s="21" t="s">
        <v>2070</v>
      </c>
      <c r="C2081" s="21" t="s">
        <v>5614</v>
      </c>
      <c r="D2081" s="21" t="s">
        <v>11</v>
      </c>
      <c r="E2081" s="21" t="s">
        <v>11</v>
      </c>
    </row>
    <row r="2082" spans="1:5" s="21" customFormat="1" ht="15.75" hidden="1" customHeight="1">
      <c r="A2082" s="21">
        <v>470429</v>
      </c>
      <c r="B2082" s="21" t="s">
        <v>2071</v>
      </c>
      <c r="C2082" s="21" t="s">
        <v>5614</v>
      </c>
      <c r="D2082" s="21" t="s">
        <v>11</v>
      </c>
      <c r="E2082" s="21" t="s">
        <v>11</v>
      </c>
    </row>
    <row r="2083" spans="1:5" s="21" customFormat="1" ht="15.75" hidden="1" customHeight="1">
      <c r="A2083" s="21">
        <v>470500</v>
      </c>
      <c r="B2083" s="21" t="s">
        <v>2072</v>
      </c>
      <c r="C2083" s="21" t="s">
        <v>5614</v>
      </c>
      <c r="D2083" s="21" t="s">
        <v>11</v>
      </c>
      <c r="E2083" s="21" t="s">
        <v>11</v>
      </c>
    </row>
    <row r="2084" spans="1:5" s="21" customFormat="1" ht="15.75" hidden="1" customHeight="1">
      <c r="A2084" s="21">
        <v>470610</v>
      </c>
      <c r="B2084" s="21" t="s">
        <v>2073</v>
      </c>
      <c r="C2084" s="21" t="s">
        <v>5615</v>
      </c>
      <c r="D2084" s="21" t="s">
        <v>11</v>
      </c>
      <c r="E2084" s="21" t="s">
        <v>11</v>
      </c>
    </row>
    <row r="2085" spans="1:5" s="21" customFormat="1" ht="15.75" hidden="1" customHeight="1">
      <c r="A2085" s="21">
        <v>470620</v>
      </c>
      <c r="B2085" s="21" t="s">
        <v>2074</v>
      </c>
      <c r="C2085" s="21" t="s">
        <v>5615</v>
      </c>
      <c r="D2085" s="21" t="s">
        <v>11</v>
      </c>
      <c r="E2085" s="21" t="s">
        <v>11</v>
      </c>
    </row>
    <row r="2086" spans="1:5" s="21" customFormat="1" ht="15.75" hidden="1" customHeight="1">
      <c r="A2086" s="21">
        <v>470630</v>
      </c>
      <c r="B2086" s="21" t="s">
        <v>2075</v>
      </c>
      <c r="C2086" s="21" t="s">
        <v>5615</v>
      </c>
      <c r="D2086" s="21" t="s">
        <v>11</v>
      </c>
      <c r="E2086" s="21" t="s">
        <v>11</v>
      </c>
    </row>
    <row r="2087" spans="1:5" s="21" customFormat="1" ht="15.75" hidden="1" customHeight="1">
      <c r="A2087" s="21">
        <v>470691</v>
      </c>
      <c r="B2087" s="21" t="s">
        <v>2076</v>
      </c>
      <c r="C2087" s="21" t="s">
        <v>5615</v>
      </c>
      <c r="D2087" s="21" t="s">
        <v>11</v>
      </c>
      <c r="E2087" s="21" t="s">
        <v>11</v>
      </c>
    </row>
    <row r="2088" spans="1:5" s="21" customFormat="1" ht="15.75" hidden="1" customHeight="1">
      <c r="A2088" s="21">
        <v>470692</v>
      </c>
      <c r="B2088" s="21" t="s">
        <v>2077</v>
      </c>
      <c r="C2088" s="21" t="s">
        <v>5615</v>
      </c>
      <c r="D2088" s="21" t="s">
        <v>11</v>
      </c>
      <c r="E2088" s="21" t="s">
        <v>11</v>
      </c>
    </row>
    <row r="2089" spans="1:5" s="21" customFormat="1" ht="15.75" hidden="1" customHeight="1">
      <c r="A2089" s="21">
        <v>470693</v>
      </c>
      <c r="B2089" s="21" t="s">
        <v>2078</v>
      </c>
      <c r="C2089" s="21" t="s">
        <v>5615</v>
      </c>
      <c r="D2089" s="21" t="s">
        <v>11</v>
      </c>
      <c r="E2089" s="21" t="s">
        <v>11</v>
      </c>
    </row>
    <row r="2090" spans="1:5" s="21" customFormat="1" ht="15.75" hidden="1" customHeight="1">
      <c r="A2090" s="21">
        <v>470710</v>
      </c>
      <c r="B2090" s="21" t="s">
        <v>2079</v>
      </c>
      <c r="C2090" s="21" t="s">
        <v>5616</v>
      </c>
      <c r="D2090" s="21" t="s">
        <v>11</v>
      </c>
      <c r="E2090" s="21" t="s">
        <v>11</v>
      </c>
    </row>
    <row r="2091" spans="1:5" s="21" customFormat="1" ht="15.75" hidden="1" customHeight="1">
      <c r="A2091" s="21">
        <v>470720</v>
      </c>
      <c r="B2091" s="21" t="s">
        <v>2080</v>
      </c>
      <c r="C2091" s="21" t="s">
        <v>5616</v>
      </c>
      <c r="D2091" s="21" t="s">
        <v>11</v>
      </c>
      <c r="E2091" s="21" t="s">
        <v>11</v>
      </c>
    </row>
    <row r="2092" spans="1:5" s="21" customFormat="1" ht="15.75" hidden="1" customHeight="1">
      <c r="A2092" s="21">
        <v>470730</v>
      </c>
      <c r="B2092" s="21" t="s">
        <v>2081</v>
      </c>
      <c r="C2092" s="21" t="s">
        <v>5616</v>
      </c>
      <c r="D2092" s="21" t="s">
        <v>11</v>
      </c>
      <c r="E2092" s="21" t="s">
        <v>11</v>
      </c>
    </row>
    <row r="2093" spans="1:5" s="21" customFormat="1" ht="15.75" hidden="1" customHeight="1">
      <c r="A2093" s="21">
        <v>470790</v>
      </c>
      <c r="B2093" s="21" t="s">
        <v>2082</v>
      </c>
      <c r="C2093" s="21" t="s">
        <v>5616</v>
      </c>
      <c r="D2093" s="21" t="s">
        <v>11</v>
      </c>
      <c r="E2093" s="21" t="s">
        <v>11</v>
      </c>
    </row>
    <row r="2094" spans="1:5" s="21" customFormat="1" ht="15.75" hidden="1" customHeight="1">
      <c r="A2094" s="21">
        <v>480100</v>
      </c>
      <c r="B2094" s="21" t="s">
        <v>2083</v>
      </c>
      <c r="C2094" s="21" t="s">
        <v>5617</v>
      </c>
      <c r="D2094" s="21" t="s">
        <v>11</v>
      </c>
      <c r="E2094" s="21" t="s">
        <v>11</v>
      </c>
    </row>
    <row r="2095" spans="1:5" s="21" customFormat="1" ht="15.75" hidden="1" customHeight="1">
      <c r="A2095" s="21">
        <v>480210</v>
      </c>
      <c r="B2095" s="21" t="s">
        <v>2084</v>
      </c>
      <c r="C2095" s="21" t="s">
        <v>2084</v>
      </c>
      <c r="D2095" s="21" t="s">
        <v>11</v>
      </c>
      <c r="E2095" s="21" t="s">
        <v>11</v>
      </c>
    </row>
    <row r="2096" spans="1:5" s="21" customFormat="1" ht="15.75" hidden="1" customHeight="1">
      <c r="A2096" s="21">
        <v>480220</v>
      </c>
      <c r="B2096" s="21" t="s">
        <v>2085</v>
      </c>
      <c r="C2096" s="21" t="s">
        <v>5618</v>
      </c>
      <c r="D2096" s="21" t="s">
        <v>11</v>
      </c>
      <c r="E2096" s="21" t="s">
        <v>11</v>
      </c>
    </row>
    <row r="2097" spans="1:5" s="21" customFormat="1" ht="15.75" hidden="1" customHeight="1">
      <c r="A2097" s="21">
        <v>480240</v>
      </c>
      <c r="B2097" s="21" t="s">
        <v>2086</v>
      </c>
      <c r="C2097" s="21" t="s">
        <v>5618</v>
      </c>
      <c r="D2097" s="21" t="s">
        <v>11</v>
      </c>
      <c r="E2097" s="21" t="s">
        <v>11</v>
      </c>
    </row>
    <row r="2098" spans="1:5" s="21" customFormat="1" ht="15.75" hidden="1" customHeight="1">
      <c r="A2098" s="21">
        <v>480254</v>
      </c>
      <c r="B2098" s="21" t="s">
        <v>2087</v>
      </c>
      <c r="C2098" s="21" t="s">
        <v>5618</v>
      </c>
      <c r="D2098" s="21" t="s">
        <v>11</v>
      </c>
      <c r="E2098" s="21" t="s">
        <v>11</v>
      </c>
    </row>
    <row r="2099" spans="1:5" s="21" customFormat="1" ht="15.75" hidden="1" customHeight="1">
      <c r="A2099" s="21">
        <v>480255</v>
      </c>
      <c r="B2099" s="21" t="s">
        <v>2088</v>
      </c>
      <c r="C2099" s="21" t="s">
        <v>5618</v>
      </c>
      <c r="D2099" s="21" t="s">
        <v>11</v>
      </c>
      <c r="E2099" s="21" t="s">
        <v>11</v>
      </c>
    </row>
    <row r="2100" spans="1:5" s="21" customFormat="1" ht="15.75" hidden="1" customHeight="1">
      <c r="A2100" s="21">
        <v>480256</v>
      </c>
      <c r="B2100" s="21" t="s">
        <v>2089</v>
      </c>
      <c r="C2100" s="21" t="s">
        <v>5618</v>
      </c>
      <c r="D2100" s="21" t="s">
        <v>11</v>
      </c>
      <c r="E2100" s="21" t="s">
        <v>11</v>
      </c>
    </row>
    <row r="2101" spans="1:5" s="21" customFormat="1" ht="15.75" hidden="1" customHeight="1">
      <c r="A2101" s="21">
        <v>480257</v>
      </c>
      <c r="B2101" s="21" t="s">
        <v>2090</v>
      </c>
      <c r="C2101" s="21" t="s">
        <v>5618</v>
      </c>
      <c r="D2101" s="21" t="s">
        <v>11</v>
      </c>
      <c r="E2101" s="21" t="s">
        <v>11</v>
      </c>
    </row>
    <row r="2102" spans="1:5" s="21" customFormat="1" ht="15.75" hidden="1" customHeight="1">
      <c r="A2102" s="21">
        <v>480258</v>
      </c>
      <c r="B2102" s="21" t="s">
        <v>2091</v>
      </c>
      <c r="C2102" s="21" t="s">
        <v>5618</v>
      </c>
      <c r="D2102" s="21" t="s">
        <v>11</v>
      </c>
      <c r="E2102" s="21" t="s">
        <v>11</v>
      </c>
    </row>
    <row r="2103" spans="1:5" s="21" customFormat="1" ht="15.75" hidden="1" customHeight="1">
      <c r="A2103" s="21">
        <v>480261</v>
      </c>
      <c r="B2103" s="21" t="s">
        <v>2092</v>
      </c>
      <c r="C2103" s="21" t="s">
        <v>5618</v>
      </c>
      <c r="D2103" s="21" t="s">
        <v>11</v>
      </c>
      <c r="E2103" s="21" t="s">
        <v>11</v>
      </c>
    </row>
    <row r="2104" spans="1:5" s="21" customFormat="1" ht="15.75" hidden="1" customHeight="1">
      <c r="A2104" s="21">
        <v>480262</v>
      </c>
      <c r="B2104" s="21" t="s">
        <v>2093</v>
      </c>
      <c r="C2104" s="21" t="s">
        <v>5618</v>
      </c>
      <c r="D2104" s="21" t="s">
        <v>11</v>
      </c>
      <c r="E2104" s="21" t="s">
        <v>11</v>
      </c>
    </row>
    <row r="2105" spans="1:5" s="21" customFormat="1" ht="15.75" hidden="1" customHeight="1">
      <c r="A2105" s="21">
        <v>480269</v>
      </c>
      <c r="B2105" s="21" t="s">
        <v>2094</v>
      </c>
      <c r="C2105" s="21" t="s">
        <v>5618</v>
      </c>
      <c r="D2105" s="21" t="s">
        <v>11</v>
      </c>
      <c r="E2105" s="21" t="s">
        <v>11</v>
      </c>
    </row>
    <row r="2106" spans="1:5" s="21" customFormat="1" ht="15.75" hidden="1" customHeight="1">
      <c r="A2106" s="21">
        <v>480300</v>
      </c>
      <c r="B2106" s="21" t="s">
        <v>2095</v>
      </c>
      <c r="C2106" s="21" t="s">
        <v>5619</v>
      </c>
      <c r="D2106" s="21" t="s">
        <v>11</v>
      </c>
      <c r="E2106" s="21" t="s">
        <v>11</v>
      </c>
    </row>
    <row r="2107" spans="1:5" s="21" customFormat="1" ht="15.75" hidden="1" customHeight="1">
      <c r="A2107" s="21">
        <v>480411</v>
      </c>
      <c r="B2107" s="21" t="s">
        <v>2096</v>
      </c>
      <c r="C2107" s="21" t="s">
        <v>5620</v>
      </c>
      <c r="D2107" s="21" t="s">
        <v>11</v>
      </c>
      <c r="E2107" s="21" t="s">
        <v>11</v>
      </c>
    </row>
    <row r="2108" spans="1:5" s="21" customFormat="1" ht="15.75" hidden="1" customHeight="1">
      <c r="A2108" s="21">
        <v>480419</v>
      </c>
      <c r="B2108" s="21" t="s">
        <v>2097</v>
      </c>
      <c r="C2108" s="21" t="s">
        <v>5620</v>
      </c>
      <c r="D2108" s="21" t="s">
        <v>11</v>
      </c>
      <c r="E2108" s="21" t="s">
        <v>11</v>
      </c>
    </row>
    <row r="2109" spans="1:5" s="21" customFormat="1" ht="15.75" hidden="1" customHeight="1">
      <c r="A2109" s="21">
        <v>480421</v>
      </c>
      <c r="B2109" s="21" t="s">
        <v>2098</v>
      </c>
      <c r="C2109" s="21" t="s">
        <v>5620</v>
      </c>
      <c r="D2109" s="21" t="s">
        <v>11</v>
      </c>
      <c r="E2109" s="21" t="s">
        <v>11</v>
      </c>
    </row>
    <row r="2110" spans="1:5" s="21" customFormat="1" ht="15.75" hidden="1" customHeight="1">
      <c r="A2110" s="21">
        <v>480429</v>
      </c>
      <c r="B2110" s="21" t="s">
        <v>2099</v>
      </c>
      <c r="C2110" s="21" t="s">
        <v>5620</v>
      </c>
      <c r="D2110" s="21" t="s">
        <v>11</v>
      </c>
      <c r="E2110" s="21" t="s">
        <v>11</v>
      </c>
    </row>
    <row r="2111" spans="1:5" s="21" customFormat="1" ht="15.75" hidden="1" customHeight="1">
      <c r="A2111" s="21">
        <v>480431</v>
      </c>
      <c r="B2111" s="21" t="s">
        <v>2100</v>
      </c>
      <c r="C2111" s="21" t="s">
        <v>5620</v>
      </c>
      <c r="D2111" s="21" t="s">
        <v>11</v>
      </c>
      <c r="E2111" s="21" t="s">
        <v>11</v>
      </c>
    </row>
    <row r="2112" spans="1:5" s="21" customFormat="1" ht="15.75" hidden="1" customHeight="1">
      <c r="A2112" s="21">
        <v>480439</v>
      </c>
      <c r="B2112" s="21" t="s">
        <v>2101</v>
      </c>
      <c r="C2112" s="21" t="s">
        <v>5620</v>
      </c>
      <c r="D2112" s="21" t="s">
        <v>11</v>
      </c>
      <c r="E2112" s="21" t="s">
        <v>11</v>
      </c>
    </row>
    <row r="2113" spans="1:5" s="21" customFormat="1" ht="15.75" hidden="1" customHeight="1">
      <c r="A2113" s="21">
        <v>480441</v>
      </c>
      <c r="B2113" s="21" t="s">
        <v>2102</v>
      </c>
      <c r="C2113" s="21" t="s">
        <v>5620</v>
      </c>
      <c r="D2113" s="21" t="s">
        <v>11</v>
      </c>
      <c r="E2113" s="21" t="s">
        <v>11</v>
      </c>
    </row>
    <row r="2114" spans="1:5" s="21" customFormat="1" ht="15.75" hidden="1" customHeight="1">
      <c r="A2114" s="21">
        <v>480442</v>
      </c>
      <c r="B2114" s="21" t="s">
        <v>2103</v>
      </c>
      <c r="C2114" s="21" t="s">
        <v>5620</v>
      </c>
      <c r="D2114" s="21" t="s">
        <v>11</v>
      </c>
      <c r="E2114" s="21" t="s">
        <v>11</v>
      </c>
    </row>
    <row r="2115" spans="1:5" s="21" customFormat="1" ht="15.75" hidden="1" customHeight="1">
      <c r="A2115" s="21">
        <v>480449</v>
      </c>
      <c r="B2115" s="21" t="s">
        <v>2104</v>
      </c>
      <c r="C2115" s="21" t="s">
        <v>5620</v>
      </c>
      <c r="D2115" s="21" t="s">
        <v>11</v>
      </c>
      <c r="E2115" s="21" t="s">
        <v>11</v>
      </c>
    </row>
    <row r="2116" spans="1:5" s="21" customFormat="1" ht="15.75" hidden="1" customHeight="1">
      <c r="A2116" s="21">
        <v>480451</v>
      </c>
      <c r="B2116" s="21" t="s">
        <v>2105</v>
      </c>
      <c r="C2116" s="21" t="s">
        <v>5620</v>
      </c>
      <c r="D2116" s="21" t="s">
        <v>11</v>
      </c>
      <c r="E2116" s="21" t="s">
        <v>11</v>
      </c>
    </row>
    <row r="2117" spans="1:5" s="21" customFormat="1" ht="15.75" hidden="1" customHeight="1">
      <c r="A2117" s="21">
        <v>480452</v>
      </c>
      <c r="B2117" s="21" t="s">
        <v>2106</v>
      </c>
      <c r="C2117" s="21" t="s">
        <v>5620</v>
      </c>
      <c r="D2117" s="21" t="s">
        <v>11</v>
      </c>
      <c r="E2117" s="21" t="s">
        <v>11</v>
      </c>
    </row>
    <row r="2118" spans="1:5" s="21" customFormat="1" ht="15.75" hidden="1" customHeight="1">
      <c r="A2118" s="21">
        <v>480459</v>
      </c>
      <c r="B2118" s="21" t="s">
        <v>2107</v>
      </c>
      <c r="C2118" s="21" t="s">
        <v>5620</v>
      </c>
      <c r="D2118" s="21" t="s">
        <v>11</v>
      </c>
      <c r="E2118" s="21" t="s">
        <v>11</v>
      </c>
    </row>
    <row r="2119" spans="1:5" s="21" customFormat="1" ht="15.75" hidden="1" customHeight="1">
      <c r="A2119" s="21">
        <v>480511</v>
      </c>
      <c r="B2119" s="21" t="s">
        <v>2108</v>
      </c>
      <c r="C2119" s="21" t="s">
        <v>5621</v>
      </c>
      <c r="D2119" s="21" t="s">
        <v>11</v>
      </c>
      <c r="E2119" s="21" t="s">
        <v>11</v>
      </c>
    </row>
    <row r="2120" spans="1:5" s="21" customFormat="1" ht="15.75" hidden="1" customHeight="1">
      <c r="A2120" s="21">
        <v>480512</v>
      </c>
      <c r="B2120" s="21" t="s">
        <v>2109</v>
      </c>
      <c r="C2120" s="21" t="s">
        <v>5621</v>
      </c>
      <c r="D2120" s="21" t="s">
        <v>11</v>
      </c>
      <c r="E2120" s="21" t="s">
        <v>11</v>
      </c>
    </row>
    <row r="2121" spans="1:5" s="21" customFormat="1" ht="15.75" hidden="1" customHeight="1">
      <c r="A2121" s="21">
        <v>480519</v>
      </c>
      <c r="B2121" s="21" t="s">
        <v>2110</v>
      </c>
      <c r="C2121" s="21" t="s">
        <v>5621</v>
      </c>
      <c r="D2121" s="21" t="s">
        <v>11</v>
      </c>
      <c r="E2121" s="21" t="s">
        <v>11</v>
      </c>
    </row>
    <row r="2122" spans="1:5" s="21" customFormat="1" ht="15.75" hidden="1" customHeight="1">
      <c r="A2122" s="21">
        <v>480524</v>
      </c>
      <c r="B2122" s="21" t="s">
        <v>2111</v>
      </c>
      <c r="C2122" s="21" t="s">
        <v>5622</v>
      </c>
      <c r="D2122" s="21" t="s">
        <v>11</v>
      </c>
      <c r="E2122" s="21" t="s">
        <v>11</v>
      </c>
    </row>
    <row r="2123" spans="1:5" s="21" customFormat="1" ht="15.75" hidden="1" customHeight="1">
      <c r="A2123" s="21">
        <v>480525</v>
      </c>
      <c r="B2123" s="21" t="s">
        <v>2112</v>
      </c>
      <c r="C2123" s="21" t="s">
        <v>5622</v>
      </c>
      <c r="D2123" s="21" t="s">
        <v>11</v>
      </c>
      <c r="E2123" s="21" t="s">
        <v>11</v>
      </c>
    </row>
    <row r="2124" spans="1:5" s="21" customFormat="1" ht="15.75" hidden="1" customHeight="1">
      <c r="A2124" s="21">
        <v>480530</v>
      </c>
      <c r="B2124" s="21" t="s">
        <v>2113</v>
      </c>
      <c r="C2124" s="21" t="s">
        <v>5621</v>
      </c>
      <c r="D2124" s="21" t="s">
        <v>11</v>
      </c>
      <c r="E2124" s="21" t="s">
        <v>11</v>
      </c>
    </row>
    <row r="2125" spans="1:5" s="21" customFormat="1" ht="15.75" hidden="1" customHeight="1">
      <c r="A2125" s="21">
        <v>480540</v>
      </c>
      <c r="B2125" s="21" t="s">
        <v>2114</v>
      </c>
      <c r="C2125" s="21" t="s">
        <v>5621</v>
      </c>
      <c r="D2125" s="21" t="s">
        <v>11</v>
      </c>
      <c r="E2125" s="21" t="s">
        <v>11</v>
      </c>
    </row>
    <row r="2126" spans="1:5" s="21" customFormat="1" ht="15.75" hidden="1" customHeight="1">
      <c r="A2126" s="21">
        <v>480550</v>
      </c>
      <c r="B2126" s="21" t="s">
        <v>2115</v>
      </c>
      <c r="C2126" s="21" t="s">
        <v>5621</v>
      </c>
      <c r="D2126" s="21" t="s">
        <v>11</v>
      </c>
      <c r="E2126" s="21" t="s">
        <v>11</v>
      </c>
    </row>
    <row r="2127" spans="1:5" s="21" customFormat="1" ht="15.75" hidden="1" customHeight="1">
      <c r="A2127" s="21">
        <v>480591</v>
      </c>
      <c r="B2127" s="21" t="s">
        <v>2116</v>
      </c>
      <c r="C2127" s="21" t="s">
        <v>5621</v>
      </c>
      <c r="D2127" s="21" t="s">
        <v>11</v>
      </c>
      <c r="E2127" s="21" t="s">
        <v>11</v>
      </c>
    </row>
    <row r="2128" spans="1:5" s="21" customFormat="1" ht="15.75" hidden="1" customHeight="1">
      <c r="A2128" s="21">
        <v>480592</v>
      </c>
      <c r="B2128" s="21" t="s">
        <v>2117</v>
      </c>
      <c r="C2128" s="21" t="s">
        <v>5621</v>
      </c>
      <c r="D2128" s="21" t="s">
        <v>11</v>
      </c>
      <c r="E2128" s="21" t="s">
        <v>11</v>
      </c>
    </row>
    <row r="2129" spans="1:5" s="21" customFormat="1" ht="15.75" hidden="1" customHeight="1">
      <c r="A2129" s="21">
        <v>480593</v>
      </c>
      <c r="B2129" s="21" t="s">
        <v>2118</v>
      </c>
      <c r="C2129" s="21" t="s">
        <v>5621</v>
      </c>
      <c r="D2129" s="21" t="s">
        <v>11</v>
      </c>
      <c r="E2129" s="21" t="s">
        <v>11</v>
      </c>
    </row>
    <row r="2130" spans="1:5" s="21" customFormat="1" ht="15.75" hidden="1" customHeight="1">
      <c r="A2130" s="21">
        <v>480610</v>
      </c>
      <c r="B2130" s="21" t="s">
        <v>2119</v>
      </c>
      <c r="C2130" s="21" t="s">
        <v>5623</v>
      </c>
      <c r="D2130" s="21" t="s">
        <v>11</v>
      </c>
      <c r="E2130" s="21" t="s">
        <v>11</v>
      </c>
    </row>
    <row r="2131" spans="1:5" s="21" customFormat="1" ht="15.75" hidden="1" customHeight="1">
      <c r="A2131" s="21">
        <v>480620</v>
      </c>
      <c r="B2131" s="21" t="s">
        <v>2120</v>
      </c>
      <c r="C2131" s="21" t="s">
        <v>5623</v>
      </c>
      <c r="D2131" s="21" t="s">
        <v>11</v>
      </c>
      <c r="E2131" s="21" t="s">
        <v>11</v>
      </c>
    </row>
    <row r="2132" spans="1:5" s="21" customFormat="1" ht="15.75" hidden="1" customHeight="1">
      <c r="A2132" s="21">
        <v>480630</v>
      </c>
      <c r="B2132" s="21" t="s">
        <v>2121</v>
      </c>
      <c r="C2132" s="21" t="s">
        <v>5623</v>
      </c>
      <c r="D2132" s="21" t="s">
        <v>11</v>
      </c>
      <c r="E2132" s="21" t="s">
        <v>11</v>
      </c>
    </row>
    <row r="2133" spans="1:5" s="21" customFormat="1" ht="15.75" hidden="1" customHeight="1">
      <c r="A2133" s="21">
        <v>480640</v>
      </c>
      <c r="B2133" s="21" t="s">
        <v>2122</v>
      </c>
      <c r="C2133" s="21" t="s">
        <v>5623</v>
      </c>
      <c r="D2133" s="21" t="s">
        <v>11</v>
      </c>
      <c r="E2133" s="21" t="s">
        <v>11</v>
      </c>
    </row>
    <row r="2134" spans="1:5" s="21" customFormat="1" ht="15.75" hidden="1" customHeight="1">
      <c r="A2134" s="21">
        <v>480700</v>
      </c>
      <c r="B2134" s="21" t="s">
        <v>2123</v>
      </c>
      <c r="C2134" s="21" t="s">
        <v>5621</v>
      </c>
      <c r="D2134" s="21" t="s">
        <v>11</v>
      </c>
      <c r="E2134" s="21" t="s">
        <v>11</v>
      </c>
    </row>
    <row r="2135" spans="1:5" s="21" customFormat="1" ht="15.75" hidden="1" customHeight="1">
      <c r="A2135" s="21">
        <v>480810</v>
      </c>
      <c r="B2135" s="21" t="s">
        <v>2124</v>
      </c>
      <c r="C2135" s="21" t="s">
        <v>5621</v>
      </c>
      <c r="D2135" s="21" t="s">
        <v>11</v>
      </c>
      <c r="E2135" s="21" t="s">
        <v>11</v>
      </c>
    </row>
    <row r="2136" spans="1:5" s="21" customFormat="1" ht="15.75" hidden="1" customHeight="1">
      <c r="A2136" s="21">
        <v>480820</v>
      </c>
      <c r="B2136" s="21" t="s">
        <v>2125</v>
      </c>
      <c r="C2136" s="21" t="s">
        <v>5621</v>
      </c>
      <c r="D2136" s="21" t="s">
        <v>11</v>
      </c>
      <c r="E2136" s="21" t="s">
        <v>11</v>
      </c>
    </row>
    <row r="2137" spans="1:5" s="21" customFormat="1" ht="15.75" hidden="1" customHeight="1">
      <c r="A2137" s="21">
        <v>480830</v>
      </c>
      <c r="B2137" s="21" t="s">
        <v>2126</v>
      </c>
      <c r="C2137" s="21" t="s">
        <v>5621</v>
      </c>
      <c r="D2137" s="21" t="s">
        <v>11</v>
      </c>
      <c r="E2137" s="21" t="s">
        <v>11</v>
      </c>
    </row>
    <row r="2138" spans="1:5" s="21" customFormat="1" ht="15.75" hidden="1" customHeight="1">
      <c r="A2138" s="21">
        <v>480890</v>
      </c>
      <c r="B2138" s="21" t="s">
        <v>2127</v>
      </c>
      <c r="C2138" s="21" t="s">
        <v>5621</v>
      </c>
      <c r="D2138" s="21" t="s">
        <v>11</v>
      </c>
      <c r="E2138" s="21" t="s">
        <v>11</v>
      </c>
    </row>
    <row r="2139" spans="1:5" s="21" customFormat="1" ht="15.75" hidden="1" customHeight="1">
      <c r="A2139" s="21">
        <v>480920</v>
      </c>
      <c r="B2139" s="21" t="s">
        <v>2128</v>
      </c>
      <c r="C2139" s="21" t="s">
        <v>5623</v>
      </c>
      <c r="D2139" s="21" t="s">
        <v>11</v>
      </c>
      <c r="E2139" s="21" t="s">
        <v>11</v>
      </c>
    </row>
    <row r="2140" spans="1:5" s="21" customFormat="1" ht="15.75" hidden="1" customHeight="1">
      <c r="A2140" s="21">
        <v>480990</v>
      </c>
      <c r="B2140" s="21" t="s">
        <v>2129</v>
      </c>
      <c r="C2140" s="21" t="s">
        <v>5623</v>
      </c>
      <c r="D2140" s="21" t="s">
        <v>11</v>
      </c>
      <c r="E2140" s="21" t="s">
        <v>11</v>
      </c>
    </row>
    <row r="2141" spans="1:5" s="21" customFormat="1" ht="15.75" hidden="1" customHeight="1">
      <c r="A2141" s="21">
        <v>481013</v>
      </c>
      <c r="B2141" s="21" t="s">
        <v>2130</v>
      </c>
      <c r="C2141" s="21" t="s">
        <v>5621</v>
      </c>
      <c r="D2141" s="21" t="s">
        <v>11</v>
      </c>
      <c r="E2141" s="21" t="s">
        <v>11</v>
      </c>
    </row>
    <row r="2142" spans="1:5" s="21" customFormat="1" ht="15.75" hidden="1" customHeight="1">
      <c r="A2142" s="21">
        <v>481014</v>
      </c>
      <c r="B2142" s="21" t="s">
        <v>2131</v>
      </c>
      <c r="C2142" s="21" t="s">
        <v>5621</v>
      </c>
      <c r="D2142" s="21" t="s">
        <v>11</v>
      </c>
      <c r="E2142" s="21" t="s">
        <v>11</v>
      </c>
    </row>
    <row r="2143" spans="1:5" s="21" customFormat="1" ht="15.75" hidden="1" customHeight="1">
      <c r="A2143" s="21">
        <v>481019</v>
      </c>
      <c r="B2143" s="21" t="s">
        <v>2132</v>
      </c>
      <c r="C2143" s="21" t="s">
        <v>5621</v>
      </c>
      <c r="D2143" s="21" t="s">
        <v>11</v>
      </c>
      <c r="E2143" s="21" t="s">
        <v>11</v>
      </c>
    </row>
    <row r="2144" spans="1:5" s="21" customFormat="1" ht="15.75" hidden="1" customHeight="1">
      <c r="A2144" s="21">
        <v>481022</v>
      </c>
      <c r="B2144" s="21" t="s">
        <v>2133</v>
      </c>
      <c r="C2144" s="21" t="s">
        <v>5621</v>
      </c>
      <c r="D2144" s="21" t="s">
        <v>11</v>
      </c>
      <c r="E2144" s="21" t="s">
        <v>11</v>
      </c>
    </row>
    <row r="2145" spans="1:5" s="21" customFormat="1" ht="15.75" hidden="1" customHeight="1">
      <c r="A2145" s="21">
        <v>481029</v>
      </c>
      <c r="B2145" s="21" t="s">
        <v>2134</v>
      </c>
      <c r="C2145" s="21" t="s">
        <v>5621</v>
      </c>
      <c r="D2145" s="21" t="s">
        <v>11</v>
      </c>
      <c r="E2145" s="21" t="s">
        <v>11</v>
      </c>
    </row>
    <row r="2146" spans="1:5" s="21" customFormat="1" ht="15.75" hidden="1" customHeight="1">
      <c r="A2146" s="21">
        <v>481031</v>
      </c>
      <c r="B2146" s="21" t="s">
        <v>2135</v>
      </c>
      <c r="C2146" s="21" t="s">
        <v>5620</v>
      </c>
      <c r="D2146" s="21" t="s">
        <v>11</v>
      </c>
      <c r="E2146" s="21" t="s">
        <v>11</v>
      </c>
    </row>
    <row r="2147" spans="1:5" s="21" customFormat="1" ht="15.75" hidden="1" customHeight="1">
      <c r="A2147" s="21">
        <v>481032</v>
      </c>
      <c r="B2147" s="21" t="s">
        <v>2136</v>
      </c>
      <c r="C2147" s="21" t="s">
        <v>5620</v>
      </c>
      <c r="D2147" s="21" t="s">
        <v>11</v>
      </c>
      <c r="E2147" s="21" t="s">
        <v>11</v>
      </c>
    </row>
    <row r="2148" spans="1:5" s="21" customFormat="1" ht="15.75" hidden="1" customHeight="1">
      <c r="A2148" s="21">
        <v>481039</v>
      </c>
      <c r="B2148" s="21" t="s">
        <v>2137</v>
      </c>
      <c r="C2148" s="21" t="s">
        <v>5620</v>
      </c>
      <c r="D2148" s="21" t="s">
        <v>11</v>
      </c>
      <c r="E2148" s="21" t="s">
        <v>11</v>
      </c>
    </row>
    <row r="2149" spans="1:5" s="21" customFormat="1" ht="15.75" hidden="1" customHeight="1">
      <c r="A2149" s="21">
        <v>481092</v>
      </c>
      <c r="B2149" s="21" t="s">
        <v>2138</v>
      </c>
      <c r="C2149" s="21" t="s">
        <v>5621</v>
      </c>
      <c r="D2149" s="21" t="s">
        <v>11</v>
      </c>
      <c r="E2149" s="21" t="s">
        <v>11</v>
      </c>
    </row>
    <row r="2150" spans="1:5" s="21" customFormat="1" ht="15.75" hidden="1" customHeight="1">
      <c r="A2150" s="21">
        <v>481099</v>
      </c>
      <c r="B2150" s="21" t="s">
        <v>2139</v>
      </c>
      <c r="C2150" s="21" t="s">
        <v>5621</v>
      </c>
      <c r="D2150" s="21" t="s">
        <v>11</v>
      </c>
      <c r="E2150" s="21" t="s">
        <v>11</v>
      </c>
    </row>
    <row r="2151" spans="1:5" s="21" customFormat="1" ht="15.75" hidden="1" customHeight="1">
      <c r="A2151" s="21">
        <v>481110</v>
      </c>
      <c r="B2151" s="21" t="s">
        <v>2140</v>
      </c>
      <c r="C2151" s="21" t="s">
        <v>5621</v>
      </c>
      <c r="D2151" s="21" t="s">
        <v>11</v>
      </c>
      <c r="E2151" s="21" t="s">
        <v>11</v>
      </c>
    </row>
    <row r="2152" spans="1:5" s="21" customFormat="1" ht="15.75" hidden="1" customHeight="1">
      <c r="A2152" s="21">
        <v>481141</v>
      </c>
      <c r="B2152" s="21" t="s">
        <v>2141</v>
      </c>
      <c r="C2152" s="21" t="s">
        <v>5621</v>
      </c>
      <c r="D2152" s="21" t="s">
        <v>11</v>
      </c>
      <c r="E2152" s="21" t="s">
        <v>11</v>
      </c>
    </row>
    <row r="2153" spans="1:5" s="21" customFormat="1" ht="15.75" hidden="1" customHeight="1">
      <c r="A2153" s="21">
        <v>481149</v>
      </c>
      <c r="B2153" s="21" t="s">
        <v>2142</v>
      </c>
      <c r="C2153" s="21" t="s">
        <v>5621</v>
      </c>
      <c r="D2153" s="21" t="s">
        <v>11</v>
      </c>
      <c r="E2153" s="21" t="s">
        <v>11</v>
      </c>
    </row>
    <row r="2154" spans="1:5" s="21" customFormat="1" ht="15.75" hidden="1" customHeight="1">
      <c r="A2154" s="21">
        <v>481151</v>
      </c>
      <c r="B2154" s="21" t="s">
        <v>2143</v>
      </c>
      <c r="C2154" s="21" t="s">
        <v>5621</v>
      </c>
      <c r="D2154" s="21" t="s">
        <v>11</v>
      </c>
      <c r="E2154" s="21" t="s">
        <v>11</v>
      </c>
    </row>
    <row r="2155" spans="1:5" s="21" customFormat="1" ht="15.75" hidden="1" customHeight="1">
      <c r="A2155" s="21">
        <v>481159</v>
      </c>
      <c r="B2155" s="21" t="s">
        <v>2144</v>
      </c>
      <c r="C2155" s="21" t="s">
        <v>5621</v>
      </c>
      <c r="D2155" s="21" t="s">
        <v>11</v>
      </c>
      <c r="E2155" s="21" t="s">
        <v>11</v>
      </c>
    </row>
    <row r="2156" spans="1:5" s="21" customFormat="1" ht="15.75" hidden="1" customHeight="1">
      <c r="A2156" s="21">
        <v>481160</v>
      </c>
      <c r="B2156" s="21" t="s">
        <v>2145</v>
      </c>
      <c r="C2156" s="21" t="s">
        <v>5621</v>
      </c>
      <c r="D2156" s="21" t="s">
        <v>11</v>
      </c>
      <c r="E2156" s="21" t="s">
        <v>11</v>
      </c>
    </row>
    <row r="2157" spans="1:5" s="21" customFormat="1" ht="15.75" hidden="1" customHeight="1">
      <c r="A2157" s="21">
        <v>481190</v>
      </c>
      <c r="B2157" s="21" t="s">
        <v>2146</v>
      </c>
      <c r="C2157" s="21" t="s">
        <v>5624</v>
      </c>
      <c r="D2157" s="21" t="s">
        <v>11</v>
      </c>
      <c r="E2157" s="21" t="s">
        <v>11</v>
      </c>
    </row>
    <row r="2158" spans="1:5" s="21" customFormat="1" ht="15.75" hidden="1" customHeight="1">
      <c r="A2158" s="21">
        <v>481200</v>
      </c>
      <c r="B2158" s="21" t="s">
        <v>2147</v>
      </c>
      <c r="C2158" s="21" t="s">
        <v>5625</v>
      </c>
      <c r="D2158" s="21" t="s">
        <v>11</v>
      </c>
      <c r="E2158" s="21" t="s">
        <v>11</v>
      </c>
    </row>
    <row r="2159" spans="1:5" s="21" customFormat="1" ht="15.75" hidden="1" customHeight="1">
      <c r="A2159" s="21">
        <v>481310</v>
      </c>
      <c r="B2159" s="21" t="s">
        <v>2148</v>
      </c>
      <c r="C2159" s="21" t="s">
        <v>5626</v>
      </c>
      <c r="D2159" s="21" t="s">
        <v>11</v>
      </c>
      <c r="E2159" s="21" t="s">
        <v>11</v>
      </c>
    </row>
    <row r="2160" spans="1:5" s="21" customFormat="1" ht="15.75" hidden="1" customHeight="1">
      <c r="A2160" s="21">
        <v>481320</v>
      </c>
      <c r="B2160" s="21" t="s">
        <v>2149</v>
      </c>
      <c r="C2160" s="21" t="s">
        <v>5626</v>
      </c>
      <c r="D2160" s="21" t="s">
        <v>11</v>
      </c>
      <c r="E2160" s="21" t="s">
        <v>11</v>
      </c>
    </row>
    <row r="2161" spans="1:5" s="21" customFormat="1" ht="15.75" hidden="1" customHeight="1">
      <c r="A2161" s="21">
        <v>481390</v>
      </c>
      <c r="B2161" s="21" t="s">
        <v>2150</v>
      </c>
      <c r="C2161" s="21" t="s">
        <v>5626</v>
      </c>
      <c r="D2161" s="21" t="s">
        <v>11</v>
      </c>
      <c r="E2161" s="21" t="s">
        <v>11</v>
      </c>
    </row>
    <row r="2162" spans="1:5" s="21" customFormat="1" ht="15.75" hidden="1" customHeight="1">
      <c r="A2162" s="21">
        <v>481410</v>
      </c>
      <c r="B2162" s="21" t="s">
        <v>2151</v>
      </c>
      <c r="C2162" s="21" t="s">
        <v>5627</v>
      </c>
      <c r="D2162" s="21" t="s">
        <v>11</v>
      </c>
      <c r="E2162" s="21" t="s">
        <v>11</v>
      </c>
    </row>
    <row r="2163" spans="1:5" s="21" customFormat="1" ht="15.75" hidden="1" customHeight="1">
      <c r="A2163" s="21">
        <v>481420</v>
      </c>
      <c r="B2163" s="21" t="s">
        <v>2152</v>
      </c>
      <c r="C2163" s="21" t="s">
        <v>5627</v>
      </c>
      <c r="D2163" s="21" t="s">
        <v>11</v>
      </c>
      <c r="E2163" s="21" t="s">
        <v>11</v>
      </c>
    </row>
    <row r="2164" spans="1:5" s="21" customFormat="1" ht="15.75" hidden="1" customHeight="1">
      <c r="A2164" s="21">
        <v>481490</v>
      </c>
      <c r="B2164" s="21" t="s">
        <v>2153</v>
      </c>
      <c r="C2164" s="21" t="s">
        <v>5628</v>
      </c>
      <c r="D2164" s="21" t="s">
        <v>11</v>
      </c>
      <c r="E2164" s="21" t="s">
        <v>11</v>
      </c>
    </row>
    <row r="2165" spans="1:5" s="21" customFormat="1" ht="15.75" hidden="1" customHeight="1">
      <c r="A2165" s="21">
        <v>481620</v>
      </c>
      <c r="B2165" s="21" t="s">
        <v>2154</v>
      </c>
      <c r="C2165" s="21" t="s">
        <v>5623</v>
      </c>
      <c r="D2165" s="21" t="s">
        <v>11</v>
      </c>
      <c r="E2165" s="21" t="s">
        <v>11</v>
      </c>
    </row>
    <row r="2166" spans="1:5" s="21" customFormat="1" ht="15.75" hidden="1" customHeight="1">
      <c r="A2166" s="21">
        <v>481690</v>
      </c>
      <c r="B2166" s="21" t="s">
        <v>2155</v>
      </c>
      <c r="C2166" s="21" t="s">
        <v>5623</v>
      </c>
      <c r="D2166" s="21" t="s">
        <v>11</v>
      </c>
      <c r="E2166" s="21" t="s">
        <v>11</v>
      </c>
    </row>
    <row r="2167" spans="1:5" s="21" customFormat="1" ht="15.75" hidden="1" customHeight="1">
      <c r="A2167" s="21">
        <v>481710</v>
      </c>
      <c r="B2167" s="21" t="s">
        <v>2156</v>
      </c>
      <c r="C2167" s="21" t="s">
        <v>5621</v>
      </c>
      <c r="D2167" s="21" t="s">
        <v>11</v>
      </c>
      <c r="E2167" s="21" t="s">
        <v>11</v>
      </c>
    </row>
    <row r="2168" spans="1:5" s="21" customFormat="1" ht="15.75" hidden="1" customHeight="1">
      <c r="A2168" s="21">
        <v>481720</v>
      </c>
      <c r="B2168" s="21" t="s">
        <v>2157</v>
      </c>
      <c r="C2168" s="21" t="s">
        <v>5621</v>
      </c>
      <c r="D2168" s="21" t="s">
        <v>11</v>
      </c>
      <c r="E2168" s="21" t="s">
        <v>11</v>
      </c>
    </row>
    <row r="2169" spans="1:5" s="21" customFormat="1" ht="15.75" hidden="1" customHeight="1">
      <c r="A2169" s="21">
        <v>481730</v>
      </c>
      <c r="B2169" s="21" t="s">
        <v>2158</v>
      </c>
      <c r="C2169" s="21" t="s">
        <v>5621</v>
      </c>
      <c r="D2169" s="21" t="s">
        <v>11</v>
      </c>
      <c r="E2169" s="21" t="s">
        <v>11</v>
      </c>
    </row>
    <row r="2170" spans="1:5" s="21" customFormat="1" ht="15.75" hidden="1" customHeight="1">
      <c r="A2170" s="21">
        <v>481810</v>
      </c>
      <c r="B2170" s="21" t="s">
        <v>2159</v>
      </c>
      <c r="C2170" s="21" t="s">
        <v>5623</v>
      </c>
      <c r="D2170" s="21" t="s">
        <v>11</v>
      </c>
      <c r="E2170" s="21" t="s">
        <v>11</v>
      </c>
    </row>
    <row r="2171" spans="1:5" s="21" customFormat="1" ht="15.75" hidden="1" customHeight="1">
      <c r="A2171" s="21">
        <v>481820</v>
      </c>
      <c r="B2171" s="21" t="s">
        <v>2160</v>
      </c>
      <c r="C2171" s="21" t="s">
        <v>5629</v>
      </c>
      <c r="D2171" s="21" t="s">
        <v>11</v>
      </c>
      <c r="E2171" s="21" t="s">
        <v>11</v>
      </c>
    </row>
    <row r="2172" spans="1:5" s="21" customFormat="1" ht="15.75" hidden="1" customHeight="1">
      <c r="A2172" s="21">
        <v>481830</v>
      </c>
      <c r="B2172" s="21" t="s">
        <v>2161</v>
      </c>
      <c r="C2172" s="21" t="s">
        <v>5629</v>
      </c>
      <c r="D2172" s="21" t="s">
        <v>11</v>
      </c>
      <c r="E2172" s="21" t="s">
        <v>11</v>
      </c>
    </row>
    <row r="2173" spans="1:5" s="21" customFormat="1" ht="15.75" hidden="1" customHeight="1">
      <c r="A2173" s="21">
        <v>481840</v>
      </c>
      <c r="B2173" s="21" t="s">
        <v>2162</v>
      </c>
      <c r="C2173" s="21" t="s">
        <v>5629</v>
      </c>
      <c r="D2173" s="21" t="s">
        <v>11</v>
      </c>
      <c r="E2173" s="21" t="s">
        <v>11</v>
      </c>
    </row>
    <row r="2174" spans="1:5" s="21" customFormat="1" ht="15.75" hidden="1" customHeight="1">
      <c r="A2174" s="21">
        <v>481850</v>
      </c>
      <c r="B2174" s="21" t="s">
        <v>2163</v>
      </c>
      <c r="C2174" s="21" t="s">
        <v>5629</v>
      </c>
      <c r="D2174" s="21" t="s">
        <v>11</v>
      </c>
      <c r="E2174" s="21" t="s">
        <v>11</v>
      </c>
    </row>
    <row r="2175" spans="1:5" s="21" customFormat="1" ht="15.75" hidden="1" customHeight="1">
      <c r="A2175" s="21">
        <v>481890</v>
      </c>
      <c r="B2175" s="21" t="s">
        <v>2164</v>
      </c>
      <c r="C2175" s="21" t="s">
        <v>5629</v>
      </c>
      <c r="D2175" s="21" t="s">
        <v>11</v>
      </c>
      <c r="E2175" s="21" t="s">
        <v>11</v>
      </c>
    </row>
    <row r="2176" spans="1:5" s="21" customFormat="1" ht="15.75" hidden="1" customHeight="1">
      <c r="A2176" s="21">
        <v>481910</v>
      </c>
      <c r="B2176" s="21" t="s">
        <v>2165</v>
      </c>
      <c r="C2176" s="21" t="s">
        <v>5621</v>
      </c>
      <c r="D2176" s="21" t="s">
        <v>11</v>
      </c>
      <c r="E2176" s="21" t="s">
        <v>11</v>
      </c>
    </row>
    <row r="2177" spans="1:5" s="21" customFormat="1" ht="15.75" hidden="1" customHeight="1">
      <c r="A2177" s="21">
        <v>481920</v>
      </c>
      <c r="B2177" s="21" t="s">
        <v>2166</v>
      </c>
      <c r="C2177" s="21" t="s">
        <v>5621</v>
      </c>
      <c r="D2177" s="21" t="s">
        <v>11</v>
      </c>
      <c r="E2177" s="21" t="s">
        <v>11</v>
      </c>
    </row>
    <row r="2178" spans="1:5" s="21" customFormat="1" ht="15.75" hidden="1" customHeight="1">
      <c r="A2178" s="21">
        <v>481930</v>
      </c>
      <c r="B2178" s="21" t="s">
        <v>2167</v>
      </c>
      <c r="C2178" s="21" t="s">
        <v>5621</v>
      </c>
      <c r="D2178" s="21" t="s">
        <v>11</v>
      </c>
      <c r="E2178" s="21" t="s">
        <v>11</v>
      </c>
    </row>
    <row r="2179" spans="1:5" s="21" customFormat="1" ht="15.75" hidden="1" customHeight="1">
      <c r="A2179" s="21">
        <v>481940</v>
      </c>
      <c r="B2179" s="21" t="s">
        <v>2168</v>
      </c>
      <c r="C2179" s="21" t="s">
        <v>5621</v>
      </c>
      <c r="D2179" s="21" t="s">
        <v>11</v>
      </c>
      <c r="E2179" s="21" t="s">
        <v>11</v>
      </c>
    </row>
    <row r="2180" spans="1:5" s="21" customFormat="1" ht="15.75" hidden="1" customHeight="1">
      <c r="A2180" s="21">
        <v>481950</v>
      </c>
      <c r="B2180" s="21" t="s">
        <v>2169</v>
      </c>
      <c r="C2180" s="21" t="s">
        <v>5621</v>
      </c>
      <c r="D2180" s="21" t="s">
        <v>11</v>
      </c>
      <c r="E2180" s="21" t="s">
        <v>11</v>
      </c>
    </row>
    <row r="2181" spans="1:5" s="21" customFormat="1" ht="15.75" hidden="1" customHeight="1">
      <c r="A2181" s="21">
        <v>481960</v>
      </c>
      <c r="B2181" s="21" t="s">
        <v>2170</v>
      </c>
      <c r="C2181" s="21" t="s">
        <v>5621</v>
      </c>
      <c r="D2181" s="21" t="s">
        <v>11</v>
      </c>
      <c r="E2181" s="21" t="s">
        <v>11</v>
      </c>
    </row>
    <row r="2182" spans="1:5" s="21" customFormat="1" ht="15.75" hidden="1" customHeight="1">
      <c r="A2182" s="21">
        <v>482010</v>
      </c>
      <c r="B2182" s="21" t="s">
        <v>2171</v>
      </c>
      <c r="C2182" s="21" t="s">
        <v>5621</v>
      </c>
      <c r="D2182" s="21" t="s">
        <v>11</v>
      </c>
      <c r="E2182" s="21" t="s">
        <v>11</v>
      </c>
    </row>
    <row r="2183" spans="1:5" s="21" customFormat="1" ht="15.75" hidden="1" customHeight="1">
      <c r="A2183" s="21">
        <v>482020</v>
      </c>
      <c r="B2183" s="21" t="s">
        <v>2172</v>
      </c>
      <c r="C2183" s="21" t="s">
        <v>5621</v>
      </c>
      <c r="D2183" s="21" t="s">
        <v>11</v>
      </c>
      <c r="E2183" s="21" t="s">
        <v>11</v>
      </c>
    </row>
    <row r="2184" spans="1:5" s="21" customFormat="1" ht="15.75" hidden="1" customHeight="1">
      <c r="A2184" s="21">
        <v>482030</v>
      </c>
      <c r="B2184" s="21" t="s">
        <v>2173</v>
      </c>
      <c r="C2184" s="21" t="s">
        <v>5621</v>
      </c>
      <c r="D2184" s="21" t="s">
        <v>11</v>
      </c>
      <c r="E2184" s="21" t="s">
        <v>11</v>
      </c>
    </row>
    <row r="2185" spans="1:5" s="21" customFormat="1" ht="15.75" hidden="1" customHeight="1">
      <c r="A2185" s="21">
        <v>482040</v>
      </c>
      <c r="B2185" s="21" t="s">
        <v>2174</v>
      </c>
      <c r="C2185" s="21" t="s">
        <v>5621</v>
      </c>
      <c r="D2185" s="21" t="s">
        <v>11</v>
      </c>
      <c r="E2185" s="21" t="s">
        <v>11</v>
      </c>
    </row>
    <row r="2186" spans="1:5" s="21" customFormat="1" ht="15.75" hidden="1" customHeight="1">
      <c r="A2186" s="21">
        <v>482050</v>
      </c>
      <c r="B2186" s="21" t="s">
        <v>2175</v>
      </c>
      <c r="C2186" s="21" t="s">
        <v>5621</v>
      </c>
      <c r="D2186" s="21" t="s">
        <v>11</v>
      </c>
      <c r="E2186" s="21" t="s">
        <v>11</v>
      </c>
    </row>
    <row r="2187" spans="1:5" s="21" customFormat="1" ht="15.75" hidden="1" customHeight="1">
      <c r="A2187" s="21">
        <v>482090</v>
      </c>
      <c r="B2187" s="21" t="s">
        <v>2176</v>
      </c>
      <c r="C2187" s="21" t="s">
        <v>5616</v>
      </c>
      <c r="D2187" s="21" t="s">
        <v>11</v>
      </c>
      <c r="E2187" s="21" t="s">
        <v>11</v>
      </c>
    </row>
    <row r="2188" spans="1:5" s="21" customFormat="1" ht="15.75" hidden="1" customHeight="1">
      <c r="A2188" s="21">
        <v>482110</v>
      </c>
      <c r="B2188" s="21" t="s">
        <v>2177</v>
      </c>
      <c r="C2188" s="21" t="s">
        <v>5621</v>
      </c>
      <c r="D2188" s="21" t="s">
        <v>11</v>
      </c>
      <c r="E2188" s="21" t="s">
        <v>11</v>
      </c>
    </row>
    <row r="2189" spans="1:5" s="21" customFormat="1" ht="15.75" hidden="1" customHeight="1">
      <c r="A2189" s="21">
        <v>482190</v>
      </c>
      <c r="B2189" s="21" t="s">
        <v>2178</v>
      </c>
      <c r="C2189" s="21" t="s">
        <v>5621</v>
      </c>
      <c r="D2189" s="21" t="s">
        <v>11</v>
      </c>
      <c r="E2189" s="21" t="s">
        <v>11</v>
      </c>
    </row>
    <row r="2190" spans="1:5" s="21" customFormat="1" ht="15.75" hidden="1" customHeight="1">
      <c r="A2190" s="21">
        <v>482210</v>
      </c>
      <c r="B2190" s="21" t="s">
        <v>2179</v>
      </c>
      <c r="C2190" s="21" t="s">
        <v>5630</v>
      </c>
      <c r="D2190" s="21" t="s">
        <v>11</v>
      </c>
      <c r="E2190" s="21" t="s">
        <v>11</v>
      </c>
    </row>
    <row r="2191" spans="1:5" s="21" customFormat="1" ht="15.75" hidden="1" customHeight="1">
      <c r="A2191" s="21">
        <v>482290</v>
      </c>
      <c r="B2191" s="21" t="s">
        <v>2180</v>
      </c>
      <c r="C2191" s="21" t="s">
        <v>5630</v>
      </c>
      <c r="D2191" s="21" t="s">
        <v>11</v>
      </c>
      <c r="E2191" s="21" t="s">
        <v>11</v>
      </c>
    </row>
    <row r="2192" spans="1:5" s="21" customFormat="1" ht="15.75" hidden="1" customHeight="1">
      <c r="A2192" s="21">
        <v>482320</v>
      </c>
      <c r="B2192" s="21" t="s">
        <v>2181</v>
      </c>
      <c r="C2192" s="21" t="s">
        <v>5621</v>
      </c>
      <c r="D2192" s="21" t="s">
        <v>11</v>
      </c>
      <c r="E2192" s="21" t="s">
        <v>11</v>
      </c>
    </row>
    <row r="2193" spans="1:5" s="21" customFormat="1" ht="15.75" hidden="1" customHeight="1">
      <c r="A2193" s="21">
        <v>482340</v>
      </c>
      <c r="B2193" s="21" t="s">
        <v>2182</v>
      </c>
      <c r="C2193" s="21" t="s">
        <v>5621</v>
      </c>
      <c r="D2193" s="21" t="s">
        <v>11</v>
      </c>
      <c r="E2193" s="21" t="s">
        <v>11</v>
      </c>
    </row>
    <row r="2194" spans="1:5" s="21" customFormat="1" ht="15.75" hidden="1" customHeight="1">
      <c r="A2194" s="21">
        <v>482361</v>
      </c>
      <c r="B2194" s="21" t="s">
        <v>2183</v>
      </c>
      <c r="C2194" s="21" t="s">
        <v>5621</v>
      </c>
      <c r="D2194" s="21" t="s">
        <v>11</v>
      </c>
      <c r="E2194" s="21" t="s">
        <v>11</v>
      </c>
    </row>
    <row r="2195" spans="1:5" s="21" customFormat="1" ht="15.75" hidden="1" customHeight="1">
      <c r="A2195" s="21">
        <v>482369</v>
      </c>
      <c r="B2195" s="21" t="s">
        <v>2184</v>
      </c>
      <c r="C2195" s="21" t="s">
        <v>5621</v>
      </c>
      <c r="D2195" s="21" t="s">
        <v>11</v>
      </c>
      <c r="E2195" s="21" t="s">
        <v>11</v>
      </c>
    </row>
    <row r="2196" spans="1:5" s="21" customFormat="1" ht="15.75" hidden="1" customHeight="1">
      <c r="A2196" s="21">
        <v>482370</v>
      </c>
      <c r="B2196" s="21" t="s">
        <v>2185</v>
      </c>
      <c r="C2196" s="21" t="s">
        <v>5625</v>
      </c>
      <c r="D2196" s="21" t="s">
        <v>11</v>
      </c>
      <c r="E2196" s="21" t="s">
        <v>11</v>
      </c>
    </row>
    <row r="2197" spans="1:5" s="21" customFormat="1" ht="15.75" hidden="1" customHeight="1">
      <c r="A2197" s="21">
        <v>482390</v>
      </c>
      <c r="B2197" s="21" t="s">
        <v>2186</v>
      </c>
      <c r="C2197" s="21" t="s">
        <v>5631</v>
      </c>
      <c r="D2197" s="21" t="s">
        <v>11</v>
      </c>
      <c r="E2197" s="21" t="s">
        <v>11</v>
      </c>
    </row>
    <row r="2198" spans="1:5" s="21" customFormat="1" ht="15.75" hidden="1" customHeight="1">
      <c r="A2198" s="21">
        <v>490110</v>
      </c>
      <c r="B2198" s="21" t="s">
        <v>2187</v>
      </c>
      <c r="C2198" s="21" t="s">
        <v>5632</v>
      </c>
      <c r="D2198" s="21" t="s">
        <v>11</v>
      </c>
      <c r="E2198" s="21" t="s">
        <v>11</v>
      </c>
    </row>
    <row r="2199" spans="1:5" s="21" customFormat="1" ht="15.75" hidden="1" customHeight="1">
      <c r="A2199" s="21">
        <v>490191</v>
      </c>
      <c r="B2199" s="21" t="s">
        <v>2188</v>
      </c>
      <c r="C2199" s="21" t="s">
        <v>5632</v>
      </c>
      <c r="D2199" s="21" t="s">
        <v>11</v>
      </c>
      <c r="E2199" s="21" t="s">
        <v>11</v>
      </c>
    </row>
    <row r="2200" spans="1:5" s="21" customFormat="1" ht="15.75" hidden="1" customHeight="1">
      <c r="A2200" s="21">
        <v>490199</v>
      </c>
      <c r="B2200" s="21" t="s">
        <v>2189</v>
      </c>
      <c r="C2200" s="21" t="s">
        <v>5632</v>
      </c>
      <c r="D2200" s="21" t="s">
        <v>11</v>
      </c>
      <c r="E2200" s="21" t="s">
        <v>11</v>
      </c>
    </row>
    <row r="2201" spans="1:5" s="21" customFormat="1" ht="15.75" hidden="1" customHeight="1">
      <c r="A2201" s="21">
        <v>490210</v>
      </c>
      <c r="B2201" s="21" t="s">
        <v>2190</v>
      </c>
      <c r="C2201" s="21" t="s">
        <v>5633</v>
      </c>
      <c r="D2201" s="21" t="s">
        <v>11</v>
      </c>
      <c r="E2201" s="21" t="s">
        <v>11</v>
      </c>
    </row>
    <row r="2202" spans="1:5" s="21" customFormat="1" ht="15.75" hidden="1" customHeight="1">
      <c r="A2202" s="21">
        <v>490290</v>
      </c>
      <c r="B2202" s="21" t="s">
        <v>2191</v>
      </c>
      <c r="C2202" s="21" t="s">
        <v>5633</v>
      </c>
      <c r="D2202" s="21" t="s">
        <v>11</v>
      </c>
      <c r="E2202" s="21" t="s">
        <v>11</v>
      </c>
    </row>
    <row r="2203" spans="1:5" s="21" customFormat="1" ht="15.75" hidden="1" customHeight="1">
      <c r="A2203" s="21">
        <v>490300</v>
      </c>
      <c r="B2203" s="21" t="s">
        <v>2192</v>
      </c>
      <c r="C2203" s="21" t="s">
        <v>5632</v>
      </c>
      <c r="D2203" s="21" t="s">
        <v>11</v>
      </c>
      <c r="E2203" s="21" t="s">
        <v>11</v>
      </c>
    </row>
    <row r="2204" spans="1:5" s="21" customFormat="1" ht="15.75" hidden="1" customHeight="1">
      <c r="A2204" s="21">
        <v>490400</v>
      </c>
      <c r="B2204" s="21" t="s">
        <v>2193</v>
      </c>
      <c r="C2204" s="21" t="s">
        <v>5634</v>
      </c>
      <c r="D2204" s="21" t="s">
        <v>11</v>
      </c>
      <c r="E2204" s="21" t="s">
        <v>11</v>
      </c>
    </row>
    <row r="2205" spans="1:5" s="21" customFormat="1" ht="15.75" hidden="1" customHeight="1">
      <c r="A2205" s="21">
        <v>490510</v>
      </c>
      <c r="B2205" s="21" t="s">
        <v>2194</v>
      </c>
      <c r="C2205" s="21" t="s">
        <v>5635</v>
      </c>
      <c r="D2205" s="21" t="s">
        <v>11</v>
      </c>
      <c r="E2205" s="21" t="s">
        <v>11</v>
      </c>
    </row>
    <row r="2206" spans="1:5" s="21" customFormat="1" ht="15.75" hidden="1" customHeight="1">
      <c r="A2206" s="21">
        <v>490591</v>
      </c>
      <c r="B2206" s="21" t="s">
        <v>2195</v>
      </c>
      <c r="C2206" s="21" t="s">
        <v>5636</v>
      </c>
      <c r="D2206" s="21" t="s">
        <v>11</v>
      </c>
      <c r="E2206" s="21" t="s">
        <v>11</v>
      </c>
    </row>
    <row r="2207" spans="1:5" s="21" customFormat="1" ht="15.75" hidden="1" customHeight="1">
      <c r="A2207" s="21">
        <v>490599</v>
      </c>
      <c r="B2207" s="21" t="s">
        <v>2196</v>
      </c>
      <c r="C2207" s="21" t="s">
        <v>5636</v>
      </c>
      <c r="D2207" s="21" t="s">
        <v>11</v>
      </c>
      <c r="E2207" s="21" t="s">
        <v>11</v>
      </c>
    </row>
    <row r="2208" spans="1:5" s="21" customFormat="1" ht="15.75" hidden="1" customHeight="1">
      <c r="A2208" s="21">
        <v>490600</v>
      </c>
      <c r="B2208" s="21" t="s">
        <v>2197</v>
      </c>
      <c r="C2208" s="21" t="s">
        <v>5637</v>
      </c>
      <c r="D2208" s="21" t="s">
        <v>11</v>
      </c>
      <c r="E2208" s="21" t="s">
        <v>11</v>
      </c>
    </row>
    <row r="2209" spans="1:5" s="21" customFormat="1" ht="15.75" hidden="1" customHeight="1">
      <c r="A2209" s="21">
        <v>490700</v>
      </c>
      <c r="B2209" s="21" t="s">
        <v>2198</v>
      </c>
      <c r="C2209" s="21" t="s">
        <v>5638</v>
      </c>
      <c r="D2209" s="21" t="s">
        <v>11</v>
      </c>
      <c r="E2209" s="21" t="s">
        <v>11</v>
      </c>
    </row>
    <row r="2210" spans="1:5" s="21" customFormat="1" ht="15.75" hidden="1" customHeight="1">
      <c r="A2210" s="21">
        <v>490810</v>
      </c>
      <c r="B2210" s="21" t="s">
        <v>2199</v>
      </c>
      <c r="C2210" s="21" t="s">
        <v>5632</v>
      </c>
      <c r="D2210" s="21" t="s">
        <v>11</v>
      </c>
      <c r="E2210" s="21" t="s">
        <v>11</v>
      </c>
    </row>
    <row r="2211" spans="1:5" s="21" customFormat="1" ht="15.75" hidden="1" customHeight="1">
      <c r="A2211" s="21">
        <v>490890</v>
      </c>
      <c r="B2211" s="21" t="s">
        <v>2200</v>
      </c>
      <c r="C2211" s="21" t="s">
        <v>5632</v>
      </c>
      <c r="D2211" s="21" t="s">
        <v>11</v>
      </c>
      <c r="E2211" s="21" t="s">
        <v>11</v>
      </c>
    </row>
    <row r="2212" spans="1:5" s="21" customFormat="1" ht="15.75" hidden="1" customHeight="1">
      <c r="A2212" s="21">
        <v>490900</v>
      </c>
      <c r="B2212" s="21" t="s">
        <v>2201</v>
      </c>
      <c r="C2212" s="21" t="s">
        <v>5639</v>
      </c>
      <c r="D2212" s="21" t="s">
        <v>11</v>
      </c>
      <c r="E2212" s="21" t="s">
        <v>11</v>
      </c>
    </row>
    <row r="2213" spans="1:5" s="21" customFormat="1" ht="15.75" hidden="1" customHeight="1">
      <c r="A2213" s="21">
        <v>491000</v>
      </c>
      <c r="B2213" s="21" t="s">
        <v>2202</v>
      </c>
      <c r="C2213" s="21" t="s">
        <v>5640</v>
      </c>
      <c r="D2213" s="21" t="s">
        <v>11</v>
      </c>
      <c r="E2213" s="21" t="s">
        <v>11</v>
      </c>
    </row>
    <row r="2214" spans="1:5" s="21" customFormat="1" ht="15.75" hidden="1" customHeight="1">
      <c r="A2214" s="21">
        <v>491110</v>
      </c>
      <c r="B2214" s="21" t="s">
        <v>2203</v>
      </c>
      <c r="C2214" s="21" t="s">
        <v>5632</v>
      </c>
      <c r="D2214" s="21" t="s">
        <v>11</v>
      </c>
      <c r="E2214" s="21" t="s">
        <v>11</v>
      </c>
    </row>
    <row r="2215" spans="1:5" s="21" customFormat="1" ht="15.75" hidden="1" customHeight="1">
      <c r="A2215" s="21">
        <v>491191</v>
      </c>
      <c r="B2215" s="21" t="s">
        <v>2204</v>
      </c>
      <c r="C2215" s="21" t="s">
        <v>5632</v>
      </c>
      <c r="D2215" s="21" t="s">
        <v>11</v>
      </c>
      <c r="E2215" s="21" t="s">
        <v>11</v>
      </c>
    </row>
    <row r="2216" spans="1:5" s="21" customFormat="1" ht="15.75" hidden="1" customHeight="1">
      <c r="A2216" s="21">
        <v>491199</v>
      </c>
      <c r="B2216" s="21" t="s">
        <v>2205</v>
      </c>
      <c r="C2216" s="21" t="s">
        <v>5632</v>
      </c>
      <c r="D2216" s="21" t="s">
        <v>11</v>
      </c>
      <c r="E2216" s="21" t="s">
        <v>11</v>
      </c>
    </row>
    <row r="2217" spans="1:5" s="21" customFormat="1" ht="15.75" hidden="1" customHeight="1">
      <c r="A2217" s="21">
        <v>500100</v>
      </c>
      <c r="B2217" s="21" t="s">
        <v>2206</v>
      </c>
      <c r="C2217" s="21" t="s">
        <v>5641</v>
      </c>
      <c r="D2217" s="21" t="s">
        <v>11</v>
      </c>
      <c r="E2217" s="21" t="s">
        <v>11</v>
      </c>
    </row>
    <row r="2218" spans="1:5" s="21" customFormat="1" ht="15.75" hidden="1" customHeight="1">
      <c r="A2218" s="21">
        <v>500200</v>
      </c>
      <c r="B2218" s="21" t="s">
        <v>2207</v>
      </c>
      <c r="C2218" s="21" t="s">
        <v>5641</v>
      </c>
      <c r="D2218" s="21" t="s">
        <v>11</v>
      </c>
      <c r="E2218" s="21" t="s">
        <v>11</v>
      </c>
    </row>
    <row r="2219" spans="1:5" s="21" customFormat="1" ht="15.75" hidden="1" customHeight="1">
      <c r="A2219" s="21">
        <v>500300</v>
      </c>
      <c r="B2219" s="21" t="s">
        <v>2208</v>
      </c>
      <c r="C2219" s="21" t="s">
        <v>2208</v>
      </c>
      <c r="D2219" s="21" t="s">
        <v>11</v>
      </c>
      <c r="E2219" s="21" t="s">
        <v>11</v>
      </c>
    </row>
    <row r="2220" spans="1:5" s="21" customFormat="1" ht="15.75" hidden="1" customHeight="1">
      <c r="A2220" s="21">
        <v>500400</v>
      </c>
      <c r="B2220" s="21" t="s">
        <v>2209</v>
      </c>
      <c r="C2220" s="21" t="s">
        <v>5641</v>
      </c>
      <c r="D2220" s="21" t="s">
        <v>11</v>
      </c>
      <c r="E2220" s="21" t="s">
        <v>11</v>
      </c>
    </row>
    <row r="2221" spans="1:5" s="21" customFormat="1" ht="15.75" hidden="1" customHeight="1">
      <c r="A2221" s="21">
        <v>500500</v>
      </c>
      <c r="B2221" s="21" t="s">
        <v>2210</v>
      </c>
      <c r="C2221" s="21" t="s">
        <v>5641</v>
      </c>
      <c r="D2221" s="21" t="s">
        <v>11</v>
      </c>
      <c r="E2221" s="21" t="s">
        <v>11</v>
      </c>
    </row>
    <row r="2222" spans="1:5" s="21" customFormat="1" ht="15.75" hidden="1" customHeight="1">
      <c r="A2222" s="21">
        <v>500600</v>
      </c>
      <c r="B2222" s="21" t="s">
        <v>2211</v>
      </c>
      <c r="C2222" s="21" t="s">
        <v>5642</v>
      </c>
      <c r="D2222" s="21" t="s">
        <v>11</v>
      </c>
      <c r="E2222" s="21" t="s">
        <v>11</v>
      </c>
    </row>
    <row r="2223" spans="1:5" s="21" customFormat="1" ht="15.75" hidden="1" customHeight="1">
      <c r="A2223" s="21">
        <v>500710</v>
      </c>
      <c r="B2223" s="21" t="s">
        <v>2212</v>
      </c>
      <c r="C2223" s="21" t="s">
        <v>5641</v>
      </c>
      <c r="D2223" s="21" t="s">
        <v>11</v>
      </c>
      <c r="E2223" s="21" t="s">
        <v>11</v>
      </c>
    </row>
    <row r="2224" spans="1:5" s="21" customFormat="1" ht="15.75" hidden="1" customHeight="1">
      <c r="A2224" s="21">
        <v>500720</v>
      </c>
      <c r="B2224" s="21" t="s">
        <v>2213</v>
      </c>
      <c r="C2224" s="21" t="s">
        <v>5641</v>
      </c>
      <c r="D2224" s="21" t="s">
        <v>11</v>
      </c>
      <c r="E2224" s="21" t="s">
        <v>11</v>
      </c>
    </row>
    <row r="2225" spans="1:5" s="21" customFormat="1" ht="15.75" hidden="1" customHeight="1">
      <c r="A2225" s="21">
        <v>500790</v>
      </c>
      <c r="B2225" s="21" t="s">
        <v>2214</v>
      </c>
      <c r="C2225" s="21" t="s">
        <v>5641</v>
      </c>
      <c r="D2225" s="21" t="s">
        <v>11</v>
      </c>
      <c r="E2225" s="21" t="s">
        <v>11</v>
      </c>
    </row>
    <row r="2226" spans="1:5" s="21" customFormat="1" ht="15.75" hidden="1" customHeight="1">
      <c r="A2226" s="21">
        <v>510111</v>
      </c>
      <c r="B2226" s="21" t="s">
        <v>2215</v>
      </c>
      <c r="C2226" s="21" t="s">
        <v>5643</v>
      </c>
      <c r="D2226" s="21" t="s">
        <v>11</v>
      </c>
      <c r="E2226" s="21" t="s">
        <v>11</v>
      </c>
    </row>
    <row r="2227" spans="1:5" s="21" customFormat="1" ht="15.75" hidden="1" customHeight="1">
      <c r="A2227" s="21">
        <v>510119</v>
      </c>
      <c r="B2227" s="21" t="s">
        <v>2216</v>
      </c>
      <c r="C2227" s="21" t="s">
        <v>5643</v>
      </c>
      <c r="D2227" s="21" t="s">
        <v>11</v>
      </c>
      <c r="E2227" s="21" t="s">
        <v>11</v>
      </c>
    </row>
    <row r="2228" spans="1:5" s="21" customFormat="1" ht="15.75" hidden="1" customHeight="1">
      <c r="A2228" s="21">
        <v>510121</v>
      </c>
      <c r="B2228" s="21" t="s">
        <v>2217</v>
      </c>
      <c r="C2228" s="21" t="s">
        <v>5643</v>
      </c>
      <c r="D2228" s="21" t="s">
        <v>11</v>
      </c>
      <c r="E2228" s="21" t="s">
        <v>11</v>
      </c>
    </row>
    <row r="2229" spans="1:5" s="21" customFormat="1" ht="15.75" hidden="1" customHeight="1">
      <c r="A2229" s="21">
        <v>510129</v>
      </c>
      <c r="B2229" s="21" t="s">
        <v>2218</v>
      </c>
      <c r="C2229" s="21" t="s">
        <v>5643</v>
      </c>
      <c r="D2229" s="21" t="s">
        <v>11</v>
      </c>
      <c r="E2229" s="21" t="s">
        <v>11</v>
      </c>
    </row>
    <row r="2230" spans="1:5" s="21" customFormat="1" ht="15.75" hidden="1" customHeight="1">
      <c r="A2230" s="21">
        <v>510130</v>
      </c>
      <c r="B2230" s="21" t="s">
        <v>2219</v>
      </c>
      <c r="C2230" s="21" t="s">
        <v>5643</v>
      </c>
      <c r="D2230" s="21" t="s">
        <v>11</v>
      </c>
      <c r="E2230" s="21" t="s">
        <v>11</v>
      </c>
    </row>
    <row r="2231" spans="1:5" s="21" customFormat="1" ht="15.75" hidden="1" customHeight="1">
      <c r="A2231" s="21">
        <v>510211</v>
      </c>
      <c r="B2231" s="21" t="s">
        <v>2220</v>
      </c>
      <c r="C2231" s="21" t="s">
        <v>5644</v>
      </c>
      <c r="D2231" s="21" t="s">
        <v>11</v>
      </c>
      <c r="E2231" s="21" t="s">
        <v>11</v>
      </c>
    </row>
    <row r="2232" spans="1:5" s="21" customFormat="1" ht="15.75" hidden="1" customHeight="1">
      <c r="A2232" s="21">
        <v>510219</v>
      </c>
      <c r="B2232" s="21" t="s">
        <v>2221</v>
      </c>
      <c r="C2232" s="21" t="s">
        <v>5644</v>
      </c>
      <c r="D2232" s="21" t="s">
        <v>11</v>
      </c>
      <c r="E2232" s="21" t="s">
        <v>11</v>
      </c>
    </row>
    <row r="2233" spans="1:5" s="21" customFormat="1" ht="15.75" hidden="1" customHeight="1">
      <c r="A2233" s="21">
        <v>510220</v>
      </c>
      <c r="B2233" s="21" t="s">
        <v>2222</v>
      </c>
      <c r="C2233" s="21" t="s">
        <v>5644</v>
      </c>
      <c r="D2233" s="21" t="s">
        <v>11</v>
      </c>
      <c r="E2233" s="21" t="s">
        <v>11</v>
      </c>
    </row>
    <row r="2234" spans="1:5" s="21" customFormat="1" ht="15.75" hidden="1" customHeight="1">
      <c r="A2234" s="21">
        <v>510310</v>
      </c>
      <c r="B2234" s="21" t="s">
        <v>2223</v>
      </c>
      <c r="C2234" s="21" t="s">
        <v>5645</v>
      </c>
      <c r="D2234" s="21" t="s">
        <v>11</v>
      </c>
      <c r="E2234" s="21" t="s">
        <v>11</v>
      </c>
    </row>
    <row r="2235" spans="1:5" s="21" customFormat="1" ht="15.75" hidden="1" customHeight="1">
      <c r="A2235" s="21">
        <v>510320</v>
      </c>
      <c r="B2235" s="21" t="s">
        <v>2224</v>
      </c>
      <c r="C2235" s="21" t="s">
        <v>5645</v>
      </c>
      <c r="D2235" s="21" t="s">
        <v>11</v>
      </c>
      <c r="E2235" s="21" t="s">
        <v>11</v>
      </c>
    </row>
    <row r="2236" spans="1:5" s="21" customFormat="1" ht="15.75" hidden="1" customHeight="1">
      <c r="A2236" s="21">
        <v>510330</v>
      </c>
      <c r="B2236" s="21" t="s">
        <v>2225</v>
      </c>
      <c r="C2236" s="21" t="s">
        <v>5645</v>
      </c>
      <c r="D2236" s="21" t="s">
        <v>11</v>
      </c>
      <c r="E2236" s="21" t="s">
        <v>11</v>
      </c>
    </row>
    <row r="2237" spans="1:5" s="21" customFormat="1" ht="15.75" hidden="1" customHeight="1">
      <c r="A2237" s="21">
        <v>510400</v>
      </c>
      <c r="B2237" s="21" t="s">
        <v>2226</v>
      </c>
      <c r="C2237" s="21" t="s">
        <v>5645</v>
      </c>
      <c r="D2237" s="21" t="s">
        <v>11</v>
      </c>
      <c r="E2237" s="21" t="s">
        <v>11</v>
      </c>
    </row>
    <row r="2238" spans="1:5" s="21" customFormat="1" ht="15.75" hidden="1" customHeight="1">
      <c r="A2238" s="21">
        <v>510510</v>
      </c>
      <c r="B2238" s="21" t="s">
        <v>2227</v>
      </c>
      <c r="C2238" s="21" t="s">
        <v>5643</v>
      </c>
      <c r="D2238" s="21" t="s">
        <v>11</v>
      </c>
      <c r="E2238" s="21" t="s">
        <v>11</v>
      </c>
    </row>
    <row r="2239" spans="1:5" s="21" customFormat="1" ht="15.75" hidden="1" customHeight="1">
      <c r="A2239" s="21">
        <v>510521</v>
      </c>
      <c r="B2239" s="21" t="s">
        <v>2228</v>
      </c>
      <c r="C2239" s="21" t="s">
        <v>5643</v>
      </c>
      <c r="D2239" s="21" t="s">
        <v>11</v>
      </c>
      <c r="E2239" s="21" t="s">
        <v>11</v>
      </c>
    </row>
    <row r="2240" spans="1:5" s="21" customFormat="1" ht="15.75" hidden="1" customHeight="1">
      <c r="A2240" s="21">
        <v>510529</v>
      </c>
      <c r="B2240" s="21" t="s">
        <v>2229</v>
      </c>
      <c r="C2240" s="21" t="s">
        <v>5643</v>
      </c>
      <c r="D2240" s="21" t="s">
        <v>11</v>
      </c>
      <c r="E2240" s="21" t="s">
        <v>11</v>
      </c>
    </row>
    <row r="2241" spans="1:5" s="21" customFormat="1" ht="15.75" hidden="1" customHeight="1">
      <c r="A2241" s="21">
        <v>510531</v>
      </c>
      <c r="B2241" s="21" t="s">
        <v>2230</v>
      </c>
      <c r="C2241" s="21" t="s">
        <v>5644</v>
      </c>
      <c r="D2241" s="21" t="s">
        <v>11</v>
      </c>
      <c r="E2241" s="21" t="s">
        <v>11</v>
      </c>
    </row>
    <row r="2242" spans="1:5" s="21" customFormat="1" ht="15.75" hidden="1" customHeight="1">
      <c r="A2242" s="21">
        <v>510539</v>
      </c>
      <c r="B2242" s="21" t="s">
        <v>2231</v>
      </c>
      <c r="C2242" s="21" t="s">
        <v>5644</v>
      </c>
      <c r="D2242" s="21" t="s">
        <v>11</v>
      </c>
      <c r="E2242" s="21" t="s">
        <v>11</v>
      </c>
    </row>
    <row r="2243" spans="1:5" s="21" customFormat="1" ht="15.75" hidden="1" customHeight="1">
      <c r="A2243" s="21">
        <v>510540</v>
      </c>
      <c r="B2243" s="21" t="s">
        <v>2232</v>
      </c>
      <c r="C2243" s="21" t="s">
        <v>5644</v>
      </c>
      <c r="D2243" s="21" t="s">
        <v>11</v>
      </c>
      <c r="E2243" s="21" t="s">
        <v>11</v>
      </c>
    </row>
    <row r="2244" spans="1:5" s="21" customFormat="1" ht="15.75" hidden="1" customHeight="1">
      <c r="A2244" s="21">
        <v>510610</v>
      </c>
      <c r="B2244" s="21" t="s">
        <v>2233</v>
      </c>
      <c r="C2244" s="21" t="s">
        <v>5646</v>
      </c>
      <c r="D2244" s="21" t="s">
        <v>11</v>
      </c>
      <c r="E2244" s="21" t="s">
        <v>11</v>
      </c>
    </row>
    <row r="2245" spans="1:5" s="21" customFormat="1" ht="15.75" hidden="1" customHeight="1">
      <c r="A2245" s="21">
        <v>510620</v>
      </c>
      <c r="B2245" s="21" t="s">
        <v>2234</v>
      </c>
      <c r="C2245" s="21" t="s">
        <v>5646</v>
      </c>
      <c r="D2245" s="21" t="s">
        <v>11</v>
      </c>
      <c r="E2245" s="21" t="s">
        <v>11</v>
      </c>
    </row>
    <row r="2246" spans="1:5" s="21" customFormat="1" ht="15.75" hidden="1" customHeight="1">
      <c r="A2246" s="21">
        <v>510710</v>
      </c>
      <c r="B2246" s="21" t="s">
        <v>2235</v>
      </c>
      <c r="C2246" s="21" t="s">
        <v>5646</v>
      </c>
      <c r="D2246" s="21" t="s">
        <v>11</v>
      </c>
      <c r="E2246" s="21" t="s">
        <v>11</v>
      </c>
    </row>
    <row r="2247" spans="1:5" s="21" customFormat="1" ht="15.75" hidden="1" customHeight="1">
      <c r="A2247" s="21">
        <v>510720</v>
      </c>
      <c r="B2247" s="21" t="s">
        <v>2236</v>
      </c>
      <c r="C2247" s="21" t="s">
        <v>5646</v>
      </c>
      <c r="D2247" s="21" t="s">
        <v>11</v>
      </c>
      <c r="E2247" s="21" t="s">
        <v>11</v>
      </c>
    </row>
    <row r="2248" spans="1:5" s="21" customFormat="1" ht="15.75" hidden="1" customHeight="1">
      <c r="A2248" s="21">
        <v>510810</v>
      </c>
      <c r="B2248" s="21" t="s">
        <v>2237</v>
      </c>
      <c r="C2248" s="21" t="s">
        <v>5646</v>
      </c>
      <c r="D2248" s="21" t="s">
        <v>11</v>
      </c>
      <c r="E2248" s="21" t="s">
        <v>11</v>
      </c>
    </row>
    <row r="2249" spans="1:5" s="21" customFormat="1" ht="15.75" hidden="1" customHeight="1">
      <c r="A2249" s="21">
        <v>510820</v>
      </c>
      <c r="B2249" s="21" t="s">
        <v>2238</v>
      </c>
      <c r="C2249" s="21" t="s">
        <v>5646</v>
      </c>
      <c r="D2249" s="21" t="s">
        <v>11</v>
      </c>
      <c r="E2249" s="21" t="s">
        <v>11</v>
      </c>
    </row>
    <row r="2250" spans="1:5" s="21" customFormat="1" ht="15.75" hidden="1" customHeight="1">
      <c r="A2250" s="21">
        <v>510910</v>
      </c>
      <c r="B2250" s="21" t="s">
        <v>2239</v>
      </c>
      <c r="C2250" s="21" t="s">
        <v>5646</v>
      </c>
      <c r="D2250" s="21" t="s">
        <v>11</v>
      </c>
      <c r="E2250" s="21" t="s">
        <v>11</v>
      </c>
    </row>
    <row r="2251" spans="1:5" s="21" customFormat="1" ht="15.75" hidden="1" customHeight="1">
      <c r="A2251" s="21">
        <v>510990</v>
      </c>
      <c r="B2251" s="21" t="s">
        <v>2240</v>
      </c>
      <c r="C2251" s="21" t="s">
        <v>5646</v>
      </c>
      <c r="D2251" s="21" t="s">
        <v>11</v>
      </c>
      <c r="E2251" s="21" t="s">
        <v>11</v>
      </c>
    </row>
    <row r="2252" spans="1:5" s="21" customFormat="1" ht="15.75" hidden="1" customHeight="1">
      <c r="A2252" s="21">
        <v>511000</v>
      </c>
      <c r="B2252" s="21" t="s">
        <v>2241</v>
      </c>
      <c r="C2252" s="21" t="s">
        <v>5646</v>
      </c>
      <c r="D2252" s="21" t="s">
        <v>11</v>
      </c>
      <c r="E2252" s="21" t="s">
        <v>11</v>
      </c>
    </row>
    <row r="2253" spans="1:5" s="21" customFormat="1" ht="15.75" hidden="1" customHeight="1">
      <c r="A2253" s="21">
        <v>511111</v>
      </c>
      <c r="B2253" s="21" t="s">
        <v>2242</v>
      </c>
      <c r="C2253" s="21" t="s">
        <v>5647</v>
      </c>
      <c r="D2253" s="21" t="s">
        <v>11</v>
      </c>
      <c r="E2253" s="21" t="s">
        <v>11</v>
      </c>
    </row>
    <row r="2254" spans="1:5" s="21" customFormat="1" ht="15.75" hidden="1" customHeight="1">
      <c r="A2254" s="21">
        <v>511119</v>
      </c>
      <c r="B2254" s="21" t="s">
        <v>2243</v>
      </c>
      <c r="C2254" s="21" t="s">
        <v>5647</v>
      </c>
      <c r="D2254" s="21" t="s">
        <v>11</v>
      </c>
      <c r="E2254" s="21" t="s">
        <v>11</v>
      </c>
    </row>
    <row r="2255" spans="1:5" s="21" customFormat="1" ht="15.75" hidden="1" customHeight="1">
      <c r="A2255" s="21">
        <v>511120</v>
      </c>
      <c r="B2255" s="21" t="s">
        <v>2244</v>
      </c>
      <c r="C2255" s="21" t="s">
        <v>5647</v>
      </c>
      <c r="D2255" s="21" t="s">
        <v>11</v>
      </c>
      <c r="E2255" s="21" t="s">
        <v>11</v>
      </c>
    </row>
    <row r="2256" spans="1:5" s="21" customFormat="1" ht="15.75" hidden="1" customHeight="1">
      <c r="A2256" s="21">
        <v>511130</v>
      </c>
      <c r="B2256" s="21" t="s">
        <v>2245</v>
      </c>
      <c r="C2256" s="21" t="s">
        <v>5647</v>
      </c>
      <c r="D2256" s="21" t="s">
        <v>11</v>
      </c>
      <c r="E2256" s="21" t="s">
        <v>11</v>
      </c>
    </row>
    <row r="2257" spans="1:5" s="21" customFormat="1" ht="15.75" hidden="1" customHeight="1">
      <c r="A2257" s="21">
        <v>511190</v>
      </c>
      <c r="B2257" s="21" t="s">
        <v>2246</v>
      </c>
      <c r="C2257" s="21" t="s">
        <v>5647</v>
      </c>
      <c r="D2257" s="21" t="s">
        <v>11</v>
      </c>
      <c r="E2257" s="21" t="s">
        <v>11</v>
      </c>
    </row>
    <row r="2258" spans="1:5" s="21" customFormat="1" ht="15.75" hidden="1" customHeight="1">
      <c r="A2258" s="21">
        <v>511211</v>
      </c>
      <c r="B2258" s="21" t="s">
        <v>2247</v>
      </c>
      <c r="C2258" s="21" t="s">
        <v>5647</v>
      </c>
      <c r="D2258" s="21" t="s">
        <v>11</v>
      </c>
      <c r="E2258" s="21" t="s">
        <v>11</v>
      </c>
    </row>
    <row r="2259" spans="1:5" s="21" customFormat="1" ht="15.75" hidden="1" customHeight="1">
      <c r="A2259" s="21">
        <v>511219</v>
      </c>
      <c r="B2259" s="21" t="s">
        <v>2248</v>
      </c>
      <c r="C2259" s="21" t="s">
        <v>5647</v>
      </c>
      <c r="D2259" s="21" t="s">
        <v>11</v>
      </c>
      <c r="E2259" s="21" t="s">
        <v>11</v>
      </c>
    </row>
    <row r="2260" spans="1:5" s="21" customFormat="1" ht="15.75" hidden="1" customHeight="1">
      <c r="A2260" s="21">
        <v>511220</v>
      </c>
      <c r="B2260" s="21" t="s">
        <v>2249</v>
      </c>
      <c r="C2260" s="21" t="s">
        <v>5647</v>
      </c>
      <c r="D2260" s="21" t="s">
        <v>11</v>
      </c>
      <c r="E2260" s="21" t="s">
        <v>11</v>
      </c>
    </row>
    <row r="2261" spans="1:5" s="21" customFormat="1" ht="15.75" hidden="1" customHeight="1">
      <c r="A2261" s="21">
        <v>511230</v>
      </c>
      <c r="B2261" s="21" t="s">
        <v>2250</v>
      </c>
      <c r="C2261" s="21" t="s">
        <v>5647</v>
      </c>
      <c r="D2261" s="21" t="s">
        <v>11</v>
      </c>
      <c r="E2261" s="21" t="s">
        <v>11</v>
      </c>
    </row>
    <row r="2262" spans="1:5" s="21" customFormat="1" ht="15.75" hidden="1" customHeight="1">
      <c r="A2262" s="21">
        <v>511290</v>
      </c>
      <c r="B2262" s="21" t="s">
        <v>2251</v>
      </c>
      <c r="C2262" s="21" t="s">
        <v>5647</v>
      </c>
      <c r="D2262" s="21" t="s">
        <v>11</v>
      </c>
      <c r="E2262" s="21" t="s">
        <v>11</v>
      </c>
    </row>
    <row r="2263" spans="1:5" s="21" customFormat="1" ht="15.75" hidden="1" customHeight="1">
      <c r="A2263" s="21">
        <v>511300</v>
      </c>
      <c r="B2263" s="21" t="s">
        <v>2252</v>
      </c>
      <c r="C2263" s="21" t="s">
        <v>5647</v>
      </c>
      <c r="D2263" s="21" t="s">
        <v>11</v>
      </c>
      <c r="E2263" s="21" t="s">
        <v>11</v>
      </c>
    </row>
    <row r="2264" spans="1:5" s="21" customFormat="1" ht="15.75" hidden="1" customHeight="1">
      <c r="A2264" s="21">
        <v>520100</v>
      </c>
      <c r="B2264" s="21" t="s">
        <v>2253</v>
      </c>
      <c r="C2264" s="21" t="s">
        <v>5648</v>
      </c>
      <c r="D2264" s="21" t="s">
        <v>11</v>
      </c>
      <c r="E2264" s="21" t="s">
        <v>11</v>
      </c>
    </row>
    <row r="2265" spans="1:5" s="21" customFormat="1" ht="15.75" hidden="1" customHeight="1">
      <c r="A2265" s="21">
        <v>520210</v>
      </c>
      <c r="B2265" s="21" t="s">
        <v>2254</v>
      </c>
      <c r="C2265" s="21" t="s">
        <v>5648</v>
      </c>
      <c r="D2265" s="21" t="s">
        <v>11</v>
      </c>
      <c r="E2265" s="21" t="s">
        <v>11</v>
      </c>
    </row>
    <row r="2266" spans="1:5" s="21" customFormat="1" ht="15.75" hidden="1" customHeight="1">
      <c r="A2266" s="21">
        <v>520291</v>
      </c>
      <c r="B2266" s="21" t="s">
        <v>2255</v>
      </c>
      <c r="C2266" s="21" t="s">
        <v>5648</v>
      </c>
      <c r="D2266" s="21" t="s">
        <v>11</v>
      </c>
      <c r="E2266" s="21" t="s">
        <v>11</v>
      </c>
    </row>
    <row r="2267" spans="1:5" s="21" customFormat="1" ht="15.75" hidden="1" customHeight="1">
      <c r="A2267" s="21">
        <v>520299</v>
      </c>
      <c r="B2267" s="21" t="s">
        <v>2256</v>
      </c>
      <c r="C2267" s="21" t="s">
        <v>5648</v>
      </c>
      <c r="D2267" s="21" t="s">
        <v>11</v>
      </c>
      <c r="E2267" s="21" t="s">
        <v>11</v>
      </c>
    </row>
    <row r="2268" spans="1:5" s="21" customFormat="1" ht="15.75" hidden="1" customHeight="1">
      <c r="A2268" s="21">
        <v>520300</v>
      </c>
      <c r="B2268" s="21" t="s">
        <v>2257</v>
      </c>
      <c r="C2268" s="21" t="s">
        <v>5648</v>
      </c>
      <c r="D2268" s="21" t="s">
        <v>11</v>
      </c>
      <c r="E2268" s="21" t="s">
        <v>11</v>
      </c>
    </row>
    <row r="2269" spans="1:5" s="21" customFormat="1" ht="15.75" hidden="1" customHeight="1">
      <c r="A2269" s="21">
        <v>520411</v>
      </c>
      <c r="B2269" s="21" t="s">
        <v>2258</v>
      </c>
      <c r="C2269" s="21" t="s">
        <v>5648</v>
      </c>
      <c r="D2269" s="21" t="s">
        <v>11</v>
      </c>
      <c r="E2269" s="21" t="s">
        <v>11</v>
      </c>
    </row>
    <row r="2270" spans="1:5" s="21" customFormat="1" ht="15.75" hidden="1" customHeight="1">
      <c r="A2270" s="21">
        <v>520419</v>
      </c>
      <c r="B2270" s="21" t="s">
        <v>2259</v>
      </c>
      <c r="C2270" s="21" t="s">
        <v>5648</v>
      </c>
      <c r="D2270" s="21" t="s">
        <v>11</v>
      </c>
      <c r="E2270" s="21" t="s">
        <v>11</v>
      </c>
    </row>
    <row r="2271" spans="1:5" s="21" customFormat="1" ht="15.75" hidden="1" customHeight="1">
      <c r="A2271" s="21">
        <v>520420</v>
      </c>
      <c r="B2271" s="21" t="s">
        <v>2260</v>
      </c>
      <c r="C2271" s="21" t="s">
        <v>5648</v>
      </c>
      <c r="D2271" s="21" t="s">
        <v>11</v>
      </c>
      <c r="E2271" s="21" t="s">
        <v>11</v>
      </c>
    </row>
    <row r="2272" spans="1:5" s="21" customFormat="1" ht="15.75" hidden="1" customHeight="1">
      <c r="A2272" s="21">
        <v>520511</v>
      </c>
      <c r="B2272" s="21" t="s">
        <v>2261</v>
      </c>
      <c r="C2272" s="21" t="s">
        <v>5649</v>
      </c>
      <c r="D2272" s="21" t="s">
        <v>11</v>
      </c>
      <c r="E2272" s="21" t="s">
        <v>11</v>
      </c>
    </row>
    <row r="2273" spans="1:5" s="21" customFormat="1" ht="15.75" hidden="1" customHeight="1">
      <c r="A2273" s="21">
        <v>520512</v>
      </c>
      <c r="B2273" s="21" t="s">
        <v>2262</v>
      </c>
      <c r="C2273" s="21" t="s">
        <v>5649</v>
      </c>
      <c r="D2273" s="21" t="s">
        <v>11</v>
      </c>
      <c r="E2273" s="21" t="s">
        <v>11</v>
      </c>
    </row>
    <row r="2274" spans="1:5" s="21" customFormat="1" ht="15.75" hidden="1" customHeight="1">
      <c r="A2274" s="21">
        <v>520513</v>
      </c>
      <c r="B2274" s="21" t="s">
        <v>2263</v>
      </c>
      <c r="C2274" s="21" t="s">
        <v>5649</v>
      </c>
      <c r="D2274" s="21" t="s">
        <v>11</v>
      </c>
      <c r="E2274" s="21" t="s">
        <v>11</v>
      </c>
    </row>
    <row r="2275" spans="1:5" s="21" customFormat="1" ht="15.75" hidden="1" customHeight="1">
      <c r="A2275" s="21">
        <v>520514</v>
      </c>
      <c r="B2275" s="21" t="s">
        <v>2264</v>
      </c>
      <c r="C2275" s="21" t="s">
        <v>5649</v>
      </c>
      <c r="D2275" s="21" t="s">
        <v>11</v>
      </c>
      <c r="E2275" s="21" t="s">
        <v>11</v>
      </c>
    </row>
    <row r="2276" spans="1:5" s="21" customFormat="1" ht="15.75" hidden="1" customHeight="1">
      <c r="A2276" s="21">
        <v>520515</v>
      </c>
      <c r="B2276" s="21" t="s">
        <v>2265</v>
      </c>
      <c r="C2276" s="21" t="s">
        <v>5649</v>
      </c>
      <c r="D2276" s="21" t="s">
        <v>11</v>
      </c>
      <c r="E2276" s="21" t="s">
        <v>11</v>
      </c>
    </row>
    <row r="2277" spans="1:5" s="21" customFormat="1" ht="15.75" hidden="1" customHeight="1">
      <c r="A2277" s="21">
        <v>520521</v>
      </c>
      <c r="B2277" s="21" t="s">
        <v>2266</v>
      </c>
      <c r="C2277" s="21" t="s">
        <v>5649</v>
      </c>
      <c r="D2277" s="21" t="s">
        <v>11</v>
      </c>
      <c r="E2277" s="21" t="s">
        <v>11</v>
      </c>
    </row>
    <row r="2278" spans="1:5" s="21" customFormat="1" ht="15.75" hidden="1" customHeight="1">
      <c r="A2278" s="21">
        <v>520522</v>
      </c>
      <c r="B2278" s="21" t="s">
        <v>2267</v>
      </c>
      <c r="C2278" s="21" t="s">
        <v>5649</v>
      </c>
      <c r="D2278" s="21" t="s">
        <v>11</v>
      </c>
      <c r="E2278" s="21" t="s">
        <v>11</v>
      </c>
    </row>
    <row r="2279" spans="1:5" s="21" customFormat="1" ht="15.75" hidden="1" customHeight="1">
      <c r="A2279" s="21">
        <v>520523</v>
      </c>
      <c r="B2279" s="21" t="s">
        <v>2268</v>
      </c>
      <c r="C2279" s="21" t="s">
        <v>5649</v>
      </c>
      <c r="D2279" s="21" t="s">
        <v>11</v>
      </c>
      <c r="E2279" s="21" t="s">
        <v>11</v>
      </c>
    </row>
    <row r="2280" spans="1:5" s="21" customFormat="1" ht="15.75" hidden="1" customHeight="1">
      <c r="A2280" s="21">
        <v>520524</v>
      </c>
      <c r="B2280" s="21" t="s">
        <v>2269</v>
      </c>
      <c r="C2280" s="21" t="s">
        <v>5649</v>
      </c>
      <c r="D2280" s="21" t="s">
        <v>11</v>
      </c>
      <c r="E2280" s="21" t="s">
        <v>11</v>
      </c>
    </row>
    <row r="2281" spans="1:5" s="21" customFormat="1" ht="15.75" hidden="1" customHeight="1">
      <c r="A2281" s="21">
        <v>520526</v>
      </c>
      <c r="B2281" s="21" t="s">
        <v>2270</v>
      </c>
      <c r="C2281" s="21" t="s">
        <v>5649</v>
      </c>
      <c r="D2281" s="21" t="s">
        <v>11</v>
      </c>
      <c r="E2281" s="21" t="s">
        <v>11</v>
      </c>
    </row>
    <row r="2282" spans="1:5" s="21" customFormat="1" ht="15.75" hidden="1" customHeight="1">
      <c r="A2282" s="21">
        <v>520527</v>
      </c>
      <c r="B2282" s="21" t="s">
        <v>2271</v>
      </c>
      <c r="C2282" s="21" t="s">
        <v>5649</v>
      </c>
      <c r="D2282" s="21" t="s">
        <v>11</v>
      </c>
      <c r="E2282" s="21" t="s">
        <v>11</v>
      </c>
    </row>
    <row r="2283" spans="1:5" s="21" customFormat="1" ht="15.75" hidden="1" customHeight="1">
      <c r="A2283" s="21">
        <v>520528</v>
      </c>
      <c r="B2283" s="21" t="s">
        <v>2272</v>
      </c>
      <c r="C2283" s="21" t="s">
        <v>5649</v>
      </c>
      <c r="D2283" s="21" t="s">
        <v>11</v>
      </c>
      <c r="E2283" s="21" t="s">
        <v>11</v>
      </c>
    </row>
    <row r="2284" spans="1:5" s="21" customFormat="1" ht="15.75" hidden="1" customHeight="1">
      <c r="A2284" s="21">
        <v>520531</v>
      </c>
      <c r="B2284" s="21" t="s">
        <v>2273</v>
      </c>
      <c r="C2284" s="21" t="s">
        <v>5649</v>
      </c>
      <c r="D2284" s="21" t="s">
        <v>11</v>
      </c>
      <c r="E2284" s="21" t="s">
        <v>11</v>
      </c>
    </row>
    <row r="2285" spans="1:5" s="21" customFormat="1" ht="15.75" hidden="1" customHeight="1">
      <c r="A2285" s="21">
        <v>520532</v>
      </c>
      <c r="B2285" s="21" t="s">
        <v>2274</v>
      </c>
      <c r="C2285" s="21" t="s">
        <v>5649</v>
      </c>
      <c r="D2285" s="21" t="s">
        <v>11</v>
      </c>
      <c r="E2285" s="21" t="s">
        <v>11</v>
      </c>
    </row>
    <row r="2286" spans="1:5" s="21" customFormat="1" ht="15.75" hidden="1" customHeight="1">
      <c r="A2286" s="21">
        <v>520533</v>
      </c>
      <c r="B2286" s="21" t="s">
        <v>2275</v>
      </c>
      <c r="C2286" s="21" t="s">
        <v>5649</v>
      </c>
      <c r="D2286" s="21" t="s">
        <v>11</v>
      </c>
      <c r="E2286" s="21" t="s">
        <v>11</v>
      </c>
    </row>
    <row r="2287" spans="1:5" s="21" customFormat="1" ht="15.75" hidden="1" customHeight="1">
      <c r="A2287" s="21">
        <v>520534</v>
      </c>
      <c r="B2287" s="21" t="s">
        <v>2276</v>
      </c>
      <c r="C2287" s="21" t="s">
        <v>5649</v>
      </c>
      <c r="D2287" s="21" t="s">
        <v>11</v>
      </c>
      <c r="E2287" s="21" t="s">
        <v>11</v>
      </c>
    </row>
    <row r="2288" spans="1:5" s="21" customFormat="1" ht="15.75" hidden="1" customHeight="1">
      <c r="A2288" s="21">
        <v>520535</v>
      </c>
      <c r="B2288" s="21" t="s">
        <v>2277</v>
      </c>
      <c r="C2288" s="21" t="s">
        <v>5649</v>
      </c>
      <c r="D2288" s="21" t="s">
        <v>11</v>
      </c>
      <c r="E2288" s="21" t="s">
        <v>11</v>
      </c>
    </row>
    <row r="2289" spans="1:5" s="21" customFormat="1" ht="15.75" hidden="1" customHeight="1">
      <c r="A2289" s="21">
        <v>520541</v>
      </c>
      <c r="B2289" s="21" t="s">
        <v>2278</v>
      </c>
      <c r="C2289" s="21" t="s">
        <v>5649</v>
      </c>
      <c r="D2289" s="21" t="s">
        <v>11</v>
      </c>
      <c r="E2289" s="21" t="s">
        <v>11</v>
      </c>
    </row>
    <row r="2290" spans="1:5" s="21" customFormat="1" ht="15.75" hidden="1" customHeight="1">
      <c r="A2290" s="21">
        <v>520542</v>
      </c>
      <c r="B2290" s="21" t="s">
        <v>2279</v>
      </c>
      <c r="C2290" s="21" t="s">
        <v>5649</v>
      </c>
      <c r="D2290" s="21" t="s">
        <v>11</v>
      </c>
      <c r="E2290" s="21" t="s">
        <v>11</v>
      </c>
    </row>
    <row r="2291" spans="1:5" s="21" customFormat="1" ht="15.75" hidden="1" customHeight="1">
      <c r="A2291" s="21">
        <v>520543</v>
      </c>
      <c r="B2291" s="21" t="s">
        <v>2280</v>
      </c>
      <c r="C2291" s="21" t="s">
        <v>5649</v>
      </c>
      <c r="D2291" s="21" t="s">
        <v>11</v>
      </c>
      <c r="E2291" s="21" t="s">
        <v>11</v>
      </c>
    </row>
    <row r="2292" spans="1:5" s="21" customFormat="1" ht="15.75" hidden="1" customHeight="1">
      <c r="A2292" s="21">
        <v>520544</v>
      </c>
      <c r="B2292" s="21" t="s">
        <v>2281</v>
      </c>
      <c r="C2292" s="21" t="s">
        <v>5649</v>
      </c>
      <c r="D2292" s="21" t="s">
        <v>11</v>
      </c>
      <c r="E2292" s="21" t="s">
        <v>11</v>
      </c>
    </row>
    <row r="2293" spans="1:5" s="21" customFormat="1" ht="15.75" hidden="1" customHeight="1">
      <c r="A2293" s="21">
        <v>520546</v>
      </c>
      <c r="B2293" s="21" t="s">
        <v>2282</v>
      </c>
      <c r="C2293" s="21" t="s">
        <v>5649</v>
      </c>
      <c r="D2293" s="21" t="s">
        <v>11</v>
      </c>
      <c r="E2293" s="21" t="s">
        <v>11</v>
      </c>
    </row>
    <row r="2294" spans="1:5" s="21" customFormat="1" ht="15.75" hidden="1" customHeight="1">
      <c r="A2294" s="21">
        <v>520547</v>
      </c>
      <c r="B2294" s="21" t="s">
        <v>2283</v>
      </c>
      <c r="C2294" s="21" t="s">
        <v>5649</v>
      </c>
      <c r="D2294" s="21" t="s">
        <v>11</v>
      </c>
      <c r="E2294" s="21" t="s">
        <v>11</v>
      </c>
    </row>
    <row r="2295" spans="1:5" s="21" customFormat="1" ht="15.75" hidden="1" customHeight="1">
      <c r="A2295" s="21">
        <v>520548</v>
      </c>
      <c r="B2295" s="21" t="s">
        <v>2284</v>
      </c>
      <c r="C2295" s="21" t="s">
        <v>5649</v>
      </c>
      <c r="D2295" s="21" t="s">
        <v>11</v>
      </c>
      <c r="E2295" s="21" t="s">
        <v>11</v>
      </c>
    </row>
    <row r="2296" spans="1:5" s="21" customFormat="1" ht="15.75" hidden="1" customHeight="1">
      <c r="A2296" s="21">
        <v>520611</v>
      </c>
      <c r="B2296" s="21" t="s">
        <v>2285</v>
      </c>
      <c r="C2296" s="21" t="s">
        <v>5649</v>
      </c>
      <c r="D2296" s="21" t="s">
        <v>11</v>
      </c>
      <c r="E2296" s="21" t="s">
        <v>11</v>
      </c>
    </row>
    <row r="2297" spans="1:5" s="21" customFormat="1" ht="15.75" hidden="1" customHeight="1">
      <c r="A2297" s="21">
        <v>520612</v>
      </c>
      <c r="B2297" s="21" t="s">
        <v>2286</v>
      </c>
      <c r="C2297" s="21" t="s">
        <v>5649</v>
      </c>
      <c r="D2297" s="21" t="s">
        <v>11</v>
      </c>
      <c r="E2297" s="21" t="s">
        <v>11</v>
      </c>
    </row>
    <row r="2298" spans="1:5" s="21" customFormat="1" ht="15.75" hidden="1" customHeight="1">
      <c r="A2298" s="21">
        <v>520613</v>
      </c>
      <c r="B2298" s="21" t="s">
        <v>2287</v>
      </c>
      <c r="C2298" s="21" t="s">
        <v>5649</v>
      </c>
      <c r="D2298" s="21" t="s">
        <v>11</v>
      </c>
      <c r="E2298" s="21" t="s">
        <v>11</v>
      </c>
    </row>
    <row r="2299" spans="1:5" s="21" customFormat="1" ht="15.75" hidden="1" customHeight="1">
      <c r="A2299" s="21">
        <v>520614</v>
      </c>
      <c r="B2299" s="21" t="s">
        <v>2288</v>
      </c>
      <c r="C2299" s="21" t="s">
        <v>5649</v>
      </c>
      <c r="D2299" s="21" t="s">
        <v>11</v>
      </c>
      <c r="E2299" s="21" t="s">
        <v>11</v>
      </c>
    </row>
    <row r="2300" spans="1:5" s="21" customFormat="1" ht="15.75" hidden="1" customHeight="1">
      <c r="A2300" s="21">
        <v>520615</v>
      </c>
      <c r="B2300" s="21" t="s">
        <v>2289</v>
      </c>
      <c r="C2300" s="21" t="s">
        <v>5649</v>
      </c>
      <c r="D2300" s="21" t="s">
        <v>11</v>
      </c>
      <c r="E2300" s="21" t="s">
        <v>11</v>
      </c>
    </row>
    <row r="2301" spans="1:5" s="21" customFormat="1" ht="15.75" hidden="1" customHeight="1">
      <c r="A2301" s="21">
        <v>520621</v>
      </c>
      <c r="B2301" s="21" t="s">
        <v>2290</v>
      </c>
      <c r="C2301" s="21" t="s">
        <v>5649</v>
      </c>
      <c r="D2301" s="21" t="s">
        <v>11</v>
      </c>
      <c r="E2301" s="21" t="s">
        <v>11</v>
      </c>
    </row>
    <row r="2302" spans="1:5" s="21" customFormat="1" ht="15.75" hidden="1" customHeight="1">
      <c r="A2302" s="21">
        <v>520622</v>
      </c>
      <c r="B2302" s="21" t="s">
        <v>2291</v>
      </c>
      <c r="C2302" s="21" t="s">
        <v>5649</v>
      </c>
      <c r="D2302" s="21" t="s">
        <v>11</v>
      </c>
      <c r="E2302" s="21" t="s">
        <v>11</v>
      </c>
    </row>
    <row r="2303" spans="1:5" s="21" customFormat="1" ht="15.75" hidden="1" customHeight="1">
      <c r="A2303" s="21">
        <v>520623</v>
      </c>
      <c r="B2303" s="21" t="s">
        <v>2292</v>
      </c>
      <c r="C2303" s="21" t="s">
        <v>5649</v>
      </c>
      <c r="D2303" s="21" t="s">
        <v>11</v>
      </c>
      <c r="E2303" s="21" t="s">
        <v>11</v>
      </c>
    </row>
    <row r="2304" spans="1:5" s="21" customFormat="1" ht="15.75" hidden="1" customHeight="1">
      <c r="A2304" s="21">
        <v>520624</v>
      </c>
      <c r="B2304" s="21" t="s">
        <v>2293</v>
      </c>
      <c r="C2304" s="21" t="s">
        <v>5649</v>
      </c>
      <c r="D2304" s="21" t="s">
        <v>11</v>
      </c>
      <c r="E2304" s="21" t="s">
        <v>11</v>
      </c>
    </row>
    <row r="2305" spans="1:5" s="21" customFormat="1" ht="15.75" hidden="1" customHeight="1">
      <c r="A2305" s="21">
        <v>520625</v>
      </c>
      <c r="B2305" s="21" t="s">
        <v>2294</v>
      </c>
      <c r="C2305" s="21" t="s">
        <v>5649</v>
      </c>
      <c r="D2305" s="21" t="s">
        <v>11</v>
      </c>
      <c r="E2305" s="21" t="s">
        <v>11</v>
      </c>
    </row>
    <row r="2306" spans="1:5" s="21" customFormat="1" ht="15.75" hidden="1" customHeight="1">
      <c r="A2306" s="21">
        <v>520631</v>
      </c>
      <c r="B2306" s="21" t="s">
        <v>2295</v>
      </c>
      <c r="C2306" s="21" t="s">
        <v>5649</v>
      </c>
      <c r="D2306" s="21" t="s">
        <v>11</v>
      </c>
      <c r="E2306" s="21" t="s">
        <v>11</v>
      </c>
    </row>
    <row r="2307" spans="1:5" s="21" customFormat="1" ht="15.75" hidden="1" customHeight="1">
      <c r="A2307" s="21">
        <v>520632</v>
      </c>
      <c r="B2307" s="21" t="s">
        <v>2296</v>
      </c>
      <c r="C2307" s="21" t="s">
        <v>5649</v>
      </c>
      <c r="D2307" s="21" t="s">
        <v>11</v>
      </c>
      <c r="E2307" s="21" t="s">
        <v>11</v>
      </c>
    </row>
    <row r="2308" spans="1:5" s="21" customFormat="1" ht="15.75" hidden="1" customHeight="1">
      <c r="A2308" s="21">
        <v>520633</v>
      </c>
      <c r="B2308" s="21" t="s">
        <v>2297</v>
      </c>
      <c r="C2308" s="21" t="s">
        <v>5649</v>
      </c>
      <c r="D2308" s="21" t="s">
        <v>11</v>
      </c>
      <c r="E2308" s="21" t="s">
        <v>11</v>
      </c>
    </row>
    <row r="2309" spans="1:5" s="21" customFormat="1" ht="15.75" hidden="1" customHeight="1">
      <c r="A2309" s="21">
        <v>520634</v>
      </c>
      <c r="B2309" s="21" t="s">
        <v>2298</v>
      </c>
      <c r="C2309" s="21" t="s">
        <v>5649</v>
      </c>
      <c r="D2309" s="21" t="s">
        <v>11</v>
      </c>
      <c r="E2309" s="21" t="s">
        <v>11</v>
      </c>
    </row>
    <row r="2310" spans="1:5" s="21" customFormat="1" ht="15.75" hidden="1" customHeight="1">
      <c r="A2310" s="21">
        <v>520635</v>
      </c>
      <c r="B2310" s="21" t="s">
        <v>2299</v>
      </c>
      <c r="C2310" s="21" t="s">
        <v>5649</v>
      </c>
      <c r="D2310" s="21" t="s">
        <v>11</v>
      </c>
      <c r="E2310" s="21" t="s">
        <v>11</v>
      </c>
    </row>
    <row r="2311" spans="1:5" s="21" customFormat="1" ht="15.75" hidden="1" customHeight="1">
      <c r="A2311" s="21">
        <v>520641</v>
      </c>
      <c r="B2311" s="21" t="s">
        <v>2300</v>
      </c>
      <c r="C2311" s="21" t="s">
        <v>5649</v>
      </c>
      <c r="D2311" s="21" t="s">
        <v>11</v>
      </c>
      <c r="E2311" s="21" t="s">
        <v>11</v>
      </c>
    </row>
    <row r="2312" spans="1:5" s="21" customFormat="1" ht="15.75" hidden="1" customHeight="1">
      <c r="A2312" s="21">
        <v>520642</v>
      </c>
      <c r="B2312" s="21" t="s">
        <v>2301</v>
      </c>
      <c r="C2312" s="21" t="s">
        <v>5649</v>
      </c>
      <c r="D2312" s="21" t="s">
        <v>11</v>
      </c>
      <c r="E2312" s="21" t="s">
        <v>11</v>
      </c>
    </row>
    <row r="2313" spans="1:5" s="21" customFormat="1" ht="15.75" hidden="1" customHeight="1">
      <c r="A2313" s="21">
        <v>520643</v>
      </c>
      <c r="B2313" s="21" t="s">
        <v>2302</v>
      </c>
      <c r="C2313" s="21" t="s">
        <v>5649</v>
      </c>
      <c r="D2313" s="21" t="s">
        <v>11</v>
      </c>
      <c r="E2313" s="21" t="s">
        <v>11</v>
      </c>
    </row>
    <row r="2314" spans="1:5" s="21" customFormat="1" ht="15.75" hidden="1" customHeight="1">
      <c r="A2314" s="21">
        <v>520644</v>
      </c>
      <c r="B2314" s="21" t="s">
        <v>2303</v>
      </c>
      <c r="C2314" s="21" t="s">
        <v>5649</v>
      </c>
      <c r="D2314" s="21" t="s">
        <v>11</v>
      </c>
      <c r="E2314" s="21" t="s">
        <v>11</v>
      </c>
    </row>
    <row r="2315" spans="1:5" s="21" customFormat="1" ht="15.75" hidden="1" customHeight="1">
      <c r="A2315" s="21">
        <v>520645</v>
      </c>
      <c r="B2315" s="21" t="s">
        <v>2304</v>
      </c>
      <c r="C2315" s="21" t="s">
        <v>5649</v>
      </c>
      <c r="D2315" s="21" t="s">
        <v>11</v>
      </c>
      <c r="E2315" s="21" t="s">
        <v>11</v>
      </c>
    </row>
    <row r="2316" spans="1:5" s="21" customFormat="1" ht="15.75" hidden="1" customHeight="1">
      <c r="A2316" s="21">
        <v>520710</v>
      </c>
      <c r="B2316" s="21" t="s">
        <v>2305</v>
      </c>
      <c r="C2316" s="21" t="s">
        <v>5649</v>
      </c>
      <c r="D2316" s="21" t="s">
        <v>11</v>
      </c>
      <c r="E2316" s="21" t="s">
        <v>11</v>
      </c>
    </row>
    <row r="2317" spans="1:5" s="21" customFormat="1" ht="15.75" hidden="1" customHeight="1">
      <c r="A2317" s="21">
        <v>520790</v>
      </c>
      <c r="B2317" s="21" t="s">
        <v>2306</v>
      </c>
      <c r="C2317" s="21" t="s">
        <v>5649</v>
      </c>
      <c r="D2317" s="21" t="s">
        <v>11</v>
      </c>
      <c r="E2317" s="21" t="s">
        <v>11</v>
      </c>
    </row>
    <row r="2318" spans="1:5" s="21" customFormat="1" ht="15.75" hidden="1" customHeight="1">
      <c r="A2318" s="21">
        <v>520811</v>
      </c>
      <c r="B2318" s="21" t="s">
        <v>2307</v>
      </c>
      <c r="C2318" s="21" t="s">
        <v>5647</v>
      </c>
      <c r="D2318" s="21" t="s">
        <v>11</v>
      </c>
      <c r="E2318" s="21" t="s">
        <v>11</v>
      </c>
    </row>
    <row r="2319" spans="1:5" s="21" customFormat="1" ht="15.75" hidden="1" customHeight="1">
      <c r="A2319" s="21">
        <v>520812</v>
      </c>
      <c r="B2319" s="21" t="s">
        <v>2308</v>
      </c>
      <c r="C2319" s="21" t="s">
        <v>5647</v>
      </c>
      <c r="D2319" s="21" t="s">
        <v>11</v>
      </c>
      <c r="E2319" s="21" t="s">
        <v>11</v>
      </c>
    </row>
    <row r="2320" spans="1:5" s="21" customFormat="1" ht="15.75" hidden="1" customHeight="1">
      <c r="A2320" s="21">
        <v>520813</v>
      </c>
      <c r="B2320" s="21" t="s">
        <v>2309</v>
      </c>
      <c r="C2320" s="21" t="s">
        <v>5647</v>
      </c>
      <c r="D2320" s="21" t="s">
        <v>11</v>
      </c>
      <c r="E2320" s="21" t="s">
        <v>11</v>
      </c>
    </row>
    <row r="2321" spans="1:5" s="21" customFormat="1" ht="15.75" hidden="1" customHeight="1">
      <c r="A2321" s="21">
        <v>520819</v>
      </c>
      <c r="B2321" s="21" t="s">
        <v>2310</v>
      </c>
      <c r="C2321" s="21" t="s">
        <v>5647</v>
      </c>
      <c r="D2321" s="21" t="s">
        <v>11</v>
      </c>
      <c r="E2321" s="21" t="s">
        <v>11</v>
      </c>
    </row>
    <row r="2322" spans="1:5" s="21" customFormat="1" ht="15.75" hidden="1" customHeight="1">
      <c r="A2322" s="21">
        <v>520821</v>
      </c>
      <c r="B2322" s="21" t="s">
        <v>2311</v>
      </c>
      <c r="C2322" s="21" t="s">
        <v>5647</v>
      </c>
      <c r="D2322" s="21" t="s">
        <v>11</v>
      </c>
      <c r="E2322" s="21" t="s">
        <v>11</v>
      </c>
    </row>
    <row r="2323" spans="1:5" s="21" customFormat="1" ht="15.75" hidden="1" customHeight="1">
      <c r="A2323" s="21">
        <v>520822</v>
      </c>
      <c r="B2323" s="21" t="s">
        <v>2312</v>
      </c>
      <c r="C2323" s="21" t="s">
        <v>5647</v>
      </c>
      <c r="D2323" s="21" t="s">
        <v>11</v>
      </c>
      <c r="E2323" s="21" t="s">
        <v>11</v>
      </c>
    </row>
    <row r="2324" spans="1:5" s="21" customFormat="1" ht="15.75" hidden="1" customHeight="1">
      <c r="A2324" s="21">
        <v>520823</v>
      </c>
      <c r="B2324" s="21" t="s">
        <v>2313</v>
      </c>
      <c r="C2324" s="21" t="s">
        <v>5647</v>
      </c>
      <c r="D2324" s="21" t="s">
        <v>11</v>
      </c>
      <c r="E2324" s="21" t="s">
        <v>11</v>
      </c>
    </row>
    <row r="2325" spans="1:5" s="21" customFormat="1" ht="15.75" hidden="1" customHeight="1">
      <c r="A2325" s="21">
        <v>520829</v>
      </c>
      <c r="B2325" s="21" t="s">
        <v>2314</v>
      </c>
      <c r="C2325" s="21" t="s">
        <v>5647</v>
      </c>
      <c r="D2325" s="21" t="s">
        <v>11</v>
      </c>
      <c r="E2325" s="21" t="s">
        <v>11</v>
      </c>
    </row>
    <row r="2326" spans="1:5" s="21" customFormat="1" ht="15.75" hidden="1" customHeight="1">
      <c r="A2326" s="21">
        <v>520831</v>
      </c>
      <c r="B2326" s="21" t="s">
        <v>2315</v>
      </c>
      <c r="C2326" s="21" t="s">
        <v>5647</v>
      </c>
      <c r="D2326" s="21" t="s">
        <v>11</v>
      </c>
      <c r="E2326" s="21" t="s">
        <v>11</v>
      </c>
    </row>
    <row r="2327" spans="1:5" s="21" customFormat="1" ht="15.75" hidden="1" customHeight="1">
      <c r="A2327" s="21">
        <v>520832</v>
      </c>
      <c r="B2327" s="21" t="s">
        <v>2316</v>
      </c>
      <c r="C2327" s="21" t="s">
        <v>5647</v>
      </c>
      <c r="D2327" s="21" t="s">
        <v>11</v>
      </c>
      <c r="E2327" s="21" t="s">
        <v>11</v>
      </c>
    </row>
    <row r="2328" spans="1:5" s="21" customFormat="1" ht="15.75" hidden="1" customHeight="1">
      <c r="A2328" s="21">
        <v>520833</v>
      </c>
      <c r="B2328" s="21" t="s">
        <v>2317</v>
      </c>
      <c r="C2328" s="21" t="s">
        <v>5647</v>
      </c>
      <c r="D2328" s="21" t="s">
        <v>11</v>
      </c>
      <c r="E2328" s="21" t="s">
        <v>11</v>
      </c>
    </row>
    <row r="2329" spans="1:5" s="21" customFormat="1" ht="15.75" hidden="1" customHeight="1">
      <c r="A2329" s="21">
        <v>520839</v>
      </c>
      <c r="B2329" s="21" t="s">
        <v>2318</v>
      </c>
      <c r="C2329" s="21" t="s">
        <v>5647</v>
      </c>
      <c r="D2329" s="21" t="s">
        <v>11</v>
      </c>
      <c r="E2329" s="21" t="s">
        <v>11</v>
      </c>
    </row>
    <row r="2330" spans="1:5" s="21" customFormat="1" ht="15.75" hidden="1" customHeight="1">
      <c r="A2330" s="21">
        <v>520841</v>
      </c>
      <c r="B2330" s="21" t="s">
        <v>2319</v>
      </c>
      <c r="C2330" s="21" t="s">
        <v>5647</v>
      </c>
      <c r="D2330" s="21" t="s">
        <v>11</v>
      </c>
      <c r="E2330" s="21" t="s">
        <v>11</v>
      </c>
    </row>
    <row r="2331" spans="1:5" s="21" customFormat="1" ht="15.75" hidden="1" customHeight="1">
      <c r="A2331" s="21">
        <v>520842</v>
      </c>
      <c r="B2331" s="21" t="s">
        <v>2320</v>
      </c>
      <c r="C2331" s="21" t="s">
        <v>5647</v>
      </c>
      <c r="D2331" s="21" t="s">
        <v>11</v>
      </c>
      <c r="E2331" s="21" t="s">
        <v>11</v>
      </c>
    </row>
    <row r="2332" spans="1:5" s="21" customFormat="1" ht="15.75" hidden="1" customHeight="1">
      <c r="A2332" s="21">
        <v>520843</v>
      </c>
      <c r="B2332" s="21" t="s">
        <v>2321</v>
      </c>
      <c r="C2332" s="21" t="s">
        <v>5647</v>
      </c>
      <c r="D2332" s="21" t="s">
        <v>11</v>
      </c>
      <c r="E2332" s="21" t="s">
        <v>11</v>
      </c>
    </row>
    <row r="2333" spans="1:5" s="21" customFormat="1" ht="15.75" hidden="1" customHeight="1">
      <c r="A2333" s="21">
        <v>520849</v>
      </c>
      <c r="B2333" s="21" t="s">
        <v>2322</v>
      </c>
      <c r="C2333" s="21" t="s">
        <v>5647</v>
      </c>
      <c r="D2333" s="21" t="s">
        <v>11</v>
      </c>
      <c r="E2333" s="21" t="s">
        <v>11</v>
      </c>
    </row>
    <row r="2334" spans="1:5" s="21" customFormat="1" ht="15.75" hidden="1" customHeight="1">
      <c r="A2334" s="21">
        <v>520851</v>
      </c>
      <c r="B2334" s="21" t="s">
        <v>2323</v>
      </c>
      <c r="C2334" s="21" t="s">
        <v>5647</v>
      </c>
      <c r="D2334" s="21" t="s">
        <v>11</v>
      </c>
      <c r="E2334" s="21" t="s">
        <v>11</v>
      </c>
    </row>
    <row r="2335" spans="1:5" s="21" customFormat="1" ht="15.75" hidden="1" customHeight="1">
      <c r="A2335" s="21">
        <v>520852</v>
      </c>
      <c r="B2335" s="21" t="s">
        <v>2324</v>
      </c>
      <c r="C2335" s="21" t="s">
        <v>5647</v>
      </c>
      <c r="D2335" s="21" t="s">
        <v>11</v>
      </c>
      <c r="E2335" s="21" t="s">
        <v>11</v>
      </c>
    </row>
    <row r="2336" spans="1:5" s="21" customFormat="1" ht="15.75" hidden="1" customHeight="1">
      <c r="A2336" s="21">
        <v>520859</v>
      </c>
      <c r="B2336" s="21" t="s">
        <v>2325</v>
      </c>
      <c r="C2336" s="21" t="s">
        <v>5647</v>
      </c>
      <c r="D2336" s="21" t="s">
        <v>11</v>
      </c>
      <c r="E2336" s="21" t="s">
        <v>11</v>
      </c>
    </row>
    <row r="2337" spans="1:5" s="21" customFormat="1" ht="15.75" hidden="1" customHeight="1">
      <c r="A2337" s="21">
        <v>520911</v>
      </c>
      <c r="B2337" s="21" t="s">
        <v>2326</v>
      </c>
      <c r="C2337" s="21" t="s">
        <v>5647</v>
      </c>
      <c r="D2337" s="21" t="s">
        <v>11</v>
      </c>
      <c r="E2337" s="21" t="s">
        <v>11</v>
      </c>
    </row>
    <row r="2338" spans="1:5" s="21" customFormat="1" ht="15.75" hidden="1" customHeight="1">
      <c r="A2338" s="21">
        <v>520912</v>
      </c>
      <c r="B2338" s="21" t="s">
        <v>2327</v>
      </c>
      <c r="C2338" s="21" t="s">
        <v>5647</v>
      </c>
      <c r="D2338" s="21" t="s">
        <v>11</v>
      </c>
      <c r="E2338" s="21" t="s">
        <v>11</v>
      </c>
    </row>
    <row r="2339" spans="1:5" s="21" customFormat="1" ht="15.75" hidden="1" customHeight="1">
      <c r="A2339" s="21">
        <v>520919</v>
      </c>
      <c r="B2339" s="21" t="s">
        <v>2328</v>
      </c>
      <c r="C2339" s="21" t="s">
        <v>5647</v>
      </c>
      <c r="D2339" s="21" t="s">
        <v>11</v>
      </c>
      <c r="E2339" s="21" t="s">
        <v>11</v>
      </c>
    </row>
    <row r="2340" spans="1:5" s="21" customFormat="1" ht="15.75" hidden="1" customHeight="1">
      <c r="A2340" s="21">
        <v>520921</v>
      </c>
      <c r="B2340" s="21" t="s">
        <v>2329</v>
      </c>
      <c r="C2340" s="21" t="s">
        <v>5647</v>
      </c>
      <c r="D2340" s="21" t="s">
        <v>11</v>
      </c>
      <c r="E2340" s="21" t="s">
        <v>11</v>
      </c>
    </row>
    <row r="2341" spans="1:5" s="21" customFormat="1" ht="15.75" hidden="1" customHeight="1">
      <c r="A2341" s="21">
        <v>520922</v>
      </c>
      <c r="B2341" s="21" t="s">
        <v>2330</v>
      </c>
      <c r="C2341" s="21" t="s">
        <v>5647</v>
      </c>
      <c r="D2341" s="21" t="s">
        <v>11</v>
      </c>
      <c r="E2341" s="21" t="s">
        <v>11</v>
      </c>
    </row>
    <row r="2342" spans="1:5" s="21" customFormat="1" ht="15.75" hidden="1" customHeight="1">
      <c r="A2342" s="21">
        <v>520929</v>
      </c>
      <c r="B2342" s="21" t="s">
        <v>2331</v>
      </c>
      <c r="C2342" s="21" t="s">
        <v>5647</v>
      </c>
      <c r="D2342" s="21" t="s">
        <v>11</v>
      </c>
      <c r="E2342" s="21" t="s">
        <v>11</v>
      </c>
    </row>
    <row r="2343" spans="1:5" s="21" customFormat="1" ht="15.75" hidden="1" customHeight="1">
      <c r="A2343" s="21">
        <v>520931</v>
      </c>
      <c r="B2343" s="21" t="s">
        <v>2332</v>
      </c>
      <c r="C2343" s="21" t="s">
        <v>5647</v>
      </c>
      <c r="D2343" s="21" t="s">
        <v>11</v>
      </c>
      <c r="E2343" s="21" t="s">
        <v>11</v>
      </c>
    </row>
    <row r="2344" spans="1:5" s="21" customFormat="1" ht="15.75" hidden="1" customHeight="1">
      <c r="A2344" s="21">
        <v>520932</v>
      </c>
      <c r="B2344" s="21" t="s">
        <v>2333</v>
      </c>
      <c r="C2344" s="21" t="s">
        <v>5647</v>
      </c>
      <c r="D2344" s="21" t="s">
        <v>11</v>
      </c>
      <c r="E2344" s="21" t="s">
        <v>11</v>
      </c>
    </row>
    <row r="2345" spans="1:5" s="21" customFormat="1" ht="15.75" hidden="1" customHeight="1">
      <c r="A2345" s="21">
        <v>520939</v>
      </c>
      <c r="B2345" s="21" t="s">
        <v>2334</v>
      </c>
      <c r="C2345" s="21" t="s">
        <v>5647</v>
      </c>
      <c r="D2345" s="21" t="s">
        <v>11</v>
      </c>
      <c r="E2345" s="21" t="s">
        <v>11</v>
      </c>
    </row>
    <row r="2346" spans="1:5" s="21" customFormat="1" ht="15.75" hidden="1" customHeight="1">
      <c r="A2346" s="21">
        <v>520941</v>
      </c>
      <c r="B2346" s="21" t="s">
        <v>2335</v>
      </c>
      <c r="C2346" s="21" t="s">
        <v>5647</v>
      </c>
      <c r="D2346" s="21" t="s">
        <v>11</v>
      </c>
      <c r="E2346" s="21" t="s">
        <v>11</v>
      </c>
    </row>
    <row r="2347" spans="1:5" s="21" customFormat="1" ht="15.75" hidden="1" customHeight="1">
      <c r="A2347" s="21">
        <v>520942</v>
      </c>
      <c r="B2347" s="21" t="s">
        <v>2336</v>
      </c>
      <c r="C2347" s="21" t="s">
        <v>5647</v>
      </c>
      <c r="D2347" s="21" t="s">
        <v>11</v>
      </c>
      <c r="E2347" s="21" t="s">
        <v>11</v>
      </c>
    </row>
    <row r="2348" spans="1:5" s="21" customFormat="1" ht="15.75" hidden="1" customHeight="1">
      <c r="A2348" s="21">
        <v>520943</v>
      </c>
      <c r="B2348" s="21" t="s">
        <v>2337</v>
      </c>
      <c r="C2348" s="21" t="s">
        <v>5647</v>
      </c>
      <c r="D2348" s="21" t="s">
        <v>11</v>
      </c>
      <c r="E2348" s="21" t="s">
        <v>11</v>
      </c>
    </row>
    <row r="2349" spans="1:5" s="21" customFormat="1" ht="15.75" hidden="1" customHeight="1">
      <c r="A2349" s="21">
        <v>520949</v>
      </c>
      <c r="B2349" s="21" t="s">
        <v>2338</v>
      </c>
      <c r="C2349" s="21" t="s">
        <v>5647</v>
      </c>
      <c r="D2349" s="21" t="s">
        <v>11</v>
      </c>
      <c r="E2349" s="21" t="s">
        <v>11</v>
      </c>
    </row>
    <row r="2350" spans="1:5" s="21" customFormat="1" ht="15.75" hidden="1" customHeight="1">
      <c r="A2350" s="21">
        <v>520951</v>
      </c>
      <c r="B2350" s="21" t="s">
        <v>2339</v>
      </c>
      <c r="C2350" s="21" t="s">
        <v>5647</v>
      </c>
      <c r="D2350" s="21" t="s">
        <v>11</v>
      </c>
      <c r="E2350" s="21" t="s">
        <v>11</v>
      </c>
    </row>
    <row r="2351" spans="1:5" s="21" customFormat="1" ht="15.75" hidden="1" customHeight="1">
      <c r="A2351" s="21">
        <v>520952</v>
      </c>
      <c r="B2351" s="21" t="s">
        <v>2340</v>
      </c>
      <c r="C2351" s="21" t="s">
        <v>5647</v>
      </c>
      <c r="D2351" s="21" t="s">
        <v>11</v>
      </c>
      <c r="E2351" s="21" t="s">
        <v>11</v>
      </c>
    </row>
    <row r="2352" spans="1:5" s="21" customFormat="1" ht="15.75" hidden="1" customHeight="1">
      <c r="A2352" s="21">
        <v>520959</v>
      </c>
      <c r="B2352" s="21" t="s">
        <v>2341</v>
      </c>
      <c r="C2352" s="21" t="s">
        <v>5647</v>
      </c>
      <c r="D2352" s="21" t="s">
        <v>11</v>
      </c>
      <c r="E2352" s="21" t="s">
        <v>11</v>
      </c>
    </row>
    <row r="2353" spans="1:5" s="21" customFormat="1" ht="15.75" hidden="1" customHeight="1">
      <c r="A2353" s="21">
        <v>521011</v>
      </c>
      <c r="B2353" s="21" t="s">
        <v>2342</v>
      </c>
      <c r="C2353" s="21" t="s">
        <v>5647</v>
      </c>
      <c r="D2353" s="21" t="s">
        <v>11</v>
      </c>
      <c r="E2353" s="21" t="s">
        <v>11</v>
      </c>
    </row>
    <row r="2354" spans="1:5" s="21" customFormat="1" ht="15.75" hidden="1" customHeight="1">
      <c r="A2354" s="21">
        <v>521019</v>
      </c>
      <c r="B2354" s="21" t="s">
        <v>2343</v>
      </c>
      <c r="C2354" s="21" t="s">
        <v>5647</v>
      </c>
      <c r="D2354" s="21" t="s">
        <v>11</v>
      </c>
      <c r="E2354" s="21" t="s">
        <v>11</v>
      </c>
    </row>
    <row r="2355" spans="1:5" s="21" customFormat="1" ht="15.75" hidden="1" customHeight="1">
      <c r="A2355" s="21">
        <v>521021</v>
      </c>
      <c r="B2355" s="21" t="s">
        <v>2344</v>
      </c>
      <c r="C2355" s="21" t="s">
        <v>5647</v>
      </c>
      <c r="D2355" s="21" t="s">
        <v>11</v>
      </c>
      <c r="E2355" s="21" t="s">
        <v>11</v>
      </c>
    </row>
    <row r="2356" spans="1:5" s="21" customFormat="1" ht="15.75" hidden="1" customHeight="1">
      <c r="A2356" s="21">
        <v>521029</v>
      </c>
      <c r="B2356" s="21" t="s">
        <v>2345</v>
      </c>
      <c r="C2356" s="21" t="s">
        <v>5647</v>
      </c>
      <c r="D2356" s="21" t="s">
        <v>11</v>
      </c>
      <c r="E2356" s="21" t="s">
        <v>11</v>
      </c>
    </row>
    <row r="2357" spans="1:5" s="21" customFormat="1" ht="15.75" hidden="1" customHeight="1">
      <c r="A2357" s="21">
        <v>521031</v>
      </c>
      <c r="B2357" s="21" t="s">
        <v>2346</v>
      </c>
      <c r="C2357" s="21" t="s">
        <v>5647</v>
      </c>
      <c r="D2357" s="21" t="s">
        <v>11</v>
      </c>
      <c r="E2357" s="21" t="s">
        <v>11</v>
      </c>
    </row>
    <row r="2358" spans="1:5" s="21" customFormat="1" ht="15.75" hidden="1" customHeight="1">
      <c r="A2358" s="21">
        <v>521032</v>
      </c>
      <c r="B2358" s="21" t="s">
        <v>2347</v>
      </c>
      <c r="C2358" s="21" t="s">
        <v>5647</v>
      </c>
      <c r="D2358" s="21" t="s">
        <v>11</v>
      </c>
      <c r="E2358" s="21" t="s">
        <v>11</v>
      </c>
    </row>
    <row r="2359" spans="1:5" s="21" customFormat="1" ht="15.75" hidden="1" customHeight="1">
      <c r="A2359" s="21">
        <v>521039</v>
      </c>
      <c r="B2359" s="21" t="s">
        <v>2348</v>
      </c>
      <c r="C2359" s="21" t="s">
        <v>5647</v>
      </c>
      <c r="D2359" s="21" t="s">
        <v>11</v>
      </c>
      <c r="E2359" s="21" t="s">
        <v>11</v>
      </c>
    </row>
    <row r="2360" spans="1:5" s="21" customFormat="1" ht="15.75" hidden="1" customHeight="1">
      <c r="A2360" s="21">
        <v>521041</v>
      </c>
      <c r="B2360" s="21" t="s">
        <v>2349</v>
      </c>
      <c r="C2360" s="21" t="s">
        <v>5647</v>
      </c>
      <c r="D2360" s="21" t="s">
        <v>11</v>
      </c>
      <c r="E2360" s="21" t="s">
        <v>11</v>
      </c>
    </row>
    <row r="2361" spans="1:5" s="21" customFormat="1" ht="15.75" hidden="1" customHeight="1">
      <c r="A2361" s="21">
        <v>521049</v>
      </c>
      <c r="B2361" s="21" t="s">
        <v>2350</v>
      </c>
      <c r="C2361" s="21" t="s">
        <v>5647</v>
      </c>
      <c r="D2361" s="21" t="s">
        <v>11</v>
      </c>
      <c r="E2361" s="21" t="s">
        <v>11</v>
      </c>
    </row>
    <row r="2362" spans="1:5" s="21" customFormat="1" ht="15.75" hidden="1" customHeight="1">
      <c r="A2362" s="21">
        <v>521051</v>
      </c>
      <c r="B2362" s="21" t="s">
        <v>2351</v>
      </c>
      <c r="C2362" s="21" t="s">
        <v>5647</v>
      </c>
      <c r="D2362" s="21" t="s">
        <v>11</v>
      </c>
      <c r="E2362" s="21" t="s">
        <v>11</v>
      </c>
    </row>
    <row r="2363" spans="1:5" s="21" customFormat="1" ht="15.75" hidden="1" customHeight="1">
      <c r="A2363" s="21">
        <v>521059</v>
      </c>
      <c r="B2363" s="21" t="s">
        <v>2352</v>
      </c>
      <c r="C2363" s="21" t="s">
        <v>5647</v>
      </c>
      <c r="D2363" s="21" t="s">
        <v>11</v>
      </c>
      <c r="E2363" s="21" t="s">
        <v>11</v>
      </c>
    </row>
    <row r="2364" spans="1:5" s="21" customFormat="1" ht="15.75" hidden="1" customHeight="1">
      <c r="A2364" s="21">
        <v>521111</v>
      </c>
      <c r="B2364" s="21" t="s">
        <v>2353</v>
      </c>
      <c r="C2364" s="21" t="s">
        <v>5647</v>
      </c>
      <c r="D2364" s="21" t="s">
        <v>11</v>
      </c>
      <c r="E2364" s="21" t="s">
        <v>11</v>
      </c>
    </row>
    <row r="2365" spans="1:5" s="21" customFormat="1" ht="15.75" hidden="1" customHeight="1">
      <c r="A2365" s="21">
        <v>521112</v>
      </c>
      <c r="B2365" s="21" t="s">
        <v>2354</v>
      </c>
      <c r="C2365" s="21" t="s">
        <v>5647</v>
      </c>
      <c r="D2365" s="21" t="s">
        <v>11</v>
      </c>
      <c r="E2365" s="21" t="s">
        <v>11</v>
      </c>
    </row>
    <row r="2366" spans="1:5" s="21" customFormat="1" ht="15.75" hidden="1" customHeight="1">
      <c r="A2366" s="21">
        <v>521119</v>
      </c>
      <c r="B2366" s="21" t="s">
        <v>2355</v>
      </c>
      <c r="C2366" s="21" t="s">
        <v>5647</v>
      </c>
      <c r="D2366" s="21" t="s">
        <v>11</v>
      </c>
      <c r="E2366" s="21" t="s">
        <v>11</v>
      </c>
    </row>
    <row r="2367" spans="1:5" s="21" customFormat="1" ht="15.75" hidden="1" customHeight="1">
      <c r="A2367" s="21">
        <v>521120</v>
      </c>
      <c r="B2367" s="21" t="s">
        <v>2356</v>
      </c>
      <c r="C2367" s="21" t="s">
        <v>5647</v>
      </c>
      <c r="D2367" s="21" t="s">
        <v>11</v>
      </c>
      <c r="E2367" s="21" t="s">
        <v>11</v>
      </c>
    </row>
    <row r="2368" spans="1:5" s="21" customFormat="1" ht="15.75" hidden="1" customHeight="1">
      <c r="A2368" s="21">
        <v>521131</v>
      </c>
      <c r="B2368" s="21" t="s">
        <v>2357</v>
      </c>
      <c r="C2368" s="21" t="s">
        <v>5647</v>
      </c>
      <c r="D2368" s="21" t="s">
        <v>11</v>
      </c>
      <c r="E2368" s="21" t="s">
        <v>11</v>
      </c>
    </row>
    <row r="2369" spans="1:5" s="21" customFormat="1" ht="15.75" hidden="1" customHeight="1">
      <c r="A2369" s="21">
        <v>521132</v>
      </c>
      <c r="B2369" s="21" t="s">
        <v>2358</v>
      </c>
      <c r="C2369" s="21" t="s">
        <v>5647</v>
      </c>
      <c r="D2369" s="21" t="s">
        <v>11</v>
      </c>
      <c r="E2369" s="21" t="s">
        <v>11</v>
      </c>
    </row>
    <row r="2370" spans="1:5" s="21" customFormat="1" ht="15.75" hidden="1" customHeight="1">
      <c r="A2370" s="21">
        <v>521139</v>
      </c>
      <c r="B2370" s="21" t="s">
        <v>2359</v>
      </c>
      <c r="C2370" s="21" t="s">
        <v>5647</v>
      </c>
      <c r="D2370" s="21" t="s">
        <v>11</v>
      </c>
      <c r="E2370" s="21" t="s">
        <v>11</v>
      </c>
    </row>
    <row r="2371" spans="1:5" s="21" customFormat="1" ht="15.75" hidden="1" customHeight="1">
      <c r="A2371" s="21">
        <v>521141</v>
      </c>
      <c r="B2371" s="21" t="s">
        <v>2360</v>
      </c>
      <c r="C2371" s="21" t="s">
        <v>5647</v>
      </c>
      <c r="D2371" s="21" t="s">
        <v>11</v>
      </c>
      <c r="E2371" s="21" t="s">
        <v>11</v>
      </c>
    </row>
    <row r="2372" spans="1:5" s="21" customFormat="1" ht="15.75" hidden="1" customHeight="1">
      <c r="A2372" s="21">
        <v>521142</v>
      </c>
      <c r="B2372" s="21" t="s">
        <v>2361</v>
      </c>
      <c r="C2372" s="21" t="s">
        <v>5647</v>
      </c>
      <c r="D2372" s="21" t="s">
        <v>11</v>
      </c>
      <c r="E2372" s="21" t="s">
        <v>11</v>
      </c>
    </row>
    <row r="2373" spans="1:5" s="21" customFormat="1" ht="15.75" hidden="1" customHeight="1">
      <c r="A2373" s="21">
        <v>521143</v>
      </c>
      <c r="B2373" s="21" t="s">
        <v>2362</v>
      </c>
      <c r="C2373" s="21" t="s">
        <v>5647</v>
      </c>
      <c r="D2373" s="21" t="s">
        <v>11</v>
      </c>
      <c r="E2373" s="21" t="s">
        <v>11</v>
      </c>
    </row>
    <row r="2374" spans="1:5" s="21" customFormat="1" ht="15.75" hidden="1" customHeight="1">
      <c r="A2374" s="21">
        <v>521149</v>
      </c>
      <c r="B2374" s="21" t="s">
        <v>2363</v>
      </c>
      <c r="C2374" s="21" t="s">
        <v>5647</v>
      </c>
      <c r="D2374" s="21" t="s">
        <v>11</v>
      </c>
      <c r="E2374" s="21" t="s">
        <v>11</v>
      </c>
    </row>
    <row r="2375" spans="1:5" s="21" customFormat="1" ht="15.75" hidden="1" customHeight="1">
      <c r="A2375" s="21">
        <v>521151</v>
      </c>
      <c r="B2375" s="21" t="s">
        <v>2364</v>
      </c>
      <c r="C2375" s="21" t="s">
        <v>5647</v>
      </c>
      <c r="D2375" s="21" t="s">
        <v>11</v>
      </c>
      <c r="E2375" s="21" t="s">
        <v>11</v>
      </c>
    </row>
    <row r="2376" spans="1:5" s="21" customFormat="1" ht="15.75" hidden="1" customHeight="1">
      <c r="A2376" s="21">
        <v>521152</v>
      </c>
      <c r="B2376" s="21" t="s">
        <v>2365</v>
      </c>
      <c r="C2376" s="21" t="s">
        <v>5647</v>
      </c>
      <c r="D2376" s="21" t="s">
        <v>11</v>
      </c>
      <c r="E2376" s="21" t="s">
        <v>11</v>
      </c>
    </row>
    <row r="2377" spans="1:5" s="21" customFormat="1" ht="15.75" hidden="1" customHeight="1">
      <c r="A2377" s="21">
        <v>521159</v>
      </c>
      <c r="B2377" s="21" t="s">
        <v>2366</v>
      </c>
      <c r="C2377" s="21" t="s">
        <v>5647</v>
      </c>
      <c r="D2377" s="21" t="s">
        <v>11</v>
      </c>
      <c r="E2377" s="21" t="s">
        <v>11</v>
      </c>
    </row>
    <row r="2378" spans="1:5" s="21" customFormat="1" ht="15.75" hidden="1" customHeight="1">
      <c r="A2378" s="21">
        <v>521211</v>
      </c>
      <c r="B2378" s="21" t="s">
        <v>2367</v>
      </c>
      <c r="C2378" s="21" t="s">
        <v>5647</v>
      </c>
      <c r="D2378" s="21" t="s">
        <v>11</v>
      </c>
      <c r="E2378" s="21" t="s">
        <v>11</v>
      </c>
    </row>
    <row r="2379" spans="1:5" s="21" customFormat="1" ht="15.75" hidden="1" customHeight="1">
      <c r="A2379" s="21">
        <v>521212</v>
      </c>
      <c r="B2379" s="21" t="s">
        <v>2368</v>
      </c>
      <c r="C2379" s="21" t="s">
        <v>5647</v>
      </c>
      <c r="D2379" s="21" t="s">
        <v>11</v>
      </c>
      <c r="E2379" s="21" t="s">
        <v>11</v>
      </c>
    </row>
    <row r="2380" spans="1:5" s="21" customFormat="1" ht="15.75" hidden="1" customHeight="1">
      <c r="A2380" s="21">
        <v>521213</v>
      </c>
      <c r="B2380" s="21" t="s">
        <v>2369</v>
      </c>
      <c r="C2380" s="21" t="s">
        <v>5647</v>
      </c>
      <c r="D2380" s="21" t="s">
        <v>11</v>
      </c>
      <c r="E2380" s="21" t="s">
        <v>11</v>
      </c>
    </row>
    <row r="2381" spans="1:5" s="21" customFormat="1" ht="15.75" hidden="1" customHeight="1">
      <c r="A2381" s="21">
        <v>521214</v>
      </c>
      <c r="B2381" s="21" t="s">
        <v>2370</v>
      </c>
      <c r="C2381" s="21" t="s">
        <v>5647</v>
      </c>
      <c r="D2381" s="21" t="s">
        <v>11</v>
      </c>
      <c r="E2381" s="21" t="s">
        <v>11</v>
      </c>
    </row>
    <row r="2382" spans="1:5" s="21" customFormat="1" ht="15.75" hidden="1" customHeight="1">
      <c r="A2382" s="21">
        <v>521215</v>
      </c>
      <c r="B2382" s="21" t="s">
        <v>2371</v>
      </c>
      <c r="C2382" s="21" t="s">
        <v>5647</v>
      </c>
      <c r="D2382" s="21" t="s">
        <v>11</v>
      </c>
      <c r="E2382" s="21" t="s">
        <v>11</v>
      </c>
    </row>
    <row r="2383" spans="1:5" s="21" customFormat="1" ht="15.75" hidden="1" customHeight="1">
      <c r="A2383" s="21">
        <v>521221</v>
      </c>
      <c r="B2383" s="21" t="s">
        <v>2372</v>
      </c>
      <c r="C2383" s="21" t="s">
        <v>5647</v>
      </c>
      <c r="D2383" s="21" t="s">
        <v>11</v>
      </c>
      <c r="E2383" s="21" t="s">
        <v>11</v>
      </c>
    </row>
    <row r="2384" spans="1:5" s="21" customFormat="1" ht="15.75" hidden="1" customHeight="1">
      <c r="A2384" s="21">
        <v>521222</v>
      </c>
      <c r="B2384" s="21" t="s">
        <v>2373</v>
      </c>
      <c r="C2384" s="21" t="s">
        <v>5647</v>
      </c>
      <c r="D2384" s="21" t="s">
        <v>11</v>
      </c>
      <c r="E2384" s="21" t="s">
        <v>11</v>
      </c>
    </row>
    <row r="2385" spans="1:5" s="21" customFormat="1" ht="15.75" hidden="1" customHeight="1">
      <c r="A2385" s="21">
        <v>521223</v>
      </c>
      <c r="B2385" s="21" t="s">
        <v>2374</v>
      </c>
      <c r="C2385" s="21" t="s">
        <v>5647</v>
      </c>
      <c r="D2385" s="21" t="s">
        <v>11</v>
      </c>
      <c r="E2385" s="21" t="s">
        <v>11</v>
      </c>
    </row>
    <row r="2386" spans="1:5" s="21" customFormat="1" ht="15.75" hidden="1" customHeight="1">
      <c r="A2386" s="21">
        <v>521224</v>
      </c>
      <c r="B2386" s="21" t="s">
        <v>2375</v>
      </c>
      <c r="C2386" s="21" t="s">
        <v>5647</v>
      </c>
      <c r="D2386" s="21" t="s">
        <v>11</v>
      </c>
      <c r="E2386" s="21" t="s">
        <v>11</v>
      </c>
    </row>
    <row r="2387" spans="1:5" s="21" customFormat="1" ht="15.75" hidden="1" customHeight="1">
      <c r="A2387" s="21">
        <v>521225</v>
      </c>
      <c r="B2387" s="21" t="s">
        <v>2376</v>
      </c>
      <c r="C2387" s="21" t="s">
        <v>5647</v>
      </c>
      <c r="D2387" s="21" t="s">
        <v>11</v>
      </c>
      <c r="E2387" s="21" t="s">
        <v>11</v>
      </c>
    </row>
    <row r="2388" spans="1:5" s="21" customFormat="1" ht="15.75" hidden="1" customHeight="1">
      <c r="A2388" s="21">
        <v>530110</v>
      </c>
      <c r="B2388" s="21" t="s">
        <v>2377</v>
      </c>
      <c r="C2388" s="21" t="s">
        <v>5650</v>
      </c>
      <c r="D2388" s="21" t="s">
        <v>11</v>
      </c>
      <c r="E2388" s="21" t="s">
        <v>11</v>
      </c>
    </row>
    <row r="2389" spans="1:5" s="21" customFormat="1" ht="15.75" hidden="1" customHeight="1">
      <c r="A2389" s="21">
        <v>530121</v>
      </c>
      <c r="B2389" s="21" t="s">
        <v>2378</v>
      </c>
      <c r="C2389" s="21" t="s">
        <v>5650</v>
      </c>
      <c r="D2389" s="21" t="s">
        <v>11</v>
      </c>
      <c r="E2389" s="21" t="s">
        <v>11</v>
      </c>
    </row>
    <row r="2390" spans="1:5" s="21" customFormat="1" ht="15.75" hidden="1" customHeight="1">
      <c r="A2390" s="21">
        <v>530129</v>
      </c>
      <c r="B2390" s="21" t="s">
        <v>2379</v>
      </c>
      <c r="C2390" s="21" t="s">
        <v>5650</v>
      </c>
      <c r="D2390" s="21" t="s">
        <v>11</v>
      </c>
      <c r="E2390" s="21" t="s">
        <v>11</v>
      </c>
    </row>
    <row r="2391" spans="1:5" s="21" customFormat="1" ht="15.75" hidden="1" customHeight="1">
      <c r="A2391" s="21">
        <v>530130</v>
      </c>
      <c r="B2391" s="21" t="s">
        <v>2380</v>
      </c>
      <c r="C2391" s="21" t="s">
        <v>5650</v>
      </c>
      <c r="D2391" s="21" t="s">
        <v>11</v>
      </c>
      <c r="E2391" s="21" t="s">
        <v>11</v>
      </c>
    </row>
    <row r="2392" spans="1:5" s="21" customFormat="1" ht="15.75" hidden="1" customHeight="1">
      <c r="A2392" s="21">
        <v>530210</v>
      </c>
      <c r="B2392" s="21" t="s">
        <v>2381</v>
      </c>
      <c r="C2392" s="21" t="s">
        <v>5651</v>
      </c>
      <c r="D2392" s="21" t="s">
        <v>11</v>
      </c>
      <c r="E2392" s="21" t="s">
        <v>11</v>
      </c>
    </row>
    <row r="2393" spans="1:5" s="21" customFormat="1" ht="15.75" hidden="1" customHeight="1">
      <c r="A2393" s="21">
        <v>530290</v>
      </c>
      <c r="B2393" s="21" t="s">
        <v>2382</v>
      </c>
      <c r="C2393" s="21" t="s">
        <v>5651</v>
      </c>
      <c r="D2393" s="21" t="s">
        <v>11</v>
      </c>
      <c r="E2393" s="21" t="s">
        <v>11</v>
      </c>
    </row>
    <row r="2394" spans="1:5" s="21" customFormat="1" ht="15.75" hidden="1" customHeight="1">
      <c r="A2394" s="21">
        <v>530310</v>
      </c>
      <c r="B2394" s="21" t="s">
        <v>2383</v>
      </c>
      <c r="C2394" s="21" t="s">
        <v>5652</v>
      </c>
      <c r="D2394" s="21" t="s">
        <v>11</v>
      </c>
      <c r="E2394" s="21" t="s">
        <v>11</v>
      </c>
    </row>
    <row r="2395" spans="1:5" s="21" customFormat="1" ht="15.75" hidden="1" customHeight="1">
      <c r="A2395" s="21">
        <v>530390</v>
      </c>
      <c r="B2395" s="21" t="s">
        <v>2384</v>
      </c>
      <c r="C2395" s="21" t="s">
        <v>5652</v>
      </c>
      <c r="D2395" s="21" t="s">
        <v>11</v>
      </c>
      <c r="E2395" s="21" t="s">
        <v>11</v>
      </c>
    </row>
    <row r="2396" spans="1:5" s="21" customFormat="1" ht="15.75" hidden="1" customHeight="1">
      <c r="A2396" s="21">
        <v>530500</v>
      </c>
      <c r="B2396" s="21" t="s">
        <v>2385</v>
      </c>
      <c r="C2396" s="21" t="s">
        <v>5653</v>
      </c>
      <c r="D2396" s="21" t="s">
        <v>11</v>
      </c>
      <c r="E2396" s="21" t="s">
        <v>11</v>
      </c>
    </row>
    <row r="2397" spans="1:5" s="21" customFormat="1" ht="15.75" hidden="1" customHeight="1">
      <c r="A2397" s="21">
        <v>530610</v>
      </c>
      <c r="B2397" s="21" t="s">
        <v>2386</v>
      </c>
      <c r="C2397" s="21" t="s">
        <v>5646</v>
      </c>
      <c r="D2397" s="21" t="s">
        <v>11</v>
      </c>
      <c r="E2397" s="21" t="s">
        <v>11</v>
      </c>
    </row>
    <row r="2398" spans="1:5" s="21" customFormat="1" ht="15.75" hidden="1" customHeight="1">
      <c r="A2398" s="21">
        <v>530620</v>
      </c>
      <c r="B2398" s="21" t="s">
        <v>2387</v>
      </c>
      <c r="C2398" s="21" t="s">
        <v>5646</v>
      </c>
      <c r="D2398" s="21" t="s">
        <v>11</v>
      </c>
      <c r="E2398" s="21" t="s">
        <v>11</v>
      </c>
    </row>
    <row r="2399" spans="1:5" s="21" customFormat="1" ht="15.75" hidden="1" customHeight="1">
      <c r="A2399" s="21">
        <v>530710</v>
      </c>
      <c r="B2399" s="21" t="s">
        <v>2388</v>
      </c>
      <c r="C2399" s="21" t="s">
        <v>5646</v>
      </c>
      <c r="D2399" s="21" t="s">
        <v>11</v>
      </c>
      <c r="E2399" s="21" t="s">
        <v>11</v>
      </c>
    </row>
    <row r="2400" spans="1:5" s="21" customFormat="1" ht="15.75" hidden="1" customHeight="1">
      <c r="A2400" s="21">
        <v>530720</v>
      </c>
      <c r="B2400" s="21" t="s">
        <v>2389</v>
      </c>
      <c r="C2400" s="21" t="s">
        <v>5646</v>
      </c>
      <c r="D2400" s="21" t="s">
        <v>11</v>
      </c>
      <c r="E2400" s="21" t="s">
        <v>11</v>
      </c>
    </row>
    <row r="2401" spans="1:5" s="21" customFormat="1" ht="15.75" hidden="1" customHeight="1">
      <c r="A2401" s="21">
        <v>530810</v>
      </c>
      <c r="B2401" s="21" t="s">
        <v>2390</v>
      </c>
      <c r="C2401" s="21" t="s">
        <v>5646</v>
      </c>
      <c r="D2401" s="21" t="s">
        <v>11</v>
      </c>
      <c r="E2401" s="21" t="s">
        <v>11</v>
      </c>
    </row>
    <row r="2402" spans="1:5" s="21" customFormat="1" ht="15.75" hidden="1" customHeight="1">
      <c r="A2402" s="21">
        <v>530820</v>
      </c>
      <c r="B2402" s="21" t="s">
        <v>2391</v>
      </c>
      <c r="C2402" s="21" t="s">
        <v>5646</v>
      </c>
      <c r="D2402" s="21" t="s">
        <v>11</v>
      </c>
      <c r="E2402" s="21" t="s">
        <v>11</v>
      </c>
    </row>
    <row r="2403" spans="1:5" s="21" customFormat="1" ht="15.75" hidden="1" customHeight="1">
      <c r="A2403" s="21">
        <v>530890</v>
      </c>
      <c r="B2403" s="21" t="s">
        <v>2392</v>
      </c>
      <c r="C2403" s="21" t="s">
        <v>5646</v>
      </c>
      <c r="D2403" s="21" t="s">
        <v>11</v>
      </c>
      <c r="E2403" s="21" t="s">
        <v>11</v>
      </c>
    </row>
    <row r="2404" spans="1:5" s="21" customFormat="1" ht="15.75" hidden="1" customHeight="1">
      <c r="A2404" s="21">
        <v>530911</v>
      </c>
      <c r="B2404" s="21" t="s">
        <v>2393</v>
      </c>
      <c r="C2404" s="21" t="s">
        <v>5647</v>
      </c>
      <c r="D2404" s="21" t="s">
        <v>11</v>
      </c>
      <c r="E2404" s="21" t="s">
        <v>11</v>
      </c>
    </row>
    <row r="2405" spans="1:5" s="21" customFormat="1" ht="15.75" hidden="1" customHeight="1">
      <c r="A2405" s="21">
        <v>530919</v>
      </c>
      <c r="B2405" s="21" t="s">
        <v>2394</v>
      </c>
      <c r="C2405" s="21" t="s">
        <v>5647</v>
      </c>
      <c r="D2405" s="21" t="s">
        <v>11</v>
      </c>
      <c r="E2405" s="21" t="s">
        <v>11</v>
      </c>
    </row>
    <row r="2406" spans="1:5" s="21" customFormat="1" ht="15.75" hidden="1" customHeight="1">
      <c r="A2406" s="21">
        <v>530921</v>
      </c>
      <c r="B2406" s="21" t="s">
        <v>2395</v>
      </c>
      <c r="C2406" s="21" t="s">
        <v>5647</v>
      </c>
      <c r="D2406" s="21" t="s">
        <v>11</v>
      </c>
      <c r="E2406" s="21" t="s">
        <v>11</v>
      </c>
    </row>
    <row r="2407" spans="1:5" s="21" customFormat="1" ht="15.75" hidden="1" customHeight="1">
      <c r="A2407" s="21">
        <v>530929</v>
      </c>
      <c r="B2407" s="21" t="s">
        <v>2396</v>
      </c>
      <c r="C2407" s="21" t="s">
        <v>5647</v>
      </c>
      <c r="D2407" s="21" t="s">
        <v>11</v>
      </c>
      <c r="E2407" s="21" t="s">
        <v>11</v>
      </c>
    </row>
    <row r="2408" spans="1:5" s="21" customFormat="1" ht="15.75" hidden="1" customHeight="1">
      <c r="A2408" s="21">
        <v>531010</v>
      </c>
      <c r="B2408" s="21" t="s">
        <v>2397</v>
      </c>
      <c r="C2408" s="21" t="s">
        <v>5647</v>
      </c>
      <c r="D2408" s="21" t="s">
        <v>11</v>
      </c>
      <c r="E2408" s="21" t="s">
        <v>11</v>
      </c>
    </row>
    <row r="2409" spans="1:5" s="21" customFormat="1" ht="15.75" hidden="1" customHeight="1">
      <c r="A2409" s="21">
        <v>531090</v>
      </c>
      <c r="B2409" s="21" t="s">
        <v>2398</v>
      </c>
      <c r="C2409" s="21" t="s">
        <v>5647</v>
      </c>
      <c r="D2409" s="21" t="s">
        <v>11</v>
      </c>
      <c r="E2409" s="21" t="s">
        <v>11</v>
      </c>
    </row>
    <row r="2410" spans="1:5" s="21" customFormat="1" ht="15.75" hidden="1" customHeight="1">
      <c r="A2410" s="21">
        <v>531100</v>
      </c>
      <c r="B2410" s="21" t="s">
        <v>2399</v>
      </c>
      <c r="C2410" s="21" t="s">
        <v>5647</v>
      </c>
      <c r="D2410" s="21" t="s">
        <v>11</v>
      </c>
      <c r="E2410" s="21" t="s">
        <v>11</v>
      </c>
    </row>
    <row r="2411" spans="1:5" s="21" customFormat="1" ht="15.75" hidden="1" customHeight="1">
      <c r="A2411" s="21">
        <v>540110</v>
      </c>
      <c r="B2411" s="21" t="s">
        <v>2400</v>
      </c>
      <c r="C2411" s="21" t="s">
        <v>5654</v>
      </c>
      <c r="D2411" s="21" t="s">
        <v>11</v>
      </c>
      <c r="E2411" s="21" t="s">
        <v>11</v>
      </c>
    </row>
    <row r="2412" spans="1:5" s="21" customFormat="1" ht="15.75" hidden="1" customHeight="1">
      <c r="A2412" s="21">
        <v>540120</v>
      </c>
      <c r="B2412" s="21" t="s">
        <v>2401</v>
      </c>
      <c r="C2412" s="21" t="s">
        <v>5654</v>
      </c>
      <c r="D2412" s="21" t="s">
        <v>11</v>
      </c>
      <c r="E2412" s="21" t="s">
        <v>11</v>
      </c>
    </row>
    <row r="2413" spans="1:5" s="21" customFormat="1" ht="15.75" hidden="1" customHeight="1">
      <c r="A2413" s="21">
        <v>540211</v>
      </c>
      <c r="B2413" s="21" t="s">
        <v>2402</v>
      </c>
      <c r="C2413" s="21" t="s">
        <v>5655</v>
      </c>
      <c r="D2413" s="21" t="s">
        <v>11</v>
      </c>
      <c r="E2413" s="21" t="s">
        <v>11</v>
      </c>
    </row>
    <row r="2414" spans="1:5" s="21" customFormat="1" ht="15.75" hidden="1" customHeight="1">
      <c r="A2414" s="21">
        <v>540219</v>
      </c>
      <c r="B2414" s="21" t="s">
        <v>2403</v>
      </c>
      <c r="C2414" s="21" t="s">
        <v>5655</v>
      </c>
      <c r="D2414" s="21" t="s">
        <v>11</v>
      </c>
      <c r="E2414" s="21" t="s">
        <v>11</v>
      </c>
    </row>
    <row r="2415" spans="1:5" s="21" customFormat="1" ht="15.75" hidden="1" customHeight="1">
      <c r="A2415" s="21">
        <v>540220</v>
      </c>
      <c r="B2415" s="21" t="s">
        <v>2404</v>
      </c>
      <c r="C2415" s="21" t="s">
        <v>5655</v>
      </c>
      <c r="D2415" s="21" t="s">
        <v>11</v>
      </c>
      <c r="E2415" s="21" t="s">
        <v>11</v>
      </c>
    </row>
    <row r="2416" spans="1:5" s="21" customFormat="1" ht="15.75" hidden="1" customHeight="1">
      <c r="A2416" s="21">
        <v>540231</v>
      </c>
      <c r="B2416" s="21" t="s">
        <v>2405</v>
      </c>
      <c r="C2416" s="21" t="s">
        <v>5655</v>
      </c>
      <c r="D2416" s="21" t="s">
        <v>11</v>
      </c>
      <c r="E2416" s="21" t="s">
        <v>11</v>
      </c>
    </row>
    <row r="2417" spans="1:5" s="21" customFormat="1" ht="15.75" hidden="1" customHeight="1">
      <c r="A2417" s="21">
        <v>540232</v>
      </c>
      <c r="B2417" s="21" t="s">
        <v>2406</v>
      </c>
      <c r="C2417" s="21" t="s">
        <v>5655</v>
      </c>
      <c r="D2417" s="21" t="s">
        <v>11</v>
      </c>
      <c r="E2417" s="21" t="s">
        <v>11</v>
      </c>
    </row>
    <row r="2418" spans="1:5" s="21" customFormat="1" ht="15.75" hidden="1" customHeight="1">
      <c r="A2418" s="21">
        <v>540233</v>
      </c>
      <c r="B2418" s="21" t="s">
        <v>2407</v>
      </c>
      <c r="C2418" s="21" t="s">
        <v>5655</v>
      </c>
      <c r="D2418" s="21" t="s">
        <v>11</v>
      </c>
      <c r="E2418" s="21" t="s">
        <v>11</v>
      </c>
    </row>
    <row r="2419" spans="1:5" s="21" customFormat="1" ht="15.75" hidden="1" customHeight="1">
      <c r="A2419" s="21">
        <v>540234</v>
      </c>
      <c r="B2419" s="21" t="s">
        <v>2408</v>
      </c>
      <c r="C2419" s="21" t="s">
        <v>5655</v>
      </c>
      <c r="D2419" s="21" t="s">
        <v>11</v>
      </c>
      <c r="E2419" s="21" t="s">
        <v>11</v>
      </c>
    </row>
    <row r="2420" spans="1:5" s="21" customFormat="1" ht="15.75" hidden="1" customHeight="1">
      <c r="A2420" s="21">
        <v>540239</v>
      </c>
      <c r="B2420" s="21" t="s">
        <v>2409</v>
      </c>
      <c r="C2420" s="21" t="s">
        <v>5655</v>
      </c>
      <c r="D2420" s="21" t="s">
        <v>11</v>
      </c>
      <c r="E2420" s="21" t="s">
        <v>11</v>
      </c>
    </row>
    <row r="2421" spans="1:5" s="21" customFormat="1" ht="15.75" hidden="1" customHeight="1">
      <c r="A2421" s="21">
        <v>540244</v>
      </c>
      <c r="B2421" s="21" t="s">
        <v>2410</v>
      </c>
      <c r="C2421" s="21" t="s">
        <v>5655</v>
      </c>
      <c r="D2421" s="21" t="s">
        <v>11</v>
      </c>
      <c r="E2421" s="21" t="s">
        <v>11</v>
      </c>
    </row>
    <row r="2422" spans="1:5" s="21" customFormat="1" ht="15.75" hidden="1" customHeight="1">
      <c r="A2422" s="21">
        <v>540245</v>
      </c>
      <c r="B2422" s="21" t="s">
        <v>2411</v>
      </c>
      <c r="C2422" s="21" t="s">
        <v>5655</v>
      </c>
      <c r="D2422" s="21" t="s">
        <v>11</v>
      </c>
      <c r="E2422" s="21" t="s">
        <v>11</v>
      </c>
    </row>
    <row r="2423" spans="1:5" s="21" customFormat="1" ht="15.75" hidden="1" customHeight="1">
      <c r="A2423" s="21">
        <v>540246</v>
      </c>
      <c r="B2423" s="21" t="s">
        <v>2412</v>
      </c>
      <c r="C2423" s="21" t="s">
        <v>5655</v>
      </c>
      <c r="D2423" s="21" t="s">
        <v>11</v>
      </c>
      <c r="E2423" s="21" t="s">
        <v>11</v>
      </c>
    </row>
    <row r="2424" spans="1:5" s="21" customFormat="1" ht="15.75" hidden="1" customHeight="1">
      <c r="A2424" s="21">
        <v>540247</v>
      </c>
      <c r="B2424" s="21" t="s">
        <v>2413</v>
      </c>
      <c r="C2424" s="21" t="s">
        <v>5655</v>
      </c>
      <c r="D2424" s="21" t="s">
        <v>11</v>
      </c>
      <c r="E2424" s="21" t="s">
        <v>11</v>
      </c>
    </row>
    <row r="2425" spans="1:5" s="21" customFormat="1" ht="15.75" hidden="1" customHeight="1">
      <c r="A2425" s="21">
        <v>540248</v>
      </c>
      <c r="B2425" s="21" t="s">
        <v>2414</v>
      </c>
      <c r="C2425" s="21" t="s">
        <v>5655</v>
      </c>
      <c r="D2425" s="21" t="s">
        <v>11</v>
      </c>
      <c r="E2425" s="21" t="s">
        <v>11</v>
      </c>
    </row>
    <row r="2426" spans="1:5" s="21" customFormat="1" ht="15.75" hidden="1" customHeight="1">
      <c r="A2426" s="21">
        <v>540249</v>
      </c>
      <c r="B2426" s="21" t="s">
        <v>2415</v>
      </c>
      <c r="C2426" s="21" t="s">
        <v>5655</v>
      </c>
      <c r="D2426" s="21" t="s">
        <v>11</v>
      </c>
      <c r="E2426" s="21" t="s">
        <v>11</v>
      </c>
    </row>
    <row r="2427" spans="1:5" s="21" customFormat="1" ht="15.75" hidden="1" customHeight="1">
      <c r="A2427" s="21">
        <v>540251</v>
      </c>
      <c r="B2427" s="21" t="s">
        <v>2416</v>
      </c>
      <c r="C2427" s="21" t="s">
        <v>5655</v>
      </c>
      <c r="D2427" s="21" t="s">
        <v>11</v>
      </c>
      <c r="E2427" s="21" t="s">
        <v>11</v>
      </c>
    </row>
    <row r="2428" spans="1:5" s="21" customFormat="1" ht="15.75" hidden="1" customHeight="1">
      <c r="A2428" s="21">
        <v>540252</v>
      </c>
      <c r="B2428" s="21" t="s">
        <v>2417</v>
      </c>
      <c r="C2428" s="21" t="s">
        <v>5655</v>
      </c>
      <c r="D2428" s="21" t="s">
        <v>11</v>
      </c>
      <c r="E2428" s="21" t="s">
        <v>11</v>
      </c>
    </row>
    <row r="2429" spans="1:5" s="21" customFormat="1" ht="15.75" hidden="1" customHeight="1">
      <c r="A2429" s="21">
        <v>540259</v>
      </c>
      <c r="B2429" s="21" t="s">
        <v>2418</v>
      </c>
      <c r="C2429" s="21" t="s">
        <v>5655</v>
      </c>
      <c r="D2429" s="21" t="s">
        <v>11</v>
      </c>
      <c r="E2429" s="21" t="s">
        <v>11</v>
      </c>
    </row>
    <row r="2430" spans="1:5" s="21" customFormat="1" ht="15.75" hidden="1" customHeight="1">
      <c r="A2430" s="21">
        <v>540261</v>
      </c>
      <c r="B2430" s="21" t="s">
        <v>2419</v>
      </c>
      <c r="C2430" s="21" t="s">
        <v>5655</v>
      </c>
      <c r="D2430" s="21" t="s">
        <v>11</v>
      </c>
      <c r="E2430" s="21" t="s">
        <v>11</v>
      </c>
    </row>
    <row r="2431" spans="1:5" s="21" customFormat="1" ht="15.75" hidden="1" customHeight="1">
      <c r="A2431" s="21">
        <v>540262</v>
      </c>
      <c r="B2431" s="21" t="s">
        <v>2420</v>
      </c>
      <c r="C2431" s="21" t="s">
        <v>5655</v>
      </c>
      <c r="D2431" s="21" t="s">
        <v>11</v>
      </c>
      <c r="E2431" s="21" t="s">
        <v>11</v>
      </c>
    </row>
    <row r="2432" spans="1:5" s="21" customFormat="1" ht="15.75" hidden="1" customHeight="1">
      <c r="A2432" s="21">
        <v>540269</v>
      </c>
      <c r="B2432" s="21" t="s">
        <v>2421</v>
      </c>
      <c r="C2432" s="21" t="s">
        <v>5655</v>
      </c>
      <c r="D2432" s="21" t="s">
        <v>11</v>
      </c>
      <c r="E2432" s="21" t="s">
        <v>11</v>
      </c>
    </row>
    <row r="2433" spans="1:5" s="21" customFormat="1" ht="15.75" hidden="1" customHeight="1">
      <c r="A2433" s="21">
        <v>540310</v>
      </c>
      <c r="B2433" s="21" t="s">
        <v>2422</v>
      </c>
      <c r="C2433" s="21" t="s">
        <v>5656</v>
      </c>
      <c r="D2433" s="21" t="s">
        <v>11</v>
      </c>
      <c r="E2433" s="21" t="s">
        <v>11</v>
      </c>
    </row>
    <row r="2434" spans="1:5" s="21" customFormat="1" ht="15.75" hidden="1" customHeight="1">
      <c r="A2434" s="21">
        <v>540331</v>
      </c>
      <c r="B2434" s="21" t="s">
        <v>2423</v>
      </c>
      <c r="C2434" s="21" t="s">
        <v>5656</v>
      </c>
      <c r="D2434" s="21" t="s">
        <v>11</v>
      </c>
      <c r="E2434" s="21" t="s">
        <v>11</v>
      </c>
    </row>
    <row r="2435" spans="1:5" s="21" customFormat="1" ht="15.75" hidden="1" customHeight="1">
      <c r="A2435" s="21">
        <v>540332</v>
      </c>
      <c r="B2435" s="21" t="s">
        <v>2424</v>
      </c>
      <c r="C2435" s="21" t="s">
        <v>5656</v>
      </c>
      <c r="D2435" s="21" t="s">
        <v>11</v>
      </c>
      <c r="E2435" s="21" t="s">
        <v>11</v>
      </c>
    </row>
    <row r="2436" spans="1:5" s="21" customFormat="1" ht="15.75" hidden="1" customHeight="1">
      <c r="A2436" s="21">
        <v>540333</v>
      </c>
      <c r="B2436" s="21" t="s">
        <v>2425</v>
      </c>
      <c r="C2436" s="21" t="s">
        <v>5656</v>
      </c>
      <c r="D2436" s="21" t="s">
        <v>11</v>
      </c>
      <c r="E2436" s="21" t="s">
        <v>11</v>
      </c>
    </row>
    <row r="2437" spans="1:5" s="21" customFormat="1" ht="15.75" hidden="1" customHeight="1">
      <c r="A2437" s="21">
        <v>540339</v>
      </c>
      <c r="B2437" s="21" t="s">
        <v>2426</v>
      </c>
      <c r="C2437" s="21" t="s">
        <v>5656</v>
      </c>
      <c r="D2437" s="21" t="s">
        <v>11</v>
      </c>
      <c r="E2437" s="21" t="s">
        <v>11</v>
      </c>
    </row>
    <row r="2438" spans="1:5" s="21" customFormat="1" ht="15.75" hidden="1" customHeight="1">
      <c r="A2438" s="21">
        <v>540341</v>
      </c>
      <c r="B2438" s="21" t="s">
        <v>2427</v>
      </c>
      <c r="C2438" s="21" t="s">
        <v>5656</v>
      </c>
      <c r="D2438" s="21" t="s">
        <v>11</v>
      </c>
      <c r="E2438" s="21" t="s">
        <v>11</v>
      </c>
    </row>
    <row r="2439" spans="1:5" s="21" customFormat="1" ht="15.75" hidden="1" customHeight="1">
      <c r="A2439" s="21">
        <v>540342</v>
      </c>
      <c r="B2439" s="21" t="s">
        <v>2428</v>
      </c>
      <c r="C2439" s="21" t="s">
        <v>5656</v>
      </c>
      <c r="D2439" s="21" t="s">
        <v>11</v>
      </c>
      <c r="E2439" s="21" t="s">
        <v>11</v>
      </c>
    </row>
    <row r="2440" spans="1:5" s="21" customFormat="1" ht="15.75" hidden="1" customHeight="1">
      <c r="A2440" s="21">
        <v>540349</v>
      </c>
      <c r="B2440" s="21" t="s">
        <v>2429</v>
      </c>
      <c r="C2440" s="21" t="s">
        <v>5656</v>
      </c>
      <c r="D2440" s="21" t="s">
        <v>11</v>
      </c>
      <c r="E2440" s="21" t="s">
        <v>11</v>
      </c>
    </row>
    <row r="2441" spans="1:5" s="21" customFormat="1" ht="15.75" hidden="1" customHeight="1">
      <c r="A2441" s="21">
        <v>540411</v>
      </c>
      <c r="B2441" s="21" t="s">
        <v>2430</v>
      </c>
      <c r="C2441" s="21" t="s">
        <v>5657</v>
      </c>
      <c r="D2441" s="21" t="s">
        <v>11</v>
      </c>
      <c r="E2441" s="21" t="s">
        <v>11</v>
      </c>
    </row>
    <row r="2442" spans="1:5" s="21" customFormat="1" ht="15.75" hidden="1" customHeight="1">
      <c r="A2442" s="21">
        <v>540412</v>
      </c>
      <c r="B2442" s="21" t="s">
        <v>2431</v>
      </c>
      <c r="C2442" s="21" t="s">
        <v>5658</v>
      </c>
      <c r="D2442" s="21" t="s">
        <v>11</v>
      </c>
      <c r="E2442" s="21" t="s">
        <v>11</v>
      </c>
    </row>
    <row r="2443" spans="1:5" s="21" customFormat="1" ht="15.75" hidden="1" customHeight="1">
      <c r="A2443" s="21">
        <v>540419</v>
      </c>
      <c r="B2443" s="21" t="s">
        <v>2432</v>
      </c>
      <c r="C2443" s="21" t="s">
        <v>5659</v>
      </c>
      <c r="D2443" s="21" t="s">
        <v>11</v>
      </c>
      <c r="E2443" s="21" t="s">
        <v>11</v>
      </c>
    </row>
    <row r="2444" spans="1:5" s="21" customFormat="1" ht="15.75" hidden="1" customHeight="1">
      <c r="A2444" s="21">
        <v>540490</v>
      </c>
      <c r="B2444" s="21" t="s">
        <v>2433</v>
      </c>
      <c r="C2444" s="21" t="s">
        <v>5660</v>
      </c>
      <c r="D2444" s="21" t="s">
        <v>11</v>
      </c>
      <c r="E2444" s="21" t="s">
        <v>11</v>
      </c>
    </row>
    <row r="2445" spans="1:5" s="21" customFormat="1" ht="15.75" hidden="1" customHeight="1">
      <c r="A2445" s="21">
        <v>540500</v>
      </c>
      <c r="B2445" s="21" t="s">
        <v>2434</v>
      </c>
      <c r="C2445" s="21" t="s">
        <v>5661</v>
      </c>
      <c r="D2445" s="21" t="s">
        <v>11</v>
      </c>
      <c r="E2445" s="21" t="s">
        <v>11</v>
      </c>
    </row>
    <row r="2446" spans="1:5" s="21" customFormat="1" ht="15.75" hidden="1" customHeight="1">
      <c r="A2446" s="21">
        <v>540600</v>
      </c>
      <c r="B2446" s="21" t="s">
        <v>2435</v>
      </c>
      <c r="C2446" s="21" t="s">
        <v>2435</v>
      </c>
      <c r="D2446" s="21" t="s">
        <v>11</v>
      </c>
      <c r="E2446" s="21" t="s">
        <v>11</v>
      </c>
    </row>
    <row r="2447" spans="1:5" s="21" customFormat="1" ht="15.75" hidden="1" customHeight="1">
      <c r="A2447" s="21">
        <v>540710</v>
      </c>
      <c r="B2447" s="21" t="s">
        <v>2436</v>
      </c>
      <c r="C2447" s="21" t="s">
        <v>5647</v>
      </c>
      <c r="D2447" s="21" t="s">
        <v>11</v>
      </c>
      <c r="E2447" s="21" t="s">
        <v>11</v>
      </c>
    </row>
    <row r="2448" spans="1:5" s="21" customFormat="1" ht="15.75" hidden="1" customHeight="1">
      <c r="A2448" s="21">
        <v>540720</v>
      </c>
      <c r="B2448" s="21" t="s">
        <v>2437</v>
      </c>
      <c r="C2448" s="21" t="s">
        <v>5647</v>
      </c>
      <c r="D2448" s="21" t="s">
        <v>11</v>
      </c>
      <c r="E2448" s="21" t="s">
        <v>11</v>
      </c>
    </row>
    <row r="2449" spans="1:5" s="21" customFormat="1" ht="15.75" hidden="1" customHeight="1">
      <c r="A2449" s="21">
        <v>540730</v>
      </c>
      <c r="B2449" s="21" t="s">
        <v>2438</v>
      </c>
      <c r="C2449" s="21" t="s">
        <v>5647</v>
      </c>
      <c r="D2449" s="21" t="s">
        <v>11</v>
      </c>
      <c r="E2449" s="21" t="s">
        <v>11</v>
      </c>
    </row>
    <row r="2450" spans="1:5" s="21" customFormat="1" ht="15.75" hidden="1" customHeight="1">
      <c r="A2450" s="21">
        <v>540741</v>
      </c>
      <c r="B2450" s="21" t="s">
        <v>2439</v>
      </c>
      <c r="C2450" s="21" t="s">
        <v>5647</v>
      </c>
      <c r="D2450" s="21" t="s">
        <v>11</v>
      </c>
      <c r="E2450" s="21" t="s">
        <v>11</v>
      </c>
    </row>
    <row r="2451" spans="1:5" s="21" customFormat="1" ht="15.75" hidden="1" customHeight="1">
      <c r="A2451" s="21">
        <v>540742</v>
      </c>
      <c r="B2451" s="21" t="s">
        <v>2440</v>
      </c>
      <c r="C2451" s="21" t="s">
        <v>5647</v>
      </c>
      <c r="D2451" s="21" t="s">
        <v>11</v>
      </c>
      <c r="E2451" s="21" t="s">
        <v>11</v>
      </c>
    </row>
    <row r="2452" spans="1:5" s="21" customFormat="1" ht="15.75" hidden="1" customHeight="1">
      <c r="A2452" s="21">
        <v>540743</v>
      </c>
      <c r="B2452" s="21" t="s">
        <v>2441</v>
      </c>
      <c r="C2452" s="21" t="s">
        <v>5647</v>
      </c>
      <c r="D2452" s="21" t="s">
        <v>11</v>
      </c>
      <c r="E2452" s="21" t="s">
        <v>11</v>
      </c>
    </row>
    <row r="2453" spans="1:5" s="21" customFormat="1" ht="15.75" hidden="1" customHeight="1">
      <c r="A2453" s="21">
        <v>540744</v>
      </c>
      <c r="B2453" s="21" t="s">
        <v>2442</v>
      </c>
      <c r="C2453" s="21" t="s">
        <v>5647</v>
      </c>
      <c r="D2453" s="21" t="s">
        <v>11</v>
      </c>
      <c r="E2453" s="21" t="s">
        <v>11</v>
      </c>
    </row>
    <row r="2454" spans="1:5" s="21" customFormat="1" ht="15.75" hidden="1" customHeight="1">
      <c r="A2454" s="21">
        <v>540751</v>
      </c>
      <c r="B2454" s="21" t="s">
        <v>2443</v>
      </c>
      <c r="C2454" s="21" t="s">
        <v>5647</v>
      </c>
      <c r="D2454" s="21" t="s">
        <v>11</v>
      </c>
      <c r="E2454" s="21" t="s">
        <v>11</v>
      </c>
    </row>
    <row r="2455" spans="1:5" s="21" customFormat="1" ht="15.75" hidden="1" customHeight="1">
      <c r="A2455" s="21">
        <v>540752</v>
      </c>
      <c r="B2455" s="21" t="s">
        <v>2444</v>
      </c>
      <c r="C2455" s="21" t="s">
        <v>5647</v>
      </c>
      <c r="D2455" s="21" t="s">
        <v>11</v>
      </c>
      <c r="E2455" s="21" t="s">
        <v>11</v>
      </c>
    </row>
    <row r="2456" spans="1:5" s="21" customFormat="1" ht="15.75" hidden="1" customHeight="1">
      <c r="A2456" s="21">
        <v>540753</v>
      </c>
      <c r="B2456" s="21" t="s">
        <v>2445</v>
      </c>
      <c r="C2456" s="21" t="s">
        <v>5647</v>
      </c>
      <c r="D2456" s="21" t="s">
        <v>11</v>
      </c>
      <c r="E2456" s="21" t="s">
        <v>11</v>
      </c>
    </row>
    <row r="2457" spans="1:5" s="21" customFormat="1" ht="15.75" hidden="1" customHeight="1">
      <c r="A2457" s="21">
        <v>540754</v>
      </c>
      <c r="B2457" s="21" t="s">
        <v>2446</v>
      </c>
      <c r="C2457" s="21" t="s">
        <v>5647</v>
      </c>
      <c r="D2457" s="21" t="s">
        <v>11</v>
      </c>
      <c r="E2457" s="21" t="s">
        <v>11</v>
      </c>
    </row>
    <row r="2458" spans="1:5" s="21" customFormat="1" ht="15.75" hidden="1" customHeight="1">
      <c r="A2458" s="21">
        <v>540761</v>
      </c>
      <c r="B2458" s="21" t="s">
        <v>2447</v>
      </c>
      <c r="C2458" s="21" t="s">
        <v>5647</v>
      </c>
      <c r="D2458" s="21" t="s">
        <v>11</v>
      </c>
      <c r="E2458" s="21" t="s">
        <v>11</v>
      </c>
    </row>
    <row r="2459" spans="1:5" s="21" customFormat="1" ht="15.75" hidden="1" customHeight="1">
      <c r="A2459" s="21">
        <v>540769</v>
      </c>
      <c r="B2459" s="21" t="s">
        <v>2448</v>
      </c>
      <c r="C2459" s="21" t="s">
        <v>5647</v>
      </c>
      <c r="D2459" s="21" t="s">
        <v>11</v>
      </c>
      <c r="E2459" s="21" t="s">
        <v>11</v>
      </c>
    </row>
    <row r="2460" spans="1:5" s="21" customFormat="1" ht="15.75" hidden="1" customHeight="1">
      <c r="A2460" s="21">
        <v>540771</v>
      </c>
      <c r="B2460" s="21" t="s">
        <v>2449</v>
      </c>
      <c r="C2460" s="21" t="s">
        <v>5647</v>
      </c>
      <c r="D2460" s="21" t="s">
        <v>11</v>
      </c>
      <c r="E2460" s="21" t="s">
        <v>11</v>
      </c>
    </row>
    <row r="2461" spans="1:5" s="21" customFormat="1" ht="15.75" hidden="1" customHeight="1">
      <c r="A2461" s="21">
        <v>540772</v>
      </c>
      <c r="B2461" s="21" t="s">
        <v>2450</v>
      </c>
      <c r="C2461" s="21" t="s">
        <v>5647</v>
      </c>
      <c r="D2461" s="21" t="s">
        <v>11</v>
      </c>
      <c r="E2461" s="21" t="s">
        <v>11</v>
      </c>
    </row>
    <row r="2462" spans="1:5" s="21" customFormat="1" ht="15.75" hidden="1" customHeight="1">
      <c r="A2462" s="21">
        <v>540773</v>
      </c>
      <c r="B2462" s="21" t="s">
        <v>2451</v>
      </c>
      <c r="C2462" s="21" t="s">
        <v>5647</v>
      </c>
      <c r="D2462" s="21" t="s">
        <v>11</v>
      </c>
      <c r="E2462" s="21" t="s">
        <v>11</v>
      </c>
    </row>
    <row r="2463" spans="1:5" s="21" customFormat="1" ht="15.75" hidden="1" customHeight="1">
      <c r="A2463" s="21">
        <v>540774</v>
      </c>
      <c r="B2463" s="21" t="s">
        <v>2452</v>
      </c>
      <c r="C2463" s="21" t="s">
        <v>5647</v>
      </c>
      <c r="D2463" s="21" t="s">
        <v>11</v>
      </c>
      <c r="E2463" s="21" t="s">
        <v>11</v>
      </c>
    </row>
    <row r="2464" spans="1:5" s="21" customFormat="1" ht="15.75" hidden="1" customHeight="1">
      <c r="A2464" s="21">
        <v>540781</v>
      </c>
      <c r="B2464" s="21" t="s">
        <v>2453</v>
      </c>
      <c r="C2464" s="21" t="s">
        <v>5647</v>
      </c>
      <c r="D2464" s="21" t="s">
        <v>11</v>
      </c>
      <c r="E2464" s="21" t="s">
        <v>11</v>
      </c>
    </row>
    <row r="2465" spans="1:5" s="21" customFormat="1" ht="15.75" hidden="1" customHeight="1">
      <c r="A2465" s="21">
        <v>540782</v>
      </c>
      <c r="B2465" s="21" t="s">
        <v>2454</v>
      </c>
      <c r="C2465" s="21" t="s">
        <v>5647</v>
      </c>
      <c r="D2465" s="21" t="s">
        <v>11</v>
      </c>
      <c r="E2465" s="21" t="s">
        <v>11</v>
      </c>
    </row>
    <row r="2466" spans="1:5" s="21" customFormat="1" ht="15.75" hidden="1" customHeight="1">
      <c r="A2466" s="21">
        <v>540783</v>
      </c>
      <c r="B2466" s="21" t="s">
        <v>2455</v>
      </c>
      <c r="C2466" s="21" t="s">
        <v>5647</v>
      </c>
      <c r="D2466" s="21" t="s">
        <v>11</v>
      </c>
      <c r="E2466" s="21" t="s">
        <v>11</v>
      </c>
    </row>
    <row r="2467" spans="1:5" s="21" customFormat="1" ht="15.75" hidden="1" customHeight="1">
      <c r="A2467" s="21">
        <v>540784</v>
      </c>
      <c r="B2467" s="21" t="s">
        <v>2456</v>
      </c>
      <c r="C2467" s="21" t="s">
        <v>5647</v>
      </c>
      <c r="D2467" s="21" t="s">
        <v>11</v>
      </c>
      <c r="E2467" s="21" t="s">
        <v>11</v>
      </c>
    </row>
    <row r="2468" spans="1:5" s="21" customFormat="1" ht="15.75" hidden="1" customHeight="1">
      <c r="A2468" s="21">
        <v>540791</v>
      </c>
      <c r="B2468" s="21" t="s">
        <v>2457</v>
      </c>
      <c r="C2468" s="21" t="s">
        <v>5647</v>
      </c>
      <c r="D2468" s="21" t="s">
        <v>11</v>
      </c>
      <c r="E2468" s="21" t="s">
        <v>11</v>
      </c>
    </row>
    <row r="2469" spans="1:5" s="21" customFormat="1" ht="15.75" hidden="1" customHeight="1">
      <c r="A2469" s="21">
        <v>540792</v>
      </c>
      <c r="B2469" s="21" t="s">
        <v>2458</v>
      </c>
      <c r="C2469" s="21" t="s">
        <v>5647</v>
      </c>
      <c r="D2469" s="21" t="s">
        <v>11</v>
      </c>
      <c r="E2469" s="21" t="s">
        <v>11</v>
      </c>
    </row>
    <row r="2470" spans="1:5" s="21" customFormat="1" ht="15.75" hidden="1" customHeight="1">
      <c r="A2470" s="21">
        <v>540793</v>
      </c>
      <c r="B2470" s="21" t="s">
        <v>2459</v>
      </c>
      <c r="C2470" s="21" t="s">
        <v>5647</v>
      </c>
      <c r="D2470" s="21" t="s">
        <v>11</v>
      </c>
      <c r="E2470" s="21" t="s">
        <v>11</v>
      </c>
    </row>
    <row r="2471" spans="1:5" s="21" customFormat="1" ht="15.75" hidden="1" customHeight="1">
      <c r="A2471" s="21">
        <v>540794</v>
      </c>
      <c r="B2471" s="21" t="s">
        <v>2460</v>
      </c>
      <c r="C2471" s="21" t="s">
        <v>5647</v>
      </c>
      <c r="D2471" s="21" t="s">
        <v>11</v>
      </c>
      <c r="E2471" s="21" t="s">
        <v>11</v>
      </c>
    </row>
    <row r="2472" spans="1:5" s="21" customFormat="1" ht="15.75" hidden="1" customHeight="1">
      <c r="A2472" s="21">
        <v>540810</v>
      </c>
      <c r="B2472" s="21" t="s">
        <v>2461</v>
      </c>
      <c r="C2472" s="21" t="s">
        <v>5647</v>
      </c>
      <c r="D2472" s="21" t="s">
        <v>11</v>
      </c>
      <c r="E2472" s="21" t="s">
        <v>11</v>
      </c>
    </row>
    <row r="2473" spans="1:5" s="21" customFormat="1" ht="15.75" hidden="1" customHeight="1">
      <c r="A2473" s="21">
        <v>540821</v>
      </c>
      <c r="B2473" s="21" t="s">
        <v>2462</v>
      </c>
      <c r="C2473" s="21" t="s">
        <v>5647</v>
      </c>
      <c r="D2473" s="21" t="s">
        <v>11</v>
      </c>
      <c r="E2473" s="21" t="s">
        <v>11</v>
      </c>
    </row>
    <row r="2474" spans="1:5" s="21" customFormat="1" ht="15.75" hidden="1" customHeight="1">
      <c r="A2474" s="21">
        <v>540822</v>
      </c>
      <c r="B2474" s="21" t="s">
        <v>2463</v>
      </c>
      <c r="C2474" s="21" t="s">
        <v>5647</v>
      </c>
      <c r="D2474" s="21" t="s">
        <v>11</v>
      </c>
      <c r="E2474" s="21" t="s">
        <v>11</v>
      </c>
    </row>
    <row r="2475" spans="1:5" s="21" customFormat="1" ht="15.75" hidden="1" customHeight="1">
      <c r="A2475" s="21">
        <v>540823</v>
      </c>
      <c r="B2475" s="21" t="s">
        <v>2464</v>
      </c>
      <c r="C2475" s="21" t="s">
        <v>5647</v>
      </c>
      <c r="D2475" s="21" t="s">
        <v>11</v>
      </c>
      <c r="E2475" s="21" t="s">
        <v>11</v>
      </c>
    </row>
    <row r="2476" spans="1:5" s="21" customFormat="1" ht="15.75" hidden="1" customHeight="1">
      <c r="A2476" s="21">
        <v>540824</v>
      </c>
      <c r="B2476" s="21" t="s">
        <v>2465</v>
      </c>
      <c r="C2476" s="21" t="s">
        <v>5647</v>
      </c>
      <c r="D2476" s="21" t="s">
        <v>11</v>
      </c>
      <c r="E2476" s="21" t="s">
        <v>11</v>
      </c>
    </row>
    <row r="2477" spans="1:5" s="21" customFormat="1" ht="15.75" hidden="1" customHeight="1">
      <c r="A2477" s="21">
        <v>540831</v>
      </c>
      <c r="B2477" s="21" t="s">
        <v>2466</v>
      </c>
      <c r="C2477" s="21" t="s">
        <v>5647</v>
      </c>
      <c r="D2477" s="21" t="s">
        <v>11</v>
      </c>
      <c r="E2477" s="21" t="s">
        <v>11</v>
      </c>
    </row>
    <row r="2478" spans="1:5" s="21" customFormat="1" ht="15.75" hidden="1" customHeight="1">
      <c r="A2478" s="21">
        <v>540832</v>
      </c>
      <c r="B2478" s="21" t="s">
        <v>2467</v>
      </c>
      <c r="C2478" s="21" t="s">
        <v>5647</v>
      </c>
      <c r="D2478" s="21" t="s">
        <v>11</v>
      </c>
      <c r="E2478" s="21" t="s">
        <v>11</v>
      </c>
    </row>
    <row r="2479" spans="1:5" s="21" customFormat="1" ht="15.75" hidden="1" customHeight="1">
      <c r="A2479" s="21">
        <v>540833</v>
      </c>
      <c r="B2479" s="21" t="s">
        <v>2468</v>
      </c>
      <c r="C2479" s="21" t="s">
        <v>5647</v>
      </c>
      <c r="D2479" s="21" t="s">
        <v>11</v>
      </c>
      <c r="E2479" s="21" t="s">
        <v>11</v>
      </c>
    </row>
    <row r="2480" spans="1:5" s="21" customFormat="1" ht="15.75" hidden="1" customHeight="1">
      <c r="A2480" s="21">
        <v>540834</v>
      </c>
      <c r="B2480" s="21" t="s">
        <v>2469</v>
      </c>
      <c r="C2480" s="21" t="s">
        <v>5647</v>
      </c>
      <c r="D2480" s="21" t="s">
        <v>11</v>
      </c>
      <c r="E2480" s="21" t="s">
        <v>11</v>
      </c>
    </row>
    <row r="2481" spans="1:5" s="21" customFormat="1" ht="15.75" hidden="1" customHeight="1">
      <c r="A2481" s="21">
        <v>550110</v>
      </c>
      <c r="B2481" s="21" t="s">
        <v>2470</v>
      </c>
      <c r="C2481" s="21" t="s">
        <v>5662</v>
      </c>
      <c r="D2481" s="21" t="s">
        <v>11</v>
      </c>
      <c r="E2481" s="21" t="s">
        <v>11</v>
      </c>
    </row>
    <row r="2482" spans="1:5" s="21" customFormat="1" ht="15.75" hidden="1" customHeight="1">
      <c r="A2482" s="21">
        <v>550120</v>
      </c>
      <c r="B2482" s="21" t="s">
        <v>2471</v>
      </c>
      <c r="C2482" s="21" t="s">
        <v>5662</v>
      </c>
      <c r="D2482" s="21" t="s">
        <v>11</v>
      </c>
      <c r="E2482" s="21" t="s">
        <v>11</v>
      </c>
    </row>
    <row r="2483" spans="1:5" s="21" customFormat="1" ht="15.75" hidden="1" customHeight="1">
      <c r="A2483" s="21">
        <v>550130</v>
      </c>
      <c r="B2483" s="21" t="s">
        <v>2472</v>
      </c>
      <c r="C2483" s="21" t="s">
        <v>5662</v>
      </c>
      <c r="D2483" s="21" t="s">
        <v>11</v>
      </c>
      <c r="E2483" s="21" t="s">
        <v>11</v>
      </c>
    </row>
    <row r="2484" spans="1:5" s="21" customFormat="1" ht="15.75" hidden="1" customHeight="1">
      <c r="A2484" s="21">
        <v>550140</v>
      </c>
      <c r="B2484" s="21" t="s">
        <v>2473</v>
      </c>
      <c r="C2484" s="21" t="s">
        <v>5662</v>
      </c>
      <c r="D2484" s="21" t="s">
        <v>11</v>
      </c>
      <c r="E2484" s="21" t="s">
        <v>11</v>
      </c>
    </row>
    <row r="2485" spans="1:5" s="21" customFormat="1" ht="15.75" hidden="1" customHeight="1">
      <c r="A2485" s="21">
        <v>550190</v>
      </c>
      <c r="B2485" s="21" t="s">
        <v>2474</v>
      </c>
      <c r="C2485" s="21" t="s">
        <v>5662</v>
      </c>
      <c r="D2485" s="21" t="s">
        <v>11</v>
      </c>
      <c r="E2485" s="21" t="s">
        <v>11</v>
      </c>
    </row>
    <row r="2486" spans="1:5" s="21" customFormat="1" ht="15.75" hidden="1" customHeight="1">
      <c r="A2486" s="21">
        <v>550200</v>
      </c>
      <c r="B2486" s="21" t="s">
        <v>2475</v>
      </c>
      <c r="C2486" s="21" t="s">
        <v>5662</v>
      </c>
      <c r="D2486" s="21" t="s">
        <v>11</v>
      </c>
      <c r="E2486" s="21" t="s">
        <v>11</v>
      </c>
    </row>
    <row r="2487" spans="1:5" s="21" customFormat="1" ht="15.75" hidden="1" customHeight="1">
      <c r="A2487" s="21">
        <v>550311</v>
      </c>
      <c r="B2487" s="21" t="s">
        <v>2476</v>
      </c>
      <c r="C2487" s="21" t="s">
        <v>5662</v>
      </c>
      <c r="D2487" s="21" t="s">
        <v>11</v>
      </c>
      <c r="E2487" s="21" t="s">
        <v>11</v>
      </c>
    </row>
    <row r="2488" spans="1:5" s="21" customFormat="1" ht="15.75" hidden="1" customHeight="1">
      <c r="A2488" s="21">
        <v>550319</v>
      </c>
      <c r="B2488" s="21" t="s">
        <v>2477</v>
      </c>
      <c r="C2488" s="21" t="s">
        <v>5662</v>
      </c>
      <c r="D2488" s="21" t="s">
        <v>11</v>
      </c>
      <c r="E2488" s="21" t="s">
        <v>11</v>
      </c>
    </row>
    <row r="2489" spans="1:5" s="21" customFormat="1" ht="15.75" hidden="1" customHeight="1">
      <c r="A2489" s="21">
        <v>550320</v>
      </c>
      <c r="B2489" s="21" t="s">
        <v>2478</v>
      </c>
      <c r="C2489" s="21" t="s">
        <v>5662</v>
      </c>
      <c r="D2489" s="21" t="s">
        <v>11</v>
      </c>
      <c r="E2489" s="21" t="s">
        <v>11</v>
      </c>
    </row>
    <row r="2490" spans="1:5" s="21" customFormat="1" ht="15.75" hidden="1" customHeight="1">
      <c r="A2490" s="21">
        <v>550330</v>
      </c>
      <c r="B2490" s="21" t="s">
        <v>2479</v>
      </c>
      <c r="C2490" s="21" t="s">
        <v>5662</v>
      </c>
      <c r="D2490" s="21" t="s">
        <v>11</v>
      </c>
      <c r="E2490" s="21" t="s">
        <v>11</v>
      </c>
    </row>
    <row r="2491" spans="1:5" s="21" customFormat="1" ht="15.75" hidden="1" customHeight="1">
      <c r="A2491" s="21">
        <v>550340</v>
      </c>
      <c r="B2491" s="21" t="s">
        <v>2480</v>
      </c>
      <c r="C2491" s="21" t="s">
        <v>5662</v>
      </c>
      <c r="D2491" s="21" t="s">
        <v>11</v>
      </c>
      <c r="E2491" s="21" t="s">
        <v>11</v>
      </c>
    </row>
    <row r="2492" spans="1:5" s="21" customFormat="1" ht="15.75" hidden="1" customHeight="1">
      <c r="A2492" s="21">
        <v>550390</v>
      </c>
      <c r="B2492" s="21" t="s">
        <v>2481</v>
      </c>
      <c r="C2492" s="21" t="s">
        <v>5662</v>
      </c>
      <c r="D2492" s="21" t="s">
        <v>11</v>
      </c>
      <c r="E2492" s="21" t="s">
        <v>11</v>
      </c>
    </row>
    <row r="2493" spans="1:5" s="21" customFormat="1" ht="15.75" hidden="1" customHeight="1">
      <c r="A2493" s="21">
        <v>550410</v>
      </c>
      <c r="B2493" s="21" t="s">
        <v>2482</v>
      </c>
      <c r="C2493" s="21" t="s">
        <v>5662</v>
      </c>
      <c r="D2493" s="21" t="s">
        <v>11</v>
      </c>
      <c r="E2493" s="21" t="s">
        <v>11</v>
      </c>
    </row>
    <row r="2494" spans="1:5" s="21" customFormat="1" ht="15.75" hidden="1" customHeight="1">
      <c r="A2494" s="21">
        <v>550490</v>
      </c>
      <c r="B2494" s="21" t="s">
        <v>2483</v>
      </c>
      <c r="C2494" s="21" t="s">
        <v>5662</v>
      </c>
      <c r="D2494" s="21" t="s">
        <v>11</v>
      </c>
      <c r="E2494" s="21" t="s">
        <v>11</v>
      </c>
    </row>
    <row r="2495" spans="1:5" s="21" customFormat="1" ht="15.75" hidden="1" customHeight="1">
      <c r="A2495" s="21">
        <v>550510</v>
      </c>
      <c r="B2495" s="21" t="s">
        <v>2484</v>
      </c>
      <c r="C2495" s="21" t="s">
        <v>5662</v>
      </c>
      <c r="D2495" s="21" t="s">
        <v>11</v>
      </c>
      <c r="E2495" s="21" t="s">
        <v>11</v>
      </c>
    </row>
    <row r="2496" spans="1:5" s="21" customFormat="1" ht="15.75" hidden="1" customHeight="1">
      <c r="A2496" s="21">
        <v>550520</v>
      </c>
      <c r="B2496" s="21" t="s">
        <v>2485</v>
      </c>
      <c r="C2496" s="21" t="s">
        <v>5662</v>
      </c>
      <c r="D2496" s="21" t="s">
        <v>11</v>
      </c>
      <c r="E2496" s="21" t="s">
        <v>11</v>
      </c>
    </row>
    <row r="2497" spans="1:5" s="21" customFormat="1" ht="15.75" hidden="1" customHeight="1">
      <c r="A2497" s="21">
        <v>550610</v>
      </c>
      <c r="B2497" s="21" t="s">
        <v>2486</v>
      </c>
      <c r="C2497" s="21" t="s">
        <v>5662</v>
      </c>
      <c r="D2497" s="21" t="s">
        <v>11</v>
      </c>
      <c r="E2497" s="21" t="s">
        <v>11</v>
      </c>
    </row>
    <row r="2498" spans="1:5" s="21" customFormat="1" ht="15.75" hidden="1" customHeight="1">
      <c r="A2498" s="21">
        <v>550620</v>
      </c>
      <c r="B2498" s="21" t="s">
        <v>2487</v>
      </c>
      <c r="C2498" s="21" t="s">
        <v>5662</v>
      </c>
      <c r="D2498" s="21" t="s">
        <v>11</v>
      </c>
      <c r="E2498" s="21" t="s">
        <v>11</v>
      </c>
    </row>
    <row r="2499" spans="1:5" s="21" customFormat="1" ht="15.75" hidden="1" customHeight="1">
      <c r="A2499" s="21">
        <v>550630</v>
      </c>
      <c r="B2499" s="21" t="s">
        <v>2488</v>
      </c>
      <c r="C2499" s="21" t="s">
        <v>5662</v>
      </c>
      <c r="D2499" s="21" t="s">
        <v>11</v>
      </c>
      <c r="E2499" s="21" t="s">
        <v>11</v>
      </c>
    </row>
    <row r="2500" spans="1:5" s="21" customFormat="1" ht="15.75" hidden="1" customHeight="1">
      <c r="A2500" s="21">
        <v>550690</v>
      </c>
      <c r="B2500" s="21" t="s">
        <v>2489</v>
      </c>
      <c r="C2500" s="21" t="s">
        <v>5662</v>
      </c>
      <c r="D2500" s="21" t="s">
        <v>11</v>
      </c>
      <c r="E2500" s="21" t="s">
        <v>11</v>
      </c>
    </row>
    <row r="2501" spans="1:5" s="21" customFormat="1" ht="15.75" hidden="1" customHeight="1">
      <c r="A2501" s="21">
        <v>550700</v>
      </c>
      <c r="B2501" s="21" t="s">
        <v>2490</v>
      </c>
      <c r="C2501" s="21" t="s">
        <v>5662</v>
      </c>
      <c r="D2501" s="21" t="s">
        <v>11</v>
      </c>
      <c r="E2501" s="21" t="s">
        <v>11</v>
      </c>
    </row>
    <row r="2502" spans="1:5" s="21" customFormat="1" ht="15.75" hidden="1" customHeight="1">
      <c r="A2502" s="21">
        <v>550810</v>
      </c>
      <c r="B2502" s="21" t="s">
        <v>2491</v>
      </c>
      <c r="C2502" s="21" t="s">
        <v>5654</v>
      </c>
      <c r="D2502" s="21" t="s">
        <v>11</v>
      </c>
      <c r="E2502" s="21" t="s">
        <v>11</v>
      </c>
    </row>
    <row r="2503" spans="1:5" s="21" customFormat="1" ht="15.75" hidden="1" customHeight="1">
      <c r="A2503" s="21">
        <v>550820</v>
      </c>
      <c r="B2503" s="21" t="s">
        <v>2492</v>
      </c>
      <c r="C2503" s="21" t="s">
        <v>5654</v>
      </c>
      <c r="D2503" s="21" t="s">
        <v>11</v>
      </c>
      <c r="E2503" s="21" t="s">
        <v>11</v>
      </c>
    </row>
    <row r="2504" spans="1:5" s="21" customFormat="1" ht="15.75" hidden="1" customHeight="1">
      <c r="A2504" s="21">
        <v>550911</v>
      </c>
      <c r="B2504" s="21" t="s">
        <v>2493</v>
      </c>
      <c r="C2504" s="21" t="s">
        <v>5646</v>
      </c>
      <c r="D2504" s="21" t="s">
        <v>11</v>
      </c>
      <c r="E2504" s="21" t="s">
        <v>11</v>
      </c>
    </row>
    <row r="2505" spans="1:5" s="21" customFormat="1" ht="15.75" hidden="1" customHeight="1">
      <c r="A2505" s="21">
        <v>550912</v>
      </c>
      <c r="B2505" s="21" t="s">
        <v>2494</v>
      </c>
      <c r="C2505" s="21" t="s">
        <v>5646</v>
      </c>
      <c r="D2505" s="21" t="s">
        <v>11</v>
      </c>
      <c r="E2505" s="21" t="s">
        <v>11</v>
      </c>
    </row>
    <row r="2506" spans="1:5" s="21" customFormat="1" ht="15.75" hidden="1" customHeight="1">
      <c r="A2506" s="21">
        <v>550921</v>
      </c>
      <c r="B2506" s="21" t="s">
        <v>2495</v>
      </c>
      <c r="C2506" s="21" t="s">
        <v>5646</v>
      </c>
      <c r="D2506" s="21" t="s">
        <v>11</v>
      </c>
      <c r="E2506" s="21" t="s">
        <v>11</v>
      </c>
    </row>
    <row r="2507" spans="1:5" s="21" customFormat="1" ht="15.75" hidden="1" customHeight="1">
      <c r="A2507" s="21">
        <v>550922</v>
      </c>
      <c r="B2507" s="21" t="s">
        <v>2496</v>
      </c>
      <c r="C2507" s="21" t="s">
        <v>5646</v>
      </c>
      <c r="D2507" s="21" t="s">
        <v>11</v>
      </c>
      <c r="E2507" s="21" t="s">
        <v>11</v>
      </c>
    </row>
    <row r="2508" spans="1:5" s="21" customFormat="1" ht="15.75" hidden="1" customHeight="1">
      <c r="A2508" s="21">
        <v>550931</v>
      </c>
      <c r="B2508" s="21" t="s">
        <v>2497</v>
      </c>
      <c r="C2508" s="21" t="s">
        <v>5646</v>
      </c>
      <c r="D2508" s="21" t="s">
        <v>11</v>
      </c>
      <c r="E2508" s="21" t="s">
        <v>11</v>
      </c>
    </row>
    <row r="2509" spans="1:5" s="21" customFormat="1" ht="15.75" hidden="1" customHeight="1">
      <c r="A2509" s="21">
        <v>550932</v>
      </c>
      <c r="B2509" s="21" t="s">
        <v>2498</v>
      </c>
      <c r="C2509" s="21" t="s">
        <v>5646</v>
      </c>
      <c r="D2509" s="21" t="s">
        <v>11</v>
      </c>
      <c r="E2509" s="21" t="s">
        <v>11</v>
      </c>
    </row>
    <row r="2510" spans="1:5" s="21" customFormat="1" ht="15.75" hidden="1" customHeight="1">
      <c r="A2510" s="21">
        <v>550941</v>
      </c>
      <c r="B2510" s="21" t="s">
        <v>2499</v>
      </c>
      <c r="C2510" s="21" t="s">
        <v>5646</v>
      </c>
      <c r="D2510" s="21" t="s">
        <v>11</v>
      </c>
      <c r="E2510" s="21" t="s">
        <v>11</v>
      </c>
    </row>
    <row r="2511" spans="1:5" s="21" customFormat="1" ht="15.75" hidden="1" customHeight="1">
      <c r="A2511" s="21">
        <v>550942</v>
      </c>
      <c r="B2511" s="21" t="s">
        <v>2500</v>
      </c>
      <c r="C2511" s="21" t="s">
        <v>5646</v>
      </c>
      <c r="D2511" s="21" t="s">
        <v>11</v>
      </c>
      <c r="E2511" s="21" t="s">
        <v>11</v>
      </c>
    </row>
    <row r="2512" spans="1:5" s="21" customFormat="1" ht="15.75" hidden="1" customHeight="1">
      <c r="A2512" s="21">
        <v>550951</v>
      </c>
      <c r="B2512" s="21" t="s">
        <v>2501</v>
      </c>
      <c r="C2512" s="21" t="s">
        <v>5646</v>
      </c>
      <c r="D2512" s="21" t="s">
        <v>11</v>
      </c>
      <c r="E2512" s="21" t="s">
        <v>11</v>
      </c>
    </row>
    <row r="2513" spans="1:5" s="21" customFormat="1" ht="15.75" hidden="1" customHeight="1">
      <c r="A2513" s="21">
        <v>550952</v>
      </c>
      <c r="B2513" s="21" t="s">
        <v>2502</v>
      </c>
      <c r="C2513" s="21" t="s">
        <v>5646</v>
      </c>
      <c r="D2513" s="21" t="s">
        <v>11</v>
      </c>
      <c r="E2513" s="21" t="s">
        <v>11</v>
      </c>
    </row>
    <row r="2514" spans="1:5" s="21" customFormat="1" ht="15.75" hidden="1" customHeight="1">
      <c r="A2514" s="21">
        <v>550953</v>
      </c>
      <c r="B2514" s="21" t="s">
        <v>2503</v>
      </c>
      <c r="C2514" s="21" t="s">
        <v>5646</v>
      </c>
      <c r="D2514" s="21" t="s">
        <v>11</v>
      </c>
      <c r="E2514" s="21" t="s">
        <v>11</v>
      </c>
    </row>
    <row r="2515" spans="1:5" s="21" customFormat="1" ht="15.75" hidden="1" customHeight="1">
      <c r="A2515" s="21">
        <v>550959</v>
      </c>
      <c r="B2515" s="21" t="s">
        <v>2504</v>
      </c>
      <c r="C2515" s="21" t="s">
        <v>5646</v>
      </c>
      <c r="D2515" s="21" t="s">
        <v>11</v>
      </c>
      <c r="E2515" s="21" t="s">
        <v>11</v>
      </c>
    </row>
    <row r="2516" spans="1:5" s="21" customFormat="1" ht="15.75" hidden="1" customHeight="1">
      <c r="A2516" s="21">
        <v>550961</v>
      </c>
      <c r="B2516" s="21" t="s">
        <v>2505</v>
      </c>
      <c r="C2516" s="21" t="s">
        <v>5646</v>
      </c>
      <c r="D2516" s="21" t="s">
        <v>11</v>
      </c>
      <c r="E2516" s="21" t="s">
        <v>11</v>
      </c>
    </row>
    <row r="2517" spans="1:5" s="21" customFormat="1" ht="15.75" hidden="1" customHeight="1">
      <c r="A2517" s="21">
        <v>550962</v>
      </c>
      <c r="B2517" s="21" t="s">
        <v>2506</v>
      </c>
      <c r="C2517" s="21" t="s">
        <v>5646</v>
      </c>
      <c r="D2517" s="21" t="s">
        <v>11</v>
      </c>
      <c r="E2517" s="21" t="s">
        <v>11</v>
      </c>
    </row>
    <row r="2518" spans="1:5" s="21" customFormat="1" ht="15.75" hidden="1" customHeight="1">
      <c r="A2518" s="21">
        <v>550969</v>
      </c>
      <c r="B2518" s="21" t="s">
        <v>2507</v>
      </c>
      <c r="C2518" s="21" t="s">
        <v>5646</v>
      </c>
      <c r="D2518" s="21" t="s">
        <v>11</v>
      </c>
      <c r="E2518" s="21" t="s">
        <v>11</v>
      </c>
    </row>
    <row r="2519" spans="1:5" s="21" customFormat="1" ht="15.75" hidden="1" customHeight="1">
      <c r="A2519" s="21">
        <v>550991</v>
      </c>
      <c r="B2519" s="21" t="s">
        <v>2508</v>
      </c>
      <c r="C2519" s="21" t="s">
        <v>5646</v>
      </c>
      <c r="D2519" s="21" t="s">
        <v>11</v>
      </c>
      <c r="E2519" s="21" t="s">
        <v>11</v>
      </c>
    </row>
    <row r="2520" spans="1:5" s="21" customFormat="1" ht="15.75" hidden="1" customHeight="1">
      <c r="A2520" s="21">
        <v>550992</v>
      </c>
      <c r="B2520" s="21" t="s">
        <v>2509</v>
      </c>
      <c r="C2520" s="21" t="s">
        <v>5646</v>
      </c>
      <c r="D2520" s="21" t="s">
        <v>11</v>
      </c>
      <c r="E2520" s="21" t="s">
        <v>11</v>
      </c>
    </row>
    <row r="2521" spans="1:5" s="21" customFormat="1" ht="15.75" hidden="1" customHeight="1">
      <c r="A2521" s="21">
        <v>550999</v>
      </c>
      <c r="B2521" s="21" t="s">
        <v>2510</v>
      </c>
      <c r="C2521" s="21" t="s">
        <v>5646</v>
      </c>
      <c r="D2521" s="21" t="s">
        <v>11</v>
      </c>
      <c r="E2521" s="21" t="s">
        <v>11</v>
      </c>
    </row>
    <row r="2522" spans="1:5" s="21" customFormat="1" ht="15.75" hidden="1" customHeight="1">
      <c r="A2522" s="21">
        <v>551011</v>
      </c>
      <c r="B2522" s="21" t="s">
        <v>2511</v>
      </c>
      <c r="C2522" s="21" t="s">
        <v>5646</v>
      </c>
      <c r="D2522" s="21" t="s">
        <v>11</v>
      </c>
      <c r="E2522" s="21" t="s">
        <v>11</v>
      </c>
    </row>
    <row r="2523" spans="1:5" s="21" customFormat="1" ht="15.75" hidden="1" customHeight="1">
      <c r="A2523" s="21">
        <v>551012</v>
      </c>
      <c r="B2523" s="21" t="s">
        <v>2512</v>
      </c>
      <c r="C2523" s="21" t="s">
        <v>5646</v>
      </c>
      <c r="D2523" s="21" t="s">
        <v>11</v>
      </c>
      <c r="E2523" s="21" t="s">
        <v>11</v>
      </c>
    </row>
    <row r="2524" spans="1:5" s="21" customFormat="1" ht="15.75" hidden="1" customHeight="1">
      <c r="A2524" s="21">
        <v>551020</v>
      </c>
      <c r="B2524" s="21" t="s">
        <v>2513</v>
      </c>
      <c r="C2524" s="21" t="s">
        <v>5646</v>
      </c>
      <c r="D2524" s="21" t="s">
        <v>11</v>
      </c>
      <c r="E2524" s="21" t="s">
        <v>11</v>
      </c>
    </row>
    <row r="2525" spans="1:5" s="21" customFormat="1" ht="15.75" hidden="1" customHeight="1">
      <c r="A2525" s="21">
        <v>551030</v>
      </c>
      <c r="B2525" s="21" t="s">
        <v>2514</v>
      </c>
      <c r="C2525" s="21" t="s">
        <v>5646</v>
      </c>
      <c r="D2525" s="21" t="s">
        <v>11</v>
      </c>
      <c r="E2525" s="21" t="s">
        <v>11</v>
      </c>
    </row>
    <row r="2526" spans="1:5" s="21" customFormat="1" ht="15.75" hidden="1" customHeight="1">
      <c r="A2526" s="21">
        <v>551090</v>
      </c>
      <c r="B2526" s="21" t="s">
        <v>2515</v>
      </c>
      <c r="C2526" s="21" t="s">
        <v>5646</v>
      </c>
      <c r="D2526" s="21" t="s">
        <v>11</v>
      </c>
      <c r="E2526" s="21" t="s">
        <v>11</v>
      </c>
    </row>
    <row r="2527" spans="1:5" s="21" customFormat="1" ht="15.75" hidden="1" customHeight="1">
      <c r="A2527" s="21">
        <v>551110</v>
      </c>
      <c r="B2527" s="21" t="s">
        <v>2516</v>
      </c>
      <c r="C2527" s="21" t="s">
        <v>5646</v>
      </c>
      <c r="D2527" s="21" t="s">
        <v>11</v>
      </c>
      <c r="E2527" s="21" t="s">
        <v>11</v>
      </c>
    </row>
    <row r="2528" spans="1:5" s="21" customFormat="1" ht="15.75" hidden="1" customHeight="1">
      <c r="A2528" s="21">
        <v>551120</v>
      </c>
      <c r="B2528" s="21" t="s">
        <v>2517</v>
      </c>
      <c r="C2528" s="21" t="s">
        <v>5646</v>
      </c>
      <c r="D2528" s="21" t="s">
        <v>11</v>
      </c>
      <c r="E2528" s="21" t="s">
        <v>11</v>
      </c>
    </row>
    <row r="2529" spans="1:5" s="21" customFormat="1" ht="15.75" hidden="1" customHeight="1">
      <c r="A2529" s="21">
        <v>551130</v>
      </c>
      <c r="B2529" s="21" t="s">
        <v>2518</v>
      </c>
      <c r="C2529" s="21" t="s">
        <v>5646</v>
      </c>
      <c r="D2529" s="21" t="s">
        <v>11</v>
      </c>
      <c r="E2529" s="21" t="s">
        <v>11</v>
      </c>
    </row>
    <row r="2530" spans="1:5" s="21" customFormat="1" ht="15.75" hidden="1" customHeight="1">
      <c r="A2530" s="21">
        <v>551211</v>
      </c>
      <c r="B2530" s="21" t="s">
        <v>2519</v>
      </c>
      <c r="C2530" s="21" t="s">
        <v>5647</v>
      </c>
      <c r="D2530" s="21" t="s">
        <v>11</v>
      </c>
      <c r="E2530" s="21" t="s">
        <v>11</v>
      </c>
    </row>
    <row r="2531" spans="1:5" s="21" customFormat="1" ht="15.75" hidden="1" customHeight="1">
      <c r="A2531" s="21">
        <v>551219</v>
      </c>
      <c r="B2531" s="21" t="s">
        <v>2520</v>
      </c>
      <c r="C2531" s="21" t="s">
        <v>5647</v>
      </c>
      <c r="D2531" s="21" t="s">
        <v>11</v>
      </c>
      <c r="E2531" s="21" t="s">
        <v>11</v>
      </c>
    </row>
    <row r="2532" spans="1:5" s="21" customFormat="1" ht="15.75" hidden="1" customHeight="1">
      <c r="A2532" s="21">
        <v>551221</v>
      </c>
      <c r="B2532" s="21" t="s">
        <v>2521</v>
      </c>
      <c r="C2532" s="21" t="s">
        <v>5647</v>
      </c>
      <c r="D2532" s="21" t="s">
        <v>11</v>
      </c>
      <c r="E2532" s="21" t="s">
        <v>11</v>
      </c>
    </row>
    <row r="2533" spans="1:5" s="21" customFormat="1" ht="15.75" hidden="1" customHeight="1">
      <c r="A2533" s="21">
        <v>551229</v>
      </c>
      <c r="B2533" s="21" t="s">
        <v>2522</v>
      </c>
      <c r="C2533" s="21" t="s">
        <v>5647</v>
      </c>
      <c r="D2533" s="21" t="s">
        <v>11</v>
      </c>
      <c r="E2533" s="21" t="s">
        <v>11</v>
      </c>
    </row>
    <row r="2534" spans="1:5" s="21" customFormat="1" ht="15.75" hidden="1" customHeight="1">
      <c r="A2534" s="21">
        <v>551291</v>
      </c>
      <c r="B2534" s="21" t="s">
        <v>2523</v>
      </c>
      <c r="C2534" s="21" t="s">
        <v>5647</v>
      </c>
      <c r="D2534" s="21" t="s">
        <v>11</v>
      </c>
      <c r="E2534" s="21" t="s">
        <v>11</v>
      </c>
    </row>
    <row r="2535" spans="1:5" s="21" customFormat="1" ht="15.75" hidden="1" customHeight="1">
      <c r="A2535" s="21">
        <v>551299</v>
      </c>
      <c r="B2535" s="21" t="s">
        <v>2524</v>
      </c>
      <c r="C2535" s="21" t="s">
        <v>5647</v>
      </c>
      <c r="D2535" s="21" t="s">
        <v>11</v>
      </c>
      <c r="E2535" s="21" t="s">
        <v>11</v>
      </c>
    </row>
    <row r="2536" spans="1:5" s="21" customFormat="1" ht="15.75" hidden="1" customHeight="1">
      <c r="A2536" s="21">
        <v>551311</v>
      </c>
      <c r="B2536" s="21" t="s">
        <v>2525</v>
      </c>
      <c r="C2536" s="21" t="s">
        <v>5647</v>
      </c>
      <c r="D2536" s="21" t="s">
        <v>11</v>
      </c>
      <c r="E2536" s="21" t="s">
        <v>11</v>
      </c>
    </row>
    <row r="2537" spans="1:5" s="21" customFormat="1" ht="15.75" hidden="1" customHeight="1">
      <c r="A2537" s="21">
        <v>551312</v>
      </c>
      <c r="B2537" s="21" t="s">
        <v>2526</v>
      </c>
      <c r="C2537" s="21" t="s">
        <v>5647</v>
      </c>
      <c r="D2537" s="21" t="s">
        <v>11</v>
      </c>
      <c r="E2537" s="21" t="s">
        <v>11</v>
      </c>
    </row>
    <row r="2538" spans="1:5" s="21" customFormat="1" ht="15.75" hidden="1" customHeight="1">
      <c r="A2538" s="21">
        <v>551313</v>
      </c>
      <c r="B2538" s="21" t="s">
        <v>2527</v>
      </c>
      <c r="C2538" s="21" t="s">
        <v>5647</v>
      </c>
      <c r="D2538" s="21" t="s">
        <v>11</v>
      </c>
      <c r="E2538" s="21" t="s">
        <v>11</v>
      </c>
    </row>
    <row r="2539" spans="1:5" s="21" customFormat="1" ht="15.75" hidden="1" customHeight="1">
      <c r="A2539" s="21">
        <v>551319</v>
      </c>
      <c r="B2539" s="21" t="s">
        <v>2528</v>
      </c>
      <c r="C2539" s="21" t="s">
        <v>5647</v>
      </c>
      <c r="D2539" s="21" t="s">
        <v>11</v>
      </c>
      <c r="E2539" s="21" t="s">
        <v>11</v>
      </c>
    </row>
    <row r="2540" spans="1:5" s="21" customFormat="1" ht="15.75" hidden="1" customHeight="1">
      <c r="A2540" s="21">
        <v>551321</v>
      </c>
      <c r="B2540" s="21" t="s">
        <v>2529</v>
      </c>
      <c r="C2540" s="21" t="s">
        <v>5647</v>
      </c>
      <c r="D2540" s="21" t="s">
        <v>11</v>
      </c>
      <c r="E2540" s="21" t="s">
        <v>11</v>
      </c>
    </row>
    <row r="2541" spans="1:5" s="21" customFormat="1" ht="15.75" hidden="1" customHeight="1">
      <c r="A2541" s="21">
        <v>551323</v>
      </c>
      <c r="B2541" s="21" t="s">
        <v>2530</v>
      </c>
      <c r="C2541" s="21" t="s">
        <v>5647</v>
      </c>
      <c r="D2541" s="21" t="s">
        <v>11</v>
      </c>
      <c r="E2541" s="21" t="s">
        <v>11</v>
      </c>
    </row>
    <row r="2542" spans="1:5" s="21" customFormat="1" ht="15.75" hidden="1" customHeight="1">
      <c r="A2542" s="21">
        <v>551329</v>
      </c>
      <c r="B2542" s="21" t="s">
        <v>2531</v>
      </c>
      <c r="C2542" s="21" t="s">
        <v>5647</v>
      </c>
      <c r="D2542" s="21" t="s">
        <v>11</v>
      </c>
      <c r="E2542" s="21" t="s">
        <v>11</v>
      </c>
    </row>
    <row r="2543" spans="1:5" s="21" customFormat="1" ht="15.75" hidden="1" customHeight="1">
      <c r="A2543" s="21">
        <v>551331</v>
      </c>
      <c r="B2543" s="21" t="s">
        <v>2532</v>
      </c>
      <c r="C2543" s="21" t="s">
        <v>5647</v>
      </c>
      <c r="D2543" s="21" t="s">
        <v>11</v>
      </c>
      <c r="E2543" s="21" t="s">
        <v>11</v>
      </c>
    </row>
    <row r="2544" spans="1:5" s="21" customFormat="1" ht="15.75" hidden="1" customHeight="1">
      <c r="A2544" s="21">
        <v>551339</v>
      </c>
      <c r="B2544" s="21" t="s">
        <v>2533</v>
      </c>
      <c r="C2544" s="21" t="s">
        <v>5647</v>
      </c>
      <c r="D2544" s="21" t="s">
        <v>11</v>
      </c>
      <c r="E2544" s="21" t="s">
        <v>11</v>
      </c>
    </row>
    <row r="2545" spans="1:5" s="21" customFormat="1" ht="15.75" hidden="1" customHeight="1">
      <c r="A2545" s="21">
        <v>551341</v>
      </c>
      <c r="B2545" s="21" t="s">
        <v>2534</v>
      </c>
      <c r="C2545" s="21" t="s">
        <v>5647</v>
      </c>
      <c r="D2545" s="21" t="s">
        <v>11</v>
      </c>
      <c r="E2545" s="21" t="s">
        <v>11</v>
      </c>
    </row>
    <row r="2546" spans="1:5" s="21" customFormat="1" ht="15.75" hidden="1" customHeight="1">
      <c r="A2546" s="21">
        <v>551349</v>
      </c>
      <c r="B2546" s="21" t="s">
        <v>2535</v>
      </c>
      <c r="C2546" s="21" t="s">
        <v>5647</v>
      </c>
      <c r="D2546" s="21" t="s">
        <v>11</v>
      </c>
      <c r="E2546" s="21" t="s">
        <v>11</v>
      </c>
    </row>
    <row r="2547" spans="1:5" s="21" customFormat="1" ht="15.75" hidden="1" customHeight="1">
      <c r="A2547" s="21">
        <v>551411</v>
      </c>
      <c r="B2547" s="21" t="s">
        <v>2536</v>
      </c>
      <c r="C2547" s="21" t="s">
        <v>5647</v>
      </c>
      <c r="D2547" s="21" t="s">
        <v>11</v>
      </c>
      <c r="E2547" s="21" t="s">
        <v>11</v>
      </c>
    </row>
    <row r="2548" spans="1:5" s="21" customFormat="1" ht="15.75" hidden="1" customHeight="1">
      <c r="A2548" s="21">
        <v>551412</v>
      </c>
      <c r="B2548" s="21" t="s">
        <v>2537</v>
      </c>
      <c r="C2548" s="21" t="s">
        <v>5647</v>
      </c>
      <c r="D2548" s="21" t="s">
        <v>11</v>
      </c>
      <c r="E2548" s="21" t="s">
        <v>11</v>
      </c>
    </row>
    <row r="2549" spans="1:5" s="21" customFormat="1" ht="15.75" hidden="1" customHeight="1">
      <c r="A2549" s="21">
        <v>551419</v>
      </c>
      <c r="B2549" s="21" t="s">
        <v>2538</v>
      </c>
      <c r="C2549" s="21" t="s">
        <v>5647</v>
      </c>
      <c r="D2549" s="21" t="s">
        <v>11</v>
      </c>
      <c r="E2549" s="21" t="s">
        <v>11</v>
      </c>
    </row>
    <row r="2550" spans="1:5" s="21" customFormat="1" ht="15.75" hidden="1" customHeight="1">
      <c r="A2550" s="21">
        <v>551421</v>
      </c>
      <c r="B2550" s="21" t="s">
        <v>2539</v>
      </c>
      <c r="C2550" s="21" t="s">
        <v>5647</v>
      </c>
      <c r="D2550" s="21" t="s">
        <v>11</v>
      </c>
      <c r="E2550" s="21" t="s">
        <v>11</v>
      </c>
    </row>
    <row r="2551" spans="1:5" s="21" customFormat="1" ht="15.75" hidden="1" customHeight="1">
      <c r="A2551" s="21">
        <v>551422</v>
      </c>
      <c r="B2551" s="21" t="s">
        <v>2540</v>
      </c>
      <c r="C2551" s="21" t="s">
        <v>5647</v>
      </c>
      <c r="D2551" s="21" t="s">
        <v>11</v>
      </c>
      <c r="E2551" s="21" t="s">
        <v>11</v>
      </c>
    </row>
    <row r="2552" spans="1:5" s="21" customFormat="1" ht="15.75" hidden="1" customHeight="1">
      <c r="A2552" s="21">
        <v>551423</v>
      </c>
      <c r="B2552" s="21" t="s">
        <v>2541</v>
      </c>
      <c r="C2552" s="21" t="s">
        <v>5647</v>
      </c>
      <c r="D2552" s="21" t="s">
        <v>11</v>
      </c>
      <c r="E2552" s="21" t="s">
        <v>11</v>
      </c>
    </row>
    <row r="2553" spans="1:5" s="21" customFormat="1" ht="15.75" hidden="1" customHeight="1">
      <c r="A2553" s="21">
        <v>551429</v>
      </c>
      <c r="B2553" s="21" t="s">
        <v>2542</v>
      </c>
      <c r="C2553" s="21" t="s">
        <v>5647</v>
      </c>
      <c r="D2553" s="21" t="s">
        <v>11</v>
      </c>
      <c r="E2553" s="21" t="s">
        <v>11</v>
      </c>
    </row>
    <row r="2554" spans="1:5" s="21" customFormat="1" ht="15.75" hidden="1" customHeight="1">
      <c r="A2554" s="21">
        <v>551430</v>
      </c>
      <c r="B2554" s="21" t="s">
        <v>2543</v>
      </c>
      <c r="C2554" s="21" t="s">
        <v>5647</v>
      </c>
      <c r="D2554" s="21" t="s">
        <v>11</v>
      </c>
      <c r="E2554" s="21" t="s">
        <v>11</v>
      </c>
    </row>
    <row r="2555" spans="1:5" s="21" customFormat="1" ht="15.75" hidden="1" customHeight="1">
      <c r="A2555" s="21">
        <v>551441</v>
      </c>
      <c r="B2555" s="21" t="s">
        <v>2544</v>
      </c>
      <c r="C2555" s="21" t="s">
        <v>5647</v>
      </c>
      <c r="D2555" s="21" t="s">
        <v>11</v>
      </c>
      <c r="E2555" s="21" t="s">
        <v>11</v>
      </c>
    </row>
    <row r="2556" spans="1:5" s="21" customFormat="1" ht="15.75" hidden="1" customHeight="1">
      <c r="A2556" s="21">
        <v>551442</v>
      </c>
      <c r="B2556" s="21" t="s">
        <v>2545</v>
      </c>
      <c r="C2556" s="21" t="s">
        <v>5647</v>
      </c>
      <c r="D2556" s="21" t="s">
        <v>11</v>
      </c>
      <c r="E2556" s="21" t="s">
        <v>11</v>
      </c>
    </row>
    <row r="2557" spans="1:5" s="21" customFormat="1" ht="15.75" hidden="1" customHeight="1">
      <c r="A2557" s="21">
        <v>551443</v>
      </c>
      <c r="B2557" s="21" t="s">
        <v>2546</v>
      </c>
      <c r="C2557" s="21" t="s">
        <v>5647</v>
      </c>
      <c r="D2557" s="21" t="s">
        <v>11</v>
      </c>
      <c r="E2557" s="21" t="s">
        <v>11</v>
      </c>
    </row>
    <row r="2558" spans="1:5" s="21" customFormat="1" ht="15.75" hidden="1" customHeight="1">
      <c r="A2558" s="21">
        <v>551449</v>
      </c>
      <c r="B2558" s="21" t="s">
        <v>2547</v>
      </c>
      <c r="C2558" s="21" t="s">
        <v>5647</v>
      </c>
      <c r="D2558" s="21" t="s">
        <v>11</v>
      </c>
      <c r="E2558" s="21" t="s">
        <v>11</v>
      </c>
    </row>
    <row r="2559" spans="1:5" s="21" customFormat="1" ht="15.75" hidden="1" customHeight="1">
      <c r="A2559" s="21">
        <v>551511</v>
      </c>
      <c r="B2559" s="21" t="s">
        <v>2548</v>
      </c>
      <c r="C2559" s="21" t="s">
        <v>5647</v>
      </c>
      <c r="D2559" s="21" t="s">
        <v>11</v>
      </c>
      <c r="E2559" s="21" t="s">
        <v>11</v>
      </c>
    </row>
    <row r="2560" spans="1:5" s="21" customFormat="1" ht="15.75" hidden="1" customHeight="1">
      <c r="A2560" s="21">
        <v>551512</v>
      </c>
      <c r="B2560" s="21" t="s">
        <v>2549</v>
      </c>
      <c r="C2560" s="21" t="s">
        <v>5647</v>
      </c>
      <c r="D2560" s="21" t="s">
        <v>11</v>
      </c>
      <c r="E2560" s="21" t="s">
        <v>11</v>
      </c>
    </row>
    <row r="2561" spans="1:5" s="21" customFormat="1" ht="15.75" hidden="1" customHeight="1">
      <c r="A2561" s="21">
        <v>551513</v>
      </c>
      <c r="B2561" s="21" t="s">
        <v>2550</v>
      </c>
      <c r="C2561" s="21" t="s">
        <v>5647</v>
      </c>
      <c r="D2561" s="21" t="s">
        <v>11</v>
      </c>
      <c r="E2561" s="21" t="s">
        <v>11</v>
      </c>
    </row>
    <row r="2562" spans="1:5" s="21" customFormat="1" ht="15.75" hidden="1" customHeight="1">
      <c r="A2562" s="21">
        <v>551519</v>
      </c>
      <c r="B2562" s="21" t="s">
        <v>2551</v>
      </c>
      <c r="C2562" s="21" t="s">
        <v>5647</v>
      </c>
      <c r="D2562" s="21" t="s">
        <v>11</v>
      </c>
      <c r="E2562" s="21" t="s">
        <v>11</v>
      </c>
    </row>
    <row r="2563" spans="1:5" s="21" customFormat="1" ht="15.75" hidden="1" customHeight="1">
      <c r="A2563" s="21">
        <v>551521</v>
      </c>
      <c r="B2563" s="21" t="s">
        <v>2552</v>
      </c>
      <c r="C2563" s="21" t="s">
        <v>5647</v>
      </c>
      <c r="D2563" s="21" t="s">
        <v>11</v>
      </c>
      <c r="E2563" s="21" t="s">
        <v>11</v>
      </c>
    </row>
    <row r="2564" spans="1:5" s="21" customFormat="1" ht="15.75" hidden="1" customHeight="1">
      <c r="A2564" s="21">
        <v>551522</v>
      </c>
      <c r="B2564" s="21" t="s">
        <v>2553</v>
      </c>
      <c r="C2564" s="21" t="s">
        <v>5647</v>
      </c>
      <c r="D2564" s="21" t="s">
        <v>11</v>
      </c>
      <c r="E2564" s="21" t="s">
        <v>11</v>
      </c>
    </row>
    <row r="2565" spans="1:5" s="21" customFormat="1" ht="15.75" hidden="1" customHeight="1">
      <c r="A2565" s="21">
        <v>551529</v>
      </c>
      <c r="B2565" s="21" t="s">
        <v>2554</v>
      </c>
      <c r="C2565" s="21" t="s">
        <v>5647</v>
      </c>
      <c r="D2565" s="21" t="s">
        <v>11</v>
      </c>
      <c r="E2565" s="21" t="s">
        <v>11</v>
      </c>
    </row>
    <row r="2566" spans="1:5" s="21" customFormat="1" ht="15.75" hidden="1" customHeight="1">
      <c r="A2566" s="21">
        <v>551591</v>
      </c>
      <c r="B2566" s="21" t="s">
        <v>2555</v>
      </c>
      <c r="C2566" s="21" t="s">
        <v>5647</v>
      </c>
      <c r="D2566" s="21" t="s">
        <v>11</v>
      </c>
      <c r="E2566" s="21" t="s">
        <v>11</v>
      </c>
    </row>
    <row r="2567" spans="1:5" s="21" customFormat="1" ht="15.75" hidden="1" customHeight="1">
      <c r="A2567" s="21">
        <v>551599</v>
      </c>
      <c r="B2567" s="21" t="s">
        <v>2556</v>
      </c>
      <c r="C2567" s="21" t="s">
        <v>5647</v>
      </c>
      <c r="D2567" s="21" t="s">
        <v>11</v>
      </c>
      <c r="E2567" s="21" t="s">
        <v>11</v>
      </c>
    </row>
    <row r="2568" spans="1:5" s="21" customFormat="1" ht="15.75" hidden="1" customHeight="1">
      <c r="A2568" s="21">
        <v>551611</v>
      </c>
      <c r="B2568" s="21" t="s">
        <v>2557</v>
      </c>
      <c r="C2568" s="21" t="s">
        <v>5647</v>
      </c>
      <c r="D2568" s="21" t="s">
        <v>11</v>
      </c>
      <c r="E2568" s="21" t="s">
        <v>11</v>
      </c>
    </row>
    <row r="2569" spans="1:5" s="21" customFormat="1" ht="15.75" hidden="1" customHeight="1">
      <c r="A2569" s="21">
        <v>551612</v>
      </c>
      <c r="B2569" s="21" t="s">
        <v>2558</v>
      </c>
      <c r="C2569" s="21" t="s">
        <v>5647</v>
      </c>
      <c r="D2569" s="21" t="s">
        <v>11</v>
      </c>
      <c r="E2569" s="21" t="s">
        <v>11</v>
      </c>
    </row>
    <row r="2570" spans="1:5" s="21" customFormat="1" ht="15.75" hidden="1" customHeight="1">
      <c r="A2570" s="21">
        <v>551613</v>
      </c>
      <c r="B2570" s="21" t="s">
        <v>2559</v>
      </c>
      <c r="C2570" s="21" t="s">
        <v>5647</v>
      </c>
      <c r="D2570" s="21" t="s">
        <v>11</v>
      </c>
      <c r="E2570" s="21" t="s">
        <v>11</v>
      </c>
    </row>
    <row r="2571" spans="1:5" s="21" customFormat="1" ht="15.75" hidden="1" customHeight="1">
      <c r="A2571" s="21">
        <v>551614</v>
      </c>
      <c r="B2571" s="21" t="s">
        <v>2560</v>
      </c>
      <c r="C2571" s="21" t="s">
        <v>5647</v>
      </c>
      <c r="D2571" s="21" t="s">
        <v>11</v>
      </c>
      <c r="E2571" s="21" t="s">
        <v>11</v>
      </c>
    </row>
    <row r="2572" spans="1:5" s="21" customFormat="1" ht="15.75" hidden="1" customHeight="1">
      <c r="A2572" s="21">
        <v>551621</v>
      </c>
      <c r="B2572" s="21" t="s">
        <v>2561</v>
      </c>
      <c r="C2572" s="21" t="s">
        <v>5647</v>
      </c>
      <c r="D2572" s="21" t="s">
        <v>11</v>
      </c>
      <c r="E2572" s="21" t="s">
        <v>11</v>
      </c>
    </row>
    <row r="2573" spans="1:5" s="21" customFormat="1" ht="15.75" hidden="1" customHeight="1">
      <c r="A2573" s="21">
        <v>551622</v>
      </c>
      <c r="B2573" s="21" t="s">
        <v>2562</v>
      </c>
      <c r="C2573" s="21" t="s">
        <v>5647</v>
      </c>
      <c r="D2573" s="21" t="s">
        <v>11</v>
      </c>
      <c r="E2573" s="21" t="s">
        <v>11</v>
      </c>
    </row>
    <row r="2574" spans="1:5" s="21" customFormat="1" ht="15.75" hidden="1" customHeight="1">
      <c r="A2574" s="21">
        <v>551623</v>
      </c>
      <c r="B2574" s="21" t="s">
        <v>2563</v>
      </c>
      <c r="C2574" s="21" t="s">
        <v>5647</v>
      </c>
      <c r="D2574" s="21" t="s">
        <v>11</v>
      </c>
      <c r="E2574" s="21" t="s">
        <v>11</v>
      </c>
    </row>
    <row r="2575" spans="1:5" s="21" customFormat="1" ht="15.75" hidden="1" customHeight="1">
      <c r="A2575" s="21">
        <v>551624</v>
      </c>
      <c r="B2575" s="21" t="s">
        <v>2564</v>
      </c>
      <c r="C2575" s="21" t="s">
        <v>5647</v>
      </c>
      <c r="D2575" s="21" t="s">
        <v>11</v>
      </c>
      <c r="E2575" s="21" t="s">
        <v>11</v>
      </c>
    </row>
    <row r="2576" spans="1:5" s="21" customFormat="1" ht="15.75" hidden="1" customHeight="1">
      <c r="A2576" s="21">
        <v>551631</v>
      </c>
      <c r="B2576" s="21" t="s">
        <v>2565</v>
      </c>
      <c r="C2576" s="21" t="s">
        <v>5647</v>
      </c>
      <c r="D2576" s="21" t="s">
        <v>11</v>
      </c>
      <c r="E2576" s="21" t="s">
        <v>11</v>
      </c>
    </row>
    <row r="2577" spans="1:5" s="21" customFormat="1" ht="15.75" hidden="1" customHeight="1">
      <c r="A2577" s="21">
        <v>551632</v>
      </c>
      <c r="B2577" s="21" t="s">
        <v>2566</v>
      </c>
      <c r="C2577" s="21" t="s">
        <v>5647</v>
      </c>
      <c r="D2577" s="21" t="s">
        <v>11</v>
      </c>
      <c r="E2577" s="21" t="s">
        <v>11</v>
      </c>
    </row>
    <row r="2578" spans="1:5" s="21" customFormat="1" ht="15.75" hidden="1" customHeight="1">
      <c r="A2578" s="21">
        <v>551633</v>
      </c>
      <c r="B2578" s="21" t="s">
        <v>2567</v>
      </c>
      <c r="C2578" s="21" t="s">
        <v>5647</v>
      </c>
      <c r="D2578" s="21" t="s">
        <v>11</v>
      </c>
      <c r="E2578" s="21" t="s">
        <v>11</v>
      </c>
    </row>
    <row r="2579" spans="1:5" s="21" customFormat="1" ht="15.75" hidden="1" customHeight="1">
      <c r="A2579" s="21">
        <v>551634</v>
      </c>
      <c r="B2579" s="21" t="s">
        <v>2568</v>
      </c>
      <c r="C2579" s="21" t="s">
        <v>5647</v>
      </c>
      <c r="D2579" s="21" t="s">
        <v>11</v>
      </c>
      <c r="E2579" s="21" t="s">
        <v>11</v>
      </c>
    </row>
    <row r="2580" spans="1:5" s="21" customFormat="1" ht="15.75" hidden="1" customHeight="1">
      <c r="A2580" s="21">
        <v>551641</v>
      </c>
      <c r="B2580" s="21" t="s">
        <v>2569</v>
      </c>
      <c r="C2580" s="21" t="s">
        <v>5647</v>
      </c>
      <c r="D2580" s="21" t="s">
        <v>11</v>
      </c>
      <c r="E2580" s="21" t="s">
        <v>11</v>
      </c>
    </row>
    <row r="2581" spans="1:5" s="21" customFormat="1" ht="15.75" hidden="1" customHeight="1">
      <c r="A2581" s="21">
        <v>551642</v>
      </c>
      <c r="B2581" s="21" t="s">
        <v>2570</v>
      </c>
      <c r="C2581" s="21" t="s">
        <v>5647</v>
      </c>
      <c r="D2581" s="21" t="s">
        <v>11</v>
      </c>
      <c r="E2581" s="21" t="s">
        <v>11</v>
      </c>
    </row>
    <row r="2582" spans="1:5" s="21" customFormat="1" ht="15.75" hidden="1" customHeight="1">
      <c r="A2582" s="21">
        <v>551643</v>
      </c>
      <c r="B2582" s="21" t="s">
        <v>2571</v>
      </c>
      <c r="C2582" s="21" t="s">
        <v>5647</v>
      </c>
      <c r="D2582" s="21" t="s">
        <v>11</v>
      </c>
      <c r="E2582" s="21" t="s">
        <v>11</v>
      </c>
    </row>
    <row r="2583" spans="1:5" s="21" customFormat="1" ht="15.75" hidden="1" customHeight="1">
      <c r="A2583" s="21">
        <v>551644</v>
      </c>
      <c r="B2583" s="21" t="s">
        <v>2572</v>
      </c>
      <c r="C2583" s="21" t="s">
        <v>5647</v>
      </c>
      <c r="D2583" s="21" t="s">
        <v>11</v>
      </c>
      <c r="E2583" s="21" t="s">
        <v>11</v>
      </c>
    </row>
    <row r="2584" spans="1:5" s="21" customFormat="1" ht="15.75" hidden="1" customHeight="1">
      <c r="A2584" s="21">
        <v>551691</v>
      </c>
      <c r="B2584" s="21" t="s">
        <v>2573</v>
      </c>
      <c r="C2584" s="21" t="s">
        <v>5647</v>
      </c>
      <c r="D2584" s="21" t="s">
        <v>11</v>
      </c>
      <c r="E2584" s="21" t="s">
        <v>11</v>
      </c>
    </row>
    <row r="2585" spans="1:5" s="21" customFormat="1" ht="15.75" hidden="1" customHeight="1">
      <c r="A2585" s="21">
        <v>551692</v>
      </c>
      <c r="B2585" s="21" t="s">
        <v>2574</v>
      </c>
      <c r="C2585" s="21" t="s">
        <v>5647</v>
      </c>
      <c r="D2585" s="21" t="s">
        <v>11</v>
      </c>
      <c r="E2585" s="21" t="s">
        <v>11</v>
      </c>
    </row>
    <row r="2586" spans="1:5" s="21" customFormat="1" ht="15.75" hidden="1" customHeight="1">
      <c r="A2586" s="21">
        <v>551693</v>
      </c>
      <c r="B2586" s="21" t="s">
        <v>2575</v>
      </c>
      <c r="C2586" s="21" t="s">
        <v>5647</v>
      </c>
      <c r="D2586" s="21" t="s">
        <v>11</v>
      </c>
      <c r="E2586" s="21" t="s">
        <v>11</v>
      </c>
    </row>
    <row r="2587" spans="1:5" s="21" customFormat="1" ht="15.75" hidden="1" customHeight="1">
      <c r="A2587" s="21">
        <v>551694</v>
      </c>
      <c r="B2587" s="21" t="s">
        <v>2576</v>
      </c>
      <c r="C2587" s="21" t="s">
        <v>5647</v>
      </c>
      <c r="D2587" s="21" t="s">
        <v>11</v>
      </c>
      <c r="E2587" s="21" t="s">
        <v>11</v>
      </c>
    </row>
    <row r="2588" spans="1:5" s="21" customFormat="1" ht="15.75" hidden="1" customHeight="1">
      <c r="A2588" s="21">
        <v>560110</v>
      </c>
      <c r="B2588" s="21" t="s">
        <v>2577</v>
      </c>
      <c r="C2588" s="21" t="s">
        <v>2577</v>
      </c>
      <c r="D2588" s="21" t="s">
        <v>11</v>
      </c>
      <c r="E2588" s="21" t="s">
        <v>11</v>
      </c>
    </row>
    <row r="2589" spans="1:5" s="21" customFormat="1" ht="15.75" hidden="1" customHeight="1">
      <c r="A2589" s="21">
        <v>560121</v>
      </c>
      <c r="B2589" s="21" t="s">
        <v>2578</v>
      </c>
      <c r="C2589" s="21" t="s">
        <v>5663</v>
      </c>
      <c r="D2589" s="21" t="s">
        <v>11</v>
      </c>
      <c r="E2589" s="21" t="s">
        <v>11</v>
      </c>
    </row>
    <row r="2590" spans="1:5" s="21" customFormat="1" ht="15.75" hidden="1" customHeight="1">
      <c r="A2590" s="21">
        <v>560122</v>
      </c>
      <c r="B2590" s="21" t="s">
        <v>2579</v>
      </c>
      <c r="C2590" s="21" t="s">
        <v>5663</v>
      </c>
      <c r="D2590" s="21" t="s">
        <v>11</v>
      </c>
      <c r="E2590" s="21" t="s">
        <v>11</v>
      </c>
    </row>
    <row r="2591" spans="1:5" s="21" customFormat="1" ht="15.75" hidden="1" customHeight="1">
      <c r="A2591" s="21">
        <v>560129</v>
      </c>
      <c r="B2591" s="21" t="s">
        <v>2580</v>
      </c>
      <c r="C2591" s="21" t="s">
        <v>5663</v>
      </c>
      <c r="D2591" s="21" t="s">
        <v>11</v>
      </c>
      <c r="E2591" s="21" t="s">
        <v>11</v>
      </c>
    </row>
    <row r="2592" spans="1:5" s="21" customFormat="1" ht="15.75" hidden="1" customHeight="1">
      <c r="A2592" s="21">
        <v>560130</v>
      </c>
      <c r="B2592" s="21" t="s">
        <v>2581</v>
      </c>
      <c r="C2592" s="21" t="s">
        <v>5663</v>
      </c>
      <c r="D2592" s="21" t="s">
        <v>11</v>
      </c>
      <c r="E2592" s="21" t="s">
        <v>11</v>
      </c>
    </row>
    <row r="2593" spans="1:5" s="21" customFormat="1" ht="15.75" hidden="1" customHeight="1">
      <c r="A2593" s="21">
        <v>560210</v>
      </c>
      <c r="B2593" s="21" t="s">
        <v>2582</v>
      </c>
      <c r="C2593" s="21" t="s">
        <v>5664</v>
      </c>
      <c r="D2593" s="21" t="s">
        <v>11</v>
      </c>
      <c r="E2593" s="21" t="s">
        <v>11</v>
      </c>
    </row>
    <row r="2594" spans="1:5" s="21" customFormat="1" ht="15.75" hidden="1" customHeight="1">
      <c r="A2594" s="21">
        <v>560221</v>
      </c>
      <c r="B2594" s="21" t="s">
        <v>2583</v>
      </c>
      <c r="C2594" s="21" t="s">
        <v>5664</v>
      </c>
      <c r="D2594" s="21" t="s">
        <v>11</v>
      </c>
      <c r="E2594" s="21" t="s">
        <v>11</v>
      </c>
    </row>
    <row r="2595" spans="1:5" s="21" customFormat="1" ht="15.75" hidden="1" customHeight="1">
      <c r="A2595" s="21">
        <v>560229</v>
      </c>
      <c r="B2595" s="21" t="s">
        <v>2584</v>
      </c>
      <c r="C2595" s="21" t="s">
        <v>5664</v>
      </c>
      <c r="D2595" s="21" t="s">
        <v>11</v>
      </c>
      <c r="E2595" s="21" t="s">
        <v>11</v>
      </c>
    </row>
    <row r="2596" spans="1:5" s="21" customFormat="1" ht="15.75" hidden="1" customHeight="1">
      <c r="A2596" s="21">
        <v>560290</v>
      </c>
      <c r="B2596" s="21" t="s">
        <v>2585</v>
      </c>
      <c r="C2596" s="21" t="s">
        <v>5664</v>
      </c>
      <c r="D2596" s="21" t="s">
        <v>11</v>
      </c>
      <c r="E2596" s="21" t="s">
        <v>11</v>
      </c>
    </row>
    <row r="2597" spans="1:5" s="21" customFormat="1" ht="15.75" hidden="1" customHeight="1">
      <c r="A2597" s="21">
        <v>560311</v>
      </c>
      <c r="B2597" s="21" t="s">
        <v>2586</v>
      </c>
      <c r="C2597" s="21" t="s">
        <v>5665</v>
      </c>
      <c r="D2597" s="21" t="s">
        <v>11</v>
      </c>
      <c r="E2597" s="21" t="s">
        <v>11</v>
      </c>
    </row>
    <row r="2598" spans="1:5" s="21" customFormat="1" ht="15.75" hidden="1" customHeight="1">
      <c r="A2598" s="21">
        <v>560312</v>
      </c>
      <c r="B2598" s="21" t="s">
        <v>2587</v>
      </c>
      <c r="C2598" s="21" t="s">
        <v>5665</v>
      </c>
      <c r="D2598" s="21" t="s">
        <v>11</v>
      </c>
      <c r="E2598" s="21" t="s">
        <v>11</v>
      </c>
    </row>
    <row r="2599" spans="1:5" s="21" customFormat="1" ht="15.75" hidden="1" customHeight="1">
      <c r="A2599" s="21">
        <v>560313</v>
      </c>
      <c r="B2599" s="21" t="s">
        <v>2588</v>
      </c>
      <c r="C2599" s="21" t="s">
        <v>5665</v>
      </c>
      <c r="D2599" s="21" t="s">
        <v>11</v>
      </c>
      <c r="E2599" s="21" t="s">
        <v>11</v>
      </c>
    </row>
    <row r="2600" spans="1:5" s="21" customFormat="1" ht="15.75" hidden="1" customHeight="1">
      <c r="A2600" s="21">
        <v>560314</v>
      </c>
      <c r="B2600" s="21" t="s">
        <v>2589</v>
      </c>
      <c r="C2600" s="21" t="s">
        <v>5665</v>
      </c>
      <c r="D2600" s="21" t="s">
        <v>11</v>
      </c>
      <c r="E2600" s="21" t="s">
        <v>11</v>
      </c>
    </row>
    <row r="2601" spans="1:5" s="21" customFormat="1" ht="15.75" hidden="1" customHeight="1">
      <c r="A2601" s="21">
        <v>560391</v>
      </c>
      <c r="B2601" s="21" t="s">
        <v>2590</v>
      </c>
      <c r="C2601" s="21" t="s">
        <v>5665</v>
      </c>
      <c r="D2601" s="21" t="s">
        <v>11</v>
      </c>
      <c r="E2601" s="21" t="s">
        <v>11</v>
      </c>
    </row>
    <row r="2602" spans="1:5" s="21" customFormat="1" ht="15.75" hidden="1" customHeight="1">
      <c r="A2602" s="21">
        <v>560392</v>
      </c>
      <c r="B2602" s="21" t="s">
        <v>2591</v>
      </c>
      <c r="C2602" s="21" t="s">
        <v>5665</v>
      </c>
      <c r="D2602" s="21" t="s">
        <v>11</v>
      </c>
      <c r="E2602" s="21" t="s">
        <v>11</v>
      </c>
    </row>
    <row r="2603" spans="1:5" s="21" customFormat="1" ht="15.75" hidden="1" customHeight="1">
      <c r="A2603" s="21">
        <v>560393</v>
      </c>
      <c r="B2603" s="21" t="s">
        <v>2592</v>
      </c>
      <c r="C2603" s="21" t="s">
        <v>5665</v>
      </c>
      <c r="D2603" s="21" t="s">
        <v>11</v>
      </c>
      <c r="E2603" s="21" t="s">
        <v>11</v>
      </c>
    </row>
    <row r="2604" spans="1:5" s="21" customFormat="1" ht="15.75" hidden="1" customHeight="1">
      <c r="A2604" s="21">
        <v>560394</v>
      </c>
      <c r="B2604" s="21" t="s">
        <v>2593</v>
      </c>
      <c r="C2604" s="21" t="s">
        <v>5665</v>
      </c>
      <c r="D2604" s="21" t="s">
        <v>11</v>
      </c>
      <c r="E2604" s="21" t="s">
        <v>11</v>
      </c>
    </row>
    <row r="2605" spans="1:5" s="21" customFormat="1" ht="15.75" hidden="1" customHeight="1">
      <c r="A2605" s="21">
        <v>560410</v>
      </c>
      <c r="B2605" s="21" t="s">
        <v>2594</v>
      </c>
      <c r="C2605" s="21" t="s">
        <v>5666</v>
      </c>
      <c r="D2605" s="21" t="s">
        <v>11</v>
      </c>
      <c r="E2605" s="21" t="s">
        <v>11</v>
      </c>
    </row>
    <row r="2606" spans="1:5" s="21" customFormat="1" ht="15.75" hidden="1" customHeight="1">
      <c r="A2606" s="21">
        <v>560490</v>
      </c>
      <c r="B2606" s="21" t="s">
        <v>2595</v>
      </c>
      <c r="C2606" s="21" t="s">
        <v>5646</v>
      </c>
      <c r="D2606" s="21" t="s">
        <v>11</v>
      </c>
      <c r="E2606" s="21" t="s">
        <v>11</v>
      </c>
    </row>
    <row r="2607" spans="1:5" s="21" customFormat="1" ht="15.75" hidden="1" customHeight="1">
      <c r="A2607" s="21">
        <v>560500</v>
      </c>
      <c r="B2607" s="21" t="s">
        <v>2596</v>
      </c>
      <c r="C2607" s="21" t="s">
        <v>5646</v>
      </c>
      <c r="D2607" s="21" t="s">
        <v>11</v>
      </c>
      <c r="E2607" s="21" t="s">
        <v>11</v>
      </c>
    </row>
    <row r="2608" spans="1:5" s="21" customFormat="1" ht="15.75" hidden="1" customHeight="1">
      <c r="A2608" s="21">
        <v>560600</v>
      </c>
      <c r="B2608" s="21" t="s">
        <v>2597</v>
      </c>
      <c r="C2608" s="21" t="s">
        <v>5667</v>
      </c>
      <c r="D2608" s="21" t="s">
        <v>11</v>
      </c>
      <c r="E2608" s="21" t="s">
        <v>11</v>
      </c>
    </row>
    <row r="2609" spans="1:5" s="21" customFormat="1" ht="15.75" hidden="1" customHeight="1">
      <c r="A2609" s="21">
        <v>560721</v>
      </c>
      <c r="B2609" s="21" t="s">
        <v>2598</v>
      </c>
      <c r="C2609" s="21" t="s">
        <v>5668</v>
      </c>
      <c r="D2609" s="21" t="s">
        <v>11</v>
      </c>
      <c r="E2609" s="21" t="s">
        <v>11</v>
      </c>
    </row>
    <row r="2610" spans="1:5" s="21" customFormat="1" ht="15.75" hidden="1" customHeight="1">
      <c r="A2610" s="21">
        <v>560729</v>
      </c>
      <c r="B2610" s="21" t="s">
        <v>2599</v>
      </c>
      <c r="C2610" s="21" t="s">
        <v>5669</v>
      </c>
      <c r="D2610" s="21" t="s">
        <v>11</v>
      </c>
      <c r="E2610" s="21" t="s">
        <v>11</v>
      </c>
    </row>
    <row r="2611" spans="1:5" s="21" customFormat="1" ht="15.75" hidden="1" customHeight="1">
      <c r="A2611" s="21">
        <v>560741</v>
      </c>
      <c r="B2611" s="21" t="s">
        <v>2600</v>
      </c>
      <c r="C2611" s="21" t="s">
        <v>5668</v>
      </c>
      <c r="D2611" s="21" t="s">
        <v>11</v>
      </c>
      <c r="E2611" s="21" t="s">
        <v>11</v>
      </c>
    </row>
    <row r="2612" spans="1:5" s="21" customFormat="1" ht="15.75" hidden="1" customHeight="1">
      <c r="A2612" s="21">
        <v>560749</v>
      </c>
      <c r="B2612" s="21" t="s">
        <v>2601</v>
      </c>
      <c r="C2612" s="21" t="s">
        <v>5669</v>
      </c>
      <c r="D2612" s="21" t="s">
        <v>11</v>
      </c>
      <c r="E2612" s="21" t="s">
        <v>11</v>
      </c>
    </row>
    <row r="2613" spans="1:5" s="21" customFormat="1" ht="15.75" hidden="1" customHeight="1">
      <c r="A2613" s="21">
        <v>560750</v>
      </c>
      <c r="B2613" s="21" t="s">
        <v>2602</v>
      </c>
      <c r="C2613" s="21" t="s">
        <v>5669</v>
      </c>
      <c r="D2613" s="21" t="s">
        <v>11</v>
      </c>
      <c r="E2613" s="21" t="s">
        <v>11</v>
      </c>
    </row>
    <row r="2614" spans="1:5" s="21" customFormat="1" ht="15.75" hidden="1" customHeight="1">
      <c r="A2614" s="21">
        <v>560790</v>
      </c>
      <c r="B2614" s="21" t="s">
        <v>2603</v>
      </c>
      <c r="C2614" s="21" t="s">
        <v>5669</v>
      </c>
      <c r="D2614" s="21" t="s">
        <v>11</v>
      </c>
      <c r="E2614" s="21" t="s">
        <v>11</v>
      </c>
    </row>
    <row r="2615" spans="1:5" s="21" customFormat="1" ht="15.75" hidden="1" customHeight="1">
      <c r="A2615" s="21">
        <v>560811</v>
      </c>
      <c r="B2615" s="21" t="s">
        <v>2604</v>
      </c>
      <c r="C2615" s="21" t="s">
        <v>5670</v>
      </c>
      <c r="D2615" s="21" t="s">
        <v>11</v>
      </c>
      <c r="E2615" s="21" t="s">
        <v>11</v>
      </c>
    </row>
    <row r="2616" spans="1:5" s="21" customFormat="1" ht="15.75" hidden="1" customHeight="1">
      <c r="A2616" s="21">
        <v>560819</v>
      </c>
      <c r="B2616" s="21" t="s">
        <v>2605</v>
      </c>
      <c r="C2616" s="21" t="s">
        <v>5670</v>
      </c>
      <c r="D2616" s="21" t="s">
        <v>11</v>
      </c>
      <c r="E2616" s="21" t="s">
        <v>11</v>
      </c>
    </row>
    <row r="2617" spans="1:5" s="21" customFormat="1" ht="15.75" hidden="1" customHeight="1">
      <c r="A2617" s="21">
        <v>560890</v>
      </c>
      <c r="B2617" s="21" t="s">
        <v>2606</v>
      </c>
      <c r="C2617" s="21" t="s">
        <v>5670</v>
      </c>
      <c r="D2617" s="21" t="s">
        <v>11</v>
      </c>
      <c r="E2617" s="21" t="s">
        <v>11</v>
      </c>
    </row>
    <row r="2618" spans="1:5" s="21" customFormat="1" ht="15.75" hidden="1" customHeight="1">
      <c r="A2618" s="21">
        <v>560900</v>
      </c>
      <c r="B2618" s="21" t="s">
        <v>2607</v>
      </c>
      <c r="C2618" s="21" t="s">
        <v>5646</v>
      </c>
      <c r="D2618" s="21" t="s">
        <v>11</v>
      </c>
      <c r="E2618" s="21" t="s">
        <v>11</v>
      </c>
    </row>
    <row r="2619" spans="1:5" s="21" customFormat="1" ht="15.75" hidden="1" customHeight="1">
      <c r="A2619" s="21">
        <v>570110</v>
      </c>
      <c r="B2619" s="21" t="s">
        <v>2608</v>
      </c>
      <c r="C2619" s="21" t="s">
        <v>5671</v>
      </c>
      <c r="D2619" s="21" t="s">
        <v>11</v>
      </c>
      <c r="E2619" s="21" t="s">
        <v>11</v>
      </c>
    </row>
    <row r="2620" spans="1:5" s="21" customFormat="1" ht="15.75" hidden="1" customHeight="1">
      <c r="A2620" s="21">
        <v>570190</v>
      </c>
      <c r="B2620" s="21" t="s">
        <v>2609</v>
      </c>
      <c r="C2620" s="21" t="s">
        <v>5671</v>
      </c>
      <c r="D2620" s="21" t="s">
        <v>11</v>
      </c>
      <c r="E2620" s="21" t="s">
        <v>11</v>
      </c>
    </row>
    <row r="2621" spans="1:5" s="21" customFormat="1" ht="15.75" hidden="1" customHeight="1">
      <c r="A2621" s="21">
        <v>570210</v>
      </c>
      <c r="B2621" s="21" t="s">
        <v>2610</v>
      </c>
      <c r="C2621" s="21" t="s">
        <v>5671</v>
      </c>
      <c r="D2621" s="21" t="s">
        <v>11</v>
      </c>
      <c r="E2621" s="21" t="s">
        <v>11</v>
      </c>
    </row>
    <row r="2622" spans="1:5" s="21" customFormat="1" ht="15.75" hidden="1" customHeight="1">
      <c r="A2622" s="21">
        <v>570220</v>
      </c>
      <c r="B2622" s="21" t="s">
        <v>2611</v>
      </c>
      <c r="C2622" s="21" t="s">
        <v>5671</v>
      </c>
      <c r="D2622" s="21" t="s">
        <v>11</v>
      </c>
      <c r="E2622" s="21" t="s">
        <v>11</v>
      </c>
    </row>
    <row r="2623" spans="1:5" s="21" customFormat="1" ht="15.75" hidden="1" customHeight="1">
      <c r="A2623" s="21">
        <v>570231</v>
      </c>
      <c r="B2623" s="21" t="s">
        <v>2612</v>
      </c>
      <c r="C2623" s="21" t="s">
        <v>5671</v>
      </c>
      <c r="D2623" s="21" t="s">
        <v>11</v>
      </c>
      <c r="E2623" s="21" t="s">
        <v>11</v>
      </c>
    </row>
    <row r="2624" spans="1:5" s="21" customFormat="1" ht="15.75" hidden="1" customHeight="1">
      <c r="A2624" s="21">
        <v>570232</v>
      </c>
      <c r="B2624" s="21" t="s">
        <v>2613</v>
      </c>
      <c r="C2624" s="21" t="s">
        <v>5671</v>
      </c>
      <c r="D2624" s="21" t="s">
        <v>11</v>
      </c>
      <c r="E2624" s="21" t="s">
        <v>11</v>
      </c>
    </row>
    <row r="2625" spans="1:5" s="21" customFormat="1" ht="15.75" hidden="1" customHeight="1">
      <c r="A2625" s="21">
        <v>570239</v>
      </c>
      <c r="B2625" s="21" t="s">
        <v>2614</v>
      </c>
      <c r="C2625" s="21" t="s">
        <v>5671</v>
      </c>
      <c r="D2625" s="21" t="s">
        <v>11</v>
      </c>
      <c r="E2625" s="21" t="s">
        <v>11</v>
      </c>
    </row>
    <row r="2626" spans="1:5" s="21" customFormat="1" ht="15.75" hidden="1" customHeight="1">
      <c r="A2626" s="21">
        <v>570241</v>
      </c>
      <c r="B2626" s="21" t="s">
        <v>2615</v>
      </c>
      <c r="C2626" s="21" t="s">
        <v>5671</v>
      </c>
      <c r="D2626" s="21" t="s">
        <v>11</v>
      </c>
      <c r="E2626" s="21" t="s">
        <v>11</v>
      </c>
    </row>
    <row r="2627" spans="1:5" s="21" customFormat="1" ht="15.75" hidden="1" customHeight="1">
      <c r="A2627" s="21">
        <v>570242</v>
      </c>
      <c r="B2627" s="21" t="s">
        <v>2616</v>
      </c>
      <c r="C2627" s="21" t="s">
        <v>5671</v>
      </c>
      <c r="D2627" s="21" t="s">
        <v>11</v>
      </c>
      <c r="E2627" s="21" t="s">
        <v>11</v>
      </c>
    </row>
    <row r="2628" spans="1:5" s="21" customFormat="1" ht="15.75" hidden="1" customHeight="1">
      <c r="A2628" s="21">
        <v>570249</v>
      </c>
      <c r="B2628" s="21" t="s">
        <v>2617</v>
      </c>
      <c r="C2628" s="21" t="s">
        <v>5671</v>
      </c>
      <c r="D2628" s="21" t="s">
        <v>11</v>
      </c>
      <c r="E2628" s="21" t="s">
        <v>11</v>
      </c>
    </row>
    <row r="2629" spans="1:5" s="21" customFormat="1" ht="15.75" hidden="1" customHeight="1">
      <c r="A2629" s="21">
        <v>570250</v>
      </c>
      <c r="B2629" s="21" t="s">
        <v>2618</v>
      </c>
      <c r="C2629" s="21" t="s">
        <v>5671</v>
      </c>
      <c r="D2629" s="21" t="s">
        <v>11</v>
      </c>
      <c r="E2629" s="21" t="s">
        <v>11</v>
      </c>
    </row>
    <row r="2630" spans="1:5" s="21" customFormat="1" ht="15.75" hidden="1" customHeight="1">
      <c r="A2630" s="21">
        <v>570291</v>
      </c>
      <c r="B2630" s="21" t="s">
        <v>2619</v>
      </c>
      <c r="C2630" s="21" t="s">
        <v>5671</v>
      </c>
      <c r="D2630" s="21" t="s">
        <v>11</v>
      </c>
      <c r="E2630" s="21" t="s">
        <v>11</v>
      </c>
    </row>
    <row r="2631" spans="1:5" s="21" customFormat="1" ht="15.75" hidden="1" customHeight="1">
      <c r="A2631" s="21">
        <v>570292</v>
      </c>
      <c r="B2631" s="21" t="s">
        <v>2620</v>
      </c>
      <c r="C2631" s="21" t="s">
        <v>5671</v>
      </c>
      <c r="D2631" s="21" t="s">
        <v>11</v>
      </c>
      <c r="E2631" s="21" t="s">
        <v>11</v>
      </c>
    </row>
    <row r="2632" spans="1:5" s="21" customFormat="1" ht="15.75" hidden="1" customHeight="1">
      <c r="A2632" s="21">
        <v>570299</v>
      </c>
      <c r="B2632" s="21" t="s">
        <v>2621</v>
      </c>
      <c r="C2632" s="21" t="s">
        <v>5671</v>
      </c>
      <c r="D2632" s="21" t="s">
        <v>11</v>
      </c>
      <c r="E2632" s="21" t="s">
        <v>11</v>
      </c>
    </row>
    <row r="2633" spans="1:5" s="21" customFormat="1" ht="15.75" hidden="1" customHeight="1">
      <c r="A2633" s="21">
        <v>570310</v>
      </c>
      <c r="B2633" s="21" t="s">
        <v>2622</v>
      </c>
      <c r="C2633" s="21" t="s">
        <v>5671</v>
      </c>
      <c r="D2633" s="21" t="s">
        <v>11</v>
      </c>
      <c r="E2633" s="21" t="s">
        <v>11</v>
      </c>
    </row>
    <row r="2634" spans="1:5" s="21" customFormat="1" ht="15.75" hidden="1" customHeight="1">
      <c r="A2634" s="21">
        <v>570320</v>
      </c>
      <c r="B2634" s="21" t="s">
        <v>2623</v>
      </c>
      <c r="C2634" s="21" t="s">
        <v>5671</v>
      </c>
      <c r="D2634" s="21" t="s">
        <v>11</v>
      </c>
      <c r="E2634" s="21" t="s">
        <v>11</v>
      </c>
    </row>
    <row r="2635" spans="1:5" s="21" customFormat="1" ht="15.75" hidden="1" customHeight="1">
      <c r="A2635" s="21">
        <v>570330</v>
      </c>
      <c r="B2635" s="21" t="s">
        <v>2624</v>
      </c>
      <c r="C2635" s="21" t="s">
        <v>5671</v>
      </c>
      <c r="D2635" s="21" t="s">
        <v>11</v>
      </c>
      <c r="E2635" s="21" t="s">
        <v>11</v>
      </c>
    </row>
    <row r="2636" spans="1:5" s="21" customFormat="1" ht="15.75" hidden="1" customHeight="1">
      <c r="A2636" s="21">
        <v>570390</v>
      </c>
      <c r="B2636" s="21" t="s">
        <v>2625</v>
      </c>
      <c r="C2636" s="21" t="s">
        <v>5671</v>
      </c>
      <c r="D2636" s="21" t="s">
        <v>11</v>
      </c>
      <c r="E2636" s="21" t="s">
        <v>11</v>
      </c>
    </row>
    <row r="2637" spans="1:5" s="21" customFormat="1" ht="15.75" hidden="1" customHeight="1">
      <c r="A2637" s="21">
        <v>570410</v>
      </c>
      <c r="B2637" s="21" t="s">
        <v>2626</v>
      </c>
      <c r="C2637" s="21" t="s">
        <v>5672</v>
      </c>
      <c r="D2637" s="21" t="s">
        <v>11</v>
      </c>
      <c r="E2637" s="21" t="s">
        <v>11</v>
      </c>
    </row>
    <row r="2638" spans="1:5" s="21" customFormat="1" ht="15.75" hidden="1" customHeight="1">
      <c r="A2638" s="21">
        <v>570490</v>
      </c>
      <c r="B2638" s="21" t="s">
        <v>2627</v>
      </c>
      <c r="C2638" s="21" t="s">
        <v>5671</v>
      </c>
      <c r="D2638" s="21" t="s">
        <v>11</v>
      </c>
      <c r="E2638" s="21" t="s">
        <v>11</v>
      </c>
    </row>
    <row r="2639" spans="1:5" s="21" customFormat="1" ht="15.75" hidden="1" customHeight="1">
      <c r="A2639" s="21">
        <v>570500</v>
      </c>
      <c r="B2639" s="21" t="s">
        <v>2628</v>
      </c>
      <c r="C2639" s="21" t="s">
        <v>5671</v>
      </c>
      <c r="D2639" s="21" t="s">
        <v>11</v>
      </c>
      <c r="E2639" s="21" t="s">
        <v>11</v>
      </c>
    </row>
    <row r="2640" spans="1:5" s="21" customFormat="1" ht="15.75" hidden="1" customHeight="1">
      <c r="A2640" s="21">
        <v>580110</v>
      </c>
      <c r="B2640" s="21" t="s">
        <v>2629</v>
      </c>
      <c r="C2640" s="21" t="s">
        <v>5673</v>
      </c>
      <c r="D2640" s="21" t="s">
        <v>11</v>
      </c>
      <c r="E2640" s="21" t="s">
        <v>11</v>
      </c>
    </row>
    <row r="2641" spans="1:5" s="21" customFormat="1" ht="15.75" hidden="1" customHeight="1">
      <c r="A2641" s="21">
        <v>580121</v>
      </c>
      <c r="B2641" s="21" t="s">
        <v>2630</v>
      </c>
      <c r="C2641" s="21" t="s">
        <v>5673</v>
      </c>
      <c r="D2641" s="21" t="s">
        <v>11</v>
      </c>
      <c r="E2641" s="21" t="s">
        <v>11</v>
      </c>
    </row>
    <row r="2642" spans="1:5" s="21" customFormat="1" ht="15.75" hidden="1" customHeight="1">
      <c r="A2642" s="21">
        <v>580122</v>
      </c>
      <c r="B2642" s="21" t="s">
        <v>2631</v>
      </c>
      <c r="C2642" s="21" t="s">
        <v>5673</v>
      </c>
      <c r="D2642" s="21" t="s">
        <v>11</v>
      </c>
      <c r="E2642" s="21" t="s">
        <v>11</v>
      </c>
    </row>
    <row r="2643" spans="1:5" s="21" customFormat="1" ht="15.75" hidden="1" customHeight="1">
      <c r="A2643" s="21">
        <v>580123</v>
      </c>
      <c r="B2643" s="21" t="s">
        <v>2632</v>
      </c>
      <c r="C2643" s="21" t="s">
        <v>5673</v>
      </c>
      <c r="D2643" s="21" t="s">
        <v>11</v>
      </c>
      <c r="E2643" s="21" t="s">
        <v>11</v>
      </c>
    </row>
    <row r="2644" spans="1:5" s="21" customFormat="1" ht="15.75" hidden="1" customHeight="1">
      <c r="A2644" s="21">
        <v>580124</v>
      </c>
      <c r="B2644" s="21" t="s">
        <v>2633</v>
      </c>
      <c r="C2644" s="21" t="s">
        <v>5673</v>
      </c>
      <c r="D2644" s="21" t="s">
        <v>11</v>
      </c>
      <c r="E2644" s="21" t="s">
        <v>11</v>
      </c>
    </row>
    <row r="2645" spans="1:5" s="21" customFormat="1" ht="15.75" hidden="1" customHeight="1">
      <c r="A2645" s="21">
        <v>580125</v>
      </c>
      <c r="B2645" s="21" t="s">
        <v>2634</v>
      </c>
      <c r="C2645" s="21" t="s">
        <v>5673</v>
      </c>
      <c r="D2645" s="21" t="s">
        <v>11</v>
      </c>
      <c r="E2645" s="21" t="s">
        <v>11</v>
      </c>
    </row>
    <row r="2646" spans="1:5" s="21" customFormat="1" ht="15.75" hidden="1" customHeight="1">
      <c r="A2646" s="21">
        <v>580126</v>
      </c>
      <c r="B2646" s="21" t="s">
        <v>2635</v>
      </c>
      <c r="C2646" s="21" t="s">
        <v>5673</v>
      </c>
      <c r="D2646" s="21" t="s">
        <v>11</v>
      </c>
      <c r="E2646" s="21" t="s">
        <v>11</v>
      </c>
    </row>
    <row r="2647" spans="1:5" s="21" customFormat="1" ht="15.75" hidden="1" customHeight="1">
      <c r="A2647" s="21">
        <v>580131</v>
      </c>
      <c r="B2647" s="21" t="s">
        <v>2636</v>
      </c>
      <c r="C2647" s="21" t="s">
        <v>5673</v>
      </c>
      <c r="D2647" s="21" t="s">
        <v>11</v>
      </c>
      <c r="E2647" s="21" t="s">
        <v>11</v>
      </c>
    </row>
    <row r="2648" spans="1:5" s="21" customFormat="1" ht="15.75" hidden="1" customHeight="1">
      <c r="A2648" s="21">
        <v>580132</v>
      </c>
      <c r="B2648" s="21" t="s">
        <v>2637</v>
      </c>
      <c r="C2648" s="21" t="s">
        <v>5673</v>
      </c>
      <c r="D2648" s="21" t="s">
        <v>11</v>
      </c>
      <c r="E2648" s="21" t="s">
        <v>11</v>
      </c>
    </row>
    <row r="2649" spans="1:5" s="21" customFormat="1" ht="15.75" hidden="1" customHeight="1">
      <c r="A2649" s="21">
        <v>580133</v>
      </c>
      <c r="B2649" s="21" t="s">
        <v>2638</v>
      </c>
      <c r="C2649" s="21" t="s">
        <v>5673</v>
      </c>
      <c r="D2649" s="21" t="s">
        <v>11</v>
      </c>
      <c r="E2649" s="21" t="s">
        <v>11</v>
      </c>
    </row>
    <row r="2650" spans="1:5" s="21" customFormat="1" ht="15.75" hidden="1" customHeight="1">
      <c r="A2650" s="21">
        <v>580134</v>
      </c>
      <c r="B2650" s="21" t="s">
        <v>2639</v>
      </c>
      <c r="C2650" s="21" t="s">
        <v>5673</v>
      </c>
      <c r="D2650" s="21" t="s">
        <v>11</v>
      </c>
      <c r="E2650" s="21" t="s">
        <v>11</v>
      </c>
    </row>
    <row r="2651" spans="1:5" s="21" customFormat="1" ht="15.75" hidden="1" customHeight="1">
      <c r="A2651" s="21">
        <v>580135</v>
      </c>
      <c r="B2651" s="21" t="s">
        <v>2640</v>
      </c>
      <c r="C2651" s="21" t="s">
        <v>5673</v>
      </c>
      <c r="D2651" s="21" t="s">
        <v>11</v>
      </c>
      <c r="E2651" s="21" t="s">
        <v>11</v>
      </c>
    </row>
    <row r="2652" spans="1:5" s="21" customFormat="1" ht="15.75" hidden="1" customHeight="1">
      <c r="A2652" s="21">
        <v>580136</v>
      </c>
      <c r="B2652" s="21" t="s">
        <v>2641</v>
      </c>
      <c r="C2652" s="21" t="s">
        <v>5673</v>
      </c>
      <c r="D2652" s="21" t="s">
        <v>11</v>
      </c>
      <c r="E2652" s="21" t="s">
        <v>11</v>
      </c>
    </row>
    <row r="2653" spans="1:5" s="21" customFormat="1" ht="15.75" hidden="1" customHeight="1">
      <c r="A2653" s="21">
        <v>580190</v>
      </c>
      <c r="B2653" s="21" t="s">
        <v>2642</v>
      </c>
      <c r="C2653" s="21" t="s">
        <v>5673</v>
      </c>
      <c r="D2653" s="21" t="s">
        <v>11</v>
      </c>
      <c r="E2653" s="21" t="s">
        <v>11</v>
      </c>
    </row>
    <row r="2654" spans="1:5" s="21" customFormat="1" ht="15.75" hidden="1" customHeight="1">
      <c r="A2654" s="21">
        <v>580211</v>
      </c>
      <c r="B2654" s="21" t="s">
        <v>2643</v>
      </c>
      <c r="C2654" s="21" t="s">
        <v>5673</v>
      </c>
      <c r="D2654" s="21" t="s">
        <v>11</v>
      </c>
      <c r="E2654" s="21" t="s">
        <v>11</v>
      </c>
    </row>
    <row r="2655" spans="1:5" s="21" customFormat="1" ht="15.75" hidden="1" customHeight="1">
      <c r="A2655" s="21">
        <v>580219</v>
      </c>
      <c r="B2655" s="21" t="s">
        <v>2644</v>
      </c>
      <c r="C2655" s="21" t="s">
        <v>5673</v>
      </c>
      <c r="D2655" s="21" t="s">
        <v>11</v>
      </c>
      <c r="E2655" s="21" t="s">
        <v>11</v>
      </c>
    </row>
    <row r="2656" spans="1:5" s="21" customFormat="1" ht="15.75" hidden="1" customHeight="1">
      <c r="A2656" s="21">
        <v>580220</v>
      </c>
      <c r="B2656" s="21" t="s">
        <v>2645</v>
      </c>
      <c r="C2656" s="21" t="s">
        <v>5673</v>
      </c>
      <c r="D2656" s="21" t="s">
        <v>11</v>
      </c>
      <c r="E2656" s="21" t="s">
        <v>11</v>
      </c>
    </row>
    <row r="2657" spans="1:5" s="21" customFormat="1" ht="15.75" hidden="1" customHeight="1">
      <c r="A2657" s="21">
        <v>580230</v>
      </c>
      <c r="B2657" s="21" t="s">
        <v>2646</v>
      </c>
      <c r="C2657" s="21" t="s">
        <v>5673</v>
      </c>
      <c r="D2657" s="21" t="s">
        <v>11</v>
      </c>
      <c r="E2657" s="21" t="s">
        <v>11</v>
      </c>
    </row>
    <row r="2658" spans="1:5" s="21" customFormat="1" ht="15.75" hidden="1" customHeight="1">
      <c r="A2658" s="21">
        <v>580300</v>
      </c>
      <c r="B2658" s="21" t="s">
        <v>2647</v>
      </c>
      <c r="C2658" s="21" t="s">
        <v>5674</v>
      </c>
      <c r="D2658" s="21" t="s">
        <v>11</v>
      </c>
      <c r="E2658" s="21" t="s">
        <v>11</v>
      </c>
    </row>
    <row r="2659" spans="1:5" s="21" customFormat="1" ht="15.75" hidden="1" customHeight="1">
      <c r="A2659" s="21">
        <v>580410</v>
      </c>
      <c r="B2659" s="21" t="s">
        <v>2648</v>
      </c>
      <c r="C2659" s="21" t="s">
        <v>5675</v>
      </c>
      <c r="D2659" s="21" t="s">
        <v>11</v>
      </c>
      <c r="E2659" s="21" t="s">
        <v>11</v>
      </c>
    </row>
    <row r="2660" spans="1:5" s="21" customFormat="1" ht="15.75" hidden="1" customHeight="1">
      <c r="A2660" s="21">
        <v>580421</v>
      </c>
      <c r="B2660" s="21" t="s">
        <v>2649</v>
      </c>
      <c r="C2660" s="21" t="s">
        <v>5676</v>
      </c>
      <c r="D2660" s="21" t="s">
        <v>11</v>
      </c>
      <c r="E2660" s="21" t="s">
        <v>11</v>
      </c>
    </row>
    <row r="2661" spans="1:5" s="21" customFormat="1" ht="15.75" hidden="1" customHeight="1">
      <c r="A2661" s="21">
        <v>580429</v>
      </c>
      <c r="B2661" s="21" t="s">
        <v>2650</v>
      </c>
      <c r="C2661" s="21" t="s">
        <v>5676</v>
      </c>
      <c r="D2661" s="21" t="s">
        <v>11</v>
      </c>
      <c r="E2661" s="21" t="s">
        <v>11</v>
      </c>
    </row>
    <row r="2662" spans="1:5" s="21" customFormat="1" ht="15.75" hidden="1" customHeight="1">
      <c r="A2662" s="21">
        <v>580430</v>
      </c>
      <c r="B2662" s="21" t="s">
        <v>2651</v>
      </c>
      <c r="C2662" s="21" t="s">
        <v>5676</v>
      </c>
      <c r="D2662" s="21" t="s">
        <v>11</v>
      </c>
      <c r="E2662" s="21" t="s">
        <v>11</v>
      </c>
    </row>
    <row r="2663" spans="1:5" s="21" customFormat="1" ht="15.75" hidden="1" customHeight="1">
      <c r="A2663" s="21">
        <v>580500</v>
      </c>
      <c r="B2663" s="21" t="s">
        <v>2652</v>
      </c>
      <c r="C2663" s="21" t="s">
        <v>5677</v>
      </c>
      <c r="D2663" s="21" t="s">
        <v>11</v>
      </c>
      <c r="E2663" s="21" t="s">
        <v>11</v>
      </c>
    </row>
    <row r="2664" spans="1:5" s="21" customFormat="1" ht="15.75" hidden="1" customHeight="1">
      <c r="A2664" s="21">
        <v>580610</v>
      </c>
      <c r="B2664" s="21" t="s">
        <v>2653</v>
      </c>
      <c r="C2664" s="21" t="s">
        <v>5673</v>
      </c>
      <c r="D2664" s="21" t="s">
        <v>11</v>
      </c>
      <c r="E2664" s="21" t="s">
        <v>11</v>
      </c>
    </row>
    <row r="2665" spans="1:5" s="21" customFormat="1" ht="15.75" hidden="1" customHeight="1">
      <c r="A2665" s="21">
        <v>580620</v>
      </c>
      <c r="B2665" s="21" t="s">
        <v>2654</v>
      </c>
      <c r="C2665" s="21" t="s">
        <v>5673</v>
      </c>
      <c r="D2665" s="21" t="s">
        <v>11</v>
      </c>
      <c r="E2665" s="21" t="s">
        <v>11</v>
      </c>
    </row>
    <row r="2666" spans="1:5" s="21" customFormat="1" ht="15.75" hidden="1" customHeight="1">
      <c r="A2666" s="21">
        <v>580631</v>
      </c>
      <c r="B2666" s="21" t="s">
        <v>2655</v>
      </c>
      <c r="C2666" s="21" t="s">
        <v>5673</v>
      </c>
      <c r="D2666" s="21" t="s">
        <v>11</v>
      </c>
      <c r="E2666" s="21" t="s">
        <v>11</v>
      </c>
    </row>
    <row r="2667" spans="1:5" s="21" customFormat="1" ht="15.75" hidden="1" customHeight="1">
      <c r="A2667" s="21">
        <v>580632</v>
      </c>
      <c r="B2667" s="21" t="s">
        <v>2656</v>
      </c>
      <c r="C2667" s="21" t="s">
        <v>2656</v>
      </c>
      <c r="D2667" s="21" t="s">
        <v>11</v>
      </c>
      <c r="E2667" s="21" t="s">
        <v>11</v>
      </c>
    </row>
    <row r="2668" spans="1:5" s="21" customFormat="1" ht="15.75" hidden="1" customHeight="1">
      <c r="A2668" s="21">
        <v>580639</v>
      </c>
      <c r="B2668" s="21" t="s">
        <v>2657</v>
      </c>
      <c r="C2668" s="21" t="s">
        <v>5673</v>
      </c>
      <c r="D2668" s="21" t="s">
        <v>11</v>
      </c>
      <c r="E2668" s="21" t="s">
        <v>11</v>
      </c>
    </row>
    <row r="2669" spans="1:5" s="21" customFormat="1" ht="15.75" hidden="1" customHeight="1">
      <c r="A2669" s="21">
        <v>580640</v>
      </c>
      <c r="B2669" s="21" t="s">
        <v>2658</v>
      </c>
      <c r="C2669" s="21" t="s">
        <v>5673</v>
      </c>
      <c r="D2669" s="21" t="s">
        <v>11</v>
      </c>
      <c r="E2669" s="21" t="s">
        <v>11</v>
      </c>
    </row>
    <row r="2670" spans="1:5" s="21" customFormat="1" ht="15.75" hidden="1" customHeight="1">
      <c r="A2670" s="21">
        <v>580710</v>
      </c>
      <c r="B2670" s="21" t="s">
        <v>2659</v>
      </c>
      <c r="C2670" s="21" t="s">
        <v>5678</v>
      </c>
      <c r="D2670" s="21" t="s">
        <v>11</v>
      </c>
      <c r="E2670" s="21" t="s">
        <v>11</v>
      </c>
    </row>
    <row r="2671" spans="1:5" s="21" customFormat="1" ht="15.75" hidden="1" customHeight="1">
      <c r="A2671" s="21">
        <v>580790</v>
      </c>
      <c r="B2671" s="21" t="s">
        <v>2660</v>
      </c>
      <c r="C2671" s="21" t="s">
        <v>5678</v>
      </c>
      <c r="D2671" s="21" t="s">
        <v>11</v>
      </c>
      <c r="E2671" s="21" t="s">
        <v>11</v>
      </c>
    </row>
    <row r="2672" spans="1:5" s="21" customFormat="1" ht="15.75" hidden="1" customHeight="1">
      <c r="A2672" s="21">
        <v>580810</v>
      </c>
      <c r="B2672" s="21" t="s">
        <v>2661</v>
      </c>
      <c r="C2672" s="21" t="s">
        <v>5679</v>
      </c>
      <c r="D2672" s="21" t="s">
        <v>11</v>
      </c>
      <c r="E2672" s="21" t="s">
        <v>11</v>
      </c>
    </row>
    <row r="2673" spans="1:5" s="21" customFormat="1" ht="15.75" hidden="1" customHeight="1">
      <c r="A2673" s="21">
        <v>580890</v>
      </c>
      <c r="B2673" s="21" t="s">
        <v>2662</v>
      </c>
      <c r="C2673" s="21" t="s">
        <v>5680</v>
      </c>
      <c r="D2673" s="21" t="s">
        <v>11</v>
      </c>
      <c r="E2673" s="21" t="s">
        <v>11</v>
      </c>
    </row>
    <row r="2674" spans="1:5" s="21" customFormat="1" ht="15.75" hidden="1" customHeight="1">
      <c r="A2674" s="21">
        <v>580900</v>
      </c>
      <c r="B2674" s="21" t="s">
        <v>2663</v>
      </c>
      <c r="C2674" s="21" t="s">
        <v>5647</v>
      </c>
      <c r="D2674" s="21" t="s">
        <v>11</v>
      </c>
      <c r="E2674" s="21" t="s">
        <v>11</v>
      </c>
    </row>
    <row r="2675" spans="1:5" s="21" customFormat="1" ht="15.75" hidden="1" customHeight="1">
      <c r="A2675" s="21">
        <v>581010</v>
      </c>
      <c r="B2675" s="21" t="s">
        <v>2664</v>
      </c>
      <c r="C2675" s="21" t="s">
        <v>5681</v>
      </c>
      <c r="D2675" s="21" t="s">
        <v>11</v>
      </c>
      <c r="E2675" s="21" t="s">
        <v>11</v>
      </c>
    </row>
    <row r="2676" spans="1:5" s="21" customFormat="1" ht="15.75" hidden="1" customHeight="1">
      <c r="A2676" s="21">
        <v>581091</v>
      </c>
      <c r="B2676" s="21" t="s">
        <v>2665</v>
      </c>
      <c r="C2676" s="21" t="s">
        <v>5681</v>
      </c>
      <c r="D2676" s="21" t="s">
        <v>11</v>
      </c>
      <c r="E2676" s="21" t="s">
        <v>11</v>
      </c>
    </row>
    <row r="2677" spans="1:5" s="21" customFormat="1" ht="15.75" hidden="1" customHeight="1">
      <c r="A2677" s="21">
        <v>581092</v>
      </c>
      <c r="B2677" s="21" t="s">
        <v>2666</v>
      </c>
      <c r="C2677" s="21" t="s">
        <v>5681</v>
      </c>
      <c r="D2677" s="21" t="s">
        <v>11</v>
      </c>
      <c r="E2677" s="21" t="s">
        <v>11</v>
      </c>
    </row>
    <row r="2678" spans="1:5" s="21" customFormat="1" ht="15.75" hidden="1" customHeight="1">
      <c r="A2678" s="21">
        <v>581099</v>
      </c>
      <c r="B2678" s="21" t="s">
        <v>2667</v>
      </c>
      <c r="C2678" s="21" t="s">
        <v>5681</v>
      </c>
      <c r="D2678" s="21" t="s">
        <v>11</v>
      </c>
      <c r="E2678" s="21" t="s">
        <v>11</v>
      </c>
    </row>
    <row r="2679" spans="1:5" s="21" customFormat="1" ht="15.75" hidden="1" customHeight="1">
      <c r="A2679" s="21">
        <v>581100</v>
      </c>
      <c r="B2679" s="21" t="s">
        <v>2668</v>
      </c>
      <c r="C2679" s="21" t="s">
        <v>5682</v>
      </c>
      <c r="D2679" s="21" t="s">
        <v>11</v>
      </c>
      <c r="E2679" s="21" t="s">
        <v>11</v>
      </c>
    </row>
    <row r="2680" spans="1:5" s="21" customFormat="1" ht="15.75" hidden="1" customHeight="1">
      <c r="A2680" s="21">
        <v>590110</v>
      </c>
      <c r="B2680" s="21" t="s">
        <v>2669</v>
      </c>
      <c r="C2680" s="21" t="s">
        <v>5683</v>
      </c>
      <c r="D2680" s="21" t="s">
        <v>11</v>
      </c>
      <c r="E2680" s="21" t="s">
        <v>11</v>
      </c>
    </row>
    <row r="2681" spans="1:5" s="21" customFormat="1" ht="15.75" hidden="1" customHeight="1">
      <c r="A2681" s="21">
        <v>590190</v>
      </c>
      <c r="B2681" s="21" t="s">
        <v>2670</v>
      </c>
      <c r="C2681" s="21" t="s">
        <v>5683</v>
      </c>
      <c r="D2681" s="21" t="s">
        <v>11</v>
      </c>
      <c r="E2681" s="21" t="s">
        <v>11</v>
      </c>
    </row>
    <row r="2682" spans="1:5" s="21" customFormat="1" ht="15.75" hidden="1" customHeight="1">
      <c r="A2682" s="21">
        <v>590210</v>
      </c>
      <c r="B2682" s="21" t="s">
        <v>2671</v>
      </c>
      <c r="C2682" s="21" t="s">
        <v>5683</v>
      </c>
      <c r="D2682" s="21" t="s">
        <v>11</v>
      </c>
      <c r="E2682" s="21" t="s">
        <v>11</v>
      </c>
    </row>
    <row r="2683" spans="1:5" s="21" customFormat="1" ht="15.75" hidden="1" customHeight="1">
      <c r="A2683" s="21">
        <v>590220</v>
      </c>
      <c r="B2683" s="21" t="s">
        <v>2672</v>
      </c>
      <c r="C2683" s="21" t="s">
        <v>5683</v>
      </c>
      <c r="D2683" s="21" t="s">
        <v>11</v>
      </c>
      <c r="E2683" s="21" t="s">
        <v>11</v>
      </c>
    </row>
    <row r="2684" spans="1:5" s="21" customFormat="1" ht="15.75" hidden="1" customHeight="1">
      <c r="A2684" s="21">
        <v>590290</v>
      </c>
      <c r="B2684" s="21" t="s">
        <v>2673</v>
      </c>
      <c r="C2684" s="21" t="s">
        <v>5683</v>
      </c>
      <c r="D2684" s="21" t="s">
        <v>11</v>
      </c>
      <c r="E2684" s="21" t="s">
        <v>11</v>
      </c>
    </row>
    <row r="2685" spans="1:5" s="21" customFormat="1" ht="15.75" hidden="1" customHeight="1">
      <c r="A2685" s="21">
        <v>590310</v>
      </c>
      <c r="B2685" s="21" t="s">
        <v>2674</v>
      </c>
      <c r="C2685" s="21" t="s">
        <v>5683</v>
      </c>
      <c r="D2685" s="21" t="s">
        <v>11</v>
      </c>
      <c r="E2685" s="21" t="s">
        <v>11</v>
      </c>
    </row>
    <row r="2686" spans="1:5" s="21" customFormat="1" ht="15.75" hidden="1" customHeight="1">
      <c r="A2686" s="21">
        <v>590320</v>
      </c>
      <c r="B2686" s="21" t="s">
        <v>2675</v>
      </c>
      <c r="C2686" s="21" t="s">
        <v>5683</v>
      </c>
      <c r="D2686" s="21" t="s">
        <v>11</v>
      </c>
      <c r="E2686" s="21" t="s">
        <v>11</v>
      </c>
    </row>
    <row r="2687" spans="1:5" s="21" customFormat="1" ht="15.75" hidden="1" customHeight="1">
      <c r="A2687" s="21">
        <v>590390</v>
      </c>
      <c r="B2687" s="21" t="s">
        <v>2676</v>
      </c>
      <c r="C2687" s="21" t="s">
        <v>5683</v>
      </c>
      <c r="D2687" s="21" t="s">
        <v>11</v>
      </c>
      <c r="E2687" s="21" t="s">
        <v>11</v>
      </c>
    </row>
    <row r="2688" spans="1:5" s="21" customFormat="1" ht="15.75" hidden="1" customHeight="1">
      <c r="A2688" s="21">
        <v>590410</v>
      </c>
      <c r="B2688" s="21" t="s">
        <v>2677</v>
      </c>
      <c r="C2688" s="21" t="s">
        <v>2677</v>
      </c>
      <c r="D2688" s="21" t="s">
        <v>11</v>
      </c>
      <c r="E2688" s="21" t="s">
        <v>11</v>
      </c>
    </row>
    <row r="2689" spans="1:5" s="21" customFormat="1" ht="15.75" hidden="1" customHeight="1">
      <c r="A2689" s="21">
        <v>590490</v>
      </c>
      <c r="B2689" s="21" t="s">
        <v>2678</v>
      </c>
      <c r="C2689" s="21" t="s">
        <v>5684</v>
      </c>
      <c r="D2689" s="21" t="s">
        <v>11</v>
      </c>
      <c r="E2689" s="21" t="s">
        <v>11</v>
      </c>
    </row>
    <row r="2690" spans="1:5" s="21" customFormat="1" ht="15.75" hidden="1" customHeight="1">
      <c r="A2690" s="21">
        <v>590500</v>
      </c>
      <c r="B2690" s="21" t="s">
        <v>2679</v>
      </c>
      <c r="C2690" s="21" t="s">
        <v>2679</v>
      </c>
      <c r="D2690" s="21" t="s">
        <v>11</v>
      </c>
      <c r="E2690" s="21" t="s">
        <v>11</v>
      </c>
    </row>
    <row r="2691" spans="1:5" s="21" customFormat="1" ht="15.75" hidden="1" customHeight="1">
      <c r="A2691" s="21">
        <v>590610</v>
      </c>
      <c r="B2691" s="21" t="s">
        <v>2680</v>
      </c>
      <c r="C2691" s="21" t="s">
        <v>5685</v>
      </c>
      <c r="D2691" s="21" t="s">
        <v>11</v>
      </c>
      <c r="E2691" s="21" t="s">
        <v>11</v>
      </c>
    </row>
    <row r="2692" spans="1:5" s="21" customFormat="1" ht="15.75" hidden="1" customHeight="1">
      <c r="A2692" s="21">
        <v>590691</v>
      </c>
      <c r="B2692" s="21" t="s">
        <v>2681</v>
      </c>
      <c r="C2692" s="21" t="s">
        <v>5685</v>
      </c>
      <c r="D2692" s="21" t="s">
        <v>11</v>
      </c>
      <c r="E2692" s="21" t="s">
        <v>11</v>
      </c>
    </row>
    <row r="2693" spans="1:5" s="21" customFormat="1" ht="15.75" hidden="1" customHeight="1">
      <c r="A2693" s="21">
        <v>590699</v>
      </c>
      <c r="B2693" s="21" t="s">
        <v>2682</v>
      </c>
      <c r="C2693" s="21" t="s">
        <v>5685</v>
      </c>
      <c r="D2693" s="21" t="s">
        <v>11</v>
      </c>
      <c r="E2693" s="21" t="s">
        <v>11</v>
      </c>
    </row>
    <row r="2694" spans="1:5" s="21" customFormat="1" ht="15.75" hidden="1" customHeight="1">
      <c r="A2694" s="21">
        <v>590700</v>
      </c>
      <c r="B2694" s="21" t="s">
        <v>2683</v>
      </c>
      <c r="C2694" s="21" t="s">
        <v>5683</v>
      </c>
      <c r="D2694" s="21" t="s">
        <v>11</v>
      </c>
      <c r="E2694" s="21" t="s">
        <v>11</v>
      </c>
    </row>
    <row r="2695" spans="1:5" s="21" customFormat="1" ht="15.75" hidden="1" customHeight="1">
      <c r="A2695" s="21">
        <v>590800</v>
      </c>
      <c r="B2695" s="21" t="s">
        <v>2684</v>
      </c>
      <c r="C2695" s="21" t="s">
        <v>5686</v>
      </c>
      <c r="D2695" s="21" t="s">
        <v>11</v>
      </c>
      <c r="E2695" s="21" t="s">
        <v>11</v>
      </c>
    </row>
    <row r="2696" spans="1:5" s="21" customFormat="1" ht="15.75" hidden="1" customHeight="1">
      <c r="A2696" s="21">
        <v>590900</v>
      </c>
      <c r="B2696" s="21" t="s">
        <v>2685</v>
      </c>
      <c r="C2696" s="21" t="s">
        <v>5687</v>
      </c>
      <c r="D2696" s="21" t="s">
        <v>11</v>
      </c>
      <c r="E2696" s="21" t="s">
        <v>11</v>
      </c>
    </row>
    <row r="2697" spans="1:5" s="21" customFormat="1" ht="15.75" hidden="1" customHeight="1">
      <c r="A2697" s="21">
        <v>591000</v>
      </c>
      <c r="B2697" s="21" t="s">
        <v>2686</v>
      </c>
      <c r="C2697" s="21" t="s">
        <v>5688</v>
      </c>
      <c r="D2697" s="21" t="s">
        <v>11</v>
      </c>
      <c r="E2697" s="21" t="s">
        <v>11</v>
      </c>
    </row>
    <row r="2698" spans="1:5" s="21" customFormat="1" ht="15.75" hidden="1" customHeight="1">
      <c r="A2698" s="21">
        <v>591110</v>
      </c>
      <c r="B2698" s="21" t="s">
        <v>2687</v>
      </c>
      <c r="C2698" s="21" t="s">
        <v>2687</v>
      </c>
      <c r="D2698" s="21" t="s">
        <v>11</v>
      </c>
      <c r="E2698" s="21" t="s">
        <v>11</v>
      </c>
    </row>
    <row r="2699" spans="1:5" s="21" customFormat="1" ht="15.75" hidden="1" customHeight="1">
      <c r="A2699" s="21">
        <v>591120</v>
      </c>
      <c r="B2699" s="21" t="s">
        <v>2688</v>
      </c>
      <c r="C2699" s="21" t="s">
        <v>5689</v>
      </c>
      <c r="D2699" s="21" t="s">
        <v>11</v>
      </c>
      <c r="E2699" s="21" t="s">
        <v>11</v>
      </c>
    </row>
    <row r="2700" spans="1:5" s="21" customFormat="1" ht="15.75" hidden="1" customHeight="1">
      <c r="A2700" s="21">
        <v>591131</v>
      </c>
      <c r="B2700" s="21" t="s">
        <v>2689</v>
      </c>
      <c r="C2700" s="21" t="s">
        <v>5688</v>
      </c>
      <c r="D2700" s="21" t="s">
        <v>11</v>
      </c>
      <c r="E2700" s="21" t="s">
        <v>11</v>
      </c>
    </row>
    <row r="2701" spans="1:5" s="21" customFormat="1" ht="15.75" hidden="1" customHeight="1">
      <c r="A2701" s="21">
        <v>591132</v>
      </c>
      <c r="B2701" s="21" t="s">
        <v>2690</v>
      </c>
      <c r="C2701" s="21" t="s">
        <v>5688</v>
      </c>
      <c r="D2701" s="21" t="s">
        <v>11</v>
      </c>
      <c r="E2701" s="21" t="s">
        <v>11</v>
      </c>
    </row>
    <row r="2702" spans="1:5" s="21" customFormat="1" ht="15.75" hidden="1" customHeight="1">
      <c r="A2702" s="21">
        <v>591140</v>
      </c>
      <c r="B2702" s="21" t="s">
        <v>2691</v>
      </c>
      <c r="C2702" s="21" t="s">
        <v>5689</v>
      </c>
      <c r="D2702" s="21" t="s">
        <v>11</v>
      </c>
      <c r="E2702" s="21" t="s">
        <v>11</v>
      </c>
    </row>
    <row r="2703" spans="1:5" s="21" customFormat="1" ht="15.75" hidden="1" customHeight="1">
      <c r="A2703" s="21">
        <v>591190</v>
      </c>
      <c r="B2703" s="21" t="s">
        <v>2692</v>
      </c>
      <c r="C2703" s="21" t="s">
        <v>5689</v>
      </c>
      <c r="D2703" s="21" t="s">
        <v>11</v>
      </c>
      <c r="E2703" s="21" t="s">
        <v>11</v>
      </c>
    </row>
    <row r="2704" spans="1:5" s="21" customFormat="1" ht="15.75" hidden="1" customHeight="1">
      <c r="A2704" s="21">
        <v>600110</v>
      </c>
      <c r="B2704" s="21" t="s">
        <v>2693</v>
      </c>
      <c r="C2704" s="21" t="s">
        <v>5673</v>
      </c>
      <c r="D2704" s="21" t="s">
        <v>11</v>
      </c>
      <c r="E2704" s="21" t="s">
        <v>11</v>
      </c>
    </row>
    <row r="2705" spans="1:5" s="21" customFormat="1" ht="15.75" hidden="1" customHeight="1">
      <c r="A2705" s="21">
        <v>600121</v>
      </c>
      <c r="B2705" s="21" t="s">
        <v>2694</v>
      </c>
      <c r="C2705" s="21" t="s">
        <v>5673</v>
      </c>
      <c r="D2705" s="21" t="s">
        <v>11</v>
      </c>
      <c r="E2705" s="21" t="s">
        <v>11</v>
      </c>
    </row>
    <row r="2706" spans="1:5" s="21" customFormat="1" ht="15.75" hidden="1" customHeight="1">
      <c r="A2706" s="21">
        <v>600122</v>
      </c>
      <c r="B2706" s="21" t="s">
        <v>2695</v>
      </c>
      <c r="C2706" s="21" t="s">
        <v>5673</v>
      </c>
      <c r="D2706" s="21" t="s">
        <v>11</v>
      </c>
      <c r="E2706" s="21" t="s">
        <v>11</v>
      </c>
    </row>
    <row r="2707" spans="1:5" s="21" customFormat="1" ht="15.75" hidden="1" customHeight="1">
      <c r="A2707" s="21">
        <v>600129</v>
      </c>
      <c r="B2707" s="21" t="s">
        <v>2696</v>
      </c>
      <c r="C2707" s="21" t="s">
        <v>5673</v>
      </c>
      <c r="D2707" s="21" t="s">
        <v>11</v>
      </c>
      <c r="E2707" s="21" t="s">
        <v>11</v>
      </c>
    </row>
    <row r="2708" spans="1:5" s="21" customFormat="1" ht="15.75" hidden="1" customHeight="1">
      <c r="A2708" s="21">
        <v>600191</v>
      </c>
      <c r="B2708" s="21" t="s">
        <v>2697</v>
      </c>
      <c r="C2708" s="21" t="s">
        <v>5673</v>
      </c>
      <c r="D2708" s="21" t="s">
        <v>11</v>
      </c>
      <c r="E2708" s="21" t="s">
        <v>11</v>
      </c>
    </row>
    <row r="2709" spans="1:5" s="21" customFormat="1" ht="15.75" hidden="1" customHeight="1">
      <c r="A2709" s="21">
        <v>600192</v>
      </c>
      <c r="B2709" s="21" t="s">
        <v>2698</v>
      </c>
      <c r="C2709" s="21" t="s">
        <v>5673</v>
      </c>
      <c r="D2709" s="21" t="s">
        <v>11</v>
      </c>
      <c r="E2709" s="21" t="s">
        <v>11</v>
      </c>
    </row>
    <row r="2710" spans="1:5" s="21" customFormat="1" ht="15.75" hidden="1" customHeight="1">
      <c r="A2710" s="21">
        <v>600199</v>
      </c>
      <c r="B2710" s="21" t="s">
        <v>2699</v>
      </c>
      <c r="C2710" s="21" t="s">
        <v>5673</v>
      </c>
      <c r="D2710" s="21" t="s">
        <v>11</v>
      </c>
      <c r="E2710" s="21" t="s">
        <v>11</v>
      </c>
    </row>
    <row r="2711" spans="1:5" s="21" customFormat="1" ht="15.75" hidden="1" customHeight="1">
      <c r="A2711" s="21">
        <v>600240</v>
      </c>
      <c r="B2711" s="21" t="s">
        <v>2700</v>
      </c>
      <c r="C2711" s="21" t="s">
        <v>5673</v>
      </c>
      <c r="D2711" s="21" t="s">
        <v>11</v>
      </c>
      <c r="E2711" s="21" t="s">
        <v>11</v>
      </c>
    </row>
    <row r="2712" spans="1:5" s="21" customFormat="1" ht="15.75" hidden="1" customHeight="1">
      <c r="A2712" s="21">
        <v>600290</v>
      </c>
      <c r="B2712" s="21" t="s">
        <v>2701</v>
      </c>
      <c r="C2712" s="21" t="s">
        <v>5673</v>
      </c>
      <c r="D2712" s="21" t="s">
        <v>11</v>
      </c>
      <c r="E2712" s="21" t="s">
        <v>11</v>
      </c>
    </row>
    <row r="2713" spans="1:5" s="21" customFormat="1" ht="15.75" hidden="1" customHeight="1">
      <c r="A2713" s="21">
        <v>600310</v>
      </c>
      <c r="B2713" s="21" t="s">
        <v>2702</v>
      </c>
      <c r="C2713" s="21" t="s">
        <v>5673</v>
      </c>
      <c r="D2713" s="21" t="s">
        <v>11</v>
      </c>
      <c r="E2713" s="21" t="s">
        <v>11</v>
      </c>
    </row>
    <row r="2714" spans="1:5" s="21" customFormat="1" ht="15.75" hidden="1" customHeight="1">
      <c r="A2714" s="21">
        <v>600320</v>
      </c>
      <c r="B2714" s="21" t="s">
        <v>2703</v>
      </c>
      <c r="C2714" s="21" t="s">
        <v>5673</v>
      </c>
      <c r="D2714" s="21" t="s">
        <v>11</v>
      </c>
      <c r="E2714" s="21" t="s">
        <v>11</v>
      </c>
    </row>
    <row r="2715" spans="1:5" s="21" customFormat="1" ht="15.75" hidden="1" customHeight="1">
      <c r="A2715" s="21">
        <v>600330</v>
      </c>
      <c r="B2715" s="21" t="s">
        <v>2704</v>
      </c>
      <c r="C2715" s="21" t="s">
        <v>5673</v>
      </c>
      <c r="D2715" s="21" t="s">
        <v>11</v>
      </c>
      <c r="E2715" s="21" t="s">
        <v>11</v>
      </c>
    </row>
    <row r="2716" spans="1:5" s="21" customFormat="1" ht="15.75" hidden="1" customHeight="1">
      <c r="A2716" s="21">
        <v>600340</v>
      </c>
      <c r="B2716" s="21" t="s">
        <v>2705</v>
      </c>
      <c r="C2716" s="21" t="s">
        <v>5673</v>
      </c>
      <c r="D2716" s="21" t="s">
        <v>11</v>
      </c>
      <c r="E2716" s="21" t="s">
        <v>11</v>
      </c>
    </row>
    <row r="2717" spans="1:5" s="21" customFormat="1" ht="15.75" hidden="1" customHeight="1">
      <c r="A2717" s="21">
        <v>600390</v>
      </c>
      <c r="B2717" s="21" t="s">
        <v>2706</v>
      </c>
      <c r="C2717" s="21" t="s">
        <v>5673</v>
      </c>
      <c r="D2717" s="21" t="s">
        <v>11</v>
      </c>
      <c r="E2717" s="21" t="s">
        <v>11</v>
      </c>
    </row>
    <row r="2718" spans="1:5" s="21" customFormat="1" ht="15.75" hidden="1" customHeight="1">
      <c r="A2718" s="21">
        <v>600410</v>
      </c>
      <c r="B2718" s="21" t="s">
        <v>2707</v>
      </c>
      <c r="C2718" s="21" t="s">
        <v>5673</v>
      </c>
      <c r="D2718" s="21" t="s">
        <v>11</v>
      </c>
      <c r="E2718" s="21" t="s">
        <v>11</v>
      </c>
    </row>
    <row r="2719" spans="1:5" s="21" customFormat="1" ht="15.75" hidden="1" customHeight="1">
      <c r="A2719" s="21">
        <v>600490</v>
      </c>
      <c r="B2719" s="21" t="s">
        <v>2708</v>
      </c>
      <c r="C2719" s="21" t="s">
        <v>5673</v>
      </c>
      <c r="D2719" s="21" t="s">
        <v>11</v>
      </c>
      <c r="E2719" s="21" t="s">
        <v>11</v>
      </c>
    </row>
    <row r="2720" spans="1:5" s="21" customFormat="1" ht="15.75" hidden="1" customHeight="1">
      <c r="A2720" s="21">
        <v>600521</v>
      </c>
      <c r="B2720" s="21" t="s">
        <v>2709</v>
      </c>
      <c r="C2720" s="21" t="s">
        <v>5673</v>
      </c>
      <c r="D2720" s="21" t="s">
        <v>11</v>
      </c>
      <c r="E2720" s="21" t="s">
        <v>11</v>
      </c>
    </row>
    <row r="2721" spans="1:5" s="21" customFormat="1" ht="15.75" hidden="1" customHeight="1">
      <c r="A2721" s="21">
        <v>600522</v>
      </c>
      <c r="B2721" s="21" t="s">
        <v>2710</v>
      </c>
      <c r="C2721" s="21" t="s">
        <v>5673</v>
      </c>
      <c r="D2721" s="21" t="s">
        <v>11</v>
      </c>
      <c r="E2721" s="21" t="s">
        <v>11</v>
      </c>
    </row>
    <row r="2722" spans="1:5" s="21" customFormat="1" ht="15.75" hidden="1" customHeight="1">
      <c r="A2722" s="21">
        <v>600523</v>
      </c>
      <c r="B2722" s="21" t="s">
        <v>2711</v>
      </c>
      <c r="C2722" s="21" t="s">
        <v>5673</v>
      </c>
      <c r="D2722" s="21" t="s">
        <v>11</v>
      </c>
      <c r="E2722" s="21" t="s">
        <v>11</v>
      </c>
    </row>
    <row r="2723" spans="1:5" s="21" customFormat="1" ht="15.75" hidden="1" customHeight="1">
      <c r="A2723" s="21">
        <v>600524</v>
      </c>
      <c r="B2723" s="21" t="s">
        <v>2712</v>
      </c>
      <c r="C2723" s="21" t="s">
        <v>5673</v>
      </c>
      <c r="D2723" s="21" t="s">
        <v>11</v>
      </c>
      <c r="E2723" s="21" t="s">
        <v>11</v>
      </c>
    </row>
    <row r="2724" spans="1:5" s="21" customFormat="1" ht="15.75" hidden="1" customHeight="1">
      <c r="A2724" s="21">
        <v>600531</v>
      </c>
      <c r="B2724" s="21" t="s">
        <v>2713</v>
      </c>
      <c r="C2724" s="21" t="s">
        <v>5673</v>
      </c>
      <c r="D2724" s="21" t="s">
        <v>11</v>
      </c>
      <c r="E2724" s="21" t="s">
        <v>11</v>
      </c>
    </row>
    <row r="2725" spans="1:5" s="21" customFormat="1" ht="15.75" hidden="1" customHeight="1">
      <c r="A2725" s="21">
        <v>600532</v>
      </c>
      <c r="B2725" s="21" t="s">
        <v>2714</v>
      </c>
      <c r="C2725" s="21" t="s">
        <v>5673</v>
      </c>
      <c r="D2725" s="21" t="s">
        <v>11</v>
      </c>
      <c r="E2725" s="21" t="s">
        <v>11</v>
      </c>
    </row>
    <row r="2726" spans="1:5" s="21" customFormat="1" ht="15.75" hidden="1" customHeight="1">
      <c r="A2726" s="21">
        <v>600533</v>
      </c>
      <c r="B2726" s="21" t="s">
        <v>2715</v>
      </c>
      <c r="C2726" s="21" t="s">
        <v>5673</v>
      </c>
      <c r="D2726" s="21" t="s">
        <v>11</v>
      </c>
      <c r="E2726" s="21" t="s">
        <v>11</v>
      </c>
    </row>
    <row r="2727" spans="1:5" s="21" customFormat="1" ht="15.75" hidden="1" customHeight="1">
      <c r="A2727" s="21">
        <v>600534</v>
      </c>
      <c r="B2727" s="21" t="s">
        <v>2716</v>
      </c>
      <c r="C2727" s="21" t="s">
        <v>5673</v>
      </c>
      <c r="D2727" s="21" t="s">
        <v>11</v>
      </c>
      <c r="E2727" s="21" t="s">
        <v>11</v>
      </c>
    </row>
    <row r="2728" spans="1:5" s="21" customFormat="1" ht="15.75" hidden="1" customHeight="1">
      <c r="A2728" s="21">
        <v>600541</v>
      </c>
      <c r="B2728" s="21" t="s">
        <v>2717</v>
      </c>
      <c r="C2728" s="21" t="s">
        <v>5673</v>
      </c>
      <c r="D2728" s="21" t="s">
        <v>11</v>
      </c>
      <c r="E2728" s="21" t="s">
        <v>11</v>
      </c>
    </row>
    <row r="2729" spans="1:5" s="21" customFormat="1" ht="15.75" hidden="1" customHeight="1">
      <c r="A2729" s="21">
        <v>600542</v>
      </c>
      <c r="B2729" s="21" t="s">
        <v>2718</v>
      </c>
      <c r="C2729" s="21" t="s">
        <v>5673</v>
      </c>
      <c r="D2729" s="21" t="s">
        <v>11</v>
      </c>
      <c r="E2729" s="21" t="s">
        <v>11</v>
      </c>
    </row>
    <row r="2730" spans="1:5" s="21" customFormat="1" ht="15.75" hidden="1" customHeight="1">
      <c r="A2730" s="21">
        <v>600543</v>
      </c>
      <c r="B2730" s="21" t="s">
        <v>2719</v>
      </c>
      <c r="C2730" s="21" t="s">
        <v>5673</v>
      </c>
      <c r="D2730" s="21" t="s">
        <v>11</v>
      </c>
      <c r="E2730" s="21" t="s">
        <v>11</v>
      </c>
    </row>
    <row r="2731" spans="1:5" s="21" customFormat="1" ht="15.75" hidden="1" customHeight="1">
      <c r="A2731" s="21">
        <v>600544</v>
      </c>
      <c r="B2731" s="21" t="s">
        <v>2720</v>
      </c>
      <c r="C2731" s="21" t="s">
        <v>5673</v>
      </c>
      <c r="D2731" s="21" t="s">
        <v>11</v>
      </c>
      <c r="E2731" s="21" t="s">
        <v>11</v>
      </c>
    </row>
    <row r="2732" spans="1:5" s="21" customFormat="1" ht="15.75" hidden="1" customHeight="1">
      <c r="A2732" s="21">
        <v>600590</v>
      </c>
      <c r="B2732" s="21" t="s">
        <v>2721</v>
      </c>
      <c r="C2732" s="21" t="s">
        <v>5673</v>
      </c>
      <c r="D2732" s="21" t="s">
        <v>11</v>
      </c>
      <c r="E2732" s="21" t="s">
        <v>11</v>
      </c>
    </row>
    <row r="2733" spans="1:5" s="21" customFormat="1" ht="15.75" hidden="1" customHeight="1">
      <c r="A2733" s="21">
        <v>600610</v>
      </c>
      <c r="B2733" s="21" t="s">
        <v>2722</v>
      </c>
      <c r="C2733" s="21" t="s">
        <v>5673</v>
      </c>
      <c r="D2733" s="21" t="s">
        <v>11</v>
      </c>
      <c r="E2733" s="21" t="s">
        <v>11</v>
      </c>
    </row>
    <row r="2734" spans="1:5" s="21" customFormat="1" ht="15.75" hidden="1" customHeight="1">
      <c r="A2734" s="21">
        <v>600621</v>
      </c>
      <c r="B2734" s="21" t="s">
        <v>2723</v>
      </c>
      <c r="C2734" s="21" t="s">
        <v>5673</v>
      </c>
      <c r="D2734" s="21" t="s">
        <v>11</v>
      </c>
      <c r="E2734" s="21" t="s">
        <v>11</v>
      </c>
    </row>
    <row r="2735" spans="1:5" s="21" customFormat="1" ht="15.75" hidden="1" customHeight="1">
      <c r="A2735" s="21">
        <v>600622</v>
      </c>
      <c r="B2735" s="21" t="s">
        <v>2724</v>
      </c>
      <c r="C2735" s="21" t="s">
        <v>5673</v>
      </c>
      <c r="D2735" s="21" t="s">
        <v>11</v>
      </c>
      <c r="E2735" s="21" t="s">
        <v>11</v>
      </c>
    </row>
    <row r="2736" spans="1:5" s="21" customFormat="1" ht="15.75" hidden="1" customHeight="1">
      <c r="A2736" s="21">
        <v>600623</v>
      </c>
      <c r="B2736" s="21" t="s">
        <v>2725</v>
      </c>
      <c r="C2736" s="21" t="s">
        <v>5673</v>
      </c>
      <c r="D2736" s="21" t="s">
        <v>11</v>
      </c>
      <c r="E2736" s="21" t="s">
        <v>11</v>
      </c>
    </row>
    <row r="2737" spans="1:5" s="21" customFormat="1" ht="15.75" hidden="1" customHeight="1">
      <c r="A2737" s="21">
        <v>600624</v>
      </c>
      <c r="B2737" s="21" t="s">
        <v>2726</v>
      </c>
      <c r="C2737" s="21" t="s">
        <v>5673</v>
      </c>
      <c r="D2737" s="21" t="s">
        <v>11</v>
      </c>
      <c r="E2737" s="21" t="s">
        <v>11</v>
      </c>
    </row>
    <row r="2738" spans="1:5" s="21" customFormat="1" ht="15.75" hidden="1" customHeight="1">
      <c r="A2738" s="21">
        <v>600631</v>
      </c>
      <c r="B2738" s="21" t="s">
        <v>2727</v>
      </c>
      <c r="C2738" s="21" t="s">
        <v>5673</v>
      </c>
      <c r="D2738" s="21" t="s">
        <v>11</v>
      </c>
      <c r="E2738" s="21" t="s">
        <v>11</v>
      </c>
    </row>
    <row r="2739" spans="1:5" s="21" customFormat="1" ht="15.75" hidden="1" customHeight="1">
      <c r="A2739" s="21">
        <v>600632</v>
      </c>
      <c r="B2739" s="21" t="s">
        <v>2728</v>
      </c>
      <c r="C2739" s="21" t="s">
        <v>5673</v>
      </c>
      <c r="D2739" s="21" t="s">
        <v>11</v>
      </c>
      <c r="E2739" s="21" t="s">
        <v>11</v>
      </c>
    </row>
    <row r="2740" spans="1:5" s="21" customFormat="1" ht="15.75" hidden="1" customHeight="1">
      <c r="A2740" s="21">
        <v>600633</v>
      </c>
      <c r="B2740" s="21" t="s">
        <v>2729</v>
      </c>
      <c r="C2740" s="21" t="s">
        <v>5673</v>
      </c>
      <c r="D2740" s="21" t="s">
        <v>11</v>
      </c>
      <c r="E2740" s="21" t="s">
        <v>11</v>
      </c>
    </row>
    <row r="2741" spans="1:5" s="21" customFormat="1" ht="15.75" hidden="1" customHeight="1">
      <c r="A2741" s="21">
        <v>600634</v>
      </c>
      <c r="B2741" s="21" t="s">
        <v>2730</v>
      </c>
      <c r="C2741" s="21" t="s">
        <v>5673</v>
      </c>
      <c r="D2741" s="21" t="s">
        <v>11</v>
      </c>
      <c r="E2741" s="21" t="s">
        <v>11</v>
      </c>
    </row>
    <row r="2742" spans="1:5" s="21" customFormat="1" ht="15.75" hidden="1" customHeight="1">
      <c r="A2742" s="21">
        <v>600641</v>
      </c>
      <c r="B2742" s="21" t="s">
        <v>2731</v>
      </c>
      <c r="C2742" s="21" t="s">
        <v>5673</v>
      </c>
      <c r="D2742" s="21" t="s">
        <v>11</v>
      </c>
      <c r="E2742" s="21" t="s">
        <v>11</v>
      </c>
    </row>
    <row r="2743" spans="1:5" s="21" customFormat="1" ht="15.75" hidden="1" customHeight="1">
      <c r="A2743" s="21">
        <v>600642</v>
      </c>
      <c r="B2743" s="21" t="s">
        <v>2732</v>
      </c>
      <c r="C2743" s="21" t="s">
        <v>5673</v>
      </c>
      <c r="D2743" s="21" t="s">
        <v>11</v>
      </c>
      <c r="E2743" s="21" t="s">
        <v>11</v>
      </c>
    </row>
    <row r="2744" spans="1:5" s="21" customFormat="1" ht="15.75" hidden="1" customHeight="1">
      <c r="A2744" s="21">
        <v>600643</v>
      </c>
      <c r="B2744" s="21" t="s">
        <v>2733</v>
      </c>
      <c r="C2744" s="21" t="s">
        <v>5673</v>
      </c>
      <c r="D2744" s="21" t="s">
        <v>11</v>
      </c>
      <c r="E2744" s="21" t="s">
        <v>11</v>
      </c>
    </row>
    <row r="2745" spans="1:5" s="21" customFormat="1" ht="15.75" hidden="1" customHeight="1">
      <c r="A2745" s="21">
        <v>600644</v>
      </c>
      <c r="B2745" s="21" t="s">
        <v>2734</v>
      </c>
      <c r="C2745" s="21" t="s">
        <v>5673</v>
      </c>
      <c r="D2745" s="21" t="s">
        <v>11</v>
      </c>
      <c r="E2745" s="21" t="s">
        <v>11</v>
      </c>
    </row>
    <row r="2746" spans="1:5" s="21" customFormat="1" ht="15.75" hidden="1" customHeight="1">
      <c r="A2746" s="21">
        <v>600690</v>
      </c>
      <c r="B2746" s="21" t="s">
        <v>2735</v>
      </c>
      <c r="C2746" s="21" t="s">
        <v>5673</v>
      </c>
      <c r="D2746" s="21" t="s">
        <v>11</v>
      </c>
      <c r="E2746" s="21" t="s">
        <v>11</v>
      </c>
    </row>
    <row r="2747" spans="1:5" s="21" customFormat="1" ht="15.75" hidden="1" customHeight="1">
      <c r="A2747" s="21">
        <v>610120</v>
      </c>
      <c r="B2747" s="21" t="s">
        <v>2736</v>
      </c>
      <c r="C2747" s="21" t="s">
        <v>5690</v>
      </c>
      <c r="D2747" s="21" t="s">
        <v>11</v>
      </c>
      <c r="E2747" s="21" t="s">
        <v>11</v>
      </c>
    </row>
    <row r="2748" spans="1:5" s="21" customFormat="1" ht="15.75" hidden="1" customHeight="1">
      <c r="A2748" s="21">
        <v>610130</v>
      </c>
      <c r="B2748" s="21" t="s">
        <v>2737</v>
      </c>
      <c r="C2748" s="21" t="s">
        <v>5690</v>
      </c>
      <c r="D2748" s="21" t="s">
        <v>11</v>
      </c>
      <c r="E2748" s="21" t="s">
        <v>11</v>
      </c>
    </row>
    <row r="2749" spans="1:5" s="21" customFormat="1" ht="15.75" hidden="1" customHeight="1">
      <c r="A2749" s="21">
        <v>610190</v>
      </c>
      <c r="B2749" s="21" t="s">
        <v>2738</v>
      </c>
      <c r="C2749" s="21" t="s">
        <v>5690</v>
      </c>
      <c r="D2749" s="21" t="s">
        <v>11</v>
      </c>
      <c r="E2749" s="21" t="s">
        <v>11</v>
      </c>
    </row>
    <row r="2750" spans="1:5" s="21" customFormat="1" ht="15.75" hidden="1" customHeight="1">
      <c r="A2750" s="21">
        <v>610210</v>
      </c>
      <c r="B2750" s="21" t="s">
        <v>2739</v>
      </c>
      <c r="C2750" s="21" t="s">
        <v>5690</v>
      </c>
      <c r="D2750" s="21" t="s">
        <v>11</v>
      </c>
      <c r="E2750" s="21" t="s">
        <v>11</v>
      </c>
    </row>
    <row r="2751" spans="1:5" s="21" customFormat="1" ht="15.75" hidden="1" customHeight="1">
      <c r="A2751" s="21">
        <v>610220</v>
      </c>
      <c r="B2751" s="21" t="s">
        <v>2740</v>
      </c>
      <c r="C2751" s="21" t="s">
        <v>5690</v>
      </c>
      <c r="D2751" s="21" t="s">
        <v>11</v>
      </c>
      <c r="E2751" s="21" t="s">
        <v>11</v>
      </c>
    </row>
    <row r="2752" spans="1:5" s="21" customFormat="1" ht="15.75" hidden="1" customHeight="1">
      <c r="A2752" s="21">
        <v>610230</v>
      </c>
      <c r="B2752" s="21" t="s">
        <v>2741</v>
      </c>
      <c r="C2752" s="21" t="s">
        <v>5690</v>
      </c>
      <c r="D2752" s="21" t="s">
        <v>11</v>
      </c>
      <c r="E2752" s="21" t="s">
        <v>11</v>
      </c>
    </row>
    <row r="2753" spans="1:5" s="21" customFormat="1" ht="15.75" hidden="1" customHeight="1">
      <c r="A2753" s="21">
        <v>610290</v>
      </c>
      <c r="B2753" s="21" t="s">
        <v>2742</v>
      </c>
      <c r="C2753" s="21" t="s">
        <v>5690</v>
      </c>
      <c r="D2753" s="21" t="s">
        <v>11</v>
      </c>
      <c r="E2753" s="21" t="s">
        <v>11</v>
      </c>
    </row>
    <row r="2754" spans="1:5" s="21" customFormat="1" ht="15.75" hidden="1" customHeight="1">
      <c r="A2754" s="21">
        <v>610310</v>
      </c>
      <c r="B2754" s="21" t="s">
        <v>2743</v>
      </c>
      <c r="C2754" s="21" t="s">
        <v>5691</v>
      </c>
      <c r="D2754" s="21" t="s">
        <v>11</v>
      </c>
      <c r="E2754" s="21" t="s">
        <v>11</v>
      </c>
    </row>
    <row r="2755" spans="1:5" s="21" customFormat="1" ht="15.75" hidden="1" customHeight="1">
      <c r="A2755" s="21">
        <v>610322</v>
      </c>
      <c r="B2755" s="21" t="s">
        <v>2744</v>
      </c>
      <c r="C2755" s="21" t="s">
        <v>5692</v>
      </c>
      <c r="D2755" s="21" t="s">
        <v>11</v>
      </c>
      <c r="E2755" s="21" t="s">
        <v>11</v>
      </c>
    </row>
    <row r="2756" spans="1:5" s="21" customFormat="1" ht="15.75" hidden="1" customHeight="1">
      <c r="A2756" s="21">
        <v>610323</v>
      </c>
      <c r="B2756" s="21" t="s">
        <v>2745</v>
      </c>
      <c r="C2756" s="21" t="s">
        <v>5692</v>
      </c>
      <c r="D2756" s="21" t="s">
        <v>11</v>
      </c>
      <c r="E2756" s="21" t="s">
        <v>11</v>
      </c>
    </row>
    <row r="2757" spans="1:5" s="21" customFormat="1" ht="15.75" hidden="1" customHeight="1">
      <c r="A2757" s="21">
        <v>610329</v>
      </c>
      <c r="B2757" s="21" t="s">
        <v>2746</v>
      </c>
      <c r="C2757" s="21" t="s">
        <v>5692</v>
      </c>
      <c r="D2757" s="21" t="s">
        <v>11</v>
      </c>
      <c r="E2757" s="21" t="s">
        <v>11</v>
      </c>
    </row>
    <row r="2758" spans="1:5" s="21" customFormat="1" ht="15.75" hidden="1" customHeight="1">
      <c r="A2758" s="21">
        <v>610331</v>
      </c>
      <c r="B2758" s="21" t="s">
        <v>2747</v>
      </c>
      <c r="C2758" s="21" t="s">
        <v>5693</v>
      </c>
      <c r="D2758" s="21" t="s">
        <v>11</v>
      </c>
      <c r="E2758" s="21" t="s">
        <v>11</v>
      </c>
    </row>
    <row r="2759" spans="1:5" s="21" customFormat="1" ht="15.75" hidden="1" customHeight="1">
      <c r="A2759" s="21">
        <v>610332</v>
      </c>
      <c r="B2759" s="21" t="s">
        <v>2748</v>
      </c>
      <c r="C2759" s="21" t="s">
        <v>5693</v>
      </c>
      <c r="D2759" s="21" t="s">
        <v>11</v>
      </c>
      <c r="E2759" s="21" t="s">
        <v>11</v>
      </c>
    </row>
    <row r="2760" spans="1:5" s="21" customFormat="1" ht="15.75" hidden="1" customHeight="1">
      <c r="A2760" s="21">
        <v>610333</v>
      </c>
      <c r="B2760" s="21" t="s">
        <v>2749</v>
      </c>
      <c r="C2760" s="21" t="s">
        <v>5693</v>
      </c>
      <c r="D2760" s="21" t="s">
        <v>11</v>
      </c>
      <c r="E2760" s="21" t="s">
        <v>11</v>
      </c>
    </row>
    <row r="2761" spans="1:5" s="21" customFormat="1" ht="15.75" hidden="1" customHeight="1">
      <c r="A2761" s="21">
        <v>610339</v>
      </c>
      <c r="B2761" s="21" t="s">
        <v>2750</v>
      </c>
      <c r="C2761" s="21" t="s">
        <v>5693</v>
      </c>
      <c r="D2761" s="21" t="s">
        <v>11</v>
      </c>
      <c r="E2761" s="21" t="s">
        <v>11</v>
      </c>
    </row>
    <row r="2762" spans="1:5" s="21" customFormat="1" ht="15.75" hidden="1" customHeight="1">
      <c r="A2762" s="21">
        <v>610341</v>
      </c>
      <c r="B2762" s="21" t="s">
        <v>2751</v>
      </c>
      <c r="C2762" s="21" t="s">
        <v>5694</v>
      </c>
      <c r="D2762" s="21" t="s">
        <v>11</v>
      </c>
      <c r="E2762" s="21" t="s">
        <v>11</v>
      </c>
    </row>
    <row r="2763" spans="1:5" s="21" customFormat="1" ht="15.75" hidden="1" customHeight="1">
      <c r="A2763" s="21">
        <v>610342</v>
      </c>
      <c r="B2763" s="21" t="s">
        <v>2752</v>
      </c>
      <c r="C2763" s="21" t="s">
        <v>5694</v>
      </c>
      <c r="D2763" s="21" t="s">
        <v>11</v>
      </c>
      <c r="E2763" s="21" t="s">
        <v>11</v>
      </c>
    </row>
    <row r="2764" spans="1:5" s="21" customFormat="1" ht="15.75" hidden="1" customHeight="1">
      <c r="A2764" s="21">
        <v>610343</v>
      </c>
      <c r="B2764" s="21" t="s">
        <v>2753</v>
      </c>
      <c r="C2764" s="21" t="s">
        <v>5694</v>
      </c>
      <c r="D2764" s="21" t="s">
        <v>11</v>
      </c>
      <c r="E2764" s="21" t="s">
        <v>11</v>
      </c>
    </row>
    <row r="2765" spans="1:5" s="21" customFormat="1" ht="15.75" hidden="1" customHeight="1">
      <c r="A2765" s="21">
        <v>610349</v>
      </c>
      <c r="B2765" s="21" t="s">
        <v>2754</v>
      </c>
      <c r="C2765" s="21" t="s">
        <v>5694</v>
      </c>
      <c r="D2765" s="21" t="s">
        <v>11</v>
      </c>
      <c r="E2765" s="21" t="s">
        <v>11</v>
      </c>
    </row>
    <row r="2766" spans="1:5" s="21" customFormat="1" ht="15.75" hidden="1" customHeight="1">
      <c r="A2766" s="21">
        <v>610413</v>
      </c>
      <c r="B2766" s="21" t="s">
        <v>2755</v>
      </c>
      <c r="C2766" s="21" t="s">
        <v>5691</v>
      </c>
      <c r="D2766" s="21" t="s">
        <v>11</v>
      </c>
      <c r="E2766" s="21" t="s">
        <v>11</v>
      </c>
    </row>
    <row r="2767" spans="1:5" s="21" customFormat="1" ht="15.75" hidden="1" customHeight="1">
      <c r="A2767" s="21">
        <v>610419</v>
      </c>
      <c r="B2767" s="21" t="s">
        <v>2756</v>
      </c>
      <c r="C2767" s="21" t="s">
        <v>5691</v>
      </c>
      <c r="D2767" s="21" t="s">
        <v>11</v>
      </c>
      <c r="E2767" s="21" t="s">
        <v>11</v>
      </c>
    </row>
    <row r="2768" spans="1:5" s="21" customFormat="1" ht="15.75" hidden="1" customHeight="1">
      <c r="A2768" s="21">
        <v>610422</v>
      </c>
      <c r="B2768" s="21" t="s">
        <v>2757</v>
      </c>
      <c r="C2768" s="21" t="s">
        <v>5692</v>
      </c>
      <c r="D2768" s="21" t="s">
        <v>11</v>
      </c>
      <c r="E2768" s="21" t="s">
        <v>11</v>
      </c>
    </row>
    <row r="2769" spans="1:5" s="21" customFormat="1" ht="15.75" hidden="1" customHeight="1">
      <c r="A2769" s="21">
        <v>610423</v>
      </c>
      <c r="B2769" s="21" t="s">
        <v>2758</v>
      </c>
      <c r="C2769" s="21" t="s">
        <v>5692</v>
      </c>
      <c r="D2769" s="21" t="s">
        <v>11</v>
      </c>
      <c r="E2769" s="21" t="s">
        <v>11</v>
      </c>
    </row>
    <row r="2770" spans="1:5" s="21" customFormat="1" ht="15.75" hidden="1" customHeight="1">
      <c r="A2770" s="21">
        <v>610429</v>
      </c>
      <c r="B2770" s="21" t="s">
        <v>2759</v>
      </c>
      <c r="C2770" s="21" t="s">
        <v>5692</v>
      </c>
      <c r="D2770" s="21" t="s">
        <v>11</v>
      </c>
      <c r="E2770" s="21" t="s">
        <v>11</v>
      </c>
    </row>
    <row r="2771" spans="1:5" s="21" customFormat="1" ht="15.75" hidden="1" customHeight="1">
      <c r="A2771" s="21">
        <v>610431</v>
      </c>
      <c r="B2771" s="21" t="s">
        <v>2760</v>
      </c>
      <c r="C2771" s="21" t="s">
        <v>5695</v>
      </c>
      <c r="D2771" s="21" t="s">
        <v>11</v>
      </c>
      <c r="E2771" s="21" t="s">
        <v>11</v>
      </c>
    </row>
    <row r="2772" spans="1:5" s="21" customFormat="1" ht="15.75" hidden="1" customHeight="1">
      <c r="A2772" s="21">
        <v>610432</v>
      </c>
      <c r="B2772" s="21" t="s">
        <v>2761</v>
      </c>
      <c r="C2772" s="21" t="s">
        <v>5695</v>
      </c>
      <c r="D2772" s="21" t="s">
        <v>11</v>
      </c>
      <c r="E2772" s="21" t="s">
        <v>11</v>
      </c>
    </row>
    <row r="2773" spans="1:5" s="21" customFormat="1" ht="15.75" hidden="1" customHeight="1">
      <c r="A2773" s="21">
        <v>610433</v>
      </c>
      <c r="B2773" s="21" t="s">
        <v>2762</v>
      </c>
      <c r="C2773" s="21" t="s">
        <v>5695</v>
      </c>
      <c r="D2773" s="21" t="s">
        <v>11</v>
      </c>
      <c r="E2773" s="21" t="s">
        <v>11</v>
      </c>
    </row>
    <row r="2774" spans="1:5" s="21" customFormat="1" ht="15.75" hidden="1" customHeight="1">
      <c r="A2774" s="21">
        <v>610439</v>
      </c>
      <c r="B2774" s="21" t="s">
        <v>2763</v>
      </c>
      <c r="C2774" s="21" t="s">
        <v>5695</v>
      </c>
      <c r="D2774" s="21" t="s">
        <v>11</v>
      </c>
      <c r="E2774" s="21" t="s">
        <v>11</v>
      </c>
    </row>
    <row r="2775" spans="1:5" s="21" customFormat="1" ht="15.75" hidden="1" customHeight="1">
      <c r="A2775" s="21">
        <v>610441</v>
      </c>
      <c r="B2775" s="21" t="s">
        <v>2764</v>
      </c>
      <c r="C2775" s="21" t="s">
        <v>5696</v>
      </c>
      <c r="D2775" s="21" t="s">
        <v>11</v>
      </c>
      <c r="E2775" s="21" t="s">
        <v>11</v>
      </c>
    </row>
    <row r="2776" spans="1:5" s="21" customFormat="1" ht="15.75" hidden="1" customHeight="1">
      <c r="A2776" s="21">
        <v>610442</v>
      </c>
      <c r="B2776" s="21" t="s">
        <v>2765</v>
      </c>
      <c r="C2776" s="21" t="s">
        <v>5696</v>
      </c>
      <c r="D2776" s="21" t="s">
        <v>11</v>
      </c>
      <c r="E2776" s="21" t="s">
        <v>11</v>
      </c>
    </row>
    <row r="2777" spans="1:5" s="21" customFormat="1" ht="15.75" hidden="1" customHeight="1">
      <c r="A2777" s="21">
        <v>610443</v>
      </c>
      <c r="B2777" s="21" t="s">
        <v>2766</v>
      </c>
      <c r="C2777" s="21" t="s">
        <v>5696</v>
      </c>
      <c r="D2777" s="21" t="s">
        <v>11</v>
      </c>
      <c r="E2777" s="21" t="s">
        <v>11</v>
      </c>
    </row>
    <row r="2778" spans="1:5" s="21" customFormat="1" ht="15.75" hidden="1" customHeight="1">
      <c r="A2778" s="21">
        <v>610444</v>
      </c>
      <c r="B2778" s="21" t="s">
        <v>2767</v>
      </c>
      <c r="C2778" s="21" t="s">
        <v>5696</v>
      </c>
      <c r="D2778" s="21" t="s">
        <v>11</v>
      </c>
      <c r="E2778" s="21" t="s">
        <v>11</v>
      </c>
    </row>
    <row r="2779" spans="1:5" s="21" customFormat="1" ht="15.75" hidden="1" customHeight="1">
      <c r="A2779" s="21">
        <v>610449</v>
      </c>
      <c r="B2779" s="21" t="s">
        <v>2768</v>
      </c>
      <c r="C2779" s="21" t="s">
        <v>5696</v>
      </c>
      <c r="D2779" s="21" t="s">
        <v>11</v>
      </c>
      <c r="E2779" s="21" t="s">
        <v>11</v>
      </c>
    </row>
    <row r="2780" spans="1:5" s="21" customFormat="1" ht="15.75" hidden="1" customHeight="1">
      <c r="A2780" s="21">
        <v>610451</v>
      </c>
      <c r="B2780" s="21" t="s">
        <v>2769</v>
      </c>
      <c r="C2780" s="21" t="s">
        <v>5697</v>
      </c>
      <c r="D2780" s="21" t="s">
        <v>11</v>
      </c>
      <c r="E2780" s="21" t="s">
        <v>11</v>
      </c>
    </row>
    <row r="2781" spans="1:5" s="21" customFormat="1" ht="15.75" hidden="1" customHeight="1">
      <c r="A2781" s="21">
        <v>610452</v>
      </c>
      <c r="B2781" s="21" t="s">
        <v>2770</v>
      </c>
      <c r="C2781" s="21" t="s">
        <v>5697</v>
      </c>
      <c r="D2781" s="21" t="s">
        <v>11</v>
      </c>
      <c r="E2781" s="21" t="s">
        <v>11</v>
      </c>
    </row>
    <row r="2782" spans="1:5" s="21" customFormat="1" ht="15.75" hidden="1" customHeight="1">
      <c r="A2782" s="21">
        <v>610453</v>
      </c>
      <c r="B2782" s="21" t="s">
        <v>2771</v>
      </c>
      <c r="C2782" s="21" t="s">
        <v>5697</v>
      </c>
      <c r="D2782" s="21" t="s">
        <v>11</v>
      </c>
      <c r="E2782" s="21" t="s">
        <v>11</v>
      </c>
    </row>
    <row r="2783" spans="1:5" s="21" customFormat="1" ht="15.75" hidden="1" customHeight="1">
      <c r="A2783" s="21">
        <v>610459</v>
      </c>
      <c r="B2783" s="21" t="s">
        <v>2772</v>
      </c>
      <c r="C2783" s="21" t="s">
        <v>5697</v>
      </c>
      <c r="D2783" s="21" t="s">
        <v>11</v>
      </c>
      <c r="E2783" s="21" t="s">
        <v>11</v>
      </c>
    </row>
    <row r="2784" spans="1:5" s="21" customFormat="1" ht="15.75" hidden="1" customHeight="1">
      <c r="A2784" s="21">
        <v>610461</v>
      </c>
      <c r="B2784" s="21" t="s">
        <v>2773</v>
      </c>
      <c r="C2784" s="21" t="s">
        <v>5694</v>
      </c>
      <c r="D2784" s="21" t="s">
        <v>11</v>
      </c>
      <c r="E2784" s="21" t="s">
        <v>11</v>
      </c>
    </row>
    <row r="2785" spans="1:6" s="21" customFormat="1" ht="15.75" hidden="1" customHeight="1">
      <c r="A2785" s="21">
        <v>610462</v>
      </c>
      <c r="B2785" s="21" t="s">
        <v>2774</v>
      </c>
      <c r="C2785" s="21" t="s">
        <v>5694</v>
      </c>
      <c r="D2785" s="21" t="s">
        <v>11</v>
      </c>
      <c r="E2785" s="21" t="s">
        <v>11</v>
      </c>
    </row>
    <row r="2786" spans="1:6" s="21" customFormat="1" ht="15.75" hidden="1" customHeight="1">
      <c r="A2786" s="21">
        <v>610463</v>
      </c>
      <c r="B2786" s="21" t="s">
        <v>2775</v>
      </c>
      <c r="C2786" s="21" t="s">
        <v>5694</v>
      </c>
      <c r="D2786" s="21" t="s">
        <v>11</v>
      </c>
      <c r="E2786" s="21" t="s">
        <v>11</v>
      </c>
    </row>
    <row r="2787" spans="1:6" s="21" customFormat="1" ht="15.75" hidden="1" customHeight="1">
      <c r="A2787" s="21">
        <v>610469</v>
      </c>
      <c r="B2787" s="21" t="s">
        <v>2776</v>
      </c>
      <c r="C2787" s="21" t="s">
        <v>5694</v>
      </c>
      <c r="D2787" s="21" t="s">
        <v>11</v>
      </c>
      <c r="E2787" s="21" t="s">
        <v>11</v>
      </c>
    </row>
    <row r="2788" spans="1:6" s="21" customFormat="1" ht="15.75" hidden="1" customHeight="1">
      <c r="A2788" s="21">
        <v>610510</v>
      </c>
      <c r="B2788" s="21" t="s">
        <v>2777</v>
      </c>
      <c r="C2788" s="21" t="s">
        <v>5698</v>
      </c>
      <c r="D2788" s="21" t="s">
        <v>11</v>
      </c>
      <c r="E2788" s="21" t="s">
        <v>11</v>
      </c>
    </row>
    <row r="2789" spans="1:6" s="21" customFormat="1" ht="15.75" hidden="1" customHeight="1">
      <c r="A2789" s="21">
        <v>610520</v>
      </c>
      <c r="B2789" s="21" t="s">
        <v>2778</v>
      </c>
      <c r="C2789" s="21" t="s">
        <v>5698</v>
      </c>
      <c r="D2789" s="21" t="s">
        <v>11</v>
      </c>
      <c r="E2789" s="21" t="s">
        <v>11</v>
      </c>
    </row>
    <row r="2790" spans="1:6" s="21" customFormat="1" ht="15.75" hidden="1" customHeight="1">
      <c r="A2790" s="21">
        <v>610590</v>
      </c>
      <c r="B2790" s="21" t="s">
        <v>2779</v>
      </c>
      <c r="C2790" s="21" t="s">
        <v>5698</v>
      </c>
      <c r="D2790" s="21" t="s">
        <v>11</v>
      </c>
      <c r="E2790" s="21" t="s">
        <v>11</v>
      </c>
    </row>
    <row r="2791" spans="1:6" s="21" customFormat="1" ht="15.75" hidden="1" customHeight="1">
      <c r="A2791" s="21">
        <v>610610</v>
      </c>
      <c r="B2791" s="21" t="s">
        <v>2780</v>
      </c>
      <c r="C2791" s="21" t="s">
        <v>5699</v>
      </c>
      <c r="D2791" s="21" t="s">
        <v>11</v>
      </c>
      <c r="E2791" s="21" t="s">
        <v>11</v>
      </c>
    </row>
    <row r="2792" spans="1:6" s="21" customFormat="1" ht="15.75" hidden="1" customHeight="1">
      <c r="A2792" s="21">
        <v>610620</v>
      </c>
      <c r="B2792" s="21" t="s">
        <v>2781</v>
      </c>
      <c r="C2792" s="21" t="s">
        <v>5699</v>
      </c>
      <c r="D2792" s="21" t="s">
        <v>11</v>
      </c>
      <c r="E2792" s="21" t="s">
        <v>11</v>
      </c>
    </row>
    <row r="2793" spans="1:6" s="21" customFormat="1" ht="15.75" hidden="1" customHeight="1">
      <c r="A2793" s="21">
        <v>610690</v>
      </c>
      <c r="B2793" s="21" t="s">
        <v>2782</v>
      </c>
      <c r="C2793" s="21" t="s">
        <v>5699</v>
      </c>
      <c r="D2793" s="21" t="s">
        <v>11</v>
      </c>
      <c r="E2793" s="21" t="s">
        <v>11</v>
      </c>
    </row>
    <row r="2794" spans="1:6" ht="15.75" hidden="1" customHeight="1">
      <c r="A2794" s="21">
        <v>610711</v>
      </c>
      <c r="B2794" s="21" t="s">
        <v>2783</v>
      </c>
      <c r="C2794" s="21" t="s">
        <v>5700</v>
      </c>
      <c r="D2794" s="21" t="s">
        <v>11</v>
      </c>
      <c r="E2794" s="21" t="s">
        <v>11</v>
      </c>
      <c r="F2794" s="21"/>
    </row>
    <row r="2795" spans="1:6" s="21" customFormat="1" ht="15.75" hidden="1" customHeight="1">
      <c r="A2795" s="21">
        <v>610712</v>
      </c>
      <c r="B2795" s="21" t="s">
        <v>2784</v>
      </c>
      <c r="C2795" s="21" t="s">
        <v>5700</v>
      </c>
      <c r="D2795" s="21" t="s">
        <v>11</v>
      </c>
      <c r="E2795" s="21" t="s">
        <v>11</v>
      </c>
    </row>
    <row r="2796" spans="1:6" s="21" customFormat="1" ht="15.75" hidden="1" customHeight="1">
      <c r="A2796" s="21">
        <v>610719</v>
      </c>
      <c r="B2796" s="21" t="s">
        <v>2785</v>
      </c>
      <c r="C2796" s="21" t="s">
        <v>5700</v>
      </c>
      <c r="D2796" s="21" t="s">
        <v>11</v>
      </c>
      <c r="E2796" s="21" t="s">
        <v>11</v>
      </c>
    </row>
    <row r="2797" spans="1:6" s="21" customFormat="1" ht="15.75" hidden="1" customHeight="1">
      <c r="A2797" s="21">
        <v>610721</v>
      </c>
      <c r="B2797" s="21" t="s">
        <v>2786</v>
      </c>
      <c r="C2797" s="21" t="s">
        <v>5701</v>
      </c>
      <c r="D2797" s="21" t="s">
        <v>11</v>
      </c>
      <c r="E2797" s="21" t="s">
        <v>11</v>
      </c>
    </row>
    <row r="2798" spans="1:6" s="21" customFormat="1" ht="15.75" hidden="1" customHeight="1">
      <c r="A2798" s="21">
        <v>610722</v>
      </c>
      <c r="B2798" s="21" t="s">
        <v>2787</v>
      </c>
      <c r="C2798" s="21" t="s">
        <v>5701</v>
      </c>
      <c r="D2798" s="21" t="s">
        <v>11</v>
      </c>
      <c r="E2798" s="21" t="s">
        <v>11</v>
      </c>
    </row>
    <row r="2799" spans="1:6" s="21" customFormat="1" ht="15.75" hidden="1" customHeight="1">
      <c r="A2799" s="21">
        <v>610729</v>
      </c>
      <c r="B2799" s="21" t="s">
        <v>2788</v>
      </c>
      <c r="C2799" s="21" t="s">
        <v>5701</v>
      </c>
      <c r="D2799" s="21" t="s">
        <v>11</v>
      </c>
      <c r="E2799" s="21" t="s">
        <v>11</v>
      </c>
    </row>
    <row r="2800" spans="1:6" s="21" customFormat="1" ht="15.75" hidden="1" customHeight="1">
      <c r="A2800" s="21">
        <v>610791</v>
      </c>
      <c r="B2800" s="21" t="s">
        <v>2789</v>
      </c>
      <c r="C2800" s="21" t="s">
        <v>5702</v>
      </c>
      <c r="D2800" s="21" t="s">
        <v>11</v>
      </c>
      <c r="E2800" s="21" t="s">
        <v>11</v>
      </c>
    </row>
    <row r="2801" spans="1:5" s="21" customFormat="1" ht="15.75" hidden="1" customHeight="1">
      <c r="A2801" s="21">
        <v>610799</v>
      </c>
      <c r="B2801" s="21" t="s">
        <v>2790</v>
      </c>
      <c r="C2801" s="21" t="s">
        <v>5702</v>
      </c>
      <c r="D2801" s="21" t="s">
        <v>11</v>
      </c>
      <c r="E2801" s="21" t="s">
        <v>11</v>
      </c>
    </row>
    <row r="2802" spans="1:5" s="21" customFormat="1" ht="15.75" hidden="1" customHeight="1">
      <c r="A2802" s="21">
        <v>610811</v>
      </c>
      <c r="B2802" s="21" t="s">
        <v>2791</v>
      </c>
      <c r="C2802" s="21" t="s">
        <v>5703</v>
      </c>
      <c r="D2802" s="21" t="s">
        <v>11</v>
      </c>
      <c r="E2802" s="21" t="s">
        <v>11</v>
      </c>
    </row>
    <row r="2803" spans="1:5" s="21" customFormat="1" ht="15.75" hidden="1" customHeight="1">
      <c r="A2803" s="21">
        <v>610819</v>
      </c>
      <c r="B2803" s="21" t="s">
        <v>2792</v>
      </c>
      <c r="C2803" s="21" t="s">
        <v>5703</v>
      </c>
      <c r="D2803" s="21" t="s">
        <v>11</v>
      </c>
      <c r="E2803" s="21" t="s">
        <v>11</v>
      </c>
    </row>
    <row r="2804" spans="1:5" s="21" customFormat="1" ht="15.75" hidden="1" customHeight="1">
      <c r="A2804" s="21">
        <v>610821</v>
      </c>
      <c r="B2804" s="21" t="s">
        <v>2793</v>
      </c>
      <c r="C2804" s="21" t="s">
        <v>5704</v>
      </c>
      <c r="D2804" s="21" t="s">
        <v>11</v>
      </c>
      <c r="E2804" s="21" t="s">
        <v>11</v>
      </c>
    </row>
    <row r="2805" spans="1:5" s="21" customFormat="1" ht="15.75" hidden="1" customHeight="1">
      <c r="A2805" s="21">
        <v>610822</v>
      </c>
      <c r="B2805" s="21" t="s">
        <v>2794</v>
      </c>
      <c r="C2805" s="21" t="s">
        <v>5704</v>
      </c>
      <c r="D2805" s="21" t="s">
        <v>11</v>
      </c>
      <c r="E2805" s="21" t="s">
        <v>11</v>
      </c>
    </row>
    <row r="2806" spans="1:5" s="21" customFormat="1" ht="15.75" hidden="1" customHeight="1">
      <c r="A2806" s="21">
        <v>610829</v>
      </c>
      <c r="B2806" s="21" t="s">
        <v>2795</v>
      </c>
      <c r="C2806" s="21" t="s">
        <v>5704</v>
      </c>
      <c r="D2806" s="21" t="s">
        <v>11</v>
      </c>
      <c r="E2806" s="21" t="s">
        <v>11</v>
      </c>
    </row>
    <row r="2807" spans="1:5" s="21" customFormat="1" ht="15.75" hidden="1" customHeight="1">
      <c r="A2807" s="21">
        <v>610831</v>
      </c>
      <c r="B2807" s="21" t="s">
        <v>2796</v>
      </c>
      <c r="C2807" s="21" t="s">
        <v>5705</v>
      </c>
      <c r="D2807" s="21" t="s">
        <v>11</v>
      </c>
      <c r="E2807" s="21" t="s">
        <v>11</v>
      </c>
    </row>
    <row r="2808" spans="1:5" s="21" customFormat="1" ht="15.75" hidden="1" customHeight="1">
      <c r="A2808" s="21">
        <v>610832</v>
      </c>
      <c r="B2808" s="21" t="s">
        <v>2797</v>
      </c>
      <c r="C2808" s="21" t="s">
        <v>5705</v>
      </c>
      <c r="D2808" s="21" t="s">
        <v>11</v>
      </c>
      <c r="E2808" s="21" t="s">
        <v>11</v>
      </c>
    </row>
    <row r="2809" spans="1:5" s="21" customFormat="1" ht="15.75" hidden="1" customHeight="1">
      <c r="A2809" s="21">
        <v>610839</v>
      </c>
      <c r="B2809" s="21" t="s">
        <v>2798</v>
      </c>
      <c r="C2809" s="21" t="s">
        <v>5705</v>
      </c>
      <c r="D2809" s="21" t="s">
        <v>11</v>
      </c>
      <c r="E2809" s="21" t="s">
        <v>11</v>
      </c>
    </row>
    <row r="2810" spans="1:5" s="21" customFormat="1" ht="15.75" hidden="1" customHeight="1">
      <c r="A2810" s="21">
        <v>610891</v>
      </c>
      <c r="B2810" s="21" t="s">
        <v>2799</v>
      </c>
      <c r="C2810" s="21" t="s">
        <v>5706</v>
      </c>
      <c r="D2810" s="21" t="s">
        <v>11</v>
      </c>
      <c r="E2810" s="21" t="s">
        <v>11</v>
      </c>
    </row>
    <row r="2811" spans="1:5" s="21" customFormat="1" ht="15.75" hidden="1" customHeight="1">
      <c r="A2811" s="21">
        <v>610892</v>
      </c>
      <c r="B2811" s="21" t="s">
        <v>2800</v>
      </c>
      <c r="C2811" s="21" t="s">
        <v>5706</v>
      </c>
      <c r="D2811" s="21" t="s">
        <v>11</v>
      </c>
      <c r="E2811" s="21" t="s">
        <v>11</v>
      </c>
    </row>
    <row r="2812" spans="1:5" s="21" customFormat="1" ht="15.75" hidden="1" customHeight="1">
      <c r="A2812" s="21">
        <v>610899</v>
      </c>
      <c r="B2812" s="21" t="s">
        <v>2801</v>
      </c>
      <c r="C2812" s="21" t="s">
        <v>5706</v>
      </c>
      <c r="D2812" s="21" t="s">
        <v>11</v>
      </c>
      <c r="E2812" s="21" t="s">
        <v>11</v>
      </c>
    </row>
    <row r="2813" spans="1:5" s="21" customFormat="1" ht="15.75" hidden="1" customHeight="1">
      <c r="A2813" s="21">
        <v>610910</v>
      </c>
      <c r="B2813" s="21" t="s">
        <v>2802</v>
      </c>
      <c r="C2813" s="21" t="s">
        <v>5707</v>
      </c>
      <c r="D2813" s="21" t="s">
        <v>11</v>
      </c>
      <c r="E2813" s="21" t="s">
        <v>11</v>
      </c>
    </row>
    <row r="2814" spans="1:5" s="21" customFormat="1" ht="15.75" hidden="1" customHeight="1">
      <c r="A2814" s="21">
        <v>610990</v>
      </c>
      <c r="B2814" s="21" t="s">
        <v>2803</v>
      </c>
      <c r="C2814" s="21" t="s">
        <v>5707</v>
      </c>
      <c r="D2814" s="21" t="s">
        <v>11</v>
      </c>
      <c r="E2814" s="21" t="s">
        <v>11</v>
      </c>
    </row>
    <row r="2815" spans="1:5" s="21" customFormat="1" ht="15.75" hidden="1" customHeight="1">
      <c r="A2815" s="21">
        <v>611011</v>
      </c>
      <c r="B2815" s="21" t="s">
        <v>2804</v>
      </c>
      <c r="C2815" s="21" t="s">
        <v>5708</v>
      </c>
      <c r="D2815" s="21" t="s">
        <v>11</v>
      </c>
      <c r="E2815" s="21" t="s">
        <v>11</v>
      </c>
    </row>
    <row r="2816" spans="1:5" s="21" customFormat="1" ht="15.75" hidden="1" customHeight="1">
      <c r="A2816" s="21">
        <v>611012</v>
      </c>
      <c r="B2816" s="21" t="s">
        <v>2805</v>
      </c>
      <c r="C2816" s="21" t="s">
        <v>5708</v>
      </c>
      <c r="D2816" s="21" t="s">
        <v>11</v>
      </c>
      <c r="E2816" s="21" t="s">
        <v>11</v>
      </c>
    </row>
    <row r="2817" spans="1:5" s="21" customFormat="1" ht="15.75" hidden="1" customHeight="1">
      <c r="A2817" s="21">
        <v>611019</v>
      </c>
      <c r="B2817" s="21" t="s">
        <v>2806</v>
      </c>
      <c r="C2817" s="21" t="s">
        <v>5708</v>
      </c>
      <c r="D2817" s="21" t="s">
        <v>11</v>
      </c>
      <c r="E2817" s="21" t="s">
        <v>11</v>
      </c>
    </row>
    <row r="2818" spans="1:5" s="21" customFormat="1" ht="15.75" hidden="1" customHeight="1">
      <c r="A2818" s="21">
        <v>611020</v>
      </c>
      <c r="B2818" s="21" t="s">
        <v>2807</v>
      </c>
      <c r="C2818" s="21" t="s">
        <v>5708</v>
      </c>
      <c r="D2818" s="21" t="s">
        <v>11</v>
      </c>
      <c r="E2818" s="21" t="s">
        <v>11</v>
      </c>
    </row>
    <row r="2819" spans="1:5" s="21" customFormat="1" ht="15.75" hidden="1" customHeight="1">
      <c r="A2819" s="21">
        <v>611030</v>
      </c>
      <c r="B2819" s="21" t="s">
        <v>2808</v>
      </c>
      <c r="C2819" s="21" t="s">
        <v>5708</v>
      </c>
      <c r="D2819" s="21" t="s">
        <v>11</v>
      </c>
      <c r="E2819" s="21" t="s">
        <v>11</v>
      </c>
    </row>
    <row r="2820" spans="1:5" s="21" customFormat="1" ht="15.75" hidden="1" customHeight="1">
      <c r="A2820" s="21">
        <v>611090</v>
      </c>
      <c r="B2820" s="21" t="s">
        <v>2809</v>
      </c>
      <c r="C2820" s="21" t="s">
        <v>5708</v>
      </c>
      <c r="D2820" s="21" t="s">
        <v>11</v>
      </c>
      <c r="E2820" s="21" t="s">
        <v>11</v>
      </c>
    </row>
    <row r="2821" spans="1:5" s="21" customFormat="1" ht="15.75" hidden="1" customHeight="1">
      <c r="A2821" s="21">
        <v>611120</v>
      </c>
      <c r="B2821" s="21" t="s">
        <v>2810</v>
      </c>
      <c r="C2821" s="21" t="s">
        <v>5709</v>
      </c>
      <c r="D2821" s="21" t="s">
        <v>11</v>
      </c>
      <c r="E2821" s="21" t="s">
        <v>11</v>
      </c>
    </row>
    <row r="2822" spans="1:5" s="21" customFormat="1" ht="15.75" hidden="1" customHeight="1">
      <c r="A2822" s="21">
        <v>611130</v>
      </c>
      <c r="B2822" s="21" t="s">
        <v>2811</v>
      </c>
      <c r="C2822" s="21" t="s">
        <v>5709</v>
      </c>
      <c r="D2822" s="21" t="s">
        <v>11</v>
      </c>
      <c r="E2822" s="21" t="s">
        <v>11</v>
      </c>
    </row>
    <row r="2823" spans="1:5" s="21" customFormat="1" ht="15.75" hidden="1" customHeight="1">
      <c r="A2823" s="21">
        <v>611190</v>
      </c>
      <c r="B2823" s="21" t="s">
        <v>2812</v>
      </c>
      <c r="C2823" s="21" t="s">
        <v>5709</v>
      </c>
      <c r="D2823" s="21" t="s">
        <v>11</v>
      </c>
      <c r="E2823" s="21" t="s">
        <v>11</v>
      </c>
    </row>
    <row r="2824" spans="1:5" s="21" customFormat="1" ht="15.75" hidden="1" customHeight="1">
      <c r="A2824" s="21">
        <v>611211</v>
      </c>
      <c r="B2824" s="21" t="s">
        <v>2813</v>
      </c>
      <c r="C2824" s="21" t="s">
        <v>5710</v>
      </c>
      <c r="D2824" s="21" t="s">
        <v>11</v>
      </c>
      <c r="E2824" s="21" t="s">
        <v>11</v>
      </c>
    </row>
    <row r="2825" spans="1:5" s="21" customFormat="1" ht="15.75" hidden="1" customHeight="1">
      <c r="A2825" s="21">
        <v>611212</v>
      </c>
      <c r="B2825" s="21" t="s">
        <v>2814</v>
      </c>
      <c r="C2825" s="21" t="s">
        <v>5710</v>
      </c>
      <c r="D2825" s="21" t="s">
        <v>11</v>
      </c>
      <c r="E2825" s="21" t="s">
        <v>11</v>
      </c>
    </row>
    <row r="2826" spans="1:5" s="21" customFormat="1" ht="15.75" hidden="1" customHeight="1">
      <c r="A2826" s="21">
        <v>611219</v>
      </c>
      <c r="B2826" s="21" t="s">
        <v>2815</v>
      </c>
      <c r="C2826" s="21" t="s">
        <v>5710</v>
      </c>
      <c r="D2826" s="21" t="s">
        <v>11</v>
      </c>
      <c r="E2826" s="21" t="s">
        <v>11</v>
      </c>
    </row>
    <row r="2827" spans="1:5" s="21" customFormat="1" ht="15.75" hidden="1" customHeight="1">
      <c r="A2827" s="21">
        <v>611220</v>
      </c>
      <c r="B2827" s="21" t="s">
        <v>2816</v>
      </c>
      <c r="C2827" s="21" t="s">
        <v>5711</v>
      </c>
      <c r="D2827" s="21" t="s">
        <v>11</v>
      </c>
      <c r="E2827" s="21" t="s">
        <v>11</v>
      </c>
    </row>
    <row r="2828" spans="1:5" s="21" customFormat="1" ht="15.75" hidden="1" customHeight="1">
      <c r="A2828" s="21">
        <v>611231</v>
      </c>
      <c r="B2828" s="21" t="s">
        <v>2817</v>
      </c>
      <c r="C2828" s="21" t="s">
        <v>5712</v>
      </c>
      <c r="D2828" s="21" t="s">
        <v>11</v>
      </c>
      <c r="E2828" s="21" t="s">
        <v>11</v>
      </c>
    </row>
    <row r="2829" spans="1:5" s="21" customFormat="1" ht="15.75" hidden="1" customHeight="1">
      <c r="A2829" s="21">
        <v>611239</v>
      </c>
      <c r="B2829" s="21" t="s">
        <v>2818</v>
      </c>
      <c r="C2829" s="21" t="s">
        <v>5712</v>
      </c>
      <c r="D2829" s="21" t="s">
        <v>11</v>
      </c>
      <c r="E2829" s="21" t="s">
        <v>11</v>
      </c>
    </row>
    <row r="2830" spans="1:5" s="21" customFormat="1" ht="15.75" hidden="1" customHeight="1">
      <c r="A2830" s="21">
        <v>611241</v>
      </c>
      <c r="B2830" s="21" t="s">
        <v>2819</v>
      </c>
      <c r="C2830" s="21" t="s">
        <v>5712</v>
      </c>
      <c r="D2830" s="21" t="s">
        <v>11</v>
      </c>
      <c r="E2830" s="21" t="s">
        <v>11</v>
      </c>
    </row>
    <row r="2831" spans="1:5" s="21" customFormat="1" ht="15.75" hidden="1" customHeight="1">
      <c r="A2831" s="21">
        <v>611249</v>
      </c>
      <c r="B2831" s="21" t="s">
        <v>2820</v>
      </c>
      <c r="C2831" s="21" t="s">
        <v>5712</v>
      </c>
      <c r="D2831" s="21" t="s">
        <v>11</v>
      </c>
      <c r="E2831" s="21" t="s">
        <v>11</v>
      </c>
    </row>
    <row r="2832" spans="1:5" s="21" customFormat="1" ht="15.75" hidden="1" customHeight="1">
      <c r="A2832" s="21">
        <v>611300</v>
      </c>
      <c r="B2832" s="21" t="s">
        <v>2821</v>
      </c>
      <c r="C2832" s="21" t="s">
        <v>5713</v>
      </c>
      <c r="D2832" s="21" t="s">
        <v>11</v>
      </c>
      <c r="E2832" s="21" t="s">
        <v>11</v>
      </c>
    </row>
    <row r="2833" spans="1:5" s="21" customFormat="1" ht="15.75" hidden="1" customHeight="1">
      <c r="A2833" s="21">
        <v>611420</v>
      </c>
      <c r="B2833" s="21" t="s">
        <v>2822</v>
      </c>
      <c r="C2833" s="21" t="s">
        <v>5713</v>
      </c>
      <c r="D2833" s="21" t="s">
        <v>11</v>
      </c>
      <c r="E2833" s="21" t="s">
        <v>11</v>
      </c>
    </row>
    <row r="2834" spans="1:5" s="21" customFormat="1" ht="15.75" hidden="1" customHeight="1">
      <c r="A2834" s="21">
        <v>611430</v>
      </c>
      <c r="B2834" s="21" t="s">
        <v>2823</v>
      </c>
      <c r="C2834" s="21" t="s">
        <v>5713</v>
      </c>
      <c r="D2834" s="21" t="s">
        <v>11</v>
      </c>
      <c r="E2834" s="21" t="s">
        <v>11</v>
      </c>
    </row>
    <row r="2835" spans="1:5" s="21" customFormat="1" ht="15.75" hidden="1" customHeight="1">
      <c r="A2835" s="21">
        <v>611490</v>
      </c>
      <c r="B2835" s="21" t="s">
        <v>2824</v>
      </c>
      <c r="C2835" s="21" t="s">
        <v>5713</v>
      </c>
      <c r="D2835" s="21" t="s">
        <v>11</v>
      </c>
      <c r="E2835" s="21" t="s">
        <v>11</v>
      </c>
    </row>
    <row r="2836" spans="1:5" s="21" customFormat="1" ht="15.75" hidden="1" customHeight="1">
      <c r="A2836" s="21">
        <v>611521</v>
      </c>
      <c r="B2836" s="21" t="s">
        <v>2826</v>
      </c>
      <c r="C2836" s="21" t="s">
        <v>5714</v>
      </c>
      <c r="D2836" s="21" t="s">
        <v>11</v>
      </c>
      <c r="E2836" s="21" t="s">
        <v>11</v>
      </c>
    </row>
    <row r="2837" spans="1:5" s="21" customFormat="1" ht="15.75" hidden="1" customHeight="1">
      <c r="A2837" s="21">
        <v>611522</v>
      </c>
      <c r="B2837" s="21" t="s">
        <v>2827</v>
      </c>
      <c r="C2837" s="21" t="s">
        <v>5714</v>
      </c>
      <c r="D2837" s="21" t="s">
        <v>11</v>
      </c>
      <c r="E2837" s="21" t="s">
        <v>11</v>
      </c>
    </row>
    <row r="2838" spans="1:5" s="21" customFormat="1" ht="15.75" hidden="1" customHeight="1">
      <c r="A2838" s="21">
        <v>611529</v>
      </c>
      <c r="B2838" s="21" t="s">
        <v>2828</v>
      </c>
      <c r="C2838" s="21" t="s">
        <v>5714</v>
      </c>
      <c r="D2838" s="21" t="s">
        <v>11</v>
      </c>
      <c r="E2838" s="21" t="s">
        <v>11</v>
      </c>
    </row>
    <row r="2839" spans="1:5" s="21" customFormat="1" ht="15.75" hidden="1" customHeight="1">
      <c r="A2839" s="21">
        <v>611530</v>
      </c>
      <c r="B2839" s="21" t="s">
        <v>2829</v>
      </c>
      <c r="C2839" s="21" t="s">
        <v>5714</v>
      </c>
      <c r="D2839" s="21" t="s">
        <v>11</v>
      </c>
      <c r="E2839" s="21" t="s">
        <v>11</v>
      </c>
    </row>
    <row r="2840" spans="1:5" s="21" customFormat="1" ht="15.75" hidden="1" customHeight="1">
      <c r="A2840" s="21">
        <v>611594</v>
      </c>
      <c r="B2840" s="21" t="s">
        <v>2830</v>
      </c>
      <c r="C2840" s="21" t="s">
        <v>5715</v>
      </c>
      <c r="D2840" s="21" t="s">
        <v>11</v>
      </c>
      <c r="E2840" s="21" t="s">
        <v>11</v>
      </c>
    </row>
    <row r="2841" spans="1:5" s="21" customFormat="1" ht="15.75" hidden="1" customHeight="1">
      <c r="A2841" s="21">
        <v>611595</v>
      </c>
      <c r="B2841" s="21" t="s">
        <v>2831</v>
      </c>
      <c r="C2841" s="21" t="s">
        <v>5715</v>
      </c>
      <c r="D2841" s="21" t="s">
        <v>11</v>
      </c>
      <c r="E2841" s="21" t="s">
        <v>11</v>
      </c>
    </row>
    <row r="2842" spans="1:5" s="21" customFormat="1" ht="15.75" hidden="1" customHeight="1">
      <c r="A2842" s="21">
        <v>611596</v>
      </c>
      <c r="B2842" s="21" t="s">
        <v>2832</v>
      </c>
      <c r="C2842" s="21" t="s">
        <v>5715</v>
      </c>
      <c r="D2842" s="21" t="s">
        <v>11</v>
      </c>
      <c r="E2842" s="21" t="s">
        <v>11</v>
      </c>
    </row>
    <row r="2843" spans="1:5" s="21" customFormat="1" ht="15.75" hidden="1" customHeight="1">
      <c r="A2843" s="21">
        <v>611599</v>
      </c>
      <c r="B2843" s="21" t="s">
        <v>2833</v>
      </c>
      <c r="C2843" s="21" t="s">
        <v>5715</v>
      </c>
      <c r="D2843" s="21" t="s">
        <v>11</v>
      </c>
      <c r="E2843" s="21" t="s">
        <v>11</v>
      </c>
    </row>
    <row r="2844" spans="1:5" s="21" customFormat="1" ht="15.75" hidden="1" customHeight="1">
      <c r="A2844" s="21">
        <v>611610</v>
      </c>
      <c r="B2844" s="21" t="s">
        <v>2834</v>
      </c>
      <c r="C2844" s="21" t="s">
        <v>5716</v>
      </c>
      <c r="D2844" s="21" t="s">
        <v>11</v>
      </c>
      <c r="E2844" s="21" t="s">
        <v>11</v>
      </c>
    </row>
    <row r="2845" spans="1:5" s="21" customFormat="1" ht="15.75" hidden="1" customHeight="1">
      <c r="A2845" s="21">
        <v>611691</v>
      </c>
      <c r="B2845" s="21" t="s">
        <v>2835</v>
      </c>
      <c r="C2845" s="21" t="s">
        <v>5716</v>
      </c>
      <c r="D2845" s="21" t="s">
        <v>11</v>
      </c>
      <c r="E2845" s="21" t="s">
        <v>11</v>
      </c>
    </row>
    <row r="2846" spans="1:5" s="21" customFormat="1" ht="15.75" hidden="1" customHeight="1">
      <c r="A2846" s="21">
        <v>611692</v>
      </c>
      <c r="B2846" s="21" t="s">
        <v>2836</v>
      </c>
      <c r="C2846" s="21" t="s">
        <v>5716</v>
      </c>
      <c r="D2846" s="21" t="s">
        <v>11</v>
      </c>
      <c r="E2846" s="21" t="s">
        <v>11</v>
      </c>
    </row>
    <row r="2847" spans="1:5" s="21" customFormat="1" ht="15.75" hidden="1" customHeight="1">
      <c r="A2847" s="21">
        <v>611693</v>
      </c>
      <c r="B2847" s="21" t="s">
        <v>2837</v>
      </c>
      <c r="C2847" s="21" t="s">
        <v>5716</v>
      </c>
      <c r="D2847" s="21" t="s">
        <v>11</v>
      </c>
      <c r="E2847" s="21" t="s">
        <v>11</v>
      </c>
    </row>
    <row r="2848" spans="1:5" s="21" customFormat="1" ht="15.75" hidden="1" customHeight="1">
      <c r="A2848" s="21">
        <v>611699</v>
      </c>
      <c r="B2848" s="21" t="s">
        <v>2838</v>
      </c>
      <c r="C2848" s="21" t="s">
        <v>5716</v>
      </c>
      <c r="D2848" s="21" t="s">
        <v>11</v>
      </c>
      <c r="E2848" s="21" t="s">
        <v>11</v>
      </c>
    </row>
    <row r="2849" spans="1:5" s="21" customFormat="1" ht="15.75" hidden="1" customHeight="1">
      <c r="A2849" s="21">
        <v>611710</v>
      </c>
      <c r="B2849" s="21" t="s">
        <v>2839</v>
      </c>
      <c r="C2849" s="21" t="s">
        <v>5717</v>
      </c>
      <c r="D2849" s="21" t="s">
        <v>11</v>
      </c>
      <c r="E2849" s="21" t="s">
        <v>11</v>
      </c>
    </row>
    <row r="2850" spans="1:5" s="21" customFormat="1" ht="15.75" hidden="1" customHeight="1">
      <c r="A2850" s="21">
        <v>611780</v>
      </c>
      <c r="B2850" s="21" t="s">
        <v>2840</v>
      </c>
      <c r="C2850" s="21" t="s">
        <v>5600</v>
      </c>
      <c r="D2850" s="21" t="s">
        <v>11</v>
      </c>
      <c r="E2850" s="21" t="s">
        <v>11</v>
      </c>
    </row>
    <row r="2851" spans="1:5" s="21" customFormat="1" ht="15.75" hidden="1" customHeight="1">
      <c r="A2851" s="21">
        <v>611790</v>
      </c>
      <c r="B2851" s="21" t="s">
        <v>2841</v>
      </c>
      <c r="C2851" s="21" t="s">
        <v>5718</v>
      </c>
      <c r="D2851" s="21" t="s">
        <v>11</v>
      </c>
      <c r="E2851" s="21" t="s">
        <v>11</v>
      </c>
    </row>
    <row r="2852" spans="1:5" s="21" customFormat="1" ht="15.75" hidden="1" customHeight="1">
      <c r="A2852" s="21">
        <v>620111</v>
      </c>
      <c r="B2852" s="21" t="s">
        <v>2842</v>
      </c>
      <c r="C2852" s="21" t="s">
        <v>5690</v>
      </c>
      <c r="D2852" s="21" t="s">
        <v>11</v>
      </c>
      <c r="E2852" s="21" t="s">
        <v>11</v>
      </c>
    </row>
    <row r="2853" spans="1:5" s="21" customFormat="1" ht="15.75" hidden="1" customHeight="1">
      <c r="A2853" s="21">
        <v>620112</v>
      </c>
      <c r="B2853" s="21" t="s">
        <v>2843</v>
      </c>
      <c r="C2853" s="21" t="s">
        <v>5690</v>
      </c>
      <c r="D2853" s="21" t="s">
        <v>11</v>
      </c>
      <c r="E2853" s="21" t="s">
        <v>11</v>
      </c>
    </row>
    <row r="2854" spans="1:5" s="21" customFormat="1" ht="15.75" hidden="1" customHeight="1">
      <c r="A2854" s="21">
        <v>620113</v>
      </c>
      <c r="B2854" s="21" t="s">
        <v>2844</v>
      </c>
      <c r="C2854" s="21" t="s">
        <v>5690</v>
      </c>
      <c r="D2854" s="21" t="s">
        <v>11</v>
      </c>
      <c r="E2854" s="21" t="s">
        <v>11</v>
      </c>
    </row>
    <row r="2855" spans="1:5" s="21" customFormat="1" ht="15.75" hidden="1" customHeight="1">
      <c r="A2855" s="21">
        <v>620119</v>
      </c>
      <c r="B2855" s="21" t="s">
        <v>2845</v>
      </c>
      <c r="C2855" s="21" t="s">
        <v>5690</v>
      </c>
      <c r="D2855" s="21" t="s">
        <v>11</v>
      </c>
      <c r="E2855" s="21" t="s">
        <v>11</v>
      </c>
    </row>
    <row r="2856" spans="1:5" s="21" customFormat="1" ht="15.75" hidden="1" customHeight="1">
      <c r="A2856" s="21">
        <v>620191</v>
      </c>
      <c r="B2856" s="21" t="s">
        <v>2846</v>
      </c>
      <c r="C2856" s="21" t="s">
        <v>5719</v>
      </c>
      <c r="D2856" s="21" t="s">
        <v>11</v>
      </c>
      <c r="E2856" s="21" t="s">
        <v>11</v>
      </c>
    </row>
    <row r="2857" spans="1:5" s="21" customFormat="1" ht="15.75" hidden="1" customHeight="1">
      <c r="A2857" s="21">
        <v>620192</v>
      </c>
      <c r="B2857" s="21" t="s">
        <v>2847</v>
      </c>
      <c r="C2857" s="21" t="s">
        <v>5719</v>
      </c>
      <c r="D2857" s="21" t="s">
        <v>11</v>
      </c>
      <c r="E2857" s="21" t="s">
        <v>11</v>
      </c>
    </row>
    <row r="2858" spans="1:5" s="21" customFormat="1" ht="15.75" hidden="1" customHeight="1">
      <c r="A2858" s="21">
        <v>620193</v>
      </c>
      <c r="B2858" s="21" t="s">
        <v>2848</v>
      </c>
      <c r="C2858" s="21" t="s">
        <v>5719</v>
      </c>
      <c r="D2858" s="21" t="s">
        <v>11</v>
      </c>
      <c r="E2858" s="21" t="s">
        <v>11</v>
      </c>
    </row>
    <row r="2859" spans="1:5" s="21" customFormat="1" ht="15.75" hidden="1" customHeight="1">
      <c r="A2859" s="21">
        <v>620199</v>
      </c>
      <c r="B2859" s="21" t="s">
        <v>2849</v>
      </c>
      <c r="C2859" s="21" t="s">
        <v>5719</v>
      </c>
      <c r="D2859" s="21" t="s">
        <v>11</v>
      </c>
      <c r="E2859" s="21" t="s">
        <v>11</v>
      </c>
    </row>
    <row r="2860" spans="1:5" s="21" customFormat="1" ht="15.75" hidden="1" customHeight="1">
      <c r="A2860" s="21">
        <v>620211</v>
      </c>
      <c r="B2860" s="21" t="s">
        <v>2850</v>
      </c>
      <c r="C2860" s="21" t="s">
        <v>5690</v>
      </c>
      <c r="D2860" s="21" t="s">
        <v>11</v>
      </c>
      <c r="E2860" s="21" t="s">
        <v>11</v>
      </c>
    </row>
    <row r="2861" spans="1:5" s="21" customFormat="1" ht="15.75" hidden="1" customHeight="1">
      <c r="A2861" s="21">
        <v>620212</v>
      </c>
      <c r="B2861" s="21" t="s">
        <v>2851</v>
      </c>
      <c r="C2861" s="21" t="s">
        <v>5690</v>
      </c>
      <c r="D2861" s="21" t="s">
        <v>11</v>
      </c>
      <c r="E2861" s="21" t="s">
        <v>11</v>
      </c>
    </row>
    <row r="2862" spans="1:5" s="21" customFormat="1" ht="15.75" hidden="1" customHeight="1">
      <c r="A2862" s="21">
        <v>620213</v>
      </c>
      <c r="B2862" s="21" t="s">
        <v>2852</v>
      </c>
      <c r="C2862" s="21" t="s">
        <v>5690</v>
      </c>
      <c r="D2862" s="21" t="s">
        <v>11</v>
      </c>
      <c r="E2862" s="21" t="s">
        <v>11</v>
      </c>
    </row>
    <row r="2863" spans="1:5" s="21" customFormat="1" ht="15.75" hidden="1" customHeight="1">
      <c r="A2863" s="21">
        <v>620219</v>
      </c>
      <c r="B2863" s="21" t="s">
        <v>2853</v>
      </c>
      <c r="C2863" s="21" t="s">
        <v>5690</v>
      </c>
      <c r="D2863" s="21" t="s">
        <v>11</v>
      </c>
      <c r="E2863" s="21" t="s">
        <v>11</v>
      </c>
    </row>
    <row r="2864" spans="1:5" s="21" customFormat="1" ht="15.75" hidden="1" customHeight="1">
      <c r="A2864" s="21">
        <v>620291</v>
      </c>
      <c r="B2864" s="21" t="s">
        <v>2854</v>
      </c>
      <c r="C2864" s="21" t="s">
        <v>5719</v>
      </c>
      <c r="D2864" s="21" t="s">
        <v>11</v>
      </c>
      <c r="E2864" s="21" t="s">
        <v>11</v>
      </c>
    </row>
    <row r="2865" spans="1:5" s="21" customFormat="1" ht="15.75" hidden="1" customHeight="1">
      <c r="A2865" s="21">
        <v>620292</v>
      </c>
      <c r="B2865" s="21" t="s">
        <v>2855</v>
      </c>
      <c r="C2865" s="21" t="s">
        <v>5719</v>
      </c>
      <c r="D2865" s="21" t="s">
        <v>11</v>
      </c>
      <c r="E2865" s="21" t="s">
        <v>11</v>
      </c>
    </row>
    <row r="2866" spans="1:5" s="21" customFormat="1" ht="15.75" hidden="1" customHeight="1">
      <c r="A2866" s="21">
        <v>620293</v>
      </c>
      <c r="B2866" s="21" t="s">
        <v>2856</v>
      </c>
      <c r="C2866" s="21" t="s">
        <v>5719</v>
      </c>
      <c r="D2866" s="21" t="s">
        <v>11</v>
      </c>
      <c r="E2866" s="21" t="s">
        <v>11</v>
      </c>
    </row>
    <row r="2867" spans="1:5" s="21" customFormat="1" ht="15.75" hidden="1" customHeight="1">
      <c r="A2867" s="21">
        <v>620299</v>
      </c>
      <c r="B2867" s="21" t="s">
        <v>2857</v>
      </c>
      <c r="C2867" s="21" t="s">
        <v>5719</v>
      </c>
      <c r="D2867" s="21" t="s">
        <v>11</v>
      </c>
      <c r="E2867" s="21" t="s">
        <v>11</v>
      </c>
    </row>
    <row r="2868" spans="1:5" s="21" customFormat="1" ht="15.75" hidden="1" customHeight="1">
      <c r="A2868" s="21">
        <v>620311</v>
      </c>
      <c r="B2868" s="21" t="s">
        <v>2858</v>
      </c>
      <c r="C2868" s="21" t="s">
        <v>5691</v>
      </c>
      <c r="D2868" s="21" t="s">
        <v>11</v>
      </c>
      <c r="E2868" s="21" t="s">
        <v>11</v>
      </c>
    </row>
    <row r="2869" spans="1:5" s="21" customFormat="1" ht="15.75" hidden="1" customHeight="1">
      <c r="A2869" s="21">
        <v>620312</v>
      </c>
      <c r="B2869" s="21" t="s">
        <v>2859</v>
      </c>
      <c r="C2869" s="21" t="s">
        <v>5691</v>
      </c>
      <c r="D2869" s="21" t="s">
        <v>11</v>
      </c>
      <c r="E2869" s="21" t="s">
        <v>11</v>
      </c>
    </row>
    <row r="2870" spans="1:5" s="21" customFormat="1" ht="15.75" hidden="1" customHeight="1">
      <c r="A2870" s="21">
        <v>620319</v>
      </c>
      <c r="B2870" s="21" t="s">
        <v>2860</v>
      </c>
      <c r="C2870" s="21" t="s">
        <v>5691</v>
      </c>
      <c r="D2870" s="21" t="s">
        <v>11</v>
      </c>
      <c r="E2870" s="21" t="s">
        <v>11</v>
      </c>
    </row>
    <row r="2871" spans="1:5" s="21" customFormat="1" ht="15.75" hidden="1" customHeight="1">
      <c r="A2871" s="21">
        <v>620322</v>
      </c>
      <c r="B2871" s="21" t="s">
        <v>2861</v>
      </c>
      <c r="C2871" s="21" t="s">
        <v>5692</v>
      </c>
      <c r="D2871" s="21" t="s">
        <v>11</v>
      </c>
      <c r="E2871" s="21" t="s">
        <v>11</v>
      </c>
    </row>
    <row r="2872" spans="1:5" s="21" customFormat="1" ht="15.75" hidden="1" customHeight="1">
      <c r="A2872" s="21">
        <v>620323</v>
      </c>
      <c r="B2872" s="21" t="s">
        <v>2862</v>
      </c>
      <c r="C2872" s="21" t="s">
        <v>5692</v>
      </c>
      <c r="D2872" s="21" t="s">
        <v>11</v>
      </c>
      <c r="E2872" s="21" t="s">
        <v>11</v>
      </c>
    </row>
    <row r="2873" spans="1:5" s="21" customFormat="1" ht="15.75" hidden="1" customHeight="1">
      <c r="A2873" s="21">
        <v>620329</v>
      </c>
      <c r="B2873" s="21" t="s">
        <v>2863</v>
      </c>
      <c r="C2873" s="21" t="s">
        <v>5692</v>
      </c>
      <c r="D2873" s="21" t="s">
        <v>11</v>
      </c>
      <c r="E2873" s="21" t="s">
        <v>11</v>
      </c>
    </row>
    <row r="2874" spans="1:5" s="21" customFormat="1" ht="15.75" hidden="1" customHeight="1">
      <c r="A2874" s="21">
        <v>620331</v>
      </c>
      <c r="B2874" s="21" t="s">
        <v>2864</v>
      </c>
      <c r="C2874" s="21" t="s">
        <v>5693</v>
      </c>
      <c r="D2874" s="21" t="s">
        <v>11</v>
      </c>
      <c r="E2874" s="21" t="s">
        <v>11</v>
      </c>
    </row>
    <row r="2875" spans="1:5" s="21" customFormat="1" ht="15.75" hidden="1" customHeight="1">
      <c r="A2875" s="21">
        <v>620332</v>
      </c>
      <c r="B2875" s="21" t="s">
        <v>2865</v>
      </c>
      <c r="C2875" s="21" t="s">
        <v>5693</v>
      </c>
      <c r="D2875" s="21" t="s">
        <v>11</v>
      </c>
      <c r="E2875" s="21" t="s">
        <v>11</v>
      </c>
    </row>
    <row r="2876" spans="1:5" s="21" customFormat="1" ht="15.75" hidden="1" customHeight="1">
      <c r="A2876" s="21">
        <v>620333</v>
      </c>
      <c r="B2876" s="21" t="s">
        <v>2866</v>
      </c>
      <c r="C2876" s="21" t="s">
        <v>5693</v>
      </c>
      <c r="D2876" s="21" t="s">
        <v>11</v>
      </c>
      <c r="E2876" s="21" t="s">
        <v>11</v>
      </c>
    </row>
    <row r="2877" spans="1:5" s="21" customFormat="1" ht="15.75" hidden="1" customHeight="1">
      <c r="A2877" s="21">
        <v>620339</v>
      </c>
      <c r="B2877" s="21" t="s">
        <v>2867</v>
      </c>
      <c r="C2877" s="21" t="s">
        <v>5693</v>
      </c>
      <c r="D2877" s="21" t="s">
        <v>11</v>
      </c>
      <c r="E2877" s="21" t="s">
        <v>11</v>
      </c>
    </row>
    <row r="2878" spans="1:5" s="21" customFormat="1" ht="15.75" hidden="1" customHeight="1">
      <c r="A2878" s="21">
        <v>620341</v>
      </c>
      <c r="B2878" s="21" t="s">
        <v>2868</v>
      </c>
      <c r="C2878" s="21" t="s">
        <v>5694</v>
      </c>
      <c r="D2878" s="21" t="s">
        <v>11</v>
      </c>
      <c r="E2878" s="21" t="s">
        <v>11</v>
      </c>
    </row>
    <row r="2879" spans="1:5" s="21" customFormat="1" ht="15.75" hidden="1" customHeight="1">
      <c r="A2879" s="21">
        <v>620342</v>
      </c>
      <c r="B2879" s="21" t="s">
        <v>2869</v>
      </c>
      <c r="C2879" s="21" t="s">
        <v>5694</v>
      </c>
      <c r="D2879" s="21" t="s">
        <v>11</v>
      </c>
      <c r="E2879" s="21" t="s">
        <v>11</v>
      </c>
    </row>
    <row r="2880" spans="1:5" s="21" customFormat="1" ht="15.75" hidden="1" customHeight="1">
      <c r="A2880" s="21">
        <v>620343</v>
      </c>
      <c r="B2880" s="21" t="s">
        <v>2870</v>
      </c>
      <c r="C2880" s="21" t="s">
        <v>5694</v>
      </c>
      <c r="D2880" s="21" t="s">
        <v>11</v>
      </c>
      <c r="E2880" s="21" t="s">
        <v>11</v>
      </c>
    </row>
    <row r="2881" spans="1:5" s="21" customFormat="1" ht="15.75" hidden="1" customHeight="1">
      <c r="A2881" s="21">
        <v>620349</v>
      </c>
      <c r="B2881" s="21" t="s">
        <v>2871</v>
      </c>
      <c r="C2881" s="21" t="s">
        <v>5694</v>
      </c>
      <c r="D2881" s="21" t="s">
        <v>11</v>
      </c>
      <c r="E2881" s="21" t="s">
        <v>11</v>
      </c>
    </row>
    <row r="2882" spans="1:5" s="21" customFormat="1" ht="15.75" hidden="1" customHeight="1">
      <c r="A2882" s="21">
        <v>620411</v>
      </c>
      <c r="B2882" s="21" t="s">
        <v>2872</v>
      </c>
      <c r="C2882" s="21" t="s">
        <v>5691</v>
      </c>
      <c r="D2882" s="21" t="s">
        <v>11</v>
      </c>
      <c r="E2882" s="21" t="s">
        <v>11</v>
      </c>
    </row>
    <row r="2883" spans="1:5" s="21" customFormat="1" ht="15.75" hidden="1" customHeight="1">
      <c r="A2883" s="21">
        <v>620412</v>
      </c>
      <c r="B2883" s="21" t="s">
        <v>2873</v>
      </c>
      <c r="C2883" s="21" t="s">
        <v>5691</v>
      </c>
      <c r="D2883" s="21" t="s">
        <v>11</v>
      </c>
      <c r="E2883" s="21" t="s">
        <v>11</v>
      </c>
    </row>
    <row r="2884" spans="1:5" s="21" customFormat="1" ht="15.75" hidden="1" customHeight="1">
      <c r="A2884" s="21">
        <v>620413</v>
      </c>
      <c r="B2884" s="21" t="s">
        <v>2874</v>
      </c>
      <c r="C2884" s="21" t="s">
        <v>5691</v>
      </c>
      <c r="D2884" s="21" t="s">
        <v>11</v>
      </c>
      <c r="E2884" s="21" t="s">
        <v>11</v>
      </c>
    </row>
    <row r="2885" spans="1:5" s="21" customFormat="1" ht="15.75" hidden="1" customHeight="1">
      <c r="A2885" s="21">
        <v>620419</v>
      </c>
      <c r="B2885" s="21" t="s">
        <v>2875</v>
      </c>
      <c r="C2885" s="21" t="s">
        <v>5691</v>
      </c>
      <c r="D2885" s="21" t="s">
        <v>11</v>
      </c>
      <c r="E2885" s="21" t="s">
        <v>11</v>
      </c>
    </row>
    <row r="2886" spans="1:5" s="21" customFormat="1" ht="15.75" hidden="1" customHeight="1">
      <c r="A2886" s="21">
        <v>620421</v>
      </c>
      <c r="B2886" s="21" t="s">
        <v>2876</v>
      </c>
      <c r="C2886" s="21" t="s">
        <v>5692</v>
      </c>
      <c r="D2886" s="21" t="s">
        <v>11</v>
      </c>
      <c r="E2886" s="21" t="s">
        <v>11</v>
      </c>
    </row>
    <row r="2887" spans="1:5" s="21" customFormat="1" ht="15.75" hidden="1" customHeight="1">
      <c r="A2887" s="21">
        <v>620422</v>
      </c>
      <c r="B2887" s="21" t="s">
        <v>2877</v>
      </c>
      <c r="C2887" s="21" t="s">
        <v>5692</v>
      </c>
      <c r="D2887" s="21" t="s">
        <v>11</v>
      </c>
      <c r="E2887" s="21" t="s">
        <v>11</v>
      </c>
    </row>
    <row r="2888" spans="1:5" s="21" customFormat="1" ht="15.75" hidden="1" customHeight="1">
      <c r="A2888" s="21">
        <v>620423</v>
      </c>
      <c r="B2888" s="21" t="s">
        <v>2878</v>
      </c>
      <c r="C2888" s="21" t="s">
        <v>5692</v>
      </c>
      <c r="D2888" s="21" t="s">
        <v>11</v>
      </c>
      <c r="E2888" s="21" t="s">
        <v>11</v>
      </c>
    </row>
    <row r="2889" spans="1:5" s="21" customFormat="1" ht="15.75" hidden="1" customHeight="1">
      <c r="A2889" s="21">
        <v>620429</v>
      </c>
      <c r="B2889" s="21" t="s">
        <v>2879</v>
      </c>
      <c r="C2889" s="21" t="s">
        <v>5692</v>
      </c>
      <c r="D2889" s="21" t="s">
        <v>11</v>
      </c>
      <c r="E2889" s="21" t="s">
        <v>11</v>
      </c>
    </row>
    <row r="2890" spans="1:5" s="21" customFormat="1" ht="15.75" hidden="1" customHeight="1">
      <c r="A2890" s="21">
        <v>620431</v>
      </c>
      <c r="B2890" s="21" t="s">
        <v>2880</v>
      </c>
      <c r="C2890" s="21" t="s">
        <v>5693</v>
      </c>
      <c r="D2890" s="21" t="s">
        <v>11</v>
      </c>
      <c r="E2890" s="21" t="s">
        <v>11</v>
      </c>
    </row>
    <row r="2891" spans="1:5" s="21" customFormat="1" ht="15.75" hidden="1" customHeight="1">
      <c r="A2891" s="21">
        <v>620432</v>
      </c>
      <c r="B2891" s="21" t="s">
        <v>2881</v>
      </c>
      <c r="C2891" s="21" t="s">
        <v>5693</v>
      </c>
      <c r="D2891" s="21" t="s">
        <v>11</v>
      </c>
      <c r="E2891" s="21" t="s">
        <v>11</v>
      </c>
    </row>
    <row r="2892" spans="1:5" s="21" customFormat="1" ht="15.75" hidden="1" customHeight="1">
      <c r="A2892" s="21">
        <v>620433</v>
      </c>
      <c r="B2892" s="21" t="s">
        <v>2882</v>
      </c>
      <c r="C2892" s="21" t="s">
        <v>5693</v>
      </c>
      <c r="D2892" s="21" t="s">
        <v>11</v>
      </c>
      <c r="E2892" s="21" t="s">
        <v>11</v>
      </c>
    </row>
    <row r="2893" spans="1:5" s="21" customFormat="1" ht="15.75" hidden="1" customHeight="1">
      <c r="A2893" s="21">
        <v>620439</v>
      </c>
      <c r="B2893" s="21" t="s">
        <v>2883</v>
      </c>
      <c r="C2893" s="21" t="s">
        <v>5693</v>
      </c>
      <c r="D2893" s="21" t="s">
        <v>11</v>
      </c>
      <c r="E2893" s="21" t="s">
        <v>11</v>
      </c>
    </row>
    <row r="2894" spans="1:5" s="21" customFormat="1" ht="15.75" hidden="1" customHeight="1">
      <c r="A2894" s="21">
        <v>620441</v>
      </c>
      <c r="B2894" s="21" t="s">
        <v>2884</v>
      </c>
      <c r="C2894" s="21" t="s">
        <v>5696</v>
      </c>
      <c r="D2894" s="21" t="s">
        <v>11</v>
      </c>
      <c r="E2894" s="21" t="s">
        <v>11</v>
      </c>
    </row>
    <row r="2895" spans="1:5" s="21" customFormat="1" ht="15.75" hidden="1" customHeight="1">
      <c r="A2895" s="21">
        <v>620442</v>
      </c>
      <c r="B2895" s="21" t="s">
        <v>2885</v>
      </c>
      <c r="C2895" s="21" t="s">
        <v>5696</v>
      </c>
      <c r="D2895" s="21" t="s">
        <v>11</v>
      </c>
      <c r="E2895" s="21" t="s">
        <v>11</v>
      </c>
    </row>
    <row r="2896" spans="1:5" s="21" customFormat="1" ht="15.75" hidden="1" customHeight="1">
      <c r="A2896" s="21">
        <v>620443</v>
      </c>
      <c r="B2896" s="21" t="s">
        <v>2886</v>
      </c>
      <c r="C2896" s="21" t="s">
        <v>5696</v>
      </c>
      <c r="D2896" s="21" t="s">
        <v>11</v>
      </c>
      <c r="E2896" s="21" t="s">
        <v>11</v>
      </c>
    </row>
    <row r="2897" spans="1:5" s="21" customFormat="1" ht="15.75" hidden="1" customHeight="1">
      <c r="A2897" s="21">
        <v>620444</v>
      </c>
      <c r="B2897" s="21" t="s">
        <v>2887</v>
      </c>
      <c r="C2897" s="21" t="s">
        <v>5696</v>
      </c>
      <c r="D2897" s="21" t="s">
        <v>11</v>
      </c>
      <c r="E2897" s="21" t="s">
        <v>11</v>
      </c>
    </row>
    <row r="2898" spans="1:5" s="21" customFormat="1" ht="15.75" hidden="1" customHeight="1">
      <c r="A2898" s="21">
        <v>620449</v>
      </c>
      <c r="B2898" s="21" t="s">
        <v>2888</v>
      </c>
      <c r="C2898" s="21" t="s">
        <v>5696</v>
      </c>
      <c r="D2898" s="21" t="s">
        <v>11</v>
      </c>
      <c r="E2898" s="21" t="s">
        <v>11</v>
      </c>
    </row>
    <row r="2899" spans="1:5" s="21" customFormat="1" ht="15.75" hidden="1" customHeight="1">
      <c r="A2899" s="21">
        <v>620451</v>
      </c>
      <c r="B2899" s="21" t="s">
        <v>2889</v>
      </c>
      <c r="C2899" s="21" t="s">
        <v>5697</v>
      </c>
      <c r="D2899" s="21" t="s">
        <v>11</v>
      </c>
      <c r="E2899" s="21" t="s">
        <v>11</v>
      </c>
    </row>
    <row r="2900" spans="1:5" s="21" customFormat="1" ht="15.75" hidden="1" customHeight="1">
      <c r="A2900" s="21">
        <v>620452</v>
      </c>
      <c r="B2900" s="21" t="s">
        <v>2890</v>
      </c>
      <c r="C2900" s="21" t="s">
        <v>5697</v>
      </c>
      <c r="D2900" s="21" t="s">
        <v>11</v>
      </c>
      <c r="E2900" s="21" t="s">
        <v>11</v>
      </c>
    </row>
    <row r="2901" spans="1:5" s="21" customFormat="1" ht="15.75" hidden="1" customHeight="1">
      <c r="A2901" s="21">
        <v>620453</v>
      </c>
      <c r="B2901" s="21" t="s">
        <v>2891</v>
      </c>
      <c r="C2901" s="21" t="s">
        <v>5697</v>
      </c>
      <c r="D2901" s="21" t="s">
        <v>11</v>
      </c>
      <c r="E2901" s="21" t="s">
        <v>11</v>
      </c>
    </row>
    <row r="2902" spans="1:5" s="21" customFormat="1" ht="15.75" hidden="1" customHeight="1">
      <c r="A2902" s="21">
        <v>620459</v>
      </c>
      <c r="B2902" s="21" t="s">
        <v>2892</v>
      </c>
      <c r="C2902" s="21" t="s">
        <v>5697</v>
      </c>
      <c r="D2902" s="21" t="s">
        <v>11</v>
      </c>
      <c r="E2902" s="21" t="s">
        <v>11</v>
      </c>
    </row>
    <row r="2903" spans="1:5" s="21" customFormat="1" ht="15.75" hidden="1" customHeight="1">
      <c r="A2903" s="21">
        <v>620461</v>
      </c>
      <c r="B2903" s="21" t="s">
        <v>2893</v>
      </c>
      <c r="C2903" s="21" t="s">
        <v>5694</v>
      </c>
      <c r="D2903" s="21" t="s">
        <v>11</v>
      </c>
      <c r="E2903" s="21" t="s">
        <v>11</v>
      </c>
    </row>
    <row r="2904" spans="1:5" s="21" customFormat="1" ht="15.75" hidden="1" customHeight="1">
      <c r="A2904" s="21">
        <v>620462</v>
      </c>
      <c r="B2904" s="21" t="s">
        <v>2894</v>
      </c>
      <c r="C2904" s="21" t="s">
        <v>5694</v>
      </c>
      <c r="D2904" s="21" t="s">
        <v>11</v>
      </c>
      <c r="E2904" s="21" t="s">
        <v>11</v>
      </c>
    </row>
    <row r="2905" spans="1:5" s="21" customFormat="1" ht="15.75" hidden="1" customHeight="1">
      <c r="A2905" s="21">
        <v>620463</v>
      </c>
      <c r="B2905" s="21" t="s">
        <v>2895</v>
      </c>
      <c r="C2905" s="21" t="s">
        <v>5694</v>
      </c>
      <c r="D2905" s="21" t="s">
        <v>11</v>
      </c>
      <c r="E2905" s="21" t="s">
        <v>11</v>
      </c>
    </row>
    <row r="2906" spans="1:5" s="21" customFormat="1" ht="15.75" hidden="1" customHeight="1">
      <c r="A2906" s="21">
        <v>620469</v>
      </c>
      <c r="B2906" s="21" t="s">
        <v>2896</v>
      </c>
      <c r="C2906" s="21" t="s">
        <v>5694</v>
      </c>
      <c r="D2906" s="21" t="s">
        <v>11</v>
      </c>
      <c r="E2906" s="21" t="s">
        <v>11</v>
      </c>
    </row>
    <row r="2907" spans="1:5" s="21" customFormat="1" ht="15.75" hidden="1" customHeight="1">
      <c r="A2907" s="21">
        <v>620520</v>
      </c>
      <c r="B2907" s="21" t="s">
        <v>2897</v>
      </c>
      <c r="C2907" s="21" t="s">
        <v>5698</v>
      </c>
      <c r="D2907" s="21" t="s">
        <v>11</v>
      </c>
      <c r="E2907" s="21" t="s">
        <v>11</v>
      </c>
    </row>
    <row r="2908" spans="1:5" s="21" customFormat="1" ht="15.75" hidden="1" customHeight="1">
      <c r="A2908" s="21">
        <v>620530</v>
      </c>
      <c r="B2908" s="21" t="s">
        <v>2898</v>
      </c>
      <c r="C2908" s="21" t="s">
        <v>5698</v>
      </c>
      <c r="D2908" s="21" t="s">
        <v>11</v>
      </c>
      <c r="E2908" s="21" t="s">
        <v>11</v>
      </c>
    </row>
    <row r="2909" spans="1:5" s="21" customFormat="1" ht="15.75" hidden="1" customHeight="1">
      <c r="A2909" s="21">
        <v>620590</v>
      </c>
      <c r="B2909" s="21" t="s">
        <v>2899</v>
      </c>
      <c r="C2909" s="21" t="s">
        <v>5698</v>
      </c>
      <c r="D2909" s="21" t="s">
        <v>11</v>
      </c>
      <c r="E2909" s="21" t="s">
        <v>11</v>
      </c>
    </row>
    <row r="2910" spans="1:5" s="21" customFormat="1" ht="15.75" hidden="1" customHeight="1">
      <c r="A2910" s="21">
        <v>620610</v>
      </c>
      <c r="B2910" s="21" t="s">
        <v>2900</v>
      </c>
      <c r="C2910" s="21" t="s">
        <v>5699</v>
      </c>
      <c r="D2910" s="21" t="s">
        <v>11</v>
      </c>
      <c r="E2910" s="21" t="s">
        <v>11</v>
      </c>
    </row>
    <row r="2911" spans="1:5" s="21" customFormat="1" ht="15.75" hidden="1" customHeight="1">
      <c r="A2911" s="21">
        <v>620620</v>
      </c>
      <c r="B2911" s="21" t="s">
        <v>2901</v>
      </c>
      <c r="C2911" s="21" t="s">
        <v>5699</v>
      </c>
      <c r="D2911" s="21" t="s">
        <v>11</v>
      </c>
      <c r="E2911" s="21" t="s">
        <v>11</v>
      </c>
    </row>
    <row r="2912" spans="1:5" s="21" customFormat="1" ht="15.75" hidden="1" customHeight="1">
      <c r="A2912" s="21">
        <v>620630</v>
      </c>
      <c r="B2912" s="21" t="s">
        <v>2902</v>
      </c>
      <c r="C2912" s="21" t="s">
        <v>5699</v>
      </c>
      <c r="D2912" s="21" t="s">
        <v>11</v>
      </c>
      <c r="E2912" s="21" t="s">
        <v>11</v>
      </c>
    </row>
    <row r="2913" spans="1:5" s="21" customFormat="1" ht="15.75" hidden="1" customHeight="1">
      <c r="A2913" s="21">
        <v>620640</v>
      </c>
      <c r="B2913" s="21" t="s">
        <v>2903</v>
      </c>
      <c r="C2913" s="21" t="s">
        <v>5699</v>
      </c>
      <c r="D2913" s="21" t="s">
        <v>11</v>
      </c>
      <c r="E2913" s="21" t="s">
        <v>11</v>
      </c>
    </row>
    <row r="2914" spans="1:5" s="21" customFormat="1" ht="15.75" hidden="1" customHeight="1">
      <c r="A2914" s="21">
        <v>620690</v>
      </c>
      <c r="B2914" s="21" t="s">
        <v>2904</v>
      </c>
      <c r="C2914" s="21" t="s">
        <v>5699</v>
      </c>
      <c r="D2914" s="21" t="s">
        <v>11</v>
      </c>
      <c r="E2914" s="21" t="s">
        <v>11</v>
      </c>
    </row>
    <row r="2915" spans="1:5" s="21" customFormat="1" ht="15.75" hidden="1" customHeight="1">
      <c r="A2915" s="21">
        <v>620711</v>
      </c>
      <c r="B2915" s="21" t="s">
        <v>2905</v>
      </c>
      <c r="C2915" s="21" t="s">
        <v>5700</v>
      </c>
      <c r="D2915" s="21" t="s">
        <v>11</v>
      </c>
      <c r="E2915" s="21" t="s">
        <v>11</v>
      </c>
    </row>
    <row r="2916" spans="1:5" s="21" customFormat="1" ht="15.75" hidden="1" customHeight="1">
      <c r="A2916" s="21">
        <v>620719</v>
      </c>
      <c r="B2916" s="21" t="s">
        <v>2906</v>
      </c>
      <c r="C2916" s="21" t="s">
        <v>5700</v>
      </c>
      <c r="D2916" s="21" t="s">
        <v>11</v>
      </c>
      <c r="E2916" s="21" t="s">
        <v>11</v>
      </c>
    </row>
    <row r="2917" spans="1:5" s="21" customFormat="1" ht="15.75" hidden="1" customHeight="1">
      <c r="A2917" s="21">
        <v>620721</v>
      </c>
      <c r="B2917" s="21" t="s">
        <v>2907</v>
      </c>
      <c r="C2917" s="21" t="s">
        <v>5701</v>
      </c>
      <c r="D2917" s="21" t="s">
        <v>11</v>
      </c>
      <c r="E2917" s="21" t="s">
        <v>11</v>
      </c>
    </row>
    <row r="2918" spans="1:5" s="21" customFormat="1" ht="15.75" hidden="1" customHeight="1">
      <c r="A2918" s="21">
        <v>620722</v>
      </c>
      <c r="B2918" s="21" t="s">
        <v>2908</v>
      </c>
      <c r="C2918" s="21" t="s">
        <v>5701</v>
      </c>
      <c r="D2918" s="21" t="s">
        <v>11</v>
      </c>
      <c r="E2918" s="21" t="s">
        <v>11</v>
      </c>
    </row>
    <row r="2919" spans="1:5" s="21" customFormat="1" ht="15.75" hidden="1" customHeight="1">
      <c r="A2919" s="21">
        <v>620729</v>
      </c>
      <c r="B2919" s="21" t="s">
        <v>2909</v>
      </c>
      <c r="C2919" s="21" t="s">
        <v>5701</v>
      </c>
      <c r="D2919" s="21" t="s">
        <v>11</v>
      </c>
      <c r="E2919" s="21" t="s">
        <v>11</v>
      </c>
    </row>
    <row r="2920" spans="1:5" s="21" customFormat="1" ht="15.75" hidden="1" customHeight="1">
      <c r="A2920" s="21">
        <v>620791</v>
      </c>
      <c r="B2920" s="21" t="s">
        <v>2910</v>
      </c>
      <c r="C2920" s="21" t="s">
        <v>5720</v>
      </c>
      <c r="D2920" s="21" t="s">
        <v>11</v>
      </c>
      <c r="E2920" s="21" t="s">
        <v>11</v>
      </c>
    </row>
    <row r="2921" spans="1:5" s="21" customFormat="1" ht="15.75" hidden="1" customHeight="1">
      <c r="A2921" s="21">
        <v>620799</v>
      </c>
      <c r="B2921" s="21" t="s">
        <v>2911</v>
      </c>
      <c r="C2921" s="21" t="s">
        <v>5720</v>
      </c>
      <c r="D2921" s="21" t="s">
        <v>11</v>
      </c>
      <c r="E2921" s="21" t="s">
        <v>11</v>
      </c>
    </row>
    <row r="2922" spans="1:5" s="21" customFormat="1" ht="15.75" hidden="1" customHeight="1">
      <c r="A2922" s="21">
        <v>620811</v>
      </c>
      <c r="B2922" s="21" t="s">
        <v>2912</v>
      </c>
      <c r="C2922" s="21" t="s">
        <v>5703</v>
      </c>
      <c r="D2922" s="21" t="s">
        <v>11</v>
      </c>
      <c r="E2922" s="21" t="s">
        <v>11</v>
      </c>
    </row>
    <row r="2923" spans="1:5" s="21" customFormat="1" ht="15.75" hidden="1" customHeight="1">
      <c r="A2923" s="21">
        <v>620819</v>
      </c>
      <c r="B2923" s="21" t="s">
        <v>2913</v>
      </c>
      <c r="C2923" s="21" t="s">
        <v>5703</v>
      </c>
      <c r="D2923" s="21" t="s">
        <v>11</v>
      </c>
      <c r="E2923" s="21" t="s">
        <v>11</v>
      </c>
    </row>
    <row r="2924" spans="1:5" s="21" customFormat="1" ht="15.75" hidden="1" customHeight="1">
      <c r="A2924" s="21">
        <v>620821</v>
      </c>
      <c r="B2924" s="21" t="s">
        <v>2914</v>
      </c>
      <c r="C2924" s="21" t="s">
        <v>5705</v>
      </c>
      <c r="D2924" s="21" t="s">
        <v>11</v>
      </c>
      <c r="E2924" s="21" t="s">
        <v>11</v>
      </c>
    </row>
    <row r="2925" spans="1:5" s="21" customFormat="1" ht="15.75" hidden="1" customHeight="1">
      <c r="A2925" s="21">
        <v>620822</v>
      </c>
      <c r="B2925" s="21" t="s">
        <v>2915</v>
      </c>
      <c r="C2925" s="21" t="s">
        <v>5705</v>
      </c>
      <c r="D2925" s="21" t="s">
        <v>11</v>
      </c>
      <c r="E2925" s="21" t="s">
        <v>11</v>
      </c>
    </row>
    <row r="2926" spans="1:5" s="21" customFormat="1" ht="15.75" hidden="1" customHeight="1">
      <c r="A2926" s="21">
        <v>620829</v>
      </c>
      <c r="B2926" s="21" t="s">
        <v>2916</v>
      </c>
      <c r="C2926" s="21" t="s">
        <v>5705</v>
      </c>
      <c r="D2926" s="21" t="s">
        <v>11</v>
      </c>
      <c r="E2926" s="21" t="s">
        <v>11</v>
      </c>
    </row>
    <row r="2927" spans="1:5" s="21" customFormat="1" ht="15.75" hidden="1" customHeight="1">
      <c r="A2927" s="21">
        <v>620891</v>
      </c>
      <c r="B2927" s="21" t="s">
        <v>2917</v>
      </c>
      <c r="C2927" s="21" t="s">
        <v>5721</v>
      </c>
      <c r="D2927" s="21" t="s">
        <v>11</v>
      </c>
      <c r="E2927" s="21" t="s">
        <v>11</v>
      </c>
    </row>
    <row r="2928" spans="1:5" s="21" customFormat="1" ht="15.75" hidden="1" customHeight="1">
      <c r="A2928" s="21">
        <v>620892</v>
      </c>
      <c r="B2928" s="21" t="s">
        <v>2918</v>
      </c>
      <c r="C2928" s="21" t="s">
        <v>5721</v>
      </c>
      <c r="D2928" s="21" t="s">
        <v>11</v>
      </c>
      <c r="E2928" s="21" t="s">
        <v>11</v>
      </c>
    </row>
    <row r="2929" spans="1:5" s="21" customFormat="1" ht="15.75" hidden="1" customHeight="1">
      <c r="A2929" s="21">
        <v>620899</v>
      </c>
      <c r="B2929" s="21" t="s">
        <v>2919</v>
      </c>
      <c r="C2929" s="21" t="s">
        <v>5721</v>
      </c>
      <c r="D2929" s="21" t="s">
        <v>11</v>
      </c>
      <c r="E2929" s="21" t="s">
        <v>11</v>
      </c>
    </row>
    <row r="2930" spans="1:5" s="21" customFormat="1" ht="15.75" hidden="1" customHeight="1">
      <c r="A2930" s="21">
        <v>620920</v>
      </c>
      <c r="B2930" s="21" t="s">
        <v>2920</v>
      </c>
      <c r="C2930" s="21" t="s">
        <v>5709</v>
      </c>
      <c r="D2930" s="21" t="s">
        <v>11</v>
      </c>
      <c r="E2930" s="21" t="s">
        <v>11</v>
      </c>
    </row>
    <row r="2931" spans="1:5" s="21" customFormat="1" ht="15.75" hidden="1" customHeight="1">
      <c r="A2931" s="21">
        <v>620930</v>
      </c>
      <c r="B2931" s="21" t="s">
        <v>2921</v>
      </c>
      <c r="C2931" s="21" t="s">
        <v>5709</v>
      </c>
      <c r="D2931" s="21" t="s">
        <v>11</v>
      </c>
      <c r="E2931" s="21" t="s">
        <v>11</v>
      </c>
    </row>
    <row r="2932" spans="1:5" s="21" customFormat="1" ht="15.75" hidden="1" customHeight="1">
      <c r="A2932" s="21">
        <v>620990</v>
      </c>
      <c r="B2932" s="21" t="s">
        <v>2922</v>
      </c>
      <c r="C2932" s="21" t="s">
        <v>5709</v>
      </c>
      <c r="D2932" s="21" t="s">
        <v>11</v>
      </c>
      <c r="E2932" s="21" t="s">
        <v>11</v>
      </c>
    </row>
    <row r="2933" spans="1:5" s="21" customFormat="1" ht="15.75" hidden="1" customHeight="1">
      <c r="A2933" s="21">
        <v>621010</v>
      </c>
      <c r="B2933" s="21" t="s">
        <v>2923</v>
      </c>
      <c r="C2933" s="21" t="s">
        <v>5713</v>
      </c>
      <c r="D2933" s="21" t="s">
        <v>11</v>
      </c>
      <c r="E2933" s="21" t="s">
        <v>11</v>
      </c>
    </row>
    <row r="2934" spans="1:5" s="21" customFormat="1" ht="15.75" hidden="1" customHeight="1">
      <c r="A2934" s="21">
        <v>621020</v>
      </c>
      <c r="B2934" s="21" t="s">
        <v>2924</v>
      </c>
      <c r="C2934" s="21" t="s">
        <v>5713</v>
      </c>
      <c r="D2934" s="21" t="s">
        <v>11</v>
      </c>
      <c r="E2934" s="21" t="s">
        <v>11</v>
      </c>
    </row>
    <row r="2935" spans="1:5" s="21" customFormat="1" ht="15.75" hidden="1" customHeight="1">
      <c r="A2935" s="21">
        <v>621030</v>
      </c>
      <c r="B2935" s="21" t="s">
        <v>2925</v>
      </c>
      <c r="C2935" s="21" t="s">
        <v>5713</v>
      </c>
      <c r="D2935" s="21" t="s">
        <v>11</v>
      </c>
      <c r="E2935" s="21" t="s">
        <v>11</v>
      </c>
    </row>
    <row r="2936" spans="1:5" s="21" customFormat="1" ht="15.75" hidden="1" customHeight="1">
      <c r="A2936" s="21">
        <v>621040</v>
      </c>
      <c r="B2936" s="21" t="s">
        <v>2926</v>
      </c>
      <c r="C2936" s="21" t="s">
        <v>5713</v>
      </c>
      <c r="D2936" s="21" t="s">
        <v>11</v>
      </c>
      <c r="E2936" s="21" t="s">
        <v>11</v>
      </c>
    </row>
    <row r="2937" spans="1:5" s="21" customFormat="1" ht="15.75" hidden="1" customHeight="1">
      <c r="A2937" s="21">
        <v>621050</v>
      </c>
      <c r="B2937" s="21" t="s">
        <v>2927</v>
      </c>
      <c r="C2937" s="21" t="s">
        <v>5713</v>
      </c>
      <c r="D2937" s="21" t="s">
        <v>11</v>
      </c>
      <c r="E2937" s="21" t="s">
        <v>11</v>
      </c>
    </row>
    <row r="2938" spans="1:5" s="21" customFormat="1" ht="15.75" hidden="1" customHeight="1">
      <c r="A2938" s="21">
        <v>621111</v>
      </c>
      <c r="B2938" s="21" t="s">
        <v>2928</v>
      </c>
      <c r="C2938" s="21" t="s">
        <v>5712</v>
      </c>
      <c r="D2938" s="21" t="s">
        <v>11</v>
      </c>
      <c r="E2938" s="21" t="s">
        <v>11</v>
      </c>
    </row>
    <row r="2939" spans="1:5" s="21" customFormat="1" ht="15.75" hidden="1" customHeight="1">
      <c r="A2939" s="21">
        <v>621112</v>
      </c>
      <c r="B2939" s="21" t="s">
        <v>2929</v>
      </c>
      <c r="C2939" s="21" t="s">
        <v>5712</v>
      </c>
      <c r="D2939" s="21" t="s">
        <v>11</v>
      </c>
      <c r="E2939" s="21" t="s">
        <v>11</v>
      </c>
    </row>
    <row r="2940" spans="1:5" s="21" customFormat="1" ht="15.75" hidden="1" customHeight="1">
      <c r="A2940" s="21">
        <v>621120</v>
      </c>
      <c r="B2940" s="21" t="s">
        <v>2930</v>
      </c>
      <c r="C2940" s="21" t="s">
        <v>5711</v>
      </c>
      <c r="D2940" s="21" t="s">
        <v>11</v>
      </c>
      <c r="E2940" s="21" t="s">
        <v>11</v>
      </c>
    </row>
    <row r="2941" spans="1:5" s="21" customFormat="1" ht="15.75" hidden="1" customHeight="1">
      <c r="A2941" s="21">
        <v>621132</v>
      </c>
      <c r="B2941" s="21" t="s">
        <v>2931</v>
      </c>
      <c r="C2941" s="21" t="s">
        <v>5722</v>
      </c>
      <c r="D2941" s="21" t="s">
        <v>11</v>
      </c>
      <c r="E2941" s="21" t="s">
        <v>11</v>
      </c>
    </row>
    <row r="2942" spans="1:5" s="21" customFormat="1" ht="15.75" hidden="1" customHeight="1">
      <c r="A2942" s="21">
        <v>621133</v>
      </c>
      <c r="B2942" s="21" t="s">
        <v>2932</v>
      </c>
      <c r="C2942" s="21" t="s">
        <v>5722</v>
      </c>
      <c r="D2942" s="21" t="s">
        <v>11</v>
      </c>
      <c r="E2942" s="21" t="s">
        <v>11</v>
      </c>
    </row>
    <row r="2943" spans="1:5" s="21" customFormat="1" ht="15.75" hidden="1" customHeight="1">
      <c r="A2943" s="21">
        <v>621139</v>
      </c>
      <c r="B2943" s="21" t="s">
        <v>2933</v>
      </c>
      <c r="C2943" s="21" t="s">
        <v>5722</v>
      </c>
      <c r="D2943" s="21" t="s">
        <v>11</v>
      </c>
      <c r="E2943" s="21" t="s">
        <v>11</v>
      </c>
    </row>
    <row r="2944" spans="1:5" s="21" customFormat="1" ht="15.75" hidden="1" customHeight="1">
      <c r="A2944" s="21">
        <v>621141</v>
      </c>
      <c r="B2944" s="21" t="s">
        <v>2934</v>
      </c>
      <c r="C2944" s="21" t="s">
        <v>5722</v>
      </c>
      <c r="D2944" s="21" t="s">
        <v>11</v>
      </c>
      <c r="E2944" s="21" t="s">
        <v>11</v>
      </c>
    </row>
    <row r="2945" spans="1:5" s="21" customFormat="1" ht="15.75" hidden="1" customHeight="1">
      <c r="A2945" s="21">
        <v>621142</v>
      </c>
      <c r="B2945" s="21" t="s">
        <v>2935</v>
      </c>
      <c r="C2945" s="21" t="s">
        <v>5722</v>
      </c>
      <c r="D2945" s="21" t="s">
        <v>11</v>
      </c>
      <c r="E2945" s="21" t="s">
        <v>11</v>
      </c>
    </row>
    <row r="2946" spans="1:5" s="21" customFormat="1" ht="15.75" hidden="1" customHeight="1">
      <c r="A2946" s="21">
        <v>621143</v>
      </c>
      <c r="B2946" s="21" t="s">
        <v>2936</v>
      </c>
      <c r="C2946" s="21" t="s">
        <v>5722</v>
      </c>
      <c r="D2946" s="21" t="s">
        <v>11</v>
      </c>
      <c r="E2946" s="21" t="s">
        <v>11</v>
      </c>
    </row>
    <row r="2947" spans="1:5" s="21" customFormat="1" ht="15.75" hidden="1" customHeight="1">
      <c r="A2947" s="21">
        <v>621149</v>
      </c>
      <c r="B2947" s="21" t="s">
        <v>2937</v>
      </c>
      <c r="C2947" s="21" t="s">
        <v>5722</v>
      </c>
      <c r="D2947" s="21" t="s">
        <v>11</v>
      </c>
      <c r="E2947" s="21" t="s">
        <v>11</v>
      </c>
    </row>
    <row r="2948" spans="1:5" s="21" customFormat="1" ht="15.75" hidden="1" customHeight="1">
      <c r="A2948" s="21">
        <v>621210</v>
      </c>
      <c r="B2948" s="21" t="s">
        <v>2938</v>
      </c>
      <c r="C2948" s="21" t="s">
        <v>5723</v>
      </c>
      <c r="D2948" s="21" t="s">
        <v>11</v>
      </c>
      <c r="E2948" s="21" t="s">
        <v>11</v>
      </c>
    </row>
    <row r="2949" spans="1:5" s="21" customFormat="1" ht="15.75" hidden="1" customHeight="1">
      <c r="A2949" s="21">
        <v>621220</v>
      </c>
      <c r="B2949" s="21" t="s">
        <v>2939</v>
      </c>
      <c r="C2949" s="21" t="s">
        <v>5724</v>
      </c>
      <c r="D2949" s="21" t="s">
        <v>11</v>
      </c>
      <c r="E2949" s="21" t="s">
        <v>11</v>
      </c>
    </row>
    <row r="2950" spans="1:5" s="21" customFormat="1" ht="15.75" hidden="1" customHeight="1">
      <c r="A2950" s="21">
        <v>621230</v>
      </c>
      <c r="B2950" s="21" t="s">
        <v>2940</v>
      </c>
      <c r="C2950" s="21" t="s">
        <v>5725</v>
      </c>
      <c r="D2950" s="21" t="s">
        <v>11</v>
      </c>
      <c r="E2950" s="21" t="s">
        <v>11</v>
      </c>
    </row>
    <row r="2951" spans="1:5" s="21" customFormat="1" ht="15.75" hidden="1" customHeight="1">
      <c r="A2951" s="21">
        <v>621290</v>
      </c>
      <c r="B2951" s="21" t="s">
        <v>2941</v>
      </c>
      <c r="C2951" s="21" t="s">
        <v>5726</v>
      </c>
      <c r="D2951" s="21" t="s">
        <v>11</v>
      </c>
      <c r="E2951" s="21" t="s">
        <v>11</v>
      </c>
    </row>
    <row r="2952" spans="1:5" s="21" customFormat="1" ht="15.75" hidden="1" customHeight="1">
      <c r="A2952" s="21">
        <v>621320</v>
      </c>
      <c r="B2952" s="21" t="s">
        <v>2942</v>
      </c>
      <c r="C2952" s="21" t="s">
        <v>5727</v>
      </c>
      <c r="D2952" s="21" t="s">
        <v>11</v>
      </c>
      <c r="E2952" s="21" t="s">
        <v>11</v>
      </c>
    </row>
    <row r="2953" spans="1:5" s="21" customFormat="1" ht="15.75" hidden="1" customHeight="1">
      <c r="A2953" s="21">
        <v>621390</v>
      </c>
      <c r="B2953" s="21" t="s">
        <v>2943</v>
      </c>
      <c r="C2953" s="21" t="s">
        <v>5727</v>
      </c>
      <c r="D2953" s="21" t="s">
        <v>11</v>
      </c>
      <c r="E2953" s="21" t="s">
        <v>11</v>
      </c>
    </row>
    <row r="2954" spans="1:5" s="21" customFormat="1" ht="15.75" hidden="1" customHeight="1">
      <c r="A2954" s="21">
        <v>621410</v>
      </c>
      <c r="B2954" s="21" t="s">
        <v>2944</v>
      </c>
      <c r="C2954" s="21" t="s">
        <v>5717</v>
      </c>
      <c r="D2954" s="21" t="s">
        <v>11</v>
      </c>
      <c r="E2954" s="21" t="s">
        <v>11</v>
      </c>
    </row>
    <row r="2955" spans="1:5" s="21" customFormat="1" ht="15.75" hidden="1" customHeight="1">
      <c r="A2955" s="21">
        <v>621420</v>
      </c>
      <c r="B2955" s="21" t="s">
        <v>2945</v>
      </c>
      <c r="C2955" s="21" t="s">
        <v>5717</v>
      </c>
      <c r="D2955" s="21" t="s">
        <v>11</v>
      </c>
      <c r="E2955" s="21" t="s">
        <v>11</v>
      </c>
    </row>
    <row r="2956" spans="1:5" s="21" customFormat="1" ht="15.75" hidden="1" customHeight="1">
      <c r="A2956" s="21">
        <v>621430</v>
      </c>
      <c r="B2956" s="21" t="s">
        <v>2946</v>
      </c>
      <c r="C2956" s="21" t="s">
        <v>5717</v>
      </c>
      <c r="D2956" s="21" t="s">
        <v>11</v>
      </c>
      <c r="E2956" s="21" t="s">
        <v>11</v>
      </c>
    </row>
    <row r="2957" spans="1:5" s="21" customFormat="1" ht="15.75" hidden="1" customHeight="1">
      <c r="A2957" s="21">
        <v>621440</v>
      </c>
      <c r="B2957" s="21" t="s">
        <v>2947</v>
      </c>
      <c r="C2957" s="21" t="s">
        <v>5717</v>
      </c>
      <c r="D2957" s="21" t="s">
        <v>11</v>
      </c>
      <c r="E2957" s="21" t="s">
        <v>11</v>
      </c>
    </row>
    <row r="2958" spans="1:5" s="21" customFormat="1" ht="15.75" hidden="1" customHeight="1">
      <c r="A2958" s="21">
        <v>621490</v>
      </c>
      <c r="B2958" s="21" t="s">
        <v>2948</v>
      </c>
      <c r="C2958" s="21" t="s">
        <v>5717</v>
      </c>
      <c r="D2958" s="21" t="s">
        <v>11</v>
      </c>
      <c r="E2958" s="21" t="s">
        <v>11</v>
      </c>
    </row>
    <row r="2959" spans="1:5" s="21" customFormat="1" ht="15.75" hidden="1" customHeight="1">
      <c r="A2959" s="21">
        <v>621510</v>
      </c>
      <c r="B2959" s="21" t="s">
        <v>2949</v>
      </c>
      <c r="C2959" s="21" t="s">
        <v>5728</v>
      </c>
      <c r="D2959" s="21" t="s">
        <v>11</v>
      </c>
      <c r="E2959" s="21" t="s">
        <v>11</v>
      </c>
    </row>
    <row r="2960" spans="1:5" s="21" customFormat="1" ht="15.75" hidden="1" customHeight="1">
      <c r="A2960" s="21">
        <v>621520</v>
      </c>
      <c r="B2960" s="21" t="s">
        <v>2950</v>
      </c>
      <c r="C2960" s="21" t="s">
        <v>5728</v>
      </c>
      <c r="D2960" s="21" t="s">
        <v>11</v>
      </c>
      <c r="E2960" s="21" t="s">
        <v>11</v>
      </c>
    </row>
    <row r="2961" spans="1:5" s="21" customFormat="1" ht="15.75" hidden="1" customHeight="1">
      <c r="A2961" s="21">
        <v>621590</v>
      </c>
      <c r="B2961" s="21" t="s">
        <v>2951</v>
      </c>
      <c r="C2961" s="21" t="s">
        <v>5728</v>
      </c>
      <c r="D2961" s="21" t="s">
        <v>11</v>
      </c>
      <c r="E2961" s="21" t="s">
        <v>11</v>
      </c>
    </row>
    <row r="2962" spans="1:5" s="21" customFormat="1" ht="15.75" hidden="1" customHeight="1">
      <c r="A2962" s="21">
        <v>621600</v>
      </c>
      <c r="B2962" s="21" t="s">
        <v>2952</v>
      </c>
      <c r="C2962" s="21" t="s">
        <v>2952</v>
      </c>
      <c r="D2962" s="21" t="s">
        <v>11</v>
      </c>
      <c r="E2962" s="21" t="s">
        <v>11</v>
      </c>
    </row>
    <row r="2963" spans="1:5" s="21" customFormat="1" ht="15.75" hidden="1" customHeight="1">
      <c r="A2963" s="21">
        <v>621710</v>
      </c>
      <c r="B2963" s="21" t="s">
        <v>2953</v>
      </c>
      <c r="C2963" s="21" t="s">
        <v>5600</v>
      </c>
      <c r="D2963" s="21" t="s">
        <v>11</v>
      </c>
      <c r="E2963" s="21" t="s">
        <v>11</v>
      </c>
    </row>
    <row r="2964" spans="1:5" s="21" customFormat="1" ht="15.75" hidden="1" customHeight="1">
      <c r="A2964" s="21">
        <v>621790</v>
      </c>
      <c r="B2964" s="21" t="s">
        <v>2954</v>
      </c>
      <c r="C2964" s="21" t="s">
        <v>5718</v>
      </c>
      <c r="D2964" s="21" t="s">
        <v>11</v>
      </c>
      <c r="E2964" s="21" t="s">
        <v>11</v>
      </c>
    </row>
    <row r="2965" spans="1:5" s="21" customFormat="1" ht="15.75" hidden="1" customHeight="1">
      <c r="A2965" s="21">
        <v>630110</v>
      </c>
      <c r="B2965" s="21" t="s">
        <v>2955</v>
      </c>
      <c r="C2965" s="21" t="s">
        <v>5729</v>
      </c>
      <c r="D2965" s="21" t="s">
        <v>11</v>
      </c>
      <c r="E2965" s="21" t="s">
        <v>11</v>
      </c>
    </row>
    <row r="2966" spans="1:5" s="21" customFormat="1" ht="15.75" hidden="1" customHeight="1">
      <c r="A2966" s="21">
        <v>630120</v>
      </c>
      <c r="B2966" s="21" t="s">
        <v>2956</v>
      </c>
      <c r="C2966" s="21" t="s">
        <v>5730</v>
      </c>
      <c r="D2966" s="21" t="s">
        <v>11</v>
      </c>
      <c r="E2966" s="21" t="s">
        <v>11</v>
      </c>
    </row>
    <row r="2967" spans="1:5" s="21" customFormat="1" ht="15.75" hidden="1" customHeight="1">
      <c r="A2967" s="21">
        <v>630130</v>
      </c>
      <c r="B2967" s="21" t="s">
        <v>2957</v>
      </c>
      <c r="C2967" s="21" t="s">
        <v>5730</v>
      </c>
      <c r="D2967" s="21" t="s">
        <v>11</v>
      </c>
      <c r="E2967" s="21" t="s">
        <v>11</v>
      </c>
    </row>
    <row r="2968" spans="1:5" s="21" customFormat="1" ht="15.75" hidden="1" customHeight="1">
      <c r="A2968" s="21">
        <v>630140</v>
      </c>
      <c r="B2968" s="21" t="s">
        <v>2958</v>
      </c>
      <c r="C2968" s="21" t="s">
        <v>5730</v>
      </c>
      <c r="D2968" s="21" t="s">
        <v>11</v>
      </c>
      <c r="E2968" s="21" t="s">
        <v>11</v>
      </c>
    </row>
    <row r="2969" spans="1:5" s="21" customFormat="1" ht="15.75" hidden="1" customHeight="1">
      <c r="A2969" s="21">
        <v>630190</v>
      </c>
      <c r="B2969" s="21" t="s">
        <v>2959</v>
      </c>
      <c r="C2969" s="21" t="s">
        <v>5731</v>
      </c>
      <c r="D2969" s="21" t="s">
        <v>11</v>
      </c>
      <c r="E2969" s="21" t="s">
        <v>11</v>
      </c>
    </row>
    <row r="2970" spans="1:5" s="21" customFormat="1" ht="15.75" hidden="1" customHeight="1">
      <c r="A2970" s="21">
        <v>630210</v>
      </c>
      <c r="B2970" s="21" t="s">
        <v>2960</v>
      </c>
      <c r="C2970" s="21" t="s">
        <v>5732</v>
      </c>
      <c r="D2970" s="21" t="s">
        <v>11</v>
      </c>
      <c r="E2970" s="21" t="s">
        <v>11</v>
      </c>
    </row>
    <row r="2971" spans="1:5" s="21" customFormat="1" ht="15.75" hidden="1" customHeight="1">
      <c r="A2971" s="21">
        <v>630221</v>
      </c>
      <c r="B2971" s="21" t="s">
        <v>2961</v>
      </c>
      <c r="C2971" s="21" t="s">
        <v>5732</v>
      </c>
      <c r="D2971" s="21" t="s">
        <v>11</v>
      </c>
      <c r="E2971" s="21" t="s">
        <v>11</v>
      </c>
    </row>
    <row r="2972" spans="1:5" s="21" customFormat="1" ht="15.75" hidden="1" customHeight="1">
      <c r="A2972" s="21">
        <v>630222</v>
      </c>
      <c r="B2972" s="21" t="s">
        <v>2962</v>
      </c>
      <c r="C2972" s="21" t="s">
        <v>5732</v>
      </c>
      <c r="D2972" s="21" t="s">
        <v>11</v>
      </c>
      <c r="E2972" s="21" t="s">
        <v>11</v>
      </c>
    </row>
    <row r="2973" spans="1:5" s="21" customFormat="1" ht="15.75" hidden="1" customHeight="1">
      <c r="A2973" s="21">
        <v>630229</v>
      </c>
      <c r="B2973" s="21" t="s">
        <v>2963</v>
      </c>
      <c r="C2973" s="21" t="s">
        <v>5732</v>
      </c>
      <c r="D2973" s="21" t="s">
        <v>11</v>
      </c>
      <c r="E2973" s="21" t="s">
        <v>11</v>
      </c>
    </row>
    <row r="2974" spans="1:5" s="21" customFormat="1" ht="15.75" hidden="1" customHeight="1">
      <c r="A2974" s="21">
        <v>630231</v>
      </c>
      <c r="B2974" s="21" t="s">
        <v>2964</v>
      </c>
      <c r="C2974" s="21" t="s">
        <v>5732</v>
      </c>
      <c r="D2974" s="21" t="s">
        <v>11</v>
      </c>
      <c r="E2974" s="21" t="s">
        <v>11</v>
      </c>
    </row>
    <row r="2975" spans="1:5" s="21" customFormat="1" ht="15.75" hidden="1" customHeight="1">
      <c r="A2975" s="21">
        <v>630232</v>
      </c>
      <c r="B2975" s="21" t="s">
        <v>2965</v>
      </c>
      <c r="C2975" s="21" t="s">
        <v>5732</v>
      </c>
      <c r="D2975" s="21" t="s">
        <v>11</v>
      </c>
      <c r="E2975" s="21" t="s">
        <v>11</v>
      </c>
    </row>
    <row r="2976" spans="1:5" s="21" customFormat="1" ht="15.75" hidden="1" customHeight="1">
      <c r="A2976" s="21">
        <v>630239</v>
      </c>
      <c r="B2976" s="21" t="s">
        <v>2966</v>
      </c>
      <c r="C2976" s="21" t="s">
        <v>5732</v>
      </c>
      <c r="D2976" s="21" t="s">
        <v>11</v>
      </c>
      <c r="E2976" s="21" t="s">
        <v>11</v>
      </c>
    </row>
    <row r="2977" spans="1:5" s="21" customFormat="1" ht="15.75" hidden="1" customHeight="1">
      <c r="A2977" s="21">
        <v>630240</v>
      </c>
      <c r="B2977" s="21" t="s">
        <v>2967</v>
      </c>
      <c r="C2977" s="21" t="s">
        <v>5733</v>
      </c>
      <c r="D2977" s="21" t="s">
        <v>11</v>
      </c>
      <c r="E2977" s="21" t="s">
        <v>11</v>
      </c>
    </row>
    <row r="2978" spans="1:5" s="21" customFormat="1" ht="15.75" hidden="1" customHeight="1">
      <c r="A2978" s="21">
        <v>630251</v>
      </c>
      <c r="B2978" s="21" t="s">
        <v>2968</v>
      </c>
      <c r="C2978" s="21" t="s">
        <v>5733</v>
      </c>
      <c r="D2978" s="21" t="s">
        <v>11</v>
      </c>
      <c r="E2978" s="21" t="s">
        <v>11</v>
      </c>
    </row>
    <row r="2979" spans="1:5" s="21" customFormat="1" ht="15.75" hidden="1" customHeight="1">
      <c r="A2979" s="21">
        <v>630253</v>
      </c>
      <c r="B2979" s="21" t="s">
        <v>2969</v>
      </c>
      <c r="C2979" s="21" t="s">
        <v>5733</v>
      </c>
      <c r="D2979" s="21" t="s">
        <v>11</v>
      </c>
      <c r="E2979" s="21" t="s">
        <v>11</v>
      </c>
    </row>
    <row r="2980" spans="1:5" s="21" customFormat="1" ht="15.75" hidden="1" customHeight="1">
      <c r="A2980" s="21">
        <v>630259</v>
      </c>
      <c r="B2980" s="21" t="s">
        <v>2970</v>
      </c>
      <c r="C2980" s="21" t="s">
        <v>5733</v>
      </c>
      <c r="D2980" s="21" t="s">
        <v>11</v>
      </c>
      <c r="E2980" s="21" t="s">
        <v>11</v>
      </c>
    </row>
    <row r="2981" spans="1:5" s="21" customFormat="1" ht="15.75" hidden="1" customHeight="1">
      <c r="A2981" s="21">
        <v>630260</v>
      </c>
      <c r="B2981" s="21" t="s">
        <v>2971</v>
      </c>
      <c r="C2981" s="21" t="s">
        <v>5734</v>
      </c>
      <c r="D2981" s="21" t="s">
        <v>11</v>
      </c>
      <c r="E2981" s="21" t="s">
        <v>11</v>
      </c>
    </row>
    <row r="2982" spans="1:5" s="21" customFormat="1" ht="15.75" hidden="1" customHeight="1">
      <c r="A2982" s="21">
        <v>630291</v>
      </c>
      <c r="B2982" s="21" t="s">
        <v>2972</v>
      </c>
      <c r="C2982" s="21" t="s">
        <v>5735</v>
      </c>
      <c r="D2982" s="21" t="s">
        <v>11</v>
      </c>
      <c r="E2982" s="21" t="s">
        <v>11</v>
      </c>
    </row>
    <row r="2983" spans="1:5" s="21" customFormat="1" ht="15.75" hidden="1" customHeight="1">
      <c r="A2983" s="21">
        <v>630293</v>
      </c>
      <c r="B2983" s="21" t="s">
        <v>2973</v>
      </c>
      <c r="C2983" s="21" t="s">
        <v>5735</v>
      </c>
      <c r="D2983" s="21" t="s">
        <v>11</v>
      </c>
      <c r="E2983" s="21" t="s">
        <v>11</v>
      </c>
    </row>
    <row r="2984" spans="1:5" s="21" customFormat="1" ht="15.75" hidden="1" customHeight="1">
      <c r="A2984" s="21">
        <v>630299</v>
      </c>
      <c r="B2984" s="21" t="s">
        <v>2974</v>
      </c>
      <c r="C2984" s="21" t="s">
        <v>5735</v>
      </c>
      <c r="D2984" s="21" t="s">
        <v>11</v>
      </c>
      <c r="E2984" s="21" t="s">
        <v>11</v>
      </c>
    </row>
    <row r="2985" spans="1:5" s="21" customFormat="1" ht="15.75" hidden="1" customHeight="1">
      <c r="A2985" s="21">
        <v>630312</v>
      </c>
      <c r="B2985" s="21" t="s">
        <v>2975</v>
      </c>
      <c r="C2985" s="21" t="s">
        <v>5736</v>
      </c>
      <c r="D2985" s="21" t="s">
        <v>11</v>
      </c>
      <c r="E2985" s="21" t="s">
        <v>11</v>
      </c>
    </row>
    <row r="2986" spans="1:5" s="21" customFormat="1" ht="15.75" hidden="1" customHeight="1">
      <c r="A2986" s="21">
        <v>630319</v>
      </c>
      <c r="B2986" s="21" t="s">
        <v>2976</v>
      </c>
      <c r="C2986" s="21" t="s">
        <v>5736</v>
      </c>
      <c r="D2986" s="21" t="s">
        <v>11</v>
      </c>
      <c r="E2986" s="21" t="s">
        <v>11</v>
      </c>
    </row>
    <row r="2987" spans="1:5" s="21" customFormat="1" ht="15.75" hidden="1" customHeight="1">
      <c r="A2987" s="21">
        <v>630391</v>
      </c>
      <c r="B2987" s="21" t="s">
        <v>2977</v>
      </c>
      <c r="C2987" s="21" t="s">
        <v>5737</v>
      </c>
      <c r="D2987" s="21" t="s">
        <v>11</v>
      </c>
      <c r="E2987" s="21" t="s">
        <v>11</v>
      </c>
    </row>
    <row r="2988" spans="1:5" s="21" customFormat="1" ht="15.75" hidden="1" customHeight="1">
      <c r="A2988" s="21">
        <v>630392</v>
      </c>
      <c r="B2988" s="21" t="s">
        <v>2978</v>
      </c>
      <c r="C2988" s="21" t="s">
        <v>5737</v>
      </c>
      <c r="D2988" s="21" t="s">
        <v>11</v>
      </c>
      <c r="E2988" s="21" t="s">
        <v>11</v>
      </c>
    </row>
    <row r="2989" spans="1:5" s="21" customFormat="1" ht="15.75" hidden="1" customHeight="1">
      <c r="A2989" s="21">
        <v>630399</v>
      </c>
      <c r="B2989" s="21" t="s">
        <v>2979</v>
      </c>
      <c r="C2989" s="21" t="s">
        <v>5737</v>
      </c>
      <c r="D2989" s="21" t="s">
        <v>11</v>
      </c>
      <c r="E2989" s="21" t="s">
        <v>11</v>
      </c>
    </row>
    <row r="2990" spans="1:5" s="21" customFormat="1" ht="15.75" hidden="1" customHeight="1">
      <c r="A2990" s="21">
        <v>630411</v>
      </c>
      <c r="B2990" s="21" t="s">
        <v>2980</v>
      </c>
      <c r="C2990" s="21" t="s">
        <v>5738</v>
      </c>
      <c r="D2990" s="21" t="s">
        <v>11</v>
      </c>
      <c r="E2990" s="21" t="s">
        <v>11</v>
      </c>
    </row>
    <row r="2991" spans="1:5" s="21" customFormat="1" ht="15.75" hidden="1" customHeight="1">
      <c r="A2991" s="21">
        <v>630419</v>
      </c>
      <c r="B2991" s="21" t="s">
        <v>2981</v>
      </c>
      <c r="C2991" s="21" t="s">
        <v>5738</v>
      </c>
      <c r="D2991" s="21" t="s">
        <v>11</v>
      </c>
      <c r="E2991" s="21" t="s">
        <v>11</v>
      </c>
    </row>
    <row r="2992" spans="1:5" s="21" customFormat="1" ht="15.75" hidden="1" customHeight="1">
      <c r="A2992" s="21">
        <v>630491</v>
      </c>
      <c r="B2992" s="21" t="s">
        <v>2982</v>
      </c>
      <c r="C2992" s="21" t="s">
        <v>5739</v>
      </c>
      <c r="D2992" s="21" t="s">
        <v>11</v>
      </c>
      <c r="E2992" s="21" t="s">
        <v>11</v>
      </c>
    </row>
    <row r="2993" spans="1:5" s="21" customFormat="1" ht="15.75" hidden="1" customHeight="1">
      <c r="A2993" s="21">
        <v>630492</v>
      </c>
      <c r="B2993" s="21" t="s">
        <v>2983</v>
      </c>
      <c r="C2993" s="21" t="s">
        <v>5739</v>
      </c>
      <c r="D2993" s="21" t="s">
        <v>11</v>
      </c>
      <c r="E2993" s="21" t="s">
        <v>11</v>
      </c>
    </row>
    <row r="2994" spans="1:5" s="21" customFormat="1" ht="15.75" hidden="1" customHeight="1">
      <c r="A2994" s="21">
        <v>630493</v>
      </c>
      <c r="B2994" s="21" t="s">
        <v>2984</v>
      </c>
      <c r="C2994" s="21" t="s">
        <v>5739</v>
      </c>
      <c r="D2994" s="21" t="s">
        <v>11</v>
      </c>
      <c r="E2994" s="21" t="s">
        <v>11</v>
      </c>
    </row>
    <row r="2995" spans="1:5" s="21" customFormat="1" ht="15.75" hidden="1" customHeight="1">
      <c r="A2995" s="21">
        <v>630499</v>
      </c>
      <c r="B2995" s="21" t="s">
        <v>2985</v>
      </c>
      <c r="C2995" s="21" t="s">
        <v>5739</v>
      </c>
      <c r="D2995" s="21" t="s">
        <v>11</v>
      </c>
      <c r="E2995" s="21" t="s">
        <v>11</v>
      </c>
    </row>
    <row r="2996" spans="1:5" s="21" customFormat="1" ht="15.75" hidden="1" customHeight="1">
      <c r="A2996" s="21">
        <v>630510</v>
      </c>
      <c r="B2996" s="21" t="s">
        <v>2986</v>
      </c>
      <c r="C2996" s="21" t="s">
        <v>5740</v>
      </c>
      <c r="D2996" s="21" t="s">
        <v>11</v>
      </c>
      <c r="E2996" s="21" t="s">
        <v>11</v>
      </c>
    </row>
    <row r="2997" spans="1:5" s="21" customFormat="1" ht="15.75" hidden="1" customHeight="1">
      <c r="A2997" s="21">
        <v>630520</v>
      </c>
      <c r="B2997" s="21" t="s">
        <v>2987</v>
      </c>
      <c r="C2997" s="21" t="s">
        <v>5740</v>
      </c>
      <c r="D2997" s="21" t="s">
        <v>11</v>
      </c>
      <c r="E2997" s="21" t="s">
        <v>11</v>
      </c>
    </row>
    <row r="2998" spans="1:5" s="21" customFormat="1" ht="15.75" hidden="1" customHeight="1">
      <c r="A2998" s="21">
        <v>630532</v>
      </c>
      <c r="B2998" s="21" t="s">
        <v>2988</v>
      </c>
      <c r="C2998" s="21" t="s">
        <v>5740</v>
      </c>
      <c r="D2998" s="21" t="s">
        <v>11</v>
      </c>
      <c r="E2998" s="21" t="s">
        <v>11</v>
      </c>
    </row>
    <row r="2999" spans="1:5" s="21" customFormat="1" ht="15.75" hidden="1" customHeight="1">
      <c r="A2999" s="21">
        <v>630533</v>
      </c>
      <c r="B2999" s="21" t="s">
        <v>2989</v>
      </c>
      <c r="C2999" s="21" t="s">
        <v>5740</v>
      </c>
      <c r="D2999" s="21" t="s">
        <v>11</v>
      </c>
      <c r="E2999" s="21" t="s">
        <v>11</v>
      </c>
    </row>
    <row r="3000" spans="1:5" s="21" customFormat="1" ht="15.75" hidden="1" customHeight="1">
      <c r="A3000" s="21">
        <v>630539</v>
      </c>
      <c r="B3000" s="21" t="s">
        <v>2990</v>
      </c>
      <c r="C3000" s="21" t="s">
        <v>5740</v>
      </c>
      <c r="D3000" s="21" t="s">
        <v>11</v>
      </c>
      <c r="E3000" s="21" t="s">
        <v>11</v>
      </c>
    </row>
    <row r="3001" spans="1:5" s="21" customFormat="1" ht="15.75" hidden="1" customHeight="1">
      <c r="A3001" s="21">
        <v>630590</v>
      </c>
      <c r="B3001" s="21" t="s">
        <v>2991</v>
      </c>
      <c r="C3001" s="21" t="s">
        <v>5740</v>
      </c>
      <c r="D3001" s="21" t="s">
        <v>11</v>
      </c>
      <c r="E3001" s="21" t="s">
        <v>11</v>
      </c>
    </row>
    <row r="3002" spans="1:5" s="21" customFormat="1" ht="15.75" hidden="1" customHeight="1">
      <c r="A3002" s="21">
        <v>630612</v>
      </c>
      <c r="B3002" s="21" t="s">
        <v>2992</v>
      </c>
      <c r="C3002" s="21" t="s">
        <v>5741</v>
      </c>
      <c r="D3002" s="21" t="s">
        <v>11</v>
      </c>
      <c r="E3002" s="21" t="s">
        <v>11</v>
      </c>
    </row>
    <row r="3003" spans="1:5" s="21" customFormat="1" ht="15.75" hidden="1" customHeight="1">
      <c r="A3003" s="21">
        <v>630619</v>
      </c>
      <c r="B3003" s="21" t="s">
        <v>2993</v>
      </c>
      <c r="C3003" s="21" t="s">
        <v>5741</v>
      </c>
      <c r="D3003" s="21" t="s">
        <v>11</v>
      </c>
      <c r="E3003" s="21" t="s">
        <v>11</v>
      </c>
    </row>
    <row r="3004" spans="1:5" s="21" customFormat="1" ht="15.75" hidden="1" customHeight="1">
      <c r="A3004" s="21">
        <v>630622</v>
      </c>
      <c r="B3004" s="21" t="s">
        <v>2994</v>
      </c>
      <c r="C3004" s="21" t="s">
        <v>5742</v>
      </c>
      <c r="D3004" s="21" t="s">
        <v>11</v>
      </c>
      <c r="E3004" s="21" t="s">
        <v>11</v>
      </c>
    </row>
    <row r="3005" spans="1:5" s="21" customFormat="1" ht="15.75" hidden="1" customHeight="1">
      <c r="A3005" s="21">
        <v>630629</v>
      </c>
      <c r="B3005" s="21" t="s">
        <v>2995</v>
      </c>
      <c r="C3005" s="21" t="s">
        <v>5742</v>
      </c>
      <c r="D3005" s="21" t="s">
        <v>11</v>
      </c>
      <c r="E3005" s="21" t="s">
        <v>11</v>
      </c>
    </row>
    <row r="3006" spans="1:5" s="21" customFormat="1" ht="15.75" hidden="1" customHeight="1">
      <c r="A3006" s="21">
        <v>630630</v>
      </c>
      <c r="B3006" s="21" t="s">
        <v>2996</v>
      </c>
      <c r="C3006" s="21" t="s">
        <v>5743</v>
      </c>
      <c r="D3006" s="21" t="s">
        <v>11</v>
      </c>
      <c r="E3006" s="21" t="s">
        <v>11</v>
      </c>
    </row>
    <row r="3007" spans="1:5" s="21" customFormat="1" ht="15.75" hidden="1" customHeight="1">
      <c r="A3007" s="21">
        <v>630640</v>
      </c>
      <c r="B3007" s="21" t="s">
        <v>2997</v>
      </c>
      <c r="C3007" s="21" t="s">
        <v>5744</v>
      </c>
      <c r="D3007" s="21" t="s">
        <v>11</v>
      </c>
      <c r="E3007" s="21" t="s">
        <v>11</v>
      </c>
    </row>
    <row r="3008" spans="1:5" s="21" customFormat="1" ht="15.75" hidden="1" customHeight="1">
      <c r="A3008" s="21">
        <v>630691</v>
      </c>
      <c r="B3008" s="21" t="s">
        <v>2998</v>
      </c>
      <c r="C3008" s="21" t="s">
        <v>5745</v>
      </c>
      <c r="D3008" s="21" t="s">
        <v>11</v>
      </c>
      <c r="E3008" s="21" t="s">
        <v>11</v>
      </c>
    </row>
    <row r="3009" spans="1:5" s="21" customFormat="1" ht="15.75" hidden="1" customHeight="1">
      <c r="A3009" s="21">
        <v>630699</v>
      </c>
      <c r="B3009" s="21" t="s">
        <v>2999</v>
      </c>
      <c r="C3009" s="21" t="s">
        <v>5745</v>
      </c>
      <c r="D3009" s="21" t="s">
        <v>11</v>
      </c>
      <c r="E3009" s="21" t="s">
        <v>11</v>
      </c>
    </row>
    <row r="3010" spans="1:5" s="21" customFormat="1" ht="15.75" hidden="1" customHeight="1">
      <c r="A3010" s="21">
        <v>630710</v>
      </c>
      <c r="B3010" s="21" t="s">
        <v>3000</v>
      </c>
      <c r="C3010" s="21" t="s">
        <v>5746</v>
      </c>
      <c r="D3010" s="21" t="s">
        <v>11</v>
      </c>
      <c r="E3010" s="21" t="s">
        <v>11</v>
      </c>
    </row>
    <row r="3011" spans="1:5" s="21" customFormat="1" ht="15.75" hidden="1" customHeight="1">
      <c r="A3011" s="21">
        <v>630720</v>
      </c>
      <c r="B3011" s="21" t="s">
        <v>3001</v>
      </c>
      <c r="C3011" s="21" t="s">
        <v>3001</v>
      </c>
      <c r="D3011" s="21" t="s">
        <v>11</v>
      </c>
      <c r="E3011" s="21" t="s">
        <v>11</v>
      </c>
    </row>
    <row r="3012" spans="1:5" s="21" customFormat="1" ht="15.75" hidden="1" customHeight="1">
      <c r="A3012" s="21">
        <v>630790</v>
      </c>
      <c r="B3012" s="21" t="s">
        <v>3002</v>
      </c>
      <c r="C3012" s="21" t="s">
        <v>5688</v>
      </c>
      <c r="D3012" s="21" t="s">
        <v>11</v>
      </c>
      <c r="E3012" s="21" t="s">
        <v>11</v>
      </c>
    </row>
    <row r="3013" spans="1:5" s="21" customFormat="1" ht="15.75" hidden="1" customHeight="1">
      <c r="A3013" s="21">
        <v>630800</v>
      </c>
      <c r="B3013" s="21" t="s">
        <v>3003</v>
      </c>
      <c r="C3013" s="21" t="s">
        <v>5747</v>
      </c>
      <c r="D3013" s="21" t="s">
        <v>11</v>
      </c>
      <c r="E3013" s="21" t="s">
        <v>11</v>
      </c>
    </row>
    <row r="3014" spans="1:5" s="21" customFormat="1" ht="15.75" hidden="1" customHeight="1">
      <c r="A3014" s="21">
        <v>630900</v>
      </c>
      <c r="B3014" s="21" t="s">
        <v>3004</v>
      </c>
      <c r="C3014" s="21" t="s">
        <v>5718</v>
      </c>
      <c r="D3014" s="21" t="s">
        <v>11</v>
      </c>
      <c r="E3014" s="21" t="s">
        <v>11</v>
      </c>
    </row>
    <row r="3015" spans="1:5" s="21" customFormat="1" ht="15.75" hidden="1" customHeight="1">
      <c r="A3015" s="21">
        <v>631010</v>
      </c>
      <c r="B3015" s="21" t="s">
        <v>3005</v>
      </c>
      <c r="C3015" s="21" t="s">
        <v>5748</v>
      </c>
      <c r="D3015" s="21" t="s">
        <v>11</v>
      </c>
      <c r="E3015" s="21" t="s">
        <v>11</v>
      </c>
    </row>
    <row r="3016" spans="1:5" s="21" customFormat="1" ht="15.75" hidden="1" customHeight="1">
      <c r="A3016" s="21">
        <v>631090</v>
      </c>
      <c r="B3016" s="21" t="s">
        <v>3006</v>
      </c>
      <c r="C3016" s="21" t="s">
        <v>5748</v>
      </c>
      <c r="D3016" s="21" t="s">
        <v>11</v>
      </c>
      <c r="E3016" s="21" t="s">
        <v>11</v>
      </c>
    </row>
    <row r="3017" spans="1:5" s="21" customFormat="1" ht="15.75" hidden="1" customHeight="1">
      <c r="A3017" s="21">
        <v>640110</v>
      </c>
      <c r="B3017" s="21" t="s">
        <v>3007</v>
      </c>
      <c r="C3017" s="21" t="s">
        <v>5749</v>
      </c>
      <c r="D3017" s="21" t="s">
        <v>11</v>
      </c>
      <c r="E3017" s="21" t="s">
        <v>11</v>
      </c>
    </row>
    <row r="3018" spans="1:5" s="21" customFormat="1" ht="15.75" hidden="1" customHeight="1">
      <c r="A3018" s="21">
        <v>640192</v>
      </c>
      <c r="B3018" s="21" t="s">
        <v>3008</v>
      </c>
      <c r="C3018" s="21" t="s">
        <v>5749</v>
      </c>
      <c r="D3018" s="21" t="s">
        <v>11</v>
      </c>
      <c r="E3018" s="21" t="s">
        <v>11</v>
      </c>
    </row>
    <row r="3019" spans="1:5" s="21" customFormat="1" ht="15.75" hidden="1" customHeight="1">
      <c r="A3019" s="21">
        <v>640199</v>
      </c>
      <c r="B3019" s="21" t="s">
        <v>3009</v>
      </c>
      <c r="C3019" s="21" t="s">
        <v>5749</v>
      </c>
      <c r="D3019" s="21" t="s">
        <v>11</v>
      </c>
      <c r="E3019" s="21" t="s">
        <v>11</v>
      </c>
    </row>
    <row r="3020" spans="1:5" s="21" customFormat="1" ht="15.75" hidden="1" customHeight="1">
      <c r="A3020" s="21">
        <v>640212</v>
      </c>
      <c r="B3020" s="21" t="s">
        <v>3010</v>
      </c>
      <c r="C3020" s="21" t="s">
        <v>5750</v>
      </c>
      <c r="D3020" s="21" t="s">
        <v>11</v>
      </c>
      <c r="E3020" s="21" t="s">
        <v>11</v>
      </c>
    </row>
    <row r="3021" spans="1:5" s="21" customFormat="1" ht="15.75" hidden="1" customHeight="1">
      <c r="A3021" s="21">
        <v>640219</v>
      </c>
      <c r="B3021" s="21" t="s">
        <v>3011</v>
      </c>
      <c r="C3021" s="21" t="s">
        <v>5750</v>
      </c>
      <c r="D3021" s="21" t="s">
        <v>11</v>
      </c>
      <c r="E3021" s="21" t="s">
        <v>11</v>
      </c>
    </row>
    <row r="3022" spans="1:5" s="21" customFormat="1" ht="15.75" hidden="1" customHeight="1">
      <c r="A3022" s="21">
        <v>640220</v>
      </c>
      <c r="B3022" s="21" t="s">
        <v>3012</v>
      </c>
      <c r="C3022" s="21" t="s">
        <v>5749</v>
      </c>
      <c r="D3022" s="21" t="s">
        <v>11</v>
      </c>
      <c r="E3022" s="21" t="s">
        <v>11</v>
      </c>
    </row>
    <row r="3023" spans="1:5" s="21" customFormat="1" ht="15.75" hidden="1" customHeight="1">
      <c r="A3023" s="21">
        <v>640291</v>
      </c>
      <c r="B3023" s="21" t="s">
        <v>3013</v>
      </c>
      <c r="C3023" s="21" t="s">
        <v>5749</v>
      </c>
      <c r="D3023" s="21" t="s">
        <v>11</v>
      </c>
      <c r="E3023" s="21" t="s">
        <v>11</v>
      </c>
    </row>
    <row r="3024" spans="1:5" s="21" customFormat="1" ht="15.75" hidden="1" customHeight="1">
      <c r="A3024" s="21">
        <v>640299</v>
      </c>
      <c r="B3024" s="21" t="s">
        <v>3014</v>
      </c>
      <c r="C3024" s="21" t="s">
        <v>5749</v>
      </c>
      <c r="D3024" s="21" t="s">
        <v>11</v>
      </c>
      <c r="E3024" s="21" t="s">
        <v>11</v>
      </c>
    </row>
    <row r="3025" spans="1:5" s="21" customFormat="1" ht="15.75" hidden="1" customHeight="1">
      <c r="A3025" s="21">
        <v>640312</v>
      </c>
      <c r="B3025" s="21" t="s">
        <v>3015</v>
      </c>
      <c r="C3025" s="21" t="s">
        <v>5750</v>
      </c>
      <c r="D3025" s="21" t="s">
        <v>11</v>
      </c>
      <c r="E3025" s="21" t="s">
        <v>11</v>
      </c>
    </row>
    <row r="3026" spans="1:5" s="21" customFormat="1" ht="15.75" hidden="1" customHeight="1">
      <c r="A3026" s="21">
        <v>640319</v>
      </c>
      <c r="B3026" s="21" t="s">
        <v>3016</v>
      </c>
      <c r="C3026" s="21" t="s">
        <v>5750</v>
      </c>
      <c r="D3026" s="21" t="s">
        <v>11</v>
      </c>
      <c r="E3026" s="21" t="s">
        <v>11</v>
      </c>
    </row>
    <row r="3027" spans="1:5" s="21" customFormat="1" ht="15.75" hidden="1" customHeight="1">
      <c r="A3027" s="21">
        <v>640320</v>
      </c>
      <c r="B3027" s="21" t="s">
        <v>3017</v>
      </c>
      <c r="C3027" s="21" t="s">
        <v>5749</v>
      </c>
      <c r="D3027" s="21" t="s">
        <v>11</v>
      </c>
      <c r="E3027" s="21" t="s">
        <v>11</v>
      </c>
    </row>
    <row r="3028" spans="1:5" s="21" customFormat="1" ht="15.75" hidden="1" customHeight="1">
      <c r="A3028" s="21">
        <v>640340</v>
      </c>
      <c r="B3028" s="21" t="s">
        <v>3018</v>
      </c>
      <c r="C3028" s="21" t="s">
        <v>5749</v>
      </c>
      <c r="D3028" s="21" t="s">
        <v>11</v>
      </c>
      <c r="E3028" s="21" t="s">
        <v>11</v>
      </c>
    </row>
    <row r="3029" spans="1:5" s="21" customFormat="1" ht="15.75" hidden="1" customHeight="1">
      <c r="A3029" s="21">
        <v>640351</v>
      </c>
      <c r="B3029" s="21" t="s">
        <v>3019</v>
      </c>
      <c r="C3029" s="21" t="s">
        <v>5749</v>
      </c>
      <c r="D3029" s="21" t="s">
        <v>11</v>
      </c>
      <c r="E3029" s="21" t="s">
        <v>11</v>
      </c>
    </row>
    <row r="3030" spans="1:5" s="21" customFormat="1" ht="15.75" hidden="1" customHeight="1">
      <c r="A3030" s="21">
        <v>640359</v>
      </c>
      <c r="B3030" s="21" t="s">
        <v>3020</v>
      </c>
      <c r="C3030" s="21" t="s">
        <v>5749</v>
      </c>
      <c r="D3030" s="21" t="s">
        <v>11</v>
      </c>
      <c r="E3030" s="21" t="s">
        <v>11</v>
      </c>
    </row>
    <row r="3031" spans="1:5" s="21" customFormat="1" ht="15.75" hidden="1" customHeight="1">
      <c r="A3031" s="21">
        <v>640391</v>
      </c>
      <c r="B3031" s="21" t="s">
        <v>3021</v>
      </c>
      <c r="C3031" s="21" t="s">
        <v>5749</v>
      </c>
      <c r="D3031" s="21" t="s">
        <v>11</v>
      </c>
      <c r="E3031" s="21" t="s">
        <v>11</v>
      </c>
    </row>
    <row r="3032" spans="1:5" s="21" customFormat="1" ht="15.75" hidden="1" customHeight="1">
      <c r="A3032" s="21">
        <v>640399</v>
      </c>
      <c r="B3032" s="21" t="s">
        <v>3022</v>
      </c>
      <c r="C3032" s="21" t="s">
        <v>5749</v>
      </c>
      <c r="D3032" s="21" t="s">
        <v>11</v>
      </c>
      <c r="E3032" s="21" t="s">
        <v>11</v>
      </c>
    </row>
    <row r="3033" spans="1:5" s="21" customFormat="1" ht="15.75" hidden="1" customHeight="1">
      <c r="A3033" s="21">
        <v>640411</v>
      </c>
      <c r="B3033" s="21" t="s">
        <v>3023</v>
      </c>
      <c r="C3033" s="21" t="s">
        <v>5750</v>
      </c>
      <c r="D3033" s="21" t="s">
        <v>11</v>
      </c>
      <c r="E3033" s="21" t="s">
        <v>11</v>
      </c>
    </row>
    <row r="3034" spans="1:5" s="21" customFormat="1" ht="15.75" hidden="1" customHeight="1">
      <c r="A3034" s="21">
        <v>640419</v>
      </c>
      <c r="B3034" s="21" t="s">
        <v>3024</v>
      </c>
      <c r="C3034" s="21" t="s">
        <v>5749</v>
      </c>
      <c r="D3034" s="21" t="s">
        <v>11</v>
      </c>
      <c r="E3034" s="21" t="s">
        <v>11</v>
      </c>
    </row>
    <row r="3035" spans="1:5" s="21" customFormat="1" ht="15.75" hidden="1" customHeight="1">
      <c r="A3035" s="21">
        <v>640420</v>
      </c>
      <c r="B3035" s="21" t="s">
        <v>3025</v>
      </c>
      <c r="C3035" s="21" t="s">
        <v>5749</v>
      </c>
      <c r="D3035" s="21" t="s">
        <v>11</v>
      </c>
      <c r="E3035" s="21" t="s">
        <v>11</v>
      </c>
    </row>
    <row r="3036" spans="1:5" s="21" customFormat="1" ht="15.75" hidden="1" customHeight="1">
      <c r="A3036" s="21">
        <v>640510</v>
      </c>
      <c r="B3036" s="21" t="s">
        <v>3026</v>
      </c>
      <c r="C3036" s="21" t="s">
        <v>5749</v>
      </c>
      <c r="D3036" s="21" t="s">
        <v>11</v>
      </c>
      <c r="E3036" s="21" t="s">
        <v>11</v>
      </c>
    </row>
    <row r="3037" spans="1:5" s="21" customFormat="1" ht="15.75" hidden="1" customHeight="1">
      <c r="A3037" s="21">
        <v>640520</v>
      </c>
      <c r="B3037" s="21" t="s">
        <v>3027</v>
      </c>
      <c r="C3037" s="21" t="s">
        <v>5749</v>
      </c>
      <c r="D3037" s="21" t="s">
        <v>11</v>
      </c>
      <c r="E3037" s="21" t="s">
        <v>11</v>
      </c>
    </row>
    <row r="3038" spans="1:5" s="21" customFormat="1" ht="15.75" hidden="1" customHeight="1">
      <c r="A3038" s="21">
        <v>640590</v>
      </c>
      <c r="B3038" s="21" t="s">
        <v>3028</v>
      </c>
      <c r="C3038" s="21" t="s">
        <v>5749</v>
      </c>
      <c r="D3038" s="21" t="s">
        <v>11</v>
      </c>
      <c r="E3038" s="21" t="s">
        <v>11</v>
      </c>
    </row>
    <row r="3039" spans="1:5" s="21" customFormat="1" ht="15.75" hidden="1" customHeight="1">
      <c r="A3039" s="21">
        <v>640610</v>
      </c>
      <c r="B3039" s="21" t="s">
        <v>3029</v>
      </c>
      <c r="C3039" s="21" t="s">
        <v>5749</v>
      </c>
      <c r="D3039" s="21" t="s">
        <v>11</v>
      </c>
      <c r="E3039" s="21" t="s">
        <v>11</v>
      </c>
    </row>
    <row r="3040" spans="1:5" s="21" customFormat="1" ht="15.75" hidden="1" customHeight="1">
      <c r="A3040" s="21">
        <v>640620</v>
      </c>
      <c r="B3040" s="21" t="s">
        <v>3030</v>
      </c>
      <c r="C3040" s="21" t="s">
        <v>5749</v>
      </c>
      <c r="D3040" s="21" t="s">
        <v>11</v>
      </c>
      <c r="E3040" s="21" t="s">
        <v>11</v>
      </c>
    </row>
    <row r="3041" spans="1:5" s="21" customFormat="1" ht="15.75" hidden="1" customHeight="1">
      <c r="A3041" s="21">
        <v>640691</v>
      </c>
      <c r="B3041" s="21" t="s">
        <v>3031</v>
      </c>
      <c r="C3041" s="21" t="s">
        <v>5749</v>
      </c>
      <c r="D3041" s="21" t="s">
        <v>11</v>
      </c>
      <c r="E3041" s="21" t="s">
        <v>11</v>
      </c>
    </row>
    <row r="3042" spans="1:5" s="21" customFormat="1" ht="15.75" hidden="1" customHeight="1">
      <c r="A3042" s="21">
        <v>640699</v>
      </c>
      <c r="B3042" s="21" t="s">
        <v>3032</v>
      </c>
      <c r="C3042" s="21" t="s">
        <v>5749</v>
      </c>
      <c r="D3042" s="21" t="s">
        <v>11</v>
      </c>
      <c r="E3042" s="21" t="s">
        <v>11</v>
      </c>
    </row>
    <row r="3043" spans="1:5" s="21" customFormat="1" ht="15.75" hidden="1" customHeight="1">
      <c r="A3043" s="21">
        <v>650100</v>
      </c>
      <c r="B3043" s="21" t="s">
        <v>3033</v>
      </c>
      <c r="C3043" s="21" t="s">
        <v>5751</v>
      </c>
      <c r="D3043" s="21" t="s">
        <v>11</v>
      </c>
      <c r="E3043" s="21" t="s">
        <v>11</v>
      </c>
    </row>
    <row r="3044" spans="1:5" s="21" customFormat="1" ht="15.75" hidden="1" customHeight="1">
      <c r="A3044" s="21">
        <v>650200</v>
      </c>
      <c r="B3044" s="21" t="s">
        <v>3034</v>
      </c>
      <c r="C3044" s="21" t="s">
        <v>5752</v>
      </c>
      <c r="D3044" s="21" t="s">
        <v>11</v>
      </c>
      <c r="E3044" s="21" t="s">
        <v>11</v>
      </c>
    </row>
    <row r="3045" spans="1:5" s="21" customFormat="1" ht="15.75" hidden="1" customHeight="1">
      <c r="A3045" s="21">
        <v>650400</v>
      </c>
      <c r="B3045" s="21" t="s">
        <v>3035</v>
      </c>
      <c r="C3045" s="21" t="s">
        <v>5753</v>
      </c>
      <c r="D3045" s="21" t="s">
        <v>11</v>
      </c>
      <c r="E3045" s="21" t="s">
        <v>11</v>
      </c>
    </row>
    <row r="3046" spans="1:5" s="21" customFormat="1" ht="15.75" hidden="1" customHeight="1">
      <c r="A3046" s="21">
        <v>650510</v>
      </c>
      <c r="B3046" s="21" t="s">
        <v>3036</v>
      </c>
      <c r="C3046" s="21" t="s">
        <v>5754</v>
      </c>
      <c r="D3046" s="21" t="s">
        <v>11</v>
      </c>
      <c r="E3046" s="21" t="s">
        <v>11</v>
      </c>
    </row>
    <row r="3047" spans="1:5" s="21" customFormat="1" ht="15.75" hidden="1" customHeight="1">
      <c r="A3047" s="21">
        <v>650590</v>
      </c>
      <c r="B3047" s="21" t="s">
        <v>3037</v>
      </c>
      <c r="C3047" s="21" t="s">
        <v>5753</v>
      </c>
      <c r="D3047" s="21" t="s">
        <v>11</v>
      </c>
      <c r="E3047" s="21" t="s">
        <v>11</v>
      </c>
    </row>
    <row r="3048" spans="1:5" s="21" customFormat="1" ht="15.75" hidden="1" customHeight="1">
      <c r="A3048" s="21">
        <v>650610</v>
      </c>
      <c r="B3048" s="21" t="s">
        <v>3038</v>
      </c>
      <c r="C3048" s="21" t="s">
        <v>5755</v>
      </c>
      <c r="D3048" s="21" t="s">
        <v>11</v>
      </c>
      <c r="E3048" s="21" t="s">
        <v>11</v>
      </c>
    </row>
    <row r="3049" spans="1:5" s="21" customFormat="1" ht="15.75" hidden="1" customHeight="1">
      <c r="A3049" s="21">
        <v>650691</v>
      </c>
      <c r="B3049" s="21" t="s">
        <v>3039</v>
      </c>
      <c r="C3049" s="21" t="s">
        <v>5755</v>
      </c>
      <c r="D3049" s="21" t="s">
        <v>11</v>
      </c>
      <c r="E3049" s="21" t="s">
        <v>11</v>
      </c>
    </row>
    <row r="3050" spans="1:5" s="21" customFormat="1" ht="15.75" hidden="1" customHeight="1">
      <c r="A3050" s="21">
        <v>650699</v>
      </c>
      <c r="B3050" s="21" t="s">
        <v>3040</v>
      </c>
      <c r="C3050" s="21" t="s">
        <v>5755</v>
      </c>
      <c r="D3050" s="21" t="s">
        <v>11</v>
      </c>
      <c r="E3050" s="21" t="s">
        <v>11</v>
      </c>
    </row>
    <row r="3051" spans="1:5" s="21" customFormat="1" ht="15.75" hidden="1" customHeight="1">
      <c r="A3051" s="21">
        <v>650700</v>
      </c>
      <c r="B3051" s="21" t="s">
        <v>3041</v>
      </c>
      <c r="C3051" s="21" t="s">
        <v>5756</v>
      </c>
      <c r="D3051" s="21" t="s">
        <v>11</v>
      </c>
      <c r="E3051" s="21" t="s">
        <v>11</v>
      </c>
    </row>
    <row r="3052" spans="1:5" s="21" customFormat="1" ht="15.75" hidden="1" customHeight="1">
      <c r="A3052" s="21">
        <v>660110</v>
      </c>
      <c r="B3052" s="21" t="s">
        <v>3042</v>
      </c>
      <c r="C3052" s="21" t="s">
        <v>5757</v>
      </c>
      <c r="D3052" s="21" t="s">
        <v>11</v>
      </c>
      <c r="E3052" s="21" t="s">
        <v>11</v>
      </c>
    </row>
    <row r="3053" spans="1:5" s="21" customFormat="1" ht="15.75" hidden="1" customHeight="1">
      <c r="A3053" s="21">
        <v>660191</v>
      </c>
      <c r="B3053" s="21" t="s">
        <v>3043</v>
      </c>
      <c r="C3053" s="21" t="s">
        <v>5757</v>
      </c>
      <c r="D3053" s="21" t="s">
        <v>11</v>
      </c>
      <c r="E3053" s="21" t="s">
        <v>11</v>
      </c>
    </row>
    <row r="3054" spans="1:5" s="21" customFormat="1" ht="15.75" hidden="1" customHeight="1">
      <c r="A3054" s="21">
        <v>660199</v>
      </c>
      <c r="B3054" s="21" t="s">
        <v>3044</v>
      </c>
      <c r="C3054" s="21" t="s">
        <v>5757</v>
      </c>
      <c r="D3054" s="21" t="s">
        <v>11</v>
      </c>
      <c r="E3054" s="21" t="s">
        <v>11</v>
      </c>
    </row>
    <row r="3055" spans="1:5" s="21" customFormat="1" ht="15.75" hidden="1" customHeight="1">
      <c r="A3055" s="21">
        <v>660200</v>
      </c>
      <c r="B3055" s="21" t="s">
        <v>3045</v>
      </c>
      <c r="C3055" s="21" t="s">
        <v>3045</v>
      </c>
      <c r="D3055" s="21" t="s">
        <v>11</v>
      </c>
      <c r="E3055" s="21" t="s">
        <v>11</v>
      </c>
    </row>
    <row r="3056" spans="1:5" s="21" customFormat="1" ht="15.75" hidden="1" customHeight="1">
      <c r="A3056" s="21">
        <v>660320</v>
      </c>
      <c r="B3056" s="21" t="s">
        <v>3046</v>
      </c>
      <c r="C3056" s="21" t="s">
        <v>5758</v>
      </c>
      <c r="D3056" s="21" t="s">
        <v>11</v>
      </c>
      <c r="E3056" s="21" t="s">
        <v>11</v>
      </c>
    </row>
    <row r="3057" spans="1:5" s="21" customFormat="1" ht="15.75" hidden="1" customHeight="1">
      <c r="A3057" s="21">
        <v>660390</v>
      </c>
      <c r="B3057" s="21" t="s">
        <v>3047</v>
      </c>
      <c r="C3057" s="21" t="s">
        <v>5759</v>
      </c>
      <c r="D3057" s="21" t="s">
        <v>11</v>
      </c>
      <c r="E3057" s="21" t="s">
        <v>11</v>
      </c>
    </row>
    <row r="3058" spans="1:5" s="21" customFormat="1" ht="15.75" hidden="1" customHeight="1">
      <c r="A3058" s="21">
        <v>670100</v>
      </c>
      <c r="B3058" s="21" t="s">
        <v>3048</v>
      </c>
      <c r="C3058" s="21" t="s">
        <v>5760</v>
      </c>
      <c r="D3058" s="21" t="s">
        <v>11</v>
      </c>
      <c r="E3058" s="21" t="s">
        <v>11</v>
      </c>
    </row>
    <row r="3059" spans="1:5" s="21" customFormat="1" ht="15.75" hidden="1" customHeight="1">
      <c r="A3059" s="21">
        <v>670210</v>
      </c>
      <c r="B3059" s="21" t="s">
        <v>3049</v>
      </c>
      <c r="C3059" s="21" t="s">
        <v>5761</v>
      </c>
      <c r="D3059" s="21" t="s">
        <v>11</v>
      </c>
      <c r="E3059" s="21" t="s">
        <v>11</v>
      </c>
    </row>
    <row r="3060" spans="1:5" s="21" customFormat="1" ht="15.75" hidden="1" customHeight="1">
      <c r="A3060" s="21">
        <v>670290</v>
      </c>
      <c r="B3060" s="21" t="s">
        <v>3050</v>
      </c>
      <c r="C3060" s="21" t="s">
        <v>5761</v>
      </c>
      <c r="D3060" s="21" t="s">
        <v>11</v>
      </c>
      <c r="E3060" s="21" t="s">
        <v>11</v>
      </c>
    </row>
    <row r="3061" spans="1:5" s="21" customFormat="1" ht="15.75" hidden="1" customHeight="1">
      <c r="A3061" s="21">
        <v>670300</v>
      </c>
      <c r="B3061" s="21" t="s">
        <v>3051</v>
      </c>
      <c r="C3061" s="21" t="s">
        <v>5762</v>
      </c>
      <c r="D3061" s="21" t="s">
        <v>11</v>
      </c>
      <c r="E3061" s="21" t="s">
        <v>11</v>
      </c>
    </row>
    <row r="3062" spans="1:5" s="21" customFormat="1" ht="15.75" hidden="1" customHeight="1">
      <c r="A3062" s="21">
        <v>670411</v>
      </c>
      <c r="B3062" s="21" t="s">
        <v>3052</v>
      </c>
      <c r="C3062" s="21" t="s">
        <v>5763</v>
      </c>
      <c r="D3062" s="21" t="s">
        <v>11</v>
      </c>
      <c r="E3062" s="21" t="s">
        <v>11</v>
      </c>
    </row>
    <row r="3063" spans="1:5" s="21" customFormat="1" ht="15.75" hidden="1" customHeight="1">
      <c r="A3063" s="21">
        <v>670419</v>
      </c>
      <c r="B3063" s="21" t="s">
        <v>3053</v>
      </c>
      <c r="C3063" s="21" t="s">
        <v>5764</v>
      </c>
      <c r="D3063" s="21" t="s">
        <v>11</v>
      </c>
      <c r="E3063" s="21" t="s">
        <v>11</v>
      </c>
    </row>
    <row r="3064" spans="1:5" s="21" customFormat="1" ht="15.75" hidden="1" customHeight="1">
      <c r="A3064" s="21">
        <v>670420</v>
      </c>
      <c r="B3064" s="21" t="s">
        <v>3054</v>
      </c>
      <c r="C3064" s="21" t="s">
        <v>5765</v>
      </c>
      <c r="D3064" s="21" t="s">
        <v>11</v>
      </c>
      <c r="E3064" s="21" t="s">
        <v>11</v>
      </c>
    </row>
    <row r="3065" spans="1:5" s="21" customFormat="1" ht="15.75" hidden="1" customHeight="1">
      <c r="A3065" s="21">
        <v>670490</v>
      </c>
      <c r="B3065" s="21" t="s">
        <v>3055</v>
      </c>
      <c r="C3065" s="21" t="s">
        <v>5765</v>
      </c>
      <c r="D3065" s="21" t="s">
        <v>11</v>
      </c>
      <c r="E3065" s="21" t="s">
        <v>11</v>
      </c>
    </row>
    <row r="3066" spans="1:5" s="21" customFormat="1" ht="15.75" hidden="1" customHeight="1">
      <c r="A3066" s="21">
        <v>680100</v>
      </c>
      <c r="B3066" s="21" t="s">
        <v>3056</v>
      </c>
      <c r="C3066" s="21" t="s">
        <v>5766</v>
      </c>
      <c r="D3066" s="21" t="s">
        <v>11</v>
      </c>
      <c r="E3066" s="21" t="s">
        <v>11</v>
      </c>
    </row>
    <row r="3067" spans="1:5" s="21" customFormat="1" ht="15.75" hidden="1" customHeight="1">
      <c r="A3067" s="21">
        <v>680210</v>
      </c>
      <c r="B3067" s="21" t="s">
        <v>3057</v>
      </c>
      <c r="C3067" s="21" t="s">
        <v>5767</v>
      </c>
      <c r="D3067" s="21" t="s">
        <v>11</v>
      </c>
      <c r="E3067" s="21" t="s">
        <v>11</v>
      </c>
    </row>
    <row r="3068" spans="1:5" s="21" customFormat="1" ht="15.75" hidden="1" customHeight="1">
      <c r="A3068" s="21">
        <v>680221</v>
      </c>
      <c r="B3068" s="21" t="s">
        <v>3058</v>
      </c>
      <c r="C3068" s="21" t="s">
        <v>5768</v>
      </c>
      <c r="D3068" s="21" t="s">
        <v>11</v>
      </c>
      <c r="E3068" s="21" t="s">
        <v>11</v>
      </c>
    </row>
    <row r="3069" spans="1:5" s="21" customFormat="1" ht="15.75" hidden="1" customHeight="1">
      <c r="A3069" s="21">
        <v>680223</v>
      </c>
      <c r="B3069" s="21" t="s">
        <v>3059</v>
      </c>
      <c r="C3069" s="21" t="s">
        <v>5305</v>
      </c>
      <c r="D3069" s="21" t="s">
        <v>11</v>
      </c>
      <c r="E3069" s="21" t="s">
        <v>11</v>
      </c>
    </row>
    <row r="3070" spans="1:5" s="21" customFormat="1" ht="15.75" hidden="1" customHeight="1">
      <c r="A3070" s="21">
        <v>680229</v>
      </c>
      <c r="B3070" s="21" t="s">
        <v>3060</v>
      </c>
      <c r="C3070" s="21" t="s">
        <v>5766</v>
      </c>
      <c r="D3070" s="21" t="s">
        <v>11</v>
      </c>
      <c r="E3070" s="21" t="s">
        <v>11</v>
      </c>
    </row>
    <row r="3071" spans="1:5" s="21" customFormat="1" ht="15.75" hidden="1" customHeight="1">
      <c r="A3071" s="21">
        <v>680291</v>
      </c>
      <c r="B3071" s="21" t="s">
        <v>3061</v>
      </c>
      <c r="C3071" s="21" t="s">
        <v>5768</v>
      </c>
      <c r="D3071" s="21" t="s">
        <v>11</v>
      </c>
      <c r="E3071" s="21" t="s">
        <v>11</v>
      </c>
    </row>
    <row r="3072" spans="1:5" s="21" customFormat="1" ht="15.75" hidden="1" customHeight="1">
      <c r="A3072" s="21">
        <v>680292</v>
      </c>
      <c r="B3072" s="21" t="s">
        <v>3062</v>
      </c>
      <c r="C3072" s="21" t="s">
        <v>5766</v>
      </c>
      <c r="D3072" s="21" t="s">
        <v>11</v>
      </c>
      <c r="E3072" s="21" t="s">
        <v>11</v>
      </c>
    </row>
    <row r="3073" spans="1:5" s="21" customFormat="1" ht="15.75" hidden="1" customHeight="1">
      <c r="A3073" s="21">
        <v>680293</v>
      </c>
      <c r="B3073" s="21" t="s">
        <v>3063</v>
      </c>
      <c r="C3073" s="21" t="s">
        <v>5305</v>
      </c>
      <c r="D3073" s="21" t="s">
        <v>11</v>
      </c>
      <c r="E3073" s="21" t="s">
        <v>11</v>
      </c>
    </row>
    <row r="3074" spans="1:5" s="21" customFormat="1" ht="15.75" hidden="1" customHeight="1">
      <c r="A3074" s="21">
        <v>680299</v>
      </c>
      <c r="B3074" s="21" t="s">
        <v>3064</v>
      </c>
      <c r="C3074" s="21" t="s">
        <v>5766</v>
      </c>
      <c r="D3074" s="21" t="s">
        <v>11</v>
      </c>
      <c r="E3074" s="21" t="s">
        <v>11</v>
      </c>
    </row>
    <row r="3075" spans="1:5" s="21" customFormat="1" ht="15.75" hidden="1" customHeight="1">
      <c r="A3075" s="21">
        <v>680300</v>
      </c>
      <c r="B3075" s="21" t="s">
        <v>3065</v>
      </c>
      <c r="C3075" s="21" t="s">
        <v>5769</v>
      </c>
      <c r="D3075" s="21" t="s">
        <v>11</v>
      </c>
      <c r="E3075" s="21" t="s">
        <v>11</v>
      </c>
    </row>
    <row r="3076" spans="1:5" s="21" customFormat="1" ht="15.75" hidden="1" customHeight="1">
      <c r="A3076" s="21">
        <v>680410</v>
      </c>
      <c r="B3076" s="21" t="s">
        <v>3066</v>
      </c>
      <c r="C3076" s="21" t="s">
        <v>5770</v>
      </c>
      <c r="D3076" s="21" t="s">
        <v>11</v>
      </c>
      <c r="E3076" s="21" t="s">
        <v>11</v>
      </c>
    </row>
    <row r="3077" spans="1:5" s="21" customFormat="1" ht="15.75" hidden="1" customHeight="1">
      <c r="A3077" s="21">
        <v>680421</v>
      </c>
      <c r="B3077" s="21" t="s">
        <v>3067</v>
      </c>
      <c r="C3077" s="21" t="s">
        <v>5771</v>
      </c>
      <c r="D3077" s="21" t="s">
        <v>11</v>
      </c>
      <c r="E3077" s="21" t="s">
        <v>11</v>
      </c>
    </row>
    <row r="3078" spans="1:5" s="21" customFormat="1" ht="15.75" hidden="1" customHeight="1">
      <c r="A3078" s="21">
        <v>680422</v>
      </c>
      <c r="B3078" s="21" t="s">
        <v>3068</v>
      </c>
      <c r="C3078" s="21" t="s">
        <v>5771</v>
      </c>
      <c r="D3078" s="21" t="s">
        <v>11</v>
      </c>
      <c r="E3078" s="21" t="s">
        <v>11</v>
      </c>
    </row>
    <row r="3079" spans="1:5" s="21" customFormat="1" ht="15.75" hidden="1" customHeight="1">
      <c r="A3079" s="21">
        <v>680423</v>
      </c>
      <c r="B3079" s="21" t="s">
        <v>3069</v>
      </c>
      <c r="C3079" s="21" t="s">
        <v>5771</v>
      </c>
      <c r="D3079" s="21" t="s">
        <v>11</v>
      </c>
      <c r="E3079" s="21" t="s">
        <v>11</v>
      </c>
    </row>
    <row r="3080" spans="1:5" s="21" customFormat="1" ht="15.75" hidden="1" customHeight="1">
      <c r="A3080" s="21">
        <v>680430</v>
      </c>
      <c r="B3080" s="21" t="s">
        <v>3070</v>
      </c>
      <c r="C3080" s="21" t="s">
        <v>5310</v>
      </c>
      <c r="D3080" s="21" t="s">
        <v>11</v>
      </c>
      <c r="E3080" s="21" t="s">
        <v>11</v>
      </c>
    </row>
    <row r="3081" spans="1:5" s="21" customFormat="1" ht="15.75" hidden="1" customHeight="1">
      <c r="A3081" s="21">
        <v>680510</v>
      </c>
      <c r="B3081" s="21" t="s">
        <v>3071</v>
      </c>
      <c r="C3081" s="21" t="s">
        <v>5772</v>
      </c>
      <c r="D3081" s="21" t="s">
        <v>11</v>
      </c>
      <c r="E3081" s="21" t="s">
        <v>11</v>
      </c>
    </row>
    <row r="3082" spans="1:5" s="21" customFormat="1" ht="15.75" hidden="1" customHeight="1">
      <c r="A3082" s="21">
        <v>680520</v>
      </c>
      <c r="B3082" s="21" t="s">
        <v>3072</v>
      </c>
      <c r="C3082" s="21" t="s">
        <v>5772</v>
      </c>
      <c r="D3082" s="21" t="s">
        <v>11</v>
      </c>
      <c r="E3082" s="21" t="s">
        <v>11</v>
      </c>
    </row>
    <row r="3083" spans="1:5" s="21" customFormat="1" ht="15.75" hidden="1" customHeight="1">
      <c r="A3083" s="21">
        <v>680530</v>
      </c>
      <c r="B3083" s="21" t="s">
        <v>3073</v>
      </c>
      <c r="C3083" s="21" t="s">
        <v>5772</v>
      </c>
      <c r="D3083" s="21" t="s">
        <v>11</v>
      </c>
      <c r="E3083" s="21" t="s">
        <v>11</v>
      </c>
    </row>
    <row r="3084" spans="1:5" s="21" customFormat="1" ht="15.75" hidden="1" customHeight="1">
      <c r="A3084" s="21">
        <v>680610</v>
      </c>
      <c r="B3084" s="21" t="s">
        <v>3074</v>
      </c>
      <c r="C3084" s="21" t="s">
        <v>3074</v>
      </c>
      <c r="D3084" s="21" t="s">
        <v>11</v>
      </c>
      <c r="E3084" s="21" t="s">
        <v>11</v>
      </c>
    </row>
    <row r="3085" spans="1:5" s="21" customFormat="1" ht="15.75" hidden="1" customHeight="1">
      <c r="A3085" s="21">
        <v>680620</v>
      </c>
      <c r="B3085" s="21" t="s">
        <v>3075</v>
      </c>
      <c r="C3085" s="21" t="s">
        <v>3075</v>
      </c>
      <c r="D3085" s="21" t="s">
        <v>11</v>
      </c>
      <c r="E3085" s="21" t="s">
        <v>11</v>
      </c>
    </row>
    <row r="3086" spans="1:5" s="21" customFormat="1" ht="15.75" hidden="1" customHeight="1">
      <c r="A3086" s="21">
        <v>680690</v>
      </c>
      <c r="B3086" s="21" t="s">
        <v>3076</v>
      </c>
      <c r="C3086" s="21" t="s">
        <v>5773</v>
      </c>
      <c r="D3086" s="21" t="s">
        <v>11</v>
      </c>
      <c r="E3086" s="21" t="s">
        <v>11</v>
      </c>
    </row>
    <row r="3087" spans="1:5" s="21" customFormat="1" ht="15.75" hidden="1" customHeight="1">
      <c r="A3087" s="21">
        <v>680710</v>
      </c>
      <c r="B3087" s="21" t="s">
        <v>3077</v>
      </c>
      <c r="C3087" s="21" t="s">
        <v>5774</v>
      </c>
      <c r="D3087" s="21" t="s">
        <v>11</v>
      </c>
      <c r="E3087" s="21" t="s">
        <v>11</v>
      </c>
    </row>
    <row r="3088" spans="1:5" s="21" customFormat="1" ht="15.75" hidden="1" customHeight="1">
      <c r="A3088" s="21">
        <v>680790</v>
      </c>
      <c r="B3088" s="21" t="s">
        <v>3078</v>
      </c>
      <c r="C3088" s="21" t="s">
        <v>5774</v>
      </c>
      <c r="D3088" s="21" t="s">
        <v>11</v>
      </c>
      <c r="E3088" s="21" t="s">
        <v>11</v>
      </c>
    </row>
    <row r="3089" spans="1:5" s="21" customFormat="1" ht="15.75" hidden="1" customHeight="1">
      <c r="A3089" s="21">
        <v>680800</v>
      </c>
      <c r="B3089" s="21" t="s">
        <v>3079</v>
      </c>
      <c r="C3089" s="21" t="s">
        <v>5775</v>
      </c>
      <c r="D3089" s="21" t="s">
        <v>11</v>
      </c>
      <c r="E3089" s="21" t="s">
        <v>11</v>
      </c>
    </row>
    <row r="3090" spans="1:5" s="21" customFormat="1" ht="15.75" hidden="1" customHeight="1">
      <c r="A3090" s="21">
        <v>680911</v>
      </c>
      <c r="B3090" s="21" t="s">
        <v>3080</v>
      </c>
      <c r="C3090" s="21" t="s">
        <v>5776</v>
      </c>
      <c r="D3090" s="21" t="s">
        <v>11</v>
      </c>
      <c r="E3090" s="21" t="s">
        <v>11</v>
      </c>
    </row>
    <row r="3091" spans="1:5" s="21" customFormat="1" ht="15.75" hidden="1" customHeight="1">
      <c r="A3091" s="21">
        <v>680919</v>
      </c>
      <c r="B3091" s="21" t="s">
        <v>3081</v>
      </c>
      <c r="C3091" s="21" t="s">
        <v>5776</v>
      </c>
      <c r="D3091" s="21" t="s">
        <v>11</v>
      </c>
      <c r="E3091" s="21" t="s">
        <v>11</v>
      </c>
    </row>
    <row r="3092" spans="1:5" s="21" customFormat="1" ht="15.75" hidden="1" customHeight="1">
      <c r="A3092" s="21">
        <v>680990</v>
      </c>
      <c r="B3092" s="21" t="s">
        <v>3082</v>
      </c>
      <c r="C3092" s="21" t="s">
        <v>5777</v>
      </c>
      <c r="D3092" s="21" t="s">
        <v>11</v>
      </c>
      <c r="E3092" s="21" t="s">
        <v>11</v>
      </c>
    </row>
    <row r="3093" spans="1:5" s="21" customFormat="1" ht="15.75" hidden="1" customHeight="1">
      <c r="A3093" s="21">
        <v>681011</v>
      </c>
      <c r="B3093" s="21" t="s">
        <v>3083</v>
      </c>
      <c r="C3093" s="21" t="s">
        <v>5778</v>
      </c>
      <c r="D3093" s="21" t="s">
        <v>11</v>
      </c>
      <c r="E3093" s="21" t="s">
        <v>11</v>
      </c>
    </row>
    <row r="3094" spans="1:5" s="21" customFormat="1" ht="15.75" hidden="1" customHeight="1">
      <c r="A3094" s="21">
        <v>681019</v>
      </c>
      <c r="B3094" s="21" t="s">
        <v>3084</v>
      </c>
      <c r="C3094" s="21" t="s">
        <v>5778</v>
      </c>
      <c r="D3094" s="21" t="s">
        <v>11</v>
      </c>
      <c r="E3094" s="21" t="s">
        <v>11</v>
      </c>
    </row>
    <row r="3095" spans="1:5" s="21" customFormat="1" ht="15.75" hidden="1" customHeight="1">
      <c r="A3095" s="21">
        <v>681091</v>
      </c>
      <c r="B3095" s="21" t="s">
        <v>3085</v>
      </c>
      <c r="C3095" s="21" t="s">
        <v>5778</v>
      </c>
      <c r="D3095" s="21" t="s">
        <v>11</v>
      </c>
      <c r="E3095" s="21" t="s">
        <v>11</v>
      </c>
    </row>
    <row r="3096" spans="1:5" s="21" customFormat="1" ht="15.75" hidden="1" customHeight="1">
      <c r="A3096" s="21">
        <v>681099</v>
      </c>
      <c r="B3096" s="21" t="s">
        <v>3086</v>
      </c>
      <c r="C3096" s="21" t="s">
        <v>5778</v>
      </c>
      <c r="D3096" s="21" t="s">
        <v>11</v>
      </c>
      <c r="E3096" s="21" t="s">
        <v>11</v>
      </c>
    </row>
    <row r="3097" spans="1:5" s="21" customFormat="1" ht="15.75" hidden="1" customHeight="1">
      <c r="A3097" s="21">
        <v>681140</v>
      </c>
      <c r="B3097" s="21" t="s">
        <v>3087</v>
      </c>
      <c r="C3097" s="21" t="s">
        <v>5779</v>
      </c>
      <c r="D3097" s="21" t="s">
        <v>11</v>
      </c>
      <c r="E3097" s="21" t="s">
        <v>11</v>
      </c>
    </row>
    <row r="3098" spans="1:5" s="21" customFormat="1" ht="15.75" hidden="1" customHeight="1">
      <c r="A3098" s="21">
        <v>681181</v>
      </c>
      <c r="B3098" s="21" t="s">
        <v>3088</v>
      </c>
      <c r="C3098" s="21" t="s">
        <v>5780</v>
      </c>
      <c r="D3098" s="21" t="s">
        <v>11</v>
      </c>
      <c r="E3098" s="21" t="s">
        <v>11</v>
      </c>
    </row>
    <row r="3099" spans="1:5" s="21" customFormat="1" ht="15.75" hidden="1" customHeight="1">
      <c r="A3099" s="21">
        <v>681182</v>
      </c>
      <c r="B3099" s="21" t="s">
        <v>3089</v>
      </c>
      <c r="C3099" s="21" t="s">
        <v>5780</v>
      </c>
      <c r="D3099" s="21" t="s">
        <v>11</v>
      </c>
      <c r="E3099" s="21" t="s">
        <v>11</v>
      </c>
    </row>
    <row r="3100" spans="1:5" s="21" customFormat="1" ht="15.75" hidden="1" customHeight="1">
      <c r="A3100" s="21">
        <v>681183</v>
      </c>
      <c r="B3100" s="21" t="s">
        <v>3090</v>
      </c>
      <c r="C3100" s="21" t="s">
        <v>5780</v>
      </c>
      <c r="D3100" s="21" t="s">
        <v>11</v>
      </c>
      <c r="E3100" s="21" t="s">
        <v>11</v>
      </c>
    </row>
    <row r="3101" spans="1:5" s="21" customFormat="1" ht="15.75" hidden="1" customHeight="1">
      <c r="A3101" s="21">
        <v>681189</v>
      </c>
      <c r="B3101" s="21" t="s">
        <v>3091</v>
      </c>
      <c r="C3101" s="21" t="s">
        <v>5780</v>
      </c>
      <c r="D3101" s="21" t="s">
        <v>11</v>
      </c>
      <c r="E3101" s="21" t="s">
        <v>11</v>
      </c>
    </row>
    <row r="3102" spans="1:5" s="21" customFormat="1" ht="15.75" hidden="1" customHeight="1">
      <c r="A3102" s="21">
        <v>681280</v>
      </c>
      <c r="B3102" s="21" t="s">
        <v>3092</v>
      </c>
      <c r="C3102" s="21" t="s">
        <v>3092</v>
      </c>
      <c r="D3102" s="21" t="s">
        <v>11</v>
      </c>
      <c r="E3102" s="21" t="s">
        <v>11</v>
      </c>
    </row>
    <row r="3103" spans="1:5" s="21" customFormat="1" ht="15.75" hidden="1" customHeight="1">
      <c r="A3103" s="21">
        <v>681291</v>
      </c>
      <c r="B3103" s="21" t="s">
        <v>3093</v>
      </c>
      <c r="C3103" s="21" t="s">
        <v>5781</v>
      </c>
      <c r="D3103" s="21" t="s">
        <v>11</v>
      </c>
      <c r="E3103" s="21" t="s">
        <v>11</v>
      </c>
    </row>
    <row r="3104" spans="1:5" s="21" customFormat="1" ht="15.75" hidden="1" customHeight="1">
      <c r="A3104" s="21">
        <v>681292</v>
      </c>
      <c r="B3104" s="21" t="s">
        <v>3094</v>
      </c>
      <c r="C3104" s="21" t="s">
        <v>5781</v>
      </c>
      <c r="D3104" s="21" t="s">
        <v>11</v>
      </c>
      <c r="E3104" s="21" t="s">
        <v>11</v>
      </c>
    </row>
    <row r="3105" spans="1:5" s="21" customFormat="1" ht="15.75" hidden="1" customHeight="1">
      <c r="A3105" s="21">
        <v>681293</v>
      </c>
      <c r="B3105" s="21" t="s">
        <v>3095</v>
      </c>
      <c r="C3105" s="21" t="s">
        <v>5781</v>
      </c>
      <c r="D3105" s="21" t="s">
        <v>11</v>
      </c>
      <c r="E3105" s="21" t="s">
        <v>11</v>
      </c>
    </row>
    <row r="3106" spans="1:5" s="21" customFormat="1" ht="15.75" hidden="1" customHeight="1">
      <c r="A3106" s="21">
        <v>681299</v>
      </c>
      <c r="B3106" s="21" t="s">
        <v>3096</v>
      </c>
      <c r="C3106" s="21" t="s">
        <v>5781</v>
      </c>
      <c r="D3106" s="21" t="s">
        <v>11</v>
      </c>
      <c r="E3106" s="21" t="s">
        <v>11</v>
      </c>
    </row>
    <row r="3107" spans="1:5" s="21" customFormat="1" ht="15.75" hidden="1" customHeight="1">
      <c r="A3107" s="21">
        <v>681320</v>
      </c>
      <c r="B3107" s="21" t="s">
        <v>3097</v>
      </c>
      <c r="C3107" s="21" t="s">
        <v>5782</v>
      </c>
      <c r="D3107" s="21" t="s">
        <v>11</v>
      </c>
      <c r="E3107" s="21" t="s">
        <v>11</v>
      </c>
    </row>
    <row r="3108" spans="1:5" s="21" customFormat="1" ht="15.75" hidden="1" customHeight="1">
      <c r="A3108" s="21">
        <v>681381</v>
      </c>
      <c r="B3108" s="21" t="s">
        <v>3098</v>
      </c>
      <c r="C3108" s="21" t="s">
        <v>5783</v>
      </c>
      <c r="D3108" s="21" t="s">
        <v>11</v>
      </c>
      <c r="E3108" s="21" t="s">
        <v>11</v>
      </c>
    </row>
    <row r="3109" spans="1:5" s="21" customFormat="1" ht="15.75" hidden="1" customHeight="1">
      <c r="A3109" s="21">
        <v>681389</v>
      </c>
      <c r="B3109" s="21" t="s">
        <v>3099</v>
      </c>
      <c r="C3109" s="21" t="s">
        <v>5782</v>
      </c>
      <c r="D3109" s="21" t="s">
        <v>11</v>
      </c>
      <c r="E3109" s="21" t="s">
        <v>11</v>
      </c>
    </row>
    <row r="3110" spans="1:5" s="21" customFormat="1" ht="15.75" hidden="1" customHeight="1">
      <c r="A3110" s="21">
        <v>681410</v>
      </c>
      <c r="B3110" s="21" t="s">
        <v>3100</v>
      </c>
      <c r="C3110" s="21" t="s">
        <v>5323</v>
      </c>
      <c r="D3110" s="21" t="s">
        <v>11</v>
      </c>
      <c r="E3110" s="21" t="s">
        <v>11</v>
      </c>
    </row>
    <row r="3111" spans="1:5" s="21" customFormat="1" ht="15.75" hidden="1" customHeight="1">
      <c r="A3111" s="21">
        <v>681490</v>
      </c>
      <c r="B3111" s="21" t="s">
        <v>3101</v>
      </c>
      <c r="C3111" s="21" t="s">
        <v>5323</v>
      </c>
      <c r="D3111" s="21" t="s">
        <v>11</v>
      </c>
      <c r="E3111" s="21" t="s">
        <v>11</v>
      </c>
    </row>
    <row r="3112" spans="1:5" s="21" customFormat="1" ht="15.75" hidden="1" customHeight="1">
      <c r="A3112" s="21">
        <v>681510</v>
      </c>
      <c r="B3112" s="21" t="s">
        <v>3102</v>
      </c>
      <c r="C3112" s="21" t="s">
        <v>3102</v>
      </c>
      <c r="D3112" s="21" t="s">
        <v>11</v>
      </c>
      <c r="E3112" s="21" t="s">
        <v>11</v>
      </c>
    </row>
    <row r="3113" spans="1:5" s="21" customFormat="1" ht="15.75" hidden="1" customHeight="1">
      <c r="A3113" s="21">
        <v>681520</v>
      </c>
      <c r="B3113" s="21" t="s">
        <v>3103</v>
      </c>
      <c r="C3113" s="21" t="s">
        <v>5343</v>
      </c>
      <c r="D3113" s="21" t="s">
        <v>11</v>
      </c>
      <c r="E3113" s="21" t="s">
        <v>11</v>
      </c>
    </row>
    <row r="3114" spans="1:5" s="21" customFormat="1" ht="15.75" hidden="1" customHeight="1">
      <c r="A3114" s="21">
        <v>681591</v>
      </c>
      <c r="B3114" s="21" t="s">
        <v>3104</v>
      </c>
      <c r="C3114" s="21" t="s">
        <v>5784</v>
      </c>
      <c r="D3114" s="21" t="s">
        <v>11</v>
      </c>
      <c r="E3114" s="21" t="s">
        <v>11</v>
      </c>
    </row>
    <row r="3115" spans="1:5" s="21" customFormat="1" ht="15.75" hidden="1" customHeight="1">
      <c r="A3115" s="21">
        <v>681599</v>
      </c>
      <c r="B3115" s="21" t="s">
        <v>3105</v>
      </c>
      <c r="C3115" s="21" t="s">
        <v>5784</v>
      </c>
      <c r="D3115" s="21" t="s">
        <v>11</v>
      </c>
      <c r="E3115" s="21" t="s">
        <v>11</v>
      </c>
    </row>
    <row r="3116" spans="1:5" s="21" customFormat="1" ht="15.75" hidden="1" customHeight="1">
      <c r="A3116" s="21">
        <v>690100</v>
      </c>
      <c r="B3116" s="21" t="s">
        <v>3106</v>
      </c>
      <c r="C3116" s="21" t="s">
        <v>3106</v>
      </c>
      <c r="D3116" s="21" t="s">
        <v>11</v>
      </c>
      <c r="E3116" s="21" t="s">
        <v>11</v>
      </c>
    </row>
    <row r="3117" spans="1:5" s="21" customFormat="1" ht="15.75" hidden="1" customHeight="1">
      <c r="A3117" s="21">
        <v>690210</v>
      </c>
      <c r="B3117" s="21" t="s">
        <v>3107</v>
      </c>
      <c r="C3117" s="21" t="s">
        <v>5785</v>
      </c>
      <c r="D3117" s="21" t="s">
        <v>11</v>
      </c>
      <c r="E3117" s="21" t="s">
        <v>11</v>
      </c>
    </row>
    <row r="3118" spans="1:5" s="21" customFormat="1" ht="15.75" hidden="1" customHeight="1">
      <c r="A3118" s="21">
        <v>690220</v>
      </c>
      <c r="B3118" s="21" t="s">
        <v>3108</v>
      </c>
      <c r="C3118" s="21" t="s">
        <v>5785</v>
      </c>
      <c r="D3118" s="21" t="s">
        <v>11</v>
      </c>
      <c r="E3118" s="21" t="s">
        <v>11</v>
      </c>
    </row>
    <row r="3119" spans="1:5" s="21" customFormat="1" ht="15.75" hidden="1" customHeight="1">
      <c r="A3119" s="21">
        <v>690290</v>
      </c>
      <c r="B3119" s="21" t="s">
        <v>3109</v>
      </c>
      <c r="C3119" s="21" t="s">
        <v>5785</v>
      </c>
      <c r="D3119" s="21" t="s">
        <v>11</v>
      </c>
      <c r="E3119" s="21" t="s">
        <v>11</v>
      </c>
    </row>
    <row r="3120" spans="1:5" s="21" customFormat="1" ht="15.75" hidden="1" customHeight="1">
      <c r="A3120" s="21">
        <v>690310</v>
      </c>
      <c r="B3120" s="21" t="s">
        <v>3110</v>
      </c>
      <c r="C3120" s="21" t="s">
        <v>5786</v>
      </c>
      <c r="D3120" s="21" t="s">
        <v>11</v>
      </c>
      <c r="E3120" s="21" t="s">
        <v>11</v>
      </c>
    </row>
    <row r="3121" spans="1:5" s="21" customFormat="1" ht="15.75" hidden="1" customHeight="1">
      <c r="A3121" s="21">
        <v>690320</v>
      </c>
      <c r="B3121" s="21" t="s">
        <v>3111</v>
      </c>
      <c r="C3121" s="21" t="s">
        <v>5786</v>
      </c>
      <c r="D3121" s="21" t="s">
        <v>11</v>
      </c>
      <c r="E3121" s="21" t="s">
        <v>11</v>
      </c>
    </row>
    <row r="3122" spans="1:5" s="21" customFormat="1" ht="15.75" hidden="1" customHeight="1">
      <c r="A3122" s="21">
        <v>690390</v>
      </c>
      <c r="B3122" s="21" t="s">
        <v>3112</v>
      </c>
      <c r="C3122" s="21" t="s">
        <v>5786</v>
      </c>
      <c r="D3122" s="21" t="s">
        <v>11</v>
      </c>
      <c r="E3122" s="21" t="s">
        <v>11</v>
      </c>
    </row>
    <row r="3123" spans="1:5" s="21" customFormat="1" ht="15.75" hidden="1" customHeight="1">
      <c r="A3123" s="21">
        <v>690410</v>
      </c>
      <c r="B3123" s="21" t="s">
        <v>3113</v>
      </c>
      <c r="C3123" s="21" t="s">
        <v>3113</v>
      </c>
      <c r="D3123" s="21" t="s">
        <v>11</v>
      </c>
      <c r="E3123" s="21" t="s">
        <v>11</v>
      </c>
    </row>
    <row r="3124" spans="1:5" s="21" customFormat="1" ht="15.75" hidden="1" customHeight="1">
      <c r="A3124" s="21">
        <v>690490</v>
      </c>
      <c r="B3124" s="21" t="s">
        <v>3114</v>
      </c>
      <c r="C3124" s="21" t="s">
        <v>3114</v>
      </c>
      <c r="D3124" s="21" t="s">
        <v>11</v>
      </c>
      <c r="E3124" s="21" t="s">
        <v>11</v>
      </c>
    </row>
    <row r="3125" spans="1:5" s="21" customFormat="1" ht="15.75" hidden="1" customHeight="1">
      <c r="A3125" s="21">
        <v>690510</v>
      </c>
      <c r="B3125" s="21" t="s">
        <v>3115</v>
      </c>
      <c r="C3125" s="21" t="s">
        <v>3115</v>
      </c>
      <c r="D3125" s="21" t="s">
        <v>11</v>
      </c>
      <c r="E3125" s="21" t="s">
        <v>11</v>
      </c>
    </row>
    <row r="3126" spans="1:5" s="21" customFormat="1" ht="15.75" hidden="1" customHeight="1">
      <c r="A3126" s="21">
        <v>690590</v>
      </c>
      <c r="B3126" s="21" t="s">
        <v>3116</v>
      </c>
      <c r="C3126" s="21" t="s">
        <v>3116</v>
      </c>
      <c r="D3126" s="21" t="s">
        <v>11</v>
      </c>
      <c r="E3126" s="21" t="s">
        <v>11</v>
      </c>
    </row>
    <row r="3127" spans="1:5" s="21" customFormat="1" ht="15.75" hidden="1" customHeight="1">
      <c r="A3127" s="21">
        <v>690600</v>
      </c>
      <c r="B3127" s="21" t="s">
        <v>3117</v>
      </c>
      <c r="C3127" s="21" t="s">
        <v>3117</v>
      </c>
      <c r="D3127" s="21" t="s">
        <v>11</v>
      </c>
      <c r="E3127" s="21" t="s">
        <v>11</v>
      </c>
    </row>
    <row r="3128" spans="1:5" s="21" customFormat="1" ht="15.75" hidden="1" customHeight="1">
      <c r="A3128" s="21">
        <v>690710</v>
      </c>
      <c r="B3128" s="21" t="s">
        <v>3118</v>
      </c>
      <c r="C3128" s="21" t="s">
        <v>5787</v>
      </c>
      <c r="D3128" s="21" t="s">
        <v>11</v>
      </c>
      <c r="E3128" s="21" t="s">
        <v>11</v>
      </c>
    </row>
    <row r="3129" spans="1:5" s="21" customFormat="1" ht="15.75" hidden="1" customHeight="1">
      <c r="A3129" s="21">
        <v>690790</v>
      </c>
      <c r="B3129" s="21" t="s">
        <v>3119</v>
      </c>
      <c r="C3129" s="21" t="s">
        <v>5788</v>
      </c>
      <c r="D3129" s="21" t="s">
        <v>11</v>
      </c>
      <c r="E3129" s="21" t="s">
        <v>11</v>
      </c>
    </row>
    <row r="3130" spans="1:5" s="21" customFormat="1" ht="15.75" hidden="1" customHeight="1">
      <c r="A3130" s="21">
        <v>690810</v>
      </c>
      <c r="B3130" s="21" t="s">
        <v>3120</v>
      </c>
      <c r="C3130" s="21" t="s">
        <v>5787</v>
      </c>
      <c r="D3130" s="21" t="s">
        <v>11</v>
      </c>
      <c r="E3130" s="21" t="s">
        <v>11</v>
      </c>
    </row>
    <row r="3131" spans="1:5" s="21" customFormat="1" ht="15.75" hidden="1" customHeight="1">
      <c r="A3131" s="21">
        <v>690890</v>
      </c>
      <c r="B3131" s="21" t="s">
        <v>3121</v>
      </c>
      <c r="C3131" s="21" t="s">
        <v>5789</v>
      </c>
      <c r="D3131" s="21" t="s">
        <v>11</v>
      </c>
      <c r="E3131" s="21" t="s">
        <v>11</v>
      </c>
    </row>
    <row r="3132" spans="1:5" s="21" customFormat="1" ht="15.75" hidden="1" customHeight="1">
      <c r="A3132" s="21">
        <v>690911</v>
      </c>
      <c r="B3132" s="21" t="s">
        <v>3122</v>
      </c>
      <c r="C3132" s="21" t="s">
        <v>5790</v>
      </c>
      <c r="D3132" s="21" t="s">
        <v>11</v>
      </c>
      <c r="E3132" s="21" t="s">
        <v>11</v>
      </c>
    </row>
    <row r="3133" spans="1:5" s="21" customFormat="1" ht="15.75" hidden="1" customHeight="1">
      <c r="A3133" s="21">
        <v>690912</v>
      </c>
      <c r="B3133" s="21" t="s">
        <v>3123</v>
      </c>
      <c r="C3133" s="21" t="s">
        <v>5790</v>
      </c>
      <c r="D3133" s="21" t="s">
        <v>11</v>
      </c>
      <c r="E3133" s="21" t="s">
        <v>11</v>
      </c>
    </row>
    <row r="3134" spans="1:5" s="21" customFormat="1" ht="15.75" hidden="1" customHeight="1">
      <c r="A3134" s="21">
        <v>690919</v>
      </c>
      <c r="B3134" s="21" t="s">
        <v>3124</v>
      </c>
      <c r="C3134" s="21" t="s">
        <v>5790</v>
      </c>
      <c r="D3134" s="21" t="s">
        <v>11</v>
      </c>
      <c r="E3134" s="21" t="s">
        <v>11</v>
      </c>
    </row>
    <row r="3135" spans="1:5" s="21" customFormat="1" ht="15.75" hidden="1" customHeight="1">
      <c r="A3135" s="21">
        <v>690990</v>
      </c>
      <c r="B3135" s="21" t="s">
        <v>3125</v>
      </c>
      <c r="C3135" s="21" t="s">
        <v>5790</v>
      </c>
      <c r="D3135" s="21" t="s">
        <v>11</v>
      </c>
      <c r="E3135" s="21" t="s">
        <v>11</v>
      </c>
    </row>
    <row r="3136" spans="1:5" s="21" customFormat="1" ht="15.75" hidden="1" customHeight="1">
      <c r="A3136" s="21">
        <v>691010</v>
      </c>
      <c r="B3136" s="21" t="s">
        <v>3126</v>
      </c>
      <c r="C3136" s="21" t="s">
        <v>5791</v>
      </c>
      <c r="D3136" s="21" t="s">
        <v>11</v>
      </c>
      <c r="E3136" s="21" t="s">
        <v>11</v>
      </c>
    </row>
    <row r="3137" spans="1:5" s="21" customFormat="1" ht="15.75" hidden="1" customHeight="1">
      <c r="A3137" s="21">
        <v>691090</v>
      </c>
      <c r="B3137" s="21" t="s">
        <v>3127</v>
      </c>
      <c r="C3137" s="21" t="s">
        <v>5791</v>
      </c>
      <c r="D3137" s="21" t="s">
        <v>11</v>
      </c>
      <c r="E3137" s="21" t="s">
        <v>11</v>
      </c>
    </row>
    <row r="3138" spans="1:5" s="21" customFormat="1" ht="15.75" hidden="1" customHeight="1">
      <c r="A3138" s="21">
        <v>691110</v>
      </c>
      <c r="B3138" s="21" t="s">
        <v>3128</v>
      </c>
      <c r="C3138" s="21" t="s">
        <v>5792</v>
      </c>
      <c r="D3138" s="21" t="s">
        <v>11</v>
      </c>
      <c r="E3138" s="21" t="s">
        <v>11</v>
      </c>
    </row>
    <row r="3139" spans="1:5" s="21" customFormat="1" ht="15.75" hidden="1" customHeight="1">
      <c r="A3139" s="21">
        <v>691190</v>
      </c>
      <c r="B3139" s="21" t="s">
        <v>3129</v>
      </c>
      <c r="C3139" s="21" t="s">
        <v>5793</v>
      </c>
      <c r="D3139" s="21" t="s">
        <v>11</v>
      </c>
      <c r="E3139" s="21" t="s">
        <v>11</v>
      </c>
    </row>
    <row r="3140" spans="1:5" s="21" customFormat="1" ht="15.75" hidden="1" customHeight="1">
      <c r="A3140" s="21">
        <v>691200</v>
      </c>
      <c r="B3140" s="21" t="s">
        <v>3130</v>
      </c>
      <c r="C3140" s="21" t="s">
        <v>5794</v>
      </c>
      <c r="D3140" s="21" t="s">
        <v>11</v>
      </c>
      <c r="E3140" s="21" t="s">
        <v>11</v>
      </c>
    </row>
    <row r="3141" spans="1:5" s="21" customFormat="1" ht="15.75" hidden="1" customHeight="1">
      <c r="A3141" s="21">
        <v>691310</v>
      </c>
      <c r="B3141" s="21" t="s">
        <v>3131</v>
      </c>
      <c r="C3141" s="21" t="s">
        <v>3131</v>
      </c>
      <c r="D3141" s="21" t="s">
        <v>11</v>
      </c>
      <c r="E3141" s="21" t="s">
        <v>11</v>
      </c>
    </row>
    <row r="3142" spans="1:5" s="21" customFormat="1" ht="15.75" hidden="1" customHeight="1">
      <c r="A3142" s="21">
        <v>691390</v>
      </c>
      <c r="B3142" s="21" t="s">
        <v>3132</v>
      </c>
      <c r="C3142" s="21" t="s">
        <v>5795</v>
      </c>
      <c r="D3142" s="21" t="s">
        <v>11</v>
      </c>
      <c r="E3142" s="21" t="s">
        <v>11</v>
      </c>
    </row>
    <row r="3143" spans="1:5" s="21" customFormat="1" ht="15.75" hidden="1" customHeight="1">
      <c r="A3143" s="21">
        <v>691410</v>
      </c>
      <c r="B3143" s="21" t="s">
        <v>3133</v>
      </c>
      <c r="C3143" s="21" t="s">
        <v>5796</v>
      </c>
      <c r="D3143" s="21" t="s">
        <v>11</v>
      </c>
      <c r="E3143" s="21" t="s">
        <v>11</v>
      </c>
    </row>
    <row r="3144" spans="1:5" s="21" customFormat="1" ht="15.75" hidden="1" customHeight="1">
      <c r="A3144" s="21">
        <v>691490</v>
      </c>
      <c r="B3144" s="21" t="s">
        <v>3134</v>
      </c>
      <c r="C3144" s="21" t="s">
        <v>5796</v>
      </c>
      <c r="D3144" s="21" t="s">
        <v>11</v>
      </c>
      <c r="E3144" s="21" t="s">
        <v>11</v>
      </c>
    </row>
    <row r="3145" spans="1:5" s="21" customFormat="1" ht="15.75" hidden="1" customHeight="1">
      <c r="A3145" s="21">
        <v>700100</v>
      </c>
      <c r="B3145" s="21" t="s">
        <v>3135</v>
      </c>
      <c r="C3145" s="21" t="s">
        <v>5470</v>
      </c>
      <c r="D3145" s="21" t="s">
        <v>11</v>
      </c>
      <c r="E3145" s="21" t="s">
        <v>11</v>
      </c>
    </row>
    <row r="3146" spans="1:5" s="21" customFormat="1" ht="15.75" hidden="1" customHeight="1">
      <c r="A3146" s="21">
        <v>700210</v>
      </c>
      <c r="B3146" s="21" t="s">
        <v>3136</v>
      </c>
      <c r="C3146" s="21" t="s">
        <v>5470</v>
      </c>
      <c r="D3146" s="21" t="s">
        <v>11</v>
      </c>
      <c r="E3146" s="21" t="s">
        <v>11</v>
      </c>
    </row>
    <row r="3147" spans="1:5" s="21" customFormat="1" ht="15.75" hidden="1" customHeight="1">
      <c r="A3147" s="21">
        <v>700220</v>
      </c>
      <c r="B3147" s="21" t="s">
        <v>3137</v>
      </c>
      <c r="C3147" s="21" t="s">
        <v>5470</v>
      </c>
      <c r="D3147" s="21" t="s">
        <v>11</v>
      </c>
      <c r="E3147" s="21" t="s">
        <v>11</v>
      </c>
    </row>
    <row r="3148" spans="1:5" s="21" customFormat="1" ht="15.75" hidden="1" customHeight="1">
      <c r="A3148" s="21">
        <v>700231</v>
      </c>
      <c r="B3148" s="21" t="s">
        <v>3138</v>
      </c>
      <c r="C3148" s="21" t="s">
        <v>5470</v>
      </c>
      <c r="D3148" s="21" t="s">
        <v>11</v>
      </c>
      <c r="E3148" s="21" t="s">
        <v>11</v>
      </c>
    </row>
    <row r="3149" spans="1:5" s="21" customFormat="1" ht="15.75" hidden="1" customHeight="1">
      <c r="A3149" s="21">
        <v>700232</v>
      </c>
      <c r="B3149" s="21" t="s">
        <v>3139</v>
      </c>
      <c r="C3149" s="21" t="s">
        <v>5470</v>
      </c>
      <c r="D3149" s="21" t="s">
        <v>11</v>
      </c>
      <c r="E3149" s="21" t="s">
        <v>11</v>
      </c>
    </row>
    <row r="3150" spans="1:5" s="21" customFormat="1" ht="15.75" hidden="1" customHeight="1">
      <c r="A3150" s="21">
        <v>700239</v>
      </c>
      <c r="B3150" s="21" t="s">
        <v>3140</v>
      </c>
      <c r="C3150" s="21" t="s">
        <v>5470</v>
      </c>
      <c r="D3150" s="21" t="s">
        <v>11</v>
      </c>
      <c r="E3150" s="21" t="s">
        <v>11</v>
      </c>
    </row>
    <row r="3151" spans="1:5" s="21" customFormat="1" ht="15.75" hidden="1" customHeight="1">
      <c r="A3151" s="21">
        <v>700312</v>
      </c>
      <c r="B3151" s="21" t="s">
        <v>3141</v>
      </c>
      <c r="C3151" s="21" t="s">
        <v>5470</v>
      </c>
      <c r="D3151" s="21" t="s">
        <v>11</v>
      </c>
      <c r="E3151" s="21" t="s">
        <v>11</v>
      </c>
    </row>
    <row r="3152" spans="1:5" s="21" customFormat="1" ht="15.75" hidden="1" customHeight="1">
      <c r="A3152" s="21">
        <v>700319</v>
      </c>
      <c r="B3152" s="21" t="s">
        <v>3142</v>
      </c>
      <c r="C3152" s="21" t="s">
        <v>5470</v>
      </c>
      <c r="D3152" s="21" t="s">
        <v>11</v>
      </c>
      <c r="E3152" s="21" t="s">
        <v>11</v>
      </c>
    </row>
    <row r="3153" spans="1:5" s="21" customFormat="1" ht="15.75" hidden="1" customHeight="1">
      <c r="A3153" s="21">
        <v>700320</v>
      </c>
      <c r="B3153" s="21" t="s">
        <v>3143</v>
      </c>
      <c r="C3153" s="21" t="s">
        <v>5470</v>
      </c>
      <c r="D3153" s="21" t="s">
        <v>11</v>
      </c>
      <c r="E3153" s="21" t="s">
        <v>11</v>
      </c>
    </row>
    <row r="3154" spans="1:5" s="21" customFormat="1" ht="15.75" hidden="1" customHeight="1">
      <c r="A3154" s="21">
        <v>700330</v>
      </c>
      <c r="B3154" s="21" t="s">
        <v>3144</v>
      </c>
      <c r="C3154" s="21" t="s">
        <v>5470</v>
      </c>
      <c r="D3154" s="21" t="s">
        <v>11</v>
      </c>
      <c r="E3154" s="21" t="s">
        <v>11</v>
      </c>
    </row>
    <row r="3155" spans="1:5" s="21" customFormat="1" ht="15.75" hidden="1" customHeight="1">
      <c r="A3155" s="21">
        <v>700420</v>
      </c>
      <c r="B3155" s="21" t="s">
        <v>3145</v>
      </c>
      <c r="C3155" s="21" t="s">
        <v>5470</v>
      </c>
      <c r="D3155" s="21" t="s">
        <v>11</v>
      </c>
      <c r="E3155" s="21" t="s">
        <v>11</v>
      </c>
    </row>
    <row r="3156" spans="1:5" s="21" customFormat="1" ht="15.75" hidden="1" customHeight="1">
      <c r="A3156" s="21">
        <v>700490</v>
      </c>
      <c r="B3156" s="21" t="s">
        <v>3146</v>
      </c>
      <c r="C3156" s="21" t="s">
        <v>5470</v>
      </c>
      <c r="D3156" s="21" t="s">
        <v>11</v>
      </c>
      <c r="E3156" s="21" t="s">
        <v>11</v>
      </c>
    </row>
    <row r="3157" spans="1:5" s="21" customFormat="1" ht="15.75" hidden="1" customHeight="1">
      <c r="A3157" s="21">
        <v>700510</v>
      </c>
      <c r="B3157" s="21" t="s">
        <v>3147</v>
      </c>
      <c r="C3157" s="21" t="s">
        <v>5470</v>
      </c>
      <c r="D3157" s="21" t="s">
        <v>11</v>
      </c>
      <c r="E3157" s="21" t="s">
        <v>11</v>
      </c>
    </row>
    <row r="3158" spans="1:5" s="21" customFormat="1" ht="15.75" hidden="1" customHeight="1">
      <c r="A3158" s="21">
        <v>700521</v>
      </c>
      <c r="B3158" s="21" t="s">
        <v>3148</v>
      </c>
      <c r="C3158" s="21" t="s">
        <v>5470</v>
      </c>
      <c r="D3158" s="21" t="s">
        <v>11</v>
      </c>
      <c r="E3158" s="21" t="s">
        <v>11</v>
      </c>
    </row>
    <row r="3159" spans="1:5" s="21" customFormat="1" ht="15.75" hidden="1" customHeight="1">
      <c r="A3159" s="21">
        <v>700529</v>
      </c>
      <c r="B3159" s="21" t="s">
        <v>3149</v>
      </c>
      <c r="C3159" s="21" t="s">
        <v>5470</v>
      </c>
      <c r="D3159" s="21" t="s">
        <v>11</v>
      </c>
      <c r="E3159" s="21" t="s">
        <v>11</v>
      </c>
    </row>
    <row r="3160" spans="1:5" s="21" customFormat="1" ht="15.75" hidden="1" customHeight="1">
      <c r="A3160" s="21">
        <v>700530</v>
      </c>
      <c r="B3160" s="21" t="s">
        <v>3150</v>
      </c>
      <c r="C3160" s="21" t="s">
        <v>5470</v>
      </c>
      <c r="D3160" s="21" t="s">
        <v>11</v>
      </c>
      <c r="E3160" s="21" t="s">
        <v>11</v>
      </c>
    </row>
    <row r="3161" spans="1:5" s="21" customFormat="1" ht="15.75" hidden="1" customHeight="1">
      <c r="A3161" s="21">
        <v>700600</v>
      </c>
      <c r="B3161" s="21" t="s">
        <v>3151</v>
      </c>
      <c r="C3161" s="21" t="s">
        <v>5797</v>
      </c>
      <c r="D3161" s="21" t="s">
        <v>11</v>
      </c>
      <c r="E3161" s="21" t="s">
        <v>11</v>
      </c>
    </row>
    <row r="3162" spans="1:5" s="21" customFormat="1" ht="15.75" hidden="1" customHeight="1">
      <c r="A3162" s="21">
        <v>700711</v>
      </c>
      <c r="B3162" s="21" t="s">
        <v>3152</v>
      </c>
      <c r="C3162" s="21" t="s">
        <v>5470</v>
      </c>
      <c r="D3162" s="21" t="s">
        <v>11</v>
      </c>
      <c r="E3162" s="21" t="s">
        <v>11</v>
      </c>
    </row>
    <row r="3163" spans="1:5" s="21" customFormat="1" ht="15.75" hidden="1" customHeight="1">
      <c r="A3163" s="21">
        <v>700719</v>
      </c>
      <c r="B3163" s="21" t="s">
        <v>3153</v>
      </c>
      <c r="C3163" s="21" t="s">
        <v>5470</v>
      </c>
      <c r="D3163" s="21" t="s">
        <v>11</v>
      </c>
      <c r="E3163" s="21" t="s">
        <v>11</v>
      </c>
    </row>
    <row r="3164" spans="1:5" s="21" customFormat="1" ht="15.75" hidden="1" customHeight="1">
      <c r="A3164" s="21">
        <v>700721</v>
      </c>
      <c r="B3164" s="21" t="s">
        <v>3154</v>
      </c>
      <c r="C3164" s="21" t="s">
        <v>5470</v>
      </c>
      <c r="D3164" s="21" t="s">
        <v>11</v>
      </c>
      <c r="E3164" s="21" t="s">
        <v>11</v>
      </c>
    </row>
    <row r="3165" spans="1:5" s="21" customFormat="1" ht="15.75" hidden="1" customHeight="1">
      <c r="A3165" s="21">
        <v>700729</v>
      </c>
      <c r="B3165" s="21" t="s">
        <v>3155</v>
      </c>
      <c r="C3165" s="21" t="s">
        <v>5470</v>
      </c>
      <c r="D3165" s="21" t="s">
        <v>11</v>
      </c>
      <c r="E3165" s="21" t="s">
        <v>11</v>
      </c>
    </row>
    <row r="3166" spans="1:5" s="21" customFormat="1" ht="15.75" hidden="1" customHeight="1">
      <c r="A3166" s="21">
        <v>700800</v>
      </c>
      <c r="B3166" s="21" t="s">
        <v>3156</v>
      </c>
      <c r="C3166" s="21" t="s">
        <v>5470</v>
      </c>
      <c r="D3166" s="21" t="s">
        <v>11</v>
      </c>
      <c r="E3166" s="21" t="s">
        <v>11</v>
      </c>
    </row>
    <row r="3167" spans="1:5" s="21" customFormat="1" ht="15.75" hidden="1" customHeight="1">
      <c r="A3167" s="21">
        <v>700910</v>
      </c>
      <c r="B3167" s="21" t="s">
        <v>3157</v>
      </c>
      <c r="C3167" s="21" t="s">
        <v>5470</v>
      </c>
      <c r="D3167" s="21" t="s">
        <v>11</v>
      </c>
      <c r="E3167" s="21" t="s">
        <v>11</v>
      </c>
    </row>
    <row r="3168" spans="1:5" s="21" customFormat="1" ht="15.75" hidden="1" customHeight="1">
      <c r="A3168" s="21">
        <v>700991</v>
      </c>
      <c r="B3168" s="21" t="s">
        <v>3158</v>
      </c>
      <c r="C3168" s="21" t="s">
        <v>5798</v>
      </c>
      <c r="D3168" s="21" t="s">
        <v>11</v>
      </c>
      <c r="E3168" s="21" t="s">
        <v>11</v>
      </c>
    </row>
    <row r="3169" spans="1:5" s="21" customFormat="1" ht="15.75" hidden="1" customHeight="1">
      <c r="A3169" s="21">
        <v>700992</v>
      </c>
      <c r="B3169" s="21" t="s">
        <v>3159</v>
      </c>
      <c r="C3169" s="21" t="s">
        <v>5798</v>
      </c>
      <c r="D3169" s="21" t="s">
        <v>11</v>
      </c>
      <c r="E3169" s="21" t="s">
        <v>11</v>
      </c>
    </row>
    <row r="3170" spans="1:5" s="21" customFormat="1" ht="15.75" hidden="1" customHeight="1">
      <c r="A3170" s="21">
        <v>701010</v>
      </c>
      <c r="B3170" s="21" t="s">
        <v>3160</v>
      </c>
      <c r="C3170" s="21" t="s">
        <v>5470</v>
      </c>
      <c r="D3170" s="21" t="s">
        <v>11</v>
      </c>
      <c r="E3170" s="21" t="s">
        <v>11</v>
      </c>
    </row>
    <row r="3171" spans="1:5" s="21" customFormat="1" ht="15.75" hidden="1" customHeight="1">
      <c r="A3171" s="21">
        <v>701020</v>
      </c>
      <c r="B3171" s="21" t="s">
        <v>3161</v>
      </c>
      <c r="C3171" s="21" t="s">
        <v>5470</v>
      </c>
      <c r="D3171" s="21" t="s">
        <v>11</v>
      </c>
      <c r="E3171" s="21" t="s">
        <v>11</v>
      </c>
    </row>
    <row r="3172" spans="1:5" s="21" customFormat="1" ht="15.75" hidden="1" customHeight="1">
      <c r="A3172" s="21">
        <v>701090</v>
      </c>
      <c r="B3172" s="21" t="s">
        <v>3162</v>
      </c>
      <c r="C3172" s="21" t="s">
        <v>5470</v>
      </c>
      <c r="D3172" s="21" t="s">
        <v>11</v>
      </c>
      <c r="E3172" s="21" t="s">
        <v>11</v>
      </c>
    </row>
    <row r="3173" spans="1:5" s="21" customFormat="1" ht="15.75" hidden="1" customHeight="1">
      <c r="A3173" s="21">
        <v>701110</v>
      </c>
      <c r="B3173" s="21" t="s">
        <v>3163</v>
      </c>
      <c r="C3173" s="21" t="s">
        <v>5799</v>
      </c>
      <c r="D3173" s="21" t="s">
        <v>11</v>
      </c>
      <c r="E3173" s="21" t="s">
        <v>11</v>
      </c>
    </row>
    <row r="3174" spans="1:5" s="21" customFormat="1" ht="15.75" hidden="1" customHeight="1">
      <c r="A3174" s="21">
        <v>701120</v>
      </c>
      <c r="B3174" s="21" t="s">
        <v>3164</v>
      </c>
      <c r="C3174" s="21" t="s">
        <v>5799</v>
      </c>
      <c r="D3174" s="21" t="s">
        <v>11</v>
      </c>
      <c r="E3174" s="21" t="s">
        <v>11</v>
      </c>
    </row>
    <row r="3175" spans="1:5" s="21" customFormat="1" ht="15.75" hidden="1" customHeight="1">
      <c r="A3175" s="21">
        <v>701190</v>
      </c>
      <c r="B3175" s="21" t="s">
        <v>3165</v>
      </c>
      <c r="C3175" s="21" t="s">
        <v>5799</v>
      </c>
      <c r="D3175" s="21" t="s">
        <v>11</v>
      </c>
      <c r="E3175" s="21" t="s">
        <v>11</v>
      </c>
    </row>
    <row r="3176" spans="1:5" s="21" customFormat="1" ht="15.75" hidden="1" customHeight="1">
      <c r="A3176" s="21">
        <v>701310</v>
      </c>
      <c r="B3176" s="21" t="s">
        <v>3166</v>
      </c>
      <c r="C3176" s="21" t="s">
        <v>5800</v>
      </c>
      <c r="D3176" s="21" t="s">
        <v>11</v>
      </c>
      <c r="E3176" s="21" t="s">
        <v>11</v>
      </c>
    </row>
    <row r="3177" spans="1:5" s="21" customFormat="1" ht="15.75" hidden="1" customHeight="1">
      <c r="A3177" s="21">
        <v>701322</v>
      </c>
      <c r="B3177" s="21" t="s">
        <v>3167</v>
      </c>
      <c r="C3177" s="21" t="s">
        <v>3167</v>
      </c>
      <c r="D3177" s="21" t="s">
        <v>11</v>
      </c>
      <c r="E3177" s="21" t="s">
        <v>11</v>
      </c>
    </row>
    <row r="3178" spans="1:5" s="21" customFormat="1" ht="15.75" hidden="1" customHeight="1">
      <c r="A3178" s="21">
        <v>701328</v>
      </c>
      <c r="B3178" s="21" t="s">
        <v>3168</v>
      </c>
      <c r="C3178" s="21" t="s">
        <v>3168</v>
      </c>
      <c r="D3178" s="21" t="s">
        <v>11</v>
      </c>
      <c r="E3178" s="21" t="s">
        <v>11</v>
      </c>
    </row>
    <row r="3179" spans="1:5" s="21" customFormat="1" ht="15.75" hidden="1" customHeight="1">
      <c r="A3179" s="21">
        <v>701333</v>
      </c>
      <c r="B3179" s="21" t="s">
        <v>3169</v>
      </c>
      <c r="C3179" s="21" t="s">
        <v>5800</v>
      </c>
      <c r="D3179" s="21" t="s">
        <v>11</v>
      </c>
      <c r="E3179" s="21" t="s">
        <v>11</v>
      </c>
    </row>
    <row r="3180" spans="1:5" s="21" customFormat="1" ht="15.75" hidden="1" customHeight="1">
      <c r="A3180" s="21">
        <v>701337</v>
      </c>
      <c r="B3180" s="21" t="s">
        <v>3170</v>
      </c>
      <c r="C3180" s="21" t="s">
        <v>5800</v>
      </c>
      <c r="D3180" s="21" t="s">
        <v>11</v>
      </c>
      <c r="E3180" s="21" t="s">
        <v>11</v>
      </c>
    </row>
    <row r="3181" spans="1:5" s="21" customFormat="1" ht="15.75" hidden="1" customHeight="1">
      <c r="A3181" s="21">
        <v>701341</v>
      </c>
      <c r="B3181" s="21" t="s">
        <v>3171</v>
      </c>
      <c r="C3181" s="21" t="s">
        <v>3171</v>
      </c>
      <c r="D3181" s="21" t="s">
        <v>11</v>
      </c>
      <c r="E3181" s="21" t="s">
        <v>11</v>
      </c>
    </row>
    <row r="3182" spans="1:5" s="21" customFormat="1" ht="15.75" hidden="1" customHeight="1">
      <c r="A3182" s="21">
        <v>701342</v>
      </c>
      <c r="B3182" s="21" t="s">
        <v>3172</v>
      </c>
      <c r="C3182" s="21" t="s">
        <v>3172</v>
      </c>
      <c r="D3182" s="21" t="s">
        <v>11</v>
      </c>
      <c r="E3182" s="21" t="s">
        <v>11</v>
      </c>
    </row>
    <row r="3183" spans="1:5" s="21" customFormat="1" ht="15.75" hidden="1" customHeight="1">
      <c r="A3183" s="21">
        <v>701349</v>
      </c>
      <c r="B3183" s="21" t="s">
        <v>3173</v>
      </c>
      <c r="C3183" s="21" t="s">
        <v>3173</v>
      </c>
      <c r="D3183" s="21" t="s">
        <v>11</v>
      </c>
      <c r="E3183" s="21" t="s">
        <v>11</v>
      </c>
    </row>
    <row r="3184" spans="1:5" s="21" customFormat="1" ht="15.75" hidden="1" customHeight="1">
      <c r="A3184" s="21">
        <v>701391</v>
      </c>
      <c r="B3184" s="21" t="s">
        <v>3174</v>
      </c>
      <c r="C3184" s="21" t="s">
        <v>5800</v>
      </c>
      <c r="D3184" s="21" t="s">
        <v>11</v>
      </c>
      <c r="E3184" s="21" t="s">
        <v>11</v>
      </c>
    </row>
    <row r="3185" spans="1:5" s="21" customFormat="1" ht="15.75" hidden="1" customHeight="1">
      <c r="A3185" s="21">
        <v>701399</v>
      </c>
      <c r="B3185" s="21" t="s">
        <v>3175</v>
      </c>
      <c r="C3185" s="21" t="s">
        <v>5800</v>
      </c>
      <c r="D3185" s="21" t="s">
        <v>11</v>
      </c>
      <c r="E3185" s="21" t="s">
        <v>11</v>
      </c>
    </row>
    <row r="3186" spans="1:5" s="21" customFormat="1" ht="15.75" hidden="1" customHeight="1">
      <c r="A3186" s="21">
        <v>701400</v>
      </c>
      <c r="B3186" s="21" t="s">
        <v>3176</v>
      </c>
      <c r="C3186" s="21" t="s">
        <v>5800</v>
      </c>
      <c r="D3186" s="21" t="s">
        <v>11</v>
      </c>
      <c r="E3186" s="21" t="s">
        <v>11</v>
      </c>
    </row>
    <row r="3187" spans="1:5" s="21" customFormat="1" ht="15.75" hidden="1" customHeight="1">
      <c r="A3187" s="21">
        <v>701510</v>
      </c>
      <c r="B3187" s="21" t="s">
        <v>3177</v>
      </c>
      <c r="C3187" s="21" t="s">
        <v>5801</v>
      </c>
      <c r="D3187" s="21" t="s">
        <v>11</v>
      </c>
      <c r="E3187" s="21" t="s">
        <v>11</v>
      </c>
    </row>
    <row r="3188" spans="1:5" s="21" customFormat="1" ht="15.75" hidden="1" customHeight="1">
      <c r="A3188" s="21">
        <v>701590</v>
      </c>
      <c r="B3188" s="21" t="s">
        <v>3178</v>
      </c>
      <c r="C3188" s="21" t="s">
        <v>5802</v>
      </c>
      <c r="D3188" s="21" t="s">
        <v>11</v>
      </c>
      <c r="E3188" s="21" t="s">
        <v>11</v>
      </c>
    </row>
    <row r="3189" spans="1:5" s="21" customFormat="1" ht="15.75" hidden="1" customHeight="1">
      <c r="A3189" s="21">
        <v>701610</v>
      </c>
      <c r="B3189" s="21" t="s">
        <v>3179</v>
      </c>
      <c r="C3189" s="21" t="s">
        <v>5803</v>
      </c>
      <c r="D3189" s="21" t="s">
        <v>11</v>
      </c>
      <c r="E3189" s="21" t="s">
        <v>11</v>
      </c>
    </row>
    <row r="3190" spans="1:5" s="21" customFormat="1" ht="15.75" hidden="1" customHeight="1">
      <c r="A3190" s="21">
        <v>701690</v>
      </c>
      <c r="B3190" s="21" t="s">
        <v>3180</v>
      </c>
      <c r="C3190" s="21" t="s">
        <v>5804</v>
      </c>
      <c r="D3190" s="21" t="s">
        <v>11</v>
      </c>
      <c r="E3190" s="21" t="s">
        <v>11</v>
      </c>
    </row>
    <row r="3191" spans="1:5" s="21" customFormat="1" ht="15.75" hidden="1" customHeight="1">
      <c r="A3191" s="21">
        <v>701710</v>
      </c>
      <c r="B3191" s="21" t="s">
        <v>3181</v>
      </c>
      <c r="C3191" s="21" t="s">
        <v>5800</v>
      </c>
      <c r="D3191" s="21" t="s">
        <v>11</v>
      </c>
      <c r="E3191" s="21" t="s">
        <v>11</v>
      </c>
    </row>
    <row r="3192" spans="1:5" s="21" customFormat="1" ht="15.75" hidden="1" customHeight="1">
      <c r="A3192" s="21">
        <v>701720</v>
      </c>
      <c r="B3192" s="21" t="s">
        <v>3182</v>
      </c>
      <c r="C3192" s="21" t="s">
        <v>5800</v>
      </c>
      <c r="D3192" s="21" t="s">
        <v>11</v>
      </c>
      <c r="E3192" s="21" t="s">
        <v>11</v>
      </c>
    </row>
    <row r="3193" spans="1:5" s="21" customFormat="1" ht="15.75" hidden="1" customHeight="1">
      <c r="A3193" s="21">
        <v>701790</v>
      </c>
      <c r="B3193" s="21" t="s">
        <v>3183</v>
      </c>
      <c r="C3193" s="21" t="s">
        <v>5800</v>
      </c>
      <c r="D3193" s="21" t="s">
        <v>11</v>
      </c>
      <c r="E3193" s="21" t="s">
        <v>11</v>
      </c>
    </row>
    <row r="3194" spans="1:5" s="21" customFormat="1" ht="15.75" hidden="1" customHeight="1">
      <c r="A3194" s="21">
        <v>701810</v>
      </c>
      <c r="B3194" s="21" t="s">
        <v>3184</v>
      </c>
      <c r="C3194" s="21" t="s">
        <v>5470</v>
      </c>
      <c r="D3194" s="21" t="s">
        <v>11</v>
      </c>
      <c r="E3194" s="21" t="s">
        <v>11</v>
      </c>
    </row>
    <row r="3195" spans="1:5" s="21" customFormat="1" ht="15.75" hidden="1" customHeight="1">
      <c r="A3195" s="21">
        <v>701820</v>
      </c>
      <c r="B3195" s="21" t="s">
        <v>3185</v>
      </c>
      <c r="C3195" s="21" t="s">
        <v>5805</v>
      </c>
      <c r="D3195" s="21" t="s">
        <v>11</v>
      </c>
      <c r="E3195" s="21" t="s">
        <v>11</v>
      </c>
    </row>
    <row r="3196" spans="1:5" s="21" customFormat="1" ht="15.75" hidden="1" customHeight="1">
      <c r="A3196" s="21">
        <v>701890</v>
      </c>
      <c r="B3196" s="21" t="s">
        <v>3186</v>
      </c>
      <c r="C3196" s="21" t="s">
        <v>5470</v>
      </c>
      <c r="D3196" s="21" t="s">
        <v>11</v>
      </c>
      <c r="E3196" s="21" t="s">
        <v>11</v>
      </c>
    </row>
    <row r="3197" spans="1:5" s="21" customFormat="1" ht="15.75" hidden="1" customHeight="1">
      <c r="A3197" s="21">
        <v>701911</v>
      </c>
      <c r="B3197" s="21" t="s">
        <v>3187</v>
      </c>
      <c r="C3197" s="21" t="s">
        <v>5806</v>
      </c>
      <c r="D3197" s="21" t="s">
        <v>11</v>
      </c>
      <c r="E3197" s="21" t="s">
        <v>11</v>
      </c>
    </row>
    <row r="3198" spans="1:5" s="21" customFormat="1" ht="15.75" hidden="1" customHeight="1">
      <c r="A3198" s="21">
        <v>701912</v>
      </c>
      <c r="B3198" s="21" t="s">
        <v>3188</v>
      </c>
      <c r="C3198" s="21" t="s">
        <v>5806</v>
      </c>
      <c r="D3198" s="21" t="s">
        <v>11</v>
      </c>
      <c r="E3198" s="21" t="s">
        <v>11</v>
      </c>
    </row>
    <row r="3199" spans="1:5" s="21" customFormat="1" ht="15.75" hidden="1" customHeight="1">
      <c r="A3199" s="21">
        <v>701919</v>
      </c>
      <c r="B3199" s="21" t="s">
        <v>3189</v>
      </c>
      <c r="C3199" s="21" t="s">
        <v>5806</v>
      </c>
      <c r="D3199" s="21" t="s">
        <v>11</v>
      </c>
      <c r="E3199" s="21" t="s">
        <v>11</v>
      </c>
    </row>
    <row r="3200" spans="1:5" s="21" customFormat="1" ht="15.75" hidden="1" customHeight="1">
      <c r="A3200" s="21">
        <v>701931</v>
      </c>
      <c r="B3200" s="21" t="s">
        <v>3190</v>
      </c>
      <c r="C3200" s="21" t="s">
        <v>5806</v>
      </c>
      <c r="D3200" s="21" t="s">
        <v>11</v>
      </c>
      <c r="E3200" s="21" t="s">
        <v>11</v>
      </c>
    </row>
    <row r="3201" spans="1:5" s="21" customFormat="1" ht="15.75" hidden="1" customHeight="1">
      <c r="A3201" s="21">
        <v>701932</v>
      </c>
      <c r="B3201" s="21" t="s">
        <v>3191</v>
      </c>
      <c r="C3201" s="21" t="s">
        <v>5806</v>
      </c>
      <c r="D3201" s="21" t="s">
        <v>11</v>
      </c>
      <c r="E3201" s="21" t="s">
        <v>11</v>
      </c>
    </row>
    <row r="3202" spans="1:5" s="21" customFormat="1" ht="15.75" hidden="1" customHeight="1">
      <c r="A3202" s="21">
        <v>701939</v>
      </c>
      <c r="B3202" s="21" t="s">
        <v>3192</v>
      </c>
      <c r="C3202" s="21" t="s">
        <v>5806</v>
      </c>
      <c r="D3202" s="21" t="s">
        <v>11</v>
      </c>
      <c r="E3202" s="21" t="s">
        <v>11</v>
      </c>
    </row>
    <row r="3203" spans="1:5" s="21" customFormat="1" ht="15.75" hidden="1" customHeight="1">
      <c r="A3203" s="21">
        <v>701940</v>
      </c>
      <c r="B3203" s="21" t="s">
        <v>3193</v>
      </c>
      <c r="C3203" s="21" t="s">
        <v>5806</v>
      </c>
      <c r="D3203" s="21" t="s">
        <v>11</v>
      </c>
      <c r="E3203" s="21" t="s">
        <v>11</v>
      </c>
    </row>
    <row r="3204" spans="1:5" s="21" customFormat="1" ht="15.75" hidden="1" customHeight="1">
      <c r="A3204" s="21">
        <v>701951</v>
      </c>
      <c r="B3204" s="21" t="s">
        <v>3194</v>
      </c>
      <c r="C3204" s="21" t="s">
        <v>5806</v>
      </c>
      <c r="D3204" s="21" t="s">
        <v>11</v>
      </c>
      <c r="E3204" s="21" t="s">
        <v>11</v>
      </c>
    </row>
    <row r="3205" spans="1:5" s="21" customFormat="1" ht="15.75" hidden="1" customHeight="1">
      <c r="A3205" s="21">
        <v>701952</v>
      </c>
      <c r="B3205" s="21" t="s">
        <v>3195</v>
      </c>
      <c r="C3205" s="21" t="s">
        <v>5806</v>
      </c>
      <c r="D3205" s="21" t="s">
        <v>11</v>
      </c>
      <c r="E3205" s="21" t="s">
        <v>11</v>
      </c>
    </row>
    <row r="3206" spans="1:5" s="21" customFormat="1" ht="15.75" hidden="1" customHeight="1">
      <c r="A3206" s="21">
        <v>701959</v>
      </c>
      <c r="B3206" s="21" t="s">
        <v>3196</v>
      </c>
      <c r="C3206" s="21" t="s">
        <v>5806</v>
      </c>
      <c r="D3206" s="21" t="s">
        <v>11</v>
      </c>
      <c r="E3206" s="21" t="s">
        <v>11</v>
      </c>
    </row>
    <row r="3207" spans="1:5" s="21" customFormat="1" ht="15.75" hidden="1" customHeight="1">
      <c r="A3207" s="21">
        <v>701990</v>
      </c>
      <c r="B3207" s="21" t="s">
        <v>3197</v>
      </c>
      <c r="C3207" s="21" t="s">
        <v>5806</v>
      </c>
      <c r="D3207" s="21" t="s">
        <v>11</v>
      </c>
      <c r="E3207" s="21" t="s">
        <v>11</v>
      </c>
    </row>
    <row r="3208" spans="1:5" s="21" customFormat="1" ht="15.75" hidden="1" customHeight="1">
      <c r="A3208" s="21">
        <v>702000</v>
      </c>
      <c r="B3208" s="21" t="s">
        <v>3198</v>
      </c>
      <c r="C3208" s="21" t="s">
        <v>5470</v>
      </c>
      <c r="D3208" s="21" t="s">
        <v>11</v>
      </c>
      <c r="E3208" s="21" t="s">
        <v>11</v>
      </c>
    </row>
    <row r="3209" spans="1:5" s="21" customFormat="1" ht="15.75" hidden="1" customHeight="1">
      <c r="A3209" s="21">
        <v>710110</v>
      </c>
      <c r="B3209" s="21" t="s">
        <v>3199</v>
      </c>
      <c r="C3209" s="21" t="s">
        <v>5807</v>
      </c>
      <c r="D3209" s="21" t="s">
        <v>11</v>
      </c>
      <c r="E3209" s="21" t="s">
        <v>11</v>
      </c>
    </row>
    <row r="3210" spans="1:5" s="21" customFormat="1" ht="15.75" hidden="1" customHeight="1">
      <c r="A3210" s="21">
        <v>710121</v>
      </c>
      <c r="B3210" s="21" t="s">
        <v>3200</v>
      </c>
      <c r="C3210" s="21" t="s">
        <v>5807</v>
      </c>
      <c r="D3210" s="21" t="s">
        <v>11</v>
      </c>
      <c r="E3210" s="21" t="s">
        <v>11</v>
      </c>
    </row>
    <row r="3211" spans="1:5" s="21" customFormat="1" ht="15.75" hidden="1" customHeight="1">
      <c r="A3211" s="21">
        <v>710122</v>
      </c>
      <c r="B3211" s="21" t="s">
        <v>3201</v>
      </c>
      <c r="C3211" s="21" t="s">
        <v>5807</v>
      </c>
      <c r="D3211" s="21" t="s">
        <v>11</v>
      </c>
      <c r="E3211" s="21" t="s">
        <v>11</v>
      </c>
    </row>
    <row r="3212" spans="1:5" s="21" customFormat="1" ht="15.75" hidden="1" customHeight="1">
      <c r="A3212" s="21">
        <v>710210</v>
      </c>
      <c r="B3212" s="21" t="s">
        <v>3202</v>
      </c>
      <c r="C3212" s="21" t="s">
        <v>5808</v>
      </c>
      <c r="D3212" s="21" t="s">
        <v>11</v>
      </c>
      <c r="E3212" s="21" t="s">
        <v>11</v>
      </c>
    </row>
    <row r="3213" spans="1:5" s="21" customFormat="1" ht="15.75" hidden="1" customHeight="1">
      <c r="A3213" s="21">
        <v>710221</v>
      </c>
      <c r="B3213" s="21" t="s">
        <v>3203</v>
      </c>
      <c r="C3213" s="21" t="s">
        <v>5808</v>
      </c>
      <c r="D3213" s="21" t="s">
        <v>11</v>
      </c>
      <c r="E3213" s="21" t="s">
        <v>11</v>
      </c>
    </row>
    <row r="3214" spans="1:5" s="21" customFormat="1" ht="15.75" hidden="1" customHeight="1">
      <c r="A3214" s="21">
        <v>710229</v>
      </c>
      <c r="B3214" s="21" t="s">
        <v>3204</v>
      </c>
      <c r="C3214" s="21" t="s">
        <v>5808</v>
      </c>
      <c r="D3214" s="21" t="s">
        <v>11</v>
      </c>
      <c r="E3214" s="21" t="s">
        <v>11</v>
      </c>
    </row>
    <row r="3215" spans="1:5" s="21" customFormat="1" ht="15.75" hidden="1" customHeight="1">
      <c r="A3215" s="21">
        <v>710231</v>
      </c>
      <c r="B3215" s="21" t="s">
        <v>3205</v>
      </c>
      <c r="C3215" s="21" t="s">
        <v>5808</v>
      </c>
      <c r="D3215" s="21" t="s">
        <v>11</v>
      </c>
      <c r="E3215" s="21" t="s">
        <v>11</v>
      </c>
    </row>
    <row r="3216" spans="1:5" s="21" customFormat="1" ht="15.75" hidden="1" customHeight="1">
      <c r="A3216" s="21">
        <v>710239</v>
      </c>
      <c r="B3216" s="21" t="s">
        <v>3206</v>
      </c>
      <c r="C3216" s="21" t="s">
        <v>5808</v>
      </c>
      <c r="D3216" s="21" t="s">
        <v>11</v>
      </c>
      <c r="E3216" s="21" t="s">
        <v>11</v>
      </c>
    </row>
    <row r="3217" spans="1:5" s="21" customFormat="1" ht="15.75" hidden="1" customHeight="1">
      <c r="A3217" s="21">
        <v>710310</v>
      </c>
      <c r="B3217" s="21" t="s">
        <v>3207</v>
      </c>
      <c r="C3217" s="21" t="s">
        <v>5310</v>
      </c>
      <c r="D3217" s="21" t="s">
        <v>11</v>
      </c>
      <c r="E3217" s="21" t="s">
        <v>11</v>
      </c>
    </row>
    <row r="3218" spans="1:5" s="21" customFormat="1" ht="15.75" hidden="1" customHeight="1">
      <c r="A3218" s="21">
        <v>710391</v>
      </c>
      <c r="B3218" s="21" t="s">
        <v>3208</v>
      </c>
      <c r="C3218" s="21" t="s">
        <v>5310</v>
      </c>
      <c r="D3218" s="21" t="s">
        <v>11</v>
      </c>
      <c r="E3218" s="21" t="s">
        <v>11</v>
      </c>
    </row>
    <row r="3219" spans="1:5" s="21" customFormat="1" ht="15.75" hidden="1" customHeight="1">
      <c r="A3219" s="21">
        <v>710399</v>
      </c>
      <c r="B3219" s="21" t="s">
        <v>3209</v>
      </c>
      <c r="C3219" s="21" t="s">
        <v>5310</v>
      </c>
      <c r="D3219" s="21" t="s">
        <v>11</v>
      </c>
      <c r="E3219" s="21" t="s">
        <v>11</v>
      </c>
    </row>
    <row r="3220" spans="1:5" s="21" customFormat="1" ht="15.75" hidden="1" customHeight="1">
      <c r="A3220" s="21">
        <v>710410</v>
      </c>
      <c r="B3220" s="21" t="s">
        <v>3210</v>
      </c>
      <c r="C3220" s="21" t="s">
        <v>5310</v>
      </c>
      <c r="D3220" s="21" t="s">
        <v>11</v>
      </c>
      <c r="E3220" s="21" t="s">
        <v>11</v>
      </c>
    </row>
    <row r="3221" spans="1:5" s="21" customFormat="1" ht="15.75" hidden="1" customHeight="1">
      <c r="A3221" s="21">
        <v>710420</v>
      </c>
      <c r="B3221" s="21" t="s">
        <v>3211</v>
      </c>
      <c r="C3221" s="21" t="s">
        <v>5310</v>
      </c>
      <c r="D3221" s="21" t="s">
        <v>11</v>
      </c>
      <c r="E3221" s="21" t="s">
        <v>11</v>
      </c>
    </row>
    <row r="3222" spans="1:5" s="21" customFormat="1" ht="15.75" hidden="1" customHeight="1">
      <c r="A3222" s="21">
        <v>710490</v>
      </c>
      <c r="B3222" s="21" t="s">
        <v>3212</v>
      </c>
      <c r="C3222" s="21" t="s">
        <v>5310</v>
      </c>
      <c r="D3222" s="21" t="s">
        <v>11</v>
      </c>
      <c r="E3222" s="21" t="s">
        <v>11</v>
      </c>
    </row>
    <row r="3223" spans="1:5" s="21" customFormat="1" ht="15.75" hidden="1" customHeight="1">
      <c r="A3223" s="21">
        <v>710510</v>
      </c>
      <c r="B3223" s="21" t="s">
        <v>3213</v>
      </c>
      <c r="C3223" s="21" t="s">
        <v>5310</v>
      </c>
      <c r="D3223" s="21" t="s">
        <v>11</v>
      </c>
      <c r="E3223" s="21" t="s">
        <v>11</v>
      </c>
    </row>
    <row r="3224" spans="1:5" s="21" customFormat="1" ht="15.75" hidden="1" customHeight="1">
      <c r="A3224" s="21">
        <v>710590</v>
      </c>
      <c r="B3224" s="21" t="s">
        <v>3214</v>
      </c>
      <c r="C3224" s="21" t="s">
        <v>5310</v>
      </c>
      <c r="D3224" s="21" t="s">
        <v>11</v>
      </c>
      <c r="E3224" s="21" t="s">
        <v>11</v>
      </c>
    </row>
    <row r="3225" spans="1:5" s="21" customFormat="1" ht="15.75" hidden="1" customHeight="1">
      <c r="A3225" s="21">
        <v>710610</v>
      </c>
      <c r="B3225" s="21" t="s">
        <v>3215</v>
      </c>
      <c r="C3225" s="21" t="s">
        <v>5809</v>
      </c>
      <c r="D3225" s="21" t="s">
        <v>11</v>
      </c>
      <c r="E3225" s="21" t="s">
        <v>11</v>
      </c>
    </row>
    <row r="3226" spans="1:5" s="21" customFormat="1" ht="15.75" hidden="1" customHeight="1">
      <c r="A3226" s="21">
        <v>710691</v>
      </c>
      <c r="B3226" s="21" t="s">
        <v>3216</v>
      </c>
      <c r="C3226" s="21" t="s">
        <v>5809</v>
      </c>
      <c r="D3226" s="21" t="s">
        <v>11</v>
      </c>
      <c r="E3226" s="21" t="s">
        <v>11</v>
      </c>
    </row>
    <row r="3227" spans="1:5" s="21" customFormat="1" ht="15.75" hidden="1" customHeight="1">
      <c r="A3227" s="21">
        <v>710692</v>
      </c>
      <c r="B3227" s="21" t="s">
        <v>3217</v>
      </c>
      <c r="C3227" s="21" t="s">
        <v>5809</v>
      </c>
      <c r="D3227" s="21" t="s">
        <v>11</v>
      </c>
      <c r="E3227" s="21" t="s">
        <v>11</v>
      </c>
    </row>
    <row r="3228" spans="1:5" s="21" customFormat="1" ht="15.75" hidden="1" customHeight="1">
      <c r="A3228" s="21">
        <v>710700</v>
      </c>
      <c r="B3228" s="21" t="s">
        <v>3218</v>
      </c>
      <c r="C3228" s="21" t="s">
        <v>5810</v>
      </c>
      <c r="D3228" s="21" t="s">
        <v>11</v>
      </c>
      <c r="E3228" s="21" t="s">
        <v>11</v>
      </c>
    </row>
    <row r="3229" spans="1:5" s="21" customFormat="1" ht="15.75" hidden="1" customHeight="1">
      <c r="A3229" s="21">
        <v>710811</v>
      </c>
      <c r="B3229" s="21" t="s">
        <v>3219</v>
      </c>
      <c r="C3229" s="21" t="s">
        <v>5809</v>
      </c>
      <c r="D3229" s="21" t="s">
        <v>11</v>
      </c>
      <c r="E3229" s="21" t="s">
        <v>11</v>
      </c>
    </row>
    <row r="3230" spans="1:5" s="21" customFormat="1" ht="15.75" hidden="1" customHeight="1">
      <c r="A3230" s="21">
        <v>710812</v>
      </c>
      <c r="B3230" s="21" t="s">
        <v>3220</v>
      </c>
      <c r="C3230" s="21" t="s">
        <v>5809</v>
      </c>
      <c r="D3230" s="21" t="s">
        <v>11</v>
      </c>
      <c r="E3230" s="21" t="s">
        <v>11</v>
      </c>
    </row>
    <row r="3231" spans="1:5" s="21" customFormat="1" ht="15.75" hidden="1" customHeight="1">
      <c r="A3231" s="21">
        <v>710813</v>
      </c>
      <c r="B3231" s="21" t="s">
        <v>3221</v>
      </c>
      <c r="C3231" s="21" t="s">
        <v>5809</v>
      </c>
      <c r="D3231" s="21" t="s">
        <v>11</v>
      </c>
      <c r="E3231" s="21" t="s">
        <v>11</v>
      </c>
    </row>
    <row r="3232" spans="1:5" s="21" customFormat="1" ht="15.75" hidden="1" customHeight="1">
      <c r="A3232" s="21">
        <v>710820</v>
      </c>
      <c r="B3232" s="21" t="s">
        <v>3222</v>
      </c>
      <c r="C3232" s="21" t="s">
        <v>3222</v>
      </c>
      <c r="D3232" s="21" t="s">
        <v>11</v>
      </c>
      <c r="E3232" s="21" t="s">
        <v>11</v>
      </c>
    </row>
    <row r="3233" spans="1:5" s="21" customFormat="1" ht="15.75" hidden="1" customHeight="1">
      <c r="A3233" s="21">
        <v>710900</v>
      </c>
      <c r="B3233" s="21" t="s">
        <v>3223</v>
      </c>
      <c r="C3233" s="21" t="s">
        <v>5811</v>
      </c>
      <c r="D3233" s="21" t="s">
        <v>11</v>
      </c>
      <c r="E3233" s="21" t="s">
        <v>11</v>
      </c>
    </row>
    <row r="3234" spans="1:5" s="21" customFormat="1" ht="15.75" hidden="1" customHeight="1">
      <c r="A3234" s="21">
        <v>711011</v>
      </c>
      <c r="B3234" s="21" t="s">
        <v>3224</v>
      </c>
      <c r="C3234" s="21" t="s">
        <v>5809</v>
      </c>
      <c r="D3234" s="21" t="s">
        <v>11</v>
      </c>
      <c r="E3234" s="21" t="s">
        <v>11</v>
      </c>
    </row>
    <row r="3235" spans="1:5" s="21" customFormat="1" ht="15.75" hidden="1" customHeight="1">
      <c r="A3235" s="21">
        <v>711019</v>
      </c>
      <c r="B3235" s="21" t="s">
        <v>3225</v>
      </c>
      <c r="C3235" s="21" t="s">
        <v>5809</v>
      </c>
      <c r="D3235" s="21" t="s">
        <v>11</v>
      </c>
      <c r="E3235" s="21" t="s">
        <v>11</v>
      </c>
    </row>
    <row r="3236" spans="1:5" s="21" customFormat="1" ht="15.75" hidden="1" customHeight="1">
      <c r="A3236" s="21">
        <v>711021</v>
      </c>
      <c r="B3236" s="21" t="s">
        <v>3226</v>
      </c>
      <c r="C3236" s="21" t="s">
        <v>5809</v>
      </c>
      <c r="D3236" s="21" t="s">
        <v>11</v>
      </c>
      <c r="E3236" s="21" t="s">
        <v>11</v>
      </c>
    </row>
    <row r="3237" spans="1:5" s="21" customFormat="1" ht="15.75" hidden="1" customHeight="1">
      <c r="A3237" s="21">
        <v>711029</v>
      </c>
      <c r="B3237" s="21" t="s">
        <v>3227</v>
      </c>
      <c r="C3237" s="21" t="s">
        <v>5809</v>
      </c>
      <c r="D3237" s="21" t="s">
        <v>11</v>
      </c>
      <c r="E3237" s="21" t="s">
        <v>11</v>
      </c>
    </row>
    <row r="3238" spans="1:5" s="21" customFormat="1" ht="15.75" hidden="1" customHeight="1">
      <c r="A3238" s="21">
        <v>711031</v>
      </c>
      <c r="B3238" s="21" t="s">
        <v>3228</v>
      </c>
      <c r="C3238" s="21" t="s">
        <v>5809</v>
      </c>
      <c r="D3238" s="21" t="s">
        <v>11</v>
      </c>
      <c r="E3238" s="21" t="s">
        <v>11</v>
      </c>
    </row>
    <row r="3239" spans="1:5" s="21" customFormat="1" ht="15.75" hidden="1" customHeight="1">
      <c r="A3239" s="21">
        <v>711039</v>
      </c>
      <c r="B3239" s="21" t="s">
        <v>3229</v>
      </c>
      <c r="C3239" s="21" t="s">
        <v>5809</v>
      </c>
      <c r="D3239" s="21" t="s">
        <v>11</v>
      </c>
      <c r="E3239" s="21" t="s">
        <v>11</v>
      </c>
    </row>
    <row r="3240" spans="1:5" s="21" customFormat="1" ht="15.75" hidden="1" customHeight="1">
      <c r="A3240" s="21">
        <v>711041</v>
      </c>
      <c r="B3240" s="21" t="s">
        <v>3230</v>
      </c>
      <c r="C3240" s="21" t="s">
        <v>5809</v>
      </c>
      <c r="D3240" s="21" t="s">
        <v>11</v>
      </c>
      <c r="E3240" s="21" t="s">
        <v>11</v>
      </c>
    </row>
    <row r="3241" spans="1:5" s="21" customFormat="1" ht="15.75" hidden="1" customHeight="1">
      <c r="A3241" s="21">
        <v>711049</v>
      </c>
      <c r="B3241" s="21" t="s">
        <v>3231</v>
      </c>
      <c r="C3241" s="21" t="s">
        <v>5809</v>
      </c>
      <c r="D3241" s="21" t="s">
        <v>11</v>
      </c>
      <c r="E3241" s="21" t="s">
        <v>11</v>
      </c>
    </row>
    <row r="3242" spans="1:5" s="21" customFormat="1" ht="15.75" hidden="1" customHeight="1">
      <c r="A3242" s="21">
        <v>711100</v>
      </c>
      <c r="B3242" s="21" t="s">
        <v>3232</v>
      </c>
      <c r="C3242" s="21" t="s">
        <v>5812</v>
      </c>
      <c r="D3242" s="21" t="s">
        <v>11</v>
      </c>
      <c r="E3242" s="21" t="s">
        <v>11</v>
      </c>
    </row>
    <row r="3243" spans="1:5" s="21" customFormat="1" ht="15.75" hidden="1" customHeight="1">
      <c r="A3243" s="21">
        <v>711230</v>
      </c>
      <c r="B3243" s="21" t="s">
        <v>3233</v>
      </c>
      <c r="C3243" s="21" t="s">
        <v>5813</v>
      </c>
      <c r="D3243" s="21" t="s">
        <v>11</v>
      </c>
      <c r="E3243" s="21" t="s">
        <v>11</v>
      </c>
    </row>
    <row r="3244" spans="1:5" s="21" customFormat="1" ht="15.75" hidden="1" customHeight="1">
      <c r="A3244" s="21">
        <v>711291</v>
      </c>
      <c r="B3244" s="21" t="s">
        <v>3234</v>
      </c>
      <c r="C3244" s="21" t="s">
        <v>5814</v>
      </c>
      <c r="D3244" s="21" t="s">
        <v>11</v>
      </c>
      <c r="E3244" s="21" t="s">
        <v>11</v>
      </c>
    </row>
    <row r="3245" spans="1:5" s="21" customFormat="1" ht="15.75" hidden="1" customHeight="1">
      <c r="A3245" s="21">
        <v>711292</v>
      </c>
      <c r="B3245" s="21" t="s">
        <v>3235</v>
      </c>
      <c r="C3245" s="21" t="s">
        <v>5814</v>
      </c>
      <c r="D3245" s="21" t="s">
        <v>11</v>
      </c>
      <c r="E3245" s="21" t="s">
        <v>11</v>
      </c>
    </row>
    <row r="3246" spans="1:5" s="21" customFormat="1" ht="15.75" hidden="1" customHeight="1">
      <c r="A3246" s="21">
        <v>711299</v>
      </c>
      <c r="B3246" s="21" t="s">
        <v>3236</v>
      </c>
      <c r="C3246" s="21" t="s">
        <v>5814</v>
      </c>
      <c r="D3246" s="21" t="s">
        <v>11</v>
      </c>
      <c r="E3246" s="21" t="s">
        <v>11</v>
      </c>
    </row>
    <row r="3247" spans="1:5" s="21" customFormat="1" ht="15.75" hidden="1" customHeight="1">
      <c r="A3247" s="21">
        <v>711311</v>
      </c>
      <c r="B3247" s="21" t="s">
        <v>3237</v>
      </c>
      <c r="C3247" s="21" t="s">
        <v>5815</v>
      </c>
      <c r="D3247" s="21" t="s">
        <v>11</v>
      </c>
      <c r="E3247" s="21" t="s">
        <v>11</v>
      </c>
    </row>
    <row r="3248" spans="1:5" s="21" customFormat="1" ht="15.75" hidden="1" customHeight="1">
      <c r="A3248" s="21">
        <v>711319</v>
      </c>
      <c r="B3248" s="21" t="s">
        <v>3238</v>
      </c>
      <c r="C3248" s="21" t="s">
        <v>5815</v>
      </c>
      <c r="D3248" s="21" t="s">
        <v>11</v>
      </c>
      <c r="E3248" s="21" t="s">
        <v>11</v>
      </c>
    </row>
    <row r="3249" spans="1:5" s="21" customFormat="1" ht="15.75" hidden="1" customHeight="1">
      <c r="A3249" s="21">
        <v>711320</v>
      </c>
      <c r="B3249" s="21" t="s">
        <v>3239</v>
      </c>
      <c r="C3249" s="21" t="s">
        <v>5815</v>
      </c>
      <c r="D3249" s="21" t="s">
        <v>11</v>
      </c>
      <c r="E3249" s="21" t="s">
        <v>11</v>
      </c>
    </row>
    <row r="3250" spans="1:5" s="21" customFormat="1" ht="15.75" hidden="1" customHeight="1">
      <c r="A3250" s="21">
        <v>711411</v>
      </c>
      <c r="B3250" s="21" t="s">
        <v>3240</v>
      </c>
      <c r="C3250" s="21" t="s">
        <v>5816</v>
      </c>
      <c r="D3250" s="21" t="s">
        <v>11</v>
      </c>
      <c r="E3250" s="21" t="s">
        <v>11</v>
      </c>
    </row>
    <row r="3251" spans="1:5" s="21" customFormat="1" ht="15.75" hidden="1" customHeight="1">
      <c r="A3251" s="21">
        <v>711419</v>
      </c>
      <c r="B3251" s="21" t="s">
        <v>3241</v>
      </c>
      <c r="C3251" s="21" t="s">
        <v>5817</v>
      </c>
      <c r="D3251" s="21" t="s">
        <v>11</v>
      </c>
      <c r="E3251" s="21" t="s">
        <v>11</v>
      </c>
    </row>
    <row r="3252" spans="1:5" s="21" customFormat="1" ht="15.75" hidden="1" customHeight="1">
      <c r="A3252" s="21">
        <v>711420</v>
      </c>
      <c r="B3252" s="21" t="s">
        <v>3242</v>
      </c>
      <c r="C3252" s="21" t="s">
        <v>5818</v>
      </c>
      <c r="D3252" s="21" t="s">
        <v>11</v>
      </c>
      <c r="E3252" s="21" t="s">
        <v>11</v>
      </c>
    </row>
    <row r="3253" spans="1:5" s="21" customFormat="1" ht="15.75" hidden="1" customHeight="1">
      <c r="A3253" s="21">
        <v>711510</v>
      </c>
      <c r="B3253" s="21" t="s">
        <v>3243</v>
      </c>
      <c r="C3253" s="21" t="s">
        <v>5819</v>
      </c>
      <c r="D3253" s="21" t="s">
        <v>11</v>
      </c>
      <c r="E3253" s="21" t="s">
        <v>11</v>
      </c>
    </row>
    <row r="3254" spans="1:5" s="21" customFormat="1" ht="15.75" hidden="1" customHeight="1">
      <c r="A3254" s="21">
        <v>711590</v>
      </c>
      <c r="B3254" s="21" t="s">
        <v>3244</v>
      </c>
      <c r="C3254" s="21" t="s">
        <v>5819</v>
      </c>
      <c r="D3254" s="21" t="s">
        <v>11</v>
      </c>
      <c r="E3254" s="21" t="s">
        <v>11</v>
      </c>
    </row>
    <row r="3255" spans="1:5" s="21" customFormat="1" ht="15.75" hidden="1" customHeight="1">
      <c r="A3255" s="21">
        <v>711610</v>
      </c>
      <c r="B3255" s="21" t="s">
        <v>3245</v>
      </c>
      <c r="C3255" s="21" t="s">
        <v>5807</v>
      </c>
      <c r="D3255" s="21" t="s">
        <v>11</v>
      </c>
      <c r="E3255" s="21" t="s">
        <v>11</v>
      </c>
    </row>
    <row r="3256" spans="1:5" s="21" customFormat="1" ht="15.75" hidden="1" customHeight="1">
      <c r="A3256" s="21">
        <v>711620</v>
      </c>
      <c r="B3256" s="21" t="s">
        <v>3246</v>
      </c>
      <c r="C3256" s="21" t="s">
        <v>5310</v>
      </c>
      <c r="D3256" s="21" t="s">
        <v>11</v>
      </c>
      <c r="E3256" s="21" t="s">
        <v>11</v>
      </c>
    </row>
    <row r="3257" spans="1:5" s="21" customFormat="1" ht="15.75" hidden="1" customHeight="1">
      <c r="A3257" s="21">
        <v>711711</v>
      </c>
      <c r="B3257" s="21" t="s">
        <v>3247</v>
      </c>
      <c r="C3257" s="21" t="s">
        <v>5815</v>
      </c>
      <c r="D3257" s="21" t="s">
        <v>11</v>
      </c>
      <c r="E3257" s="21" t="s">
        <v>11</v>
      </c>
    </row>
    <row r="3258" spans="1:5" s="21" customFormat="1" ht="15.75" hidden="1" customHeight="1">
      <c r="A3258" s="21">
        <v>711719</v>
      </c>
      <c r="B3258" s="21" t="s">
        <v>3248</v>
      </c>
      <c r="C3258" s="21" t="s">
        <v>5815</v>
      </c>
      <c r="D3258" s="21" t="s">
        <v>11</v>
      </c>
      <c r="E3258" s="21" t="s">
        <v>11</v>
      </c>
    </row>
    <row r="3259" spans="1:5" s="21" customFormat="1" ht="15.75" hidden="1" customHeight="1">
      <c r="A3259" s="21">
        <v>711790</v>
      </c>
      <c r="B3259" s="21" t="s">
        <v>3249</v>
      </c>
      <c r="C3259" s="21" t="s">
        <v>5815</v>
      </c>
      <c r="D3259" s="21" t="s">
        <v>11</v>
      </c>
      <c r="E3259" s="21" t="s">
        <v>11</v>
      </c>
    </row>
    <row r="3260" spans="1:5" s="21" customFormat="1" ht="15.75" hidden="1" customHeight="1">
      <c r="A3260" s="21">
        <v>711810</v>
      </c>
      <c r="B3260" s="21" t="s">
        <v>3250</v>
      </c>
      <c r="C3260" s="21" t="s">
        <v>3250</v>
      </c>
      <c r="D3260" s="21" t="s">
        <v>11</v>
      </c>
      <c r="E3260" s="21" t="s">
        <v>11</v>
      </c>
    </row>
    <row r="3261" spans="1:5" s="21" customFormat="1" ht="15.75" hidden="1" customHeight="1">
      <c r="A3261" s="21">
        <v>711890</v>
      </c>
      <c r="B3261" s="21" t="s">
        <v>3251</v>
      </c>
      <c r="C3261" s="21" t="s">
        <v>5820</v>
      </c>
      <c r="D3261" s="21" t="s">
        <v>11</v>
      </c>
      <c r="E3261" s="21" t="s">
        <v>11</v>
      </c>
    </row>
    <row r="3262" spans="1:5" s="21" customFormat="1" ht="15.75" hidden="1" customHeight="1">
      <c r="A3262" s="21">
        <v>720110</v>
      </c>
      <c r="B3262" s="21" t="s">
        <v>3252</v>
      </c>
      <c r="C3262" s="21" t="s">
        <v>5821</v>
      </c>
      <c r="D3262" s="21" t="s">
        <v>11</v>
      </c>
      <c r="E3262" s="21" t="s">
        <v>11</v>
      </c>
    </row>
    <row r="3263" spans="1:5" s="21" customFormat="1" ht="15.75" hidden="1" customHeight="1">
      <c r="A3263" s="21">
        <v>720120</v>
      </c>
      <c r="B3263" s="21" t="s">
        <v>3253</v>
      </c>
      <c r="C3263" s="21" t="s">
        <v>5821</v>
      </c>
      <c r="D3263" s="21" t="s">
        <v>11</v>
      </c>
      <c r="E3263" s="21" t="s">
        <v>11</v>
      </c>
    </row>
    <row r="3264" spans="1:5" s="21" customFormat="1" ht="15.75" hidden="1" customHeight="1">
      <c r="A3264" s="21">
        <v>720150</v>
      </c>
      <c r="B3264" s="21" t="s">
        <v>3254</v>
      </c>
      <c r="C3264" s="21" t="s">
        <v>5821</v>
      </c>
      <c r="D3264" s="21" t="s">
        <v>11</v>
      </c>
      <c r="E3264" s="21" t="s">
        <v>11</v>
      </c>
    </row>
    <row r="3265" spans="1:5" s="21" customFormat="1" ht="15.75" hidden="1" customHeight="1">
      <c r="A3265" s="21">
        <v>720211</v>
      </c>
      <c r="B3265" s="21" t="s">
        <v>3255</v>
      </c>
      <c r="C3265" s="21" t="s">
        <v>5822</v>
      </c>
      <c r="D3265" s="21" t="s">
        <v>11</v>
      </c>
      <c r="E3265" s="21" t="s">
        <v>11</v>
      </c>
    </row>
    <row r="3266" spans="1:5" s="21" customFormat="1" ht="15.75" hidden="1" customHeight="1">
      <c r="A3266" s="21">
        <v>720219</v>
      </c>
      <c r="B3266" s="21" t="s">
        <v>3256</v>
      </c>
      <c r="C3266" s="21" t="s">
        <v>5822</v>
      </c>
      <c r="D3266" s="21" t="s">
        <v>11</v>
      </c>
      <c r="E3266" s="21" t="s">
        <v>11</v>
      </c>
    </row>
    <row r="3267" spans="1:5" s="21" customFormat="1" ht="15.75" hidden="1" customHeight="1">
      <c r="A3267" s="21">
        <v>720221</v>
      </c>
      <c r="B3267" s="21" t="s">
        <v>3257</v>
      </c>
      <c r="C3267" s="21" t="s">
        <v>5822</v>
      </c>
      <c r="D3267" s="21" t="s">
        <v>11</v>
      </c>
      <c r="E3267" s="21" t="s">
        <v>11</v>
      </c>
    </row>
    <row r="3268" spans="1:5" s="21" customFormat="1" ht="15.75" hidden="1" customHeight="1">
      <c r="A3268" s="21">
        <v>720229</v>
      </c>
      <c r="B3268" s="21" t="s">
        <v>3258</v>
      </c>
      <c r="C3268" s="21" t="s">
        <v>5822</v>
      </c>
      <c r="D3268" s="21" t="s">
        <v>11</v>
      </c>
      <c r="E3268" s="21" t="s">
        <v>11</v>
      </c>
    </row>
    <row r="3269" spans="1:5" s="21" customFormat="1" ht="15.75" hidden="1" customHeight="1">
      <c r="A3269" s="21">
        <v>720230</v>
      </c>
      <c r="B3269" s="21" t="s">
        <v>3259</v>
      </c>
      <c r="C3269" s="21" t="s">
        <v>5822</v>
      </c>
      <c r="D3269" s="21" t="s">
        <v>11</v>
      </c>
      <c r="E3269" s="21" t="s">
        <v>11</v>
      </c>
    </row>
    <row r="3270" spans="1:5" s="21" customFormat="1" ht="15.75" hidden="1" customHeight="1">
      <c r="A3270" s="21">
        <v>720241</v>
      </c>
      <c r="B3270" s="21" t="s">
        <v>3260</v>
      </c>
      <c r="C3270" s="21" t="s">
        <v>5822</v>
      </c>
      <c r="D3270" s="21" t="s">
        <v>11</v>
      </c>
      <c r="E3270" s="21" t="s">
        <v>11</v>
      </c>
    </row>
    <row r="3271" spans="1:5" s="21" customFormat="1" ht="15.75" hidden="1" customHeight="1">
      <c r="A3271" s="21">
        <v>720249</v>
      </c>
      <c r="B3271" s="21" t="s">
        <v>3261</v>
      </c>
      <c r="C3271" s="21" t="s">
        <v>5822</v>
      </c>
      <c r="D3271" s="21" t="s">
        <v>11</v>
      </c>
      <c r="E3271" s="21" t="s">
        <v>11</v>
      </c>
    </row>
    <row r="3272" spans="1:5" s="21" customFormat="1" ht="15.75" hidden="1" customHeight="1">
      <c r="A3272" s="21">
        <v>720250</v>
      </c>
      <c r="B3272" s="21" t="s">
        <v>3262</v>
      </c>
      <c r="C3272" s="21" t="s">
        <v>5822</v>
      </c>
      <c r="D3272" s="21" t="s">
        <v>11</v>
      </c>
      <c r="E3272" s="21" t="s">
        <v>11</v>
      </c>
    </row>
    <row r="3273" spans="1:5" s="21" customFormat="1" ht="15.75" hidden="1" customHeight="1">
      <c r="A3273" s="21">
        <v>720260</v>
      </c>
      <c r="B3273" s="21" t="s">
        <v>3263</v>
      </c>
      <c r="C3273" s="21" t="s">
        <v>5822</v>
      </c>
      <c r="D3273" s="21" t="s">
        <v>11</v>
      </c>
      <c r="E3273" s="21" t="s">
        <v>11</v>
      </c>
    </row>
    <row r="3274" spans="1:5" s="21" customFormat="1" ht="15.75" hidden="1" customHeight="1">
      <c r="A3274" s="21">
        <v>720270</v>
      </c>
      <c r="B3274" s="21" t="s">
        <v>3264</v>
      </c>
      <c r="C3274" s="21" t="s">
        <v>5822</v>
      </c>
      <c r="D3274" s="21" t="s">
        <v>11</v>
      </c>
      <c r="E3274" s="21" t="s">
        <v>11</v>
      </c>
    </row>
    <row r="3275" spans="1:5" s="21" customFormat="1" ht="15.75" hidden="1" customHeight="1">
      <c r="A3275" s="21">
        <v>720280</v>
      </c>
      <c r="B3275" s="21" t="s">
        <v>3265</v>
      </c>
      <c r="C3275" s="21" t="s">
        <v>5822</v>
      </c>
      <c r="D3275" s="21" t="s">
        <v>11</v>
      </c>
      <c r="E3275" s="21" t="s">
        <v>11</v>
      </c>
    </row>
    <row r="3276" spans="1:5" s="21" customFormat="1" ht="15.75" hidden="1" customHeight="1">
      <c r="A3276" s="21">
        <v>720291</v>
      </c>
      <c r="B3276" s="21" t="s">
        <v>3266</v>
      </c>
      <c r="C3276" s="21" t="s">
        <v>5822</v>
      </c>
      <c r="D3276" s="21" t="s">
        <v>11</v>
      </c>
      <c r="E3276" s="21" t="s">
        <v>11</v>
      </c>
    </row>
    <row r="3277" spans="1:5" s="21" customFormat="1" ht="15.75" hidden="1" customHeight="1">
      <c r="A3277" s="21">
        <v>720292</v>
      </c>
      <c r="B3277" s="21" t="s">
        <v>3267</v>
      </c>
      <c r="C3277" s="21" t="s">
        <v>5822</v>
      </c>
      <c r="D3277" s="21" t="s">
        <v>11</v>
      </c>
      <c r="E3277" s="21" t="s">
        <v>11</v>
      </c>
    </row>
    <row r="3278" spans="1:5" s="21" customFormat="1" ht="15.75" hidden="1" customHeight="1">
      <c r="A3278" s="21">
        <v>720293</v>
      </c>
      <c r="B3278" s="21" t="s">
        <v>3268</v>
      </c>
      <c r="C3278" s="21" t="s">
        <v>5822</v>
      </c>
      <c r="D3278" s="21" t="s">
        <v>11</v>
      </c>
      <c r="E3278" s="21" t="s">
        <v>11</v>
      </c>
    </row>
    <row r="3279" spans="1:5" s="21" customFormat="1" ht="15.75" hidden="1" customHeight="1">
      <c r="A3279" s="21">
        <v>720299</v>
      </c>
      <c r="B3279" s="21" t="s">
        <v>3269</v>
      </c>
      <c r="C3279" s="21" t="s">
        <v>5822</v>
      </c>
      <c r="D3279" s="21" t="s">
        <v>11</v>
      </c>
      <c r="E3279" s="21" t="s">
        <v>11</v>
      </c>
    </row>
    <row r="3280" spans="1:5" s="21" customFormat="1" ht="15.75" hidden="1" customHeight="1">
      <c r="A3280" s="21">
        <v>720310</v>
      </c>
      <c r="B3280" s="21" t="s">
        <v>3270</v>
      </c>
      <c r="C3280" s="21" t="s">
        <v>5823</v>
      </c>
      <c r="D3280" s="21" t="s">
        <v>11</v>
      </c>
      <c r="E3280" s="21" t="s">
        <v>11</v>
      </c>
    </row>
    <row r="3281" spans="1:5" s="21" customFormat="1" ht="15.75" hidden="1" customHeight="1">
      <c r="A3281" s="21">
        <v>720390</v>
      </c>
      <c r="B3281" s="21" t="s">
        <v>3271</v>
      </c>
      <c r="C3281" s="21" t="s">
        <v>5823</v>
      </c>
      <c r="D3281" s="21" t="s">
        <v>11</v>
      </c>
      <c r="E3281" s="21" t="s">
        <v>11</v>
      </c>
    </row>
    <row r="3282" spans="1:5" s="21" customFormat="1" ht="15.75" hidden="1" customHeight="1">
      <c r="A3282" s="21">
        <v>720410</v>
      </c>
      <c r="B3282" s="21" t="s">
        <v>3272</v>
      </c>
      <c r="C3282" s="21" t="s">
        <v>5824</v>
      </c>
      <c r="D3282" s="21" t="s">
        <v>11</v>
      </c>
      <c r="E3282" s="21" t="s">
        <v>11</v>
      </c>
    </row>
    <row r="3283" spans="1:5" s="21" customFormat="1" ht="15.75" hidden="1" customHeight="1">
      <c r="A3283" s="21">
        <v>720421</v>
      </c>
      <c r="B3283" s="21" t="s">
        <v>3273</v>
      </c>
      <c r="C3283" s="21" t="s">
        <v>5824</v>
      </c>
      <c r="D3283" s="21" t="s">
        <v>11</v>
      </c>
      <c r="E3283" s="21" t="s">
        <v>11</v>
      </c>
    </row>
    <row r="3284" spans="1:5" s="21" customFormat="1" ht="15.75" hidden="1" customHeight="1">
      <c r="A3284" s="21">
        <v>720429</v>
      </c>
      <c r="B3284" s="21" t="s">
        <v>3274</v>
      </c>
      <c r="C3284" s="21" t="s">
        <v>5824</v>
      </c>
      <c r="D3284" s="21" t="s">
        <v>11</v>
      </c>
      <c r="E3284" s="21" t="s">
        <v>11</v>
      </c>
    </row>
    <row r="3285" spans="1:5" s="21" customFormat="1" ht="15.75" hidden="1" customHeight="1">
      <c r="A3285" s="21">
        <v>720430</v>
      </c>
      <c r="B3285" s="21" t="s">
        <v>3275</v>
      </c>
      <c r="C3285" s="21" t="s">
        <v>5824</v>
      </c>
      <c r="D3285" s="21" t="s">
        <v>11</v>
      </c>
      <c r="E3285" s="21" t="s">
        <v>11</v>
      </c>
    </row>
    <row r="3286" spans="1:5" s="21" customFormat="1" ht="15.75" hidden="1" customHeight="1">
      <c r="A3286" s="21">
        <v>720441</v>
      </c>
      <c r="B3286" s="21" t="s">
        <v>3276</v>
      </c>
      <c r="C3286" s="21" t="s">
        <v>5824</v>
      </c>
      <c r="D3286" s="21" t="s">
        <v>11</v>
      </c>
      <c r="E3286" s="21" t="s">
        <v>11</v>
      </c>
    </row>
    <row r="3287" spans="1:5" s="21" customFormat="1" ht="15.75" hidden="1" customHeight="1">
      <c r="A3287" s="21">
        <v>720449</v>
      </c>
      <c r="B3287" s="21" t="s">
        <v>3277</v>
      </c>
      <c r="C3287" s="21" t="s">
        <v>5824</v>
      </c>
      <c r="D3287" s="21" t="s">
        <v>11</v>
      </c>
      <c r="E3287" s="21" t="s">
        <v>11</v>
      </c>
    </row>
    <row r="3288" spans="1:5" s="21" customFormat="1" ht="15.75" hidden="1" customHeight="1">
      <c r="A3288" s="21">
        <v>720450</v>
      </c>
      <c r="B3288" s="21" t="s">
        <v>3278</v>
      </c>
      <c r="C3288" s="21" t="s">
        <v>5823</v>
      </c>
      <c r="D3288" s="21" t="s">
        <v>11</v>
      </c>
      <c r="E3288" s="21" t="s">
        <v>11</v>
      </c>
    </row>
    <row r="3289" spans="1:5" s="21" customFormat="1" ht="15.75" hidden="1" customHeight="1">
      <c r="A3289" s="21">
        <v>720510</v>
      </c>
      <c r="B3289" s="21" t="s">
        <v>3279</v>
      </c>
      <c r="C3289" s="21" t="s">
        <v>5825</v>
      </c>
      <c r="D3289" s="21" t="s">
        <v>11</v>
      </c>
      <c r="E3289" s="21" t="s">
        <v>11</v>
      </c>
    </row>
    <row r="3290" spans="1:5" s="21" customFormat="1" ht="15.75" hidden="1" customHeight="1">
      <c r="A3290" s="21">
        <v>720521</v>
      </c>
      <c r="B3290" s="21" t="s">
        <v>3280</v>
      </c>
      <c r="C3290" s="21" t="s">
        <v>3280</v>
      </c>
      <c r="D3290" s="21" t="s">
        <v>11</v>
      </c>
      <c r="E3290" s="21" t="s">
        <v>11</v>
      </c>
    </row>
    <row r="3291" spans="1:5" s="21" customFormat="1" ht="15.75" hidden="1" customHeight="1">
      <c r="A3291" s="21">
        <v>720529</v>
      </c>
      <c r="B3291" s="21" t="s">
        <v>3281</v>
      </c>
      <c r="C3291" s="21" t="s">
        <v>5825</v>
      </c>
      <c r="D3291" s="21" t="s">
        <v>11</v>
      </c>
      <c r="E3291" s="21" t="s">
        <v>11</v>
      </c>
    </row>
    <row r="3292" spans="1:5" s="21" customFormat="1" ht="15.75" hidden="1" customHeight="1">
      <c r="A3292" s="21">
        <v>720610</v>
      </c>
      <c r="B3292" s="21" t="s">
        <v>3282</v>
      </c>
      <c r="C3292" s="21" t="s">
        <v>5826</v>
      </c>
      <c r="D3292" s="21" t="s">
        <v>11</v>
      </c>
      <c r="E3292" s="21" t="s">
        <v>11</v>
      </c>
    </row>
    <row r="3293" spans="1:5" s="21" customFormat="1" ht="15.75" hidden="1" customHeight="1">
      <c r="A3293" s="21">
        <v>720690</v>
      </c>
      <c r="B3293" s="21" t="s">
        <v>3283</v>
      </c>
      <c r="C3293" s="21" t="s">
        <v>5826</v>
      </c>
      <c r="D3293" s="21" t="s">
        <v>11</v>
      </c>
      <c r="E3293" s="21" t="s">
        <v>11</v>
      </c>
    </row>
    <row r="3294" spans="1:5" s="21" customFormat="1" ht="15.75" hidden="1" customHeight="1">
      <c r="A3294" s="21">
        <v>720711</v>
      </c>
      <c r="B3294" s="21" t="s">
        <v>3284</v>
      </c>
      <c r="C3294" s="21" t="s">
        <v>5826</v>
      </c>
      <c r="D3294" s="21" t="s">
        <v>11</v>
      </c>
      <c r="E3294" s="21" t="s">
        <v>11</v>
      </c>
    </row>
    <row r="3295" spans="1:5" s="21" customFormat="1" ht="15.75" hidden="1" customHeight="1">
      <c r="A3295" s="21">
        <v>720712</v>
      </c>
      <c r="B3295" s="21" t="s">
        <v>3285</v>
      </c>
      <c r="C3295" s="21" t="s">
        <v>5826</v>
      </c>
      <c r="D3295" s="21" t="s">
        <v>11</v>
      </c>
      <c r="E3295" s="21" t="s">
        <v>11</v>
      </c>
    </row>
    <row r="3296" spans="1:5" s="21" customFormat="1" ht="15.75" hidden="1" customHeight="1">
      <c r="A3296" s="21">
        <v>720719</v>
      </c>
      <c r="B3296" s="21" t="s">
        <v>3286</v>
      </c>
      <c r="C3296" s="21" t="s">
        <v>5826</v>
      </c>
      <c r="D3296" s="21" t="s">
        <v>11</v>
      </c>
      <c r="E3296" s="21" t="s">
        <v>11</v>
      </c>
    </row>
    <row r="3297" spans="1:5" s="21" customFormat="1" ht="15.75" hidden="1" customHeight="1">
      <c r="A3297" s="21">
        <v>720720</v>
      </c>
      <c r="B3297" s="21" t="s">
        <v>3287</v>
      </c>
      <c r="C3297" s="21" t="s">
        <v>5826</v>
      </c>
      <c r="D3297" s="21" t="s">
        <v>11</v>
      </c>
      <c r="E3297" s="21" t="s">
        <v>11</v>
      </c>
    </row>
    <row r="3298" spans="1:5" s="21" customFormat="1" ht="15.75" hidden="1" customHeight="1">
      <c r="A3298" s="21">
        <v>720810</v>
      </c>
      <c r="B3298" s="21" t="s">
        <v>3288</v>
      </c>
      <c r="C3298" s="21" t="s">
        <v>5826</v>
      </c>
      <c r="D3298" s="21" t="s">
        <v>11</v>
      </c>
      <c r="E3298" s="21" t="s">
        <v>11</v>
      </c>
    </row>
    <row r="3299" spans="1:5" s="21" customFormat="1" ht="15.75" hidden="1" customHeight="1">
      <c r="A3299" s="21">
        <v>720825</v>
      </c>
      <c r="B3299" s="21" t="s">
        <v>3289</v>
      </c>
      <c r="C3299" s="21" t="s">
        <v>5826</v>
      </c>
      <c r="D3299" s="21" t="s">
        <v>11</v>
      </c>
      <c r="E3299" s="21" t="s">
        <v>11</v>
      </c>
    </row>
    <row r="3300" spans="1:5" s="21" customFormat="1" ht="15.75" hidden="1" customHeight="1">
      <c r="A3300" s="21">
        <v>720826</v>
      </c>
      <c r="B3300" s="21" t="s">
        <v>3290</v>
      </c>
      <c r="C3300" s="21" t="s">
        <v>5826</v>
      </c>
      <c r="D3300" s="21" t="s">
        <v>11</v>
      </c>
      <c r="E3300" s="21" t="s">
        <v>11</v>
      </c>
    </row>
    <row r="3301" spans="1:5" s="21" customFormat="1" ht="15.75" hidden="1" customHeight="1">
      <c r="A3301" s="21">
        <v>720827</v>
      </c>
      <c r="B3301" s="21" t="s">
        <v>3291</v>
      </c>
      <c r="C3301" s="21" t="s">
        <v>5826</v>
      </c>
      <c r="D3301" s="21" t="s">
        <v>11</v>
      </c>
      <c r="E3301" s="21" t="s">
        <v>11</v>
      </c>
    </row>
    <row r="3302" spans="1:5" s="21" customFormat="1" ht="15.75" hidden="1" customHeight="1">
      <c r="A3302" s="21">
        <v>720836</v>
      </c>
      <c r="B3302" s="21" t="s">
        <v>3292</v>
      </c>
      <c r="C3302" s="21" t="s">
        <v>5826</v>
      </c>
      <c r="D3302" s="21" t="s">
        <v>11</v>
      </c>
      <c r="E3302" s="21" t="s">
        <v>11</v>
      </c>
    </row>
    <row r="3303" spans="1:5" s="21" customFormat="1" ht="15.75" hidden="1" customHeight="1">
      <c r="A3303" s="21">
        <v>720837</v>
      </c>
      <c r="B3303" s="21" t="s">
        <v>3293</v>
      </c>
      <c r="C3303" s="21" t="s">
        <v>5826</v>
      </c>
      <c r="D3303" s="21" t="s">
        <v>11</v>
      </c>
      <c r="E3303" s="21" t="s">
        <v>11</v>
      </c>
    </row>
    <row r="3304" spans="1:5" s="21" customFormat="1" ht="15.75" hidden="1" customHeight="1">
      <c r="A3304" s="21">
        <v>720838</v>
      </c>
      <c r="B3304" s="21" t="s">
        <v>3294</v>
      </c>
      <c r="C3304" s="21" t="s">
        <v>5826</v>
      </c>
      <c r="D3304" s="21" t="s">
        <v>11</v>
      </c>
      <c r="E3304" s="21" t="s">
        <v>11</v>
      </c>
    </row>
    <row r="3305" spans="1:5" s="21" customFormat="1" ht="15.75" hidden="1" customHeight="1">
      <c r="A3305" s="21">
        <v>720839</v>
      </c>
      <c r="B3305" s="21" t="s">
        <v>3295</v>
      </c>
      <c r="C3305" s="21" t="s">
        <v>5826</v>
      </c>
      <c r="D3305" s="21" t="s">
        <v>11</v>
      </c>
      <c r="E3305" s="21" t="s">
        <v>11</v>
      </c>
    </row>
    <row r="3306" spans="1:5" s="21" customFormat="1" ht="15.75" hidden="1" customHeight="1">
      <c r="A3306" s="21">
        <v>720840</v>
      </c>
      <c r="B3306" s="21" t="s">
        <v>3296</v>
      </c>
      <c r="C3306" s="21" t="s">
        <v>5826</v>
      </c>
      <c r="D3306" s="21" t="s">
        <v>11</v>
      </c>
      <c r="E3306" s="21" t="s">
        <v>11</v>
      </c>
    </row>
    <row r="3307" spans="1:5" s="21" customFormat="1" ht="15.75" hidden="1" customHeight="1">
      <c r="A3307" s="21">
        <v>720851</v>
      </c>
      <c r="B3307" s="21" t="s">
        <v>3297</v>
      </c>
      <c r="C3307" s="21" t="s">
        <v>5826</v>
      </c>
      <c r="D3307" s="21" t="s">
        <v>11</v>
      </c>
      <c r="E3307" s="21" t="s">
        <v>11</v>
      </c>
    </row>
    <row r="3308" spans="1:5" s="21" customFormat="1" ht="15.75" hidden="1" customHeight="1">
      <c r="A3308" s="21">
        <v>720852</v>
      </c>
      <c r="B3308" s="21" t="s">
        <v>3298</v>
      </c>
      <c r="C3308" s="21" t="s">
        <v>5826</v>
      </c>
      <c r="D3308" s="21" t="s">
        <v>11</v>
      </c>
      <c r="E3308" s="21" t="s">
        <v>11</v>
      </c>
    </row>
    <row r="3309" spans="1:5" s="21" customFormat="1" ht="15.75" hidden="1" customHeight="1">
      <c r="A3309" s="21">
        <v>720853</v>
      </c>
      <c r="B3309" s="21" t="s">
        <v>3299</v>
      </c>
      <c r="C3309" s="21" t="s">
        <v>5826</v>
      </c>
      <c r="D3309" s="21" t="s">
        <v>11</v>
      </c>
      <c r="E3309" s="21" t="s">
        <v>11</v>
      </c>
    </row>
    <row r="3310" spans="1:5" s="21" customFormat="1" ht="15.75" hidden="1" customHeight="1">
      <c r="A3310" s="21">
        <v>720854</v>
      </c>
      <c r="B3310" s="21" t="s">
        <v>3300</v>
      </c>
      <c r="C3310" s="21" t="s">
        <v>5826</v>
      </c>
      <c r="D3310" s="21" t="s">
        <v>11</v>
      </c>
      <c r="E3310" s="21" t="s">
        <v>11</v>
      </c>
    </row>
    <row r="3311" spans="1:5" s="21" customFormat="1" ht="15.75" hidden="1" customHeight="1">
      <c r="A3311" s="21">
        <v>720890</v>
      </c>
      <c r="B3311" s="21" t="s">
        <v>3301</v>
      </c>
      <c r="C3311" s="21" t="s">
        <v>5826</v>
      </c>
      <c r="D3311" s="21" t="s">
        <v>11</v>
      </c>
      <c r="E3311" s="21" t="s">
        <v>11</v>
      </c>
    </row>
    <row r="3312" spans="1:5" s="21" customFormat="1" ht="15.75" hidden="1" customHeight="1">
      <c r="A3312" s="21">
        <v>720915</v>
      </c>
      <c r="B3312" s="21" t="s">
        <v>3302</v>
      </c>
      <c r="C3312" s="21" t="s">
        <v>5826</v>
      </c>
      <c r="D3312" s="21" t="s">
        <v>11</v>
      </c>
      <c r="E3312" s="21" t="s">
        <v>11</v>
      </c>
    </row>
    <row r="3313" spans="1:5" s="21" customFormat="1" ht="15.75" hidden="1" customHeight="1">
      <c r="A3313" s="21">
        <v>720916</v>
      </c>
      <c r="B3313" s="21" t="s">
        <v>3303</v>
      </c>
      <c r="C3313" s="21" t="s">
        <v>5826</v>
      </c>
      <c r="D3313" s="21" t="s">
        <v>11</v>
      </c>
      <c r="E3313" s="21" t="s">
        <v>11</v>
      </c>
    </row>
    <row r="3314" spans="1:5" s="21" customFormat="1" ht="15.75" hidden="1" customHeight="1">
      <c r="A3314" s="21">
        <v>720917</v>
      </c>
      <c r="B3314" s="21" t="s">
        <v>3304</v>
      </c>
      <c r="C3314" s="21" t="s">
        <v>5826</v>
      </c>
      <c r="D3314" s="21" t="s">
        <v>11</v>
      </c>
      <c r="E3314" s="21" t="s">
        <v>11</v>
      </c>
    </row>
    <row r="3315" spans="1:5" s="21" customFormat="1" ht="15.75" hidden="1" customHeight="1">
      <c r="A3315" s="21">
        <v>720918</v>
      </c>
      <c r="B3315" s="21" t="s">
        <v>3305</v>
      </c>
      <c r="C3315" s="21" t="s">
        <v>5826</v>
      </c>
      <c r="D3315" s="21" t="s">
        <v>11</v>
      </c>
      <c r="E3315" s="21" t="s">
        <v>11</v>
      </c>
    </row>
    <row r="3316" spans="1:5" s="21" customFormat="1" ht="15.75" hidden="1" customHeight="1">
      <c r="A3316" s="21">
        <v>720925</v>
      </c>
      <c r="B3316" s="21" t="s">
        <v>3306</v>
      </c>
      <c r="C3316" s="21" t="s">
        <v>5826</v>
      </c>
      <c r="D3316" s="21" t="s">
        <v>11</v>
      </c>
      <c r="E3316" s="21" t="s">
        <v>11</v>
      </c>
    </row>
    <row r="3317" spans="1:5" s="21" customFormat="1" ht="15.75" hidden="1" customHeight="1">
      <c r="A3317" s="21">
        <v>720926</v>
      </c>
      <c r="B3317" s="21" t="s">
        <v>3307</v>
      </c>
      <c r="C3317" s="21" t="s">
        <v>5826</v>
      </c>
      <c r="D3317" s="21" t="s">
        <v>11</v>
      </c>
      <c r="E3317" s="21" t="s">
        <v>11</v>
      </c>
    </row>
    <row r="3318" spans="1:5" s="21" customFormat="1" ht="15.75" hidden="1" customHeight="1">
      <c r="A3318" s="21">
        <v>720927</v>
      </c>
      <c r="B3318" s="21" t="s">
        <v>3308</v>
      </c>
      <c r="C3318" s="21" t="s">
        <v>5826</v>
      </c>
      <c r="D3318" s="21" t="s">
        <v>11</v>
      </c>
      <c r="E3318" s="21" t="s">
        <v>11</v>
      </c>
    </row>
    <row r="3319" spans="1:5" s="21" customFormat="1" ht="15.75" hidden="1" customHeight="1">
      <c r="A3319" s="21">
        <v>720928</v>
      </c>
      <c r="B3319" s="21" t="s">
        <v>3309</v>
      </c>
      <c r="C3319" s="21" t="s">
        <v>5826</v>
      </c>
      <c r="D3319" s="21" t="s">
        <v>11</v>
      </c>
      <c r="E3319" s="21" t="s">
        <v>11</v>
      </c>
    </row>
    <row r="3320" spans="1:5" s="21" customFormat="1" ht="15.75" hidden="1" customHeight="1">
      <c r="A3320" s="21">
        <v>720990</v>
      </c>
      <c r="B3320" s="21" t="s">
        <v>3310</v>
      </c>
      <c r="C3320" s="21" t="s">
        <v>5826</v>
      </c>
      <c r="D3320" s="21" t="s">
        <v>11</v>
      </c>
      <c r="E3320" s="21" t="s">
        <v>11</v>
      </c>
    </row>
    <row r="3321" spans="1:5" s="21" customFormat="1" ht="15.75" hidden="1" customHeight="1">
      <c r="A3321" s="21">
        <v>721011</v>
      </c>
      <c r="B3321" s="21" t="s">
        <v>3311</v>
      </c>
      <c r="C3321" s="21" t="s">
        <v>5826</v>
      </c>
      <c r="D3321" s="21" t="s">
        <v>11</v>
      </c>
      <c r="E3321" s="21" t="s">
        <v>11</v>
      </c>
    </row>
    <row r="3322" spans="1:5" s="21" customFormat="1" ht="15.75" hidden="1" customHeight="1">
      <c r="A3322" s="21">
        <v>721012</v>
      </c>
      <c r="B3322" s="21" t="s">
        <v>3312</v>
      </c>
      <c r="C3322" s="21" t="s">
        <v>5826</v>
      </c>
      <c r="D3322" s="21" t="s">
        <v>11</v>
      </c>
      <c r="E3322" s="21" t="s">
        <v>11</v>
      </c>
    </row>
    <row r="3323" spans="1:5" s="21" customFormat="1" ht="15.75" hidden="1" customHeight="1">
      <c r="A3323" s="21">
        <v>721020</v>
      </c>
      <c r="B3323" s="21" t="s">
        <v>3313</v>
      </c>
      <c r="C3323" s="21" t="s">
        <v>5826</v>
      </c>
      <c r="D3323" s="21" t="s">
        <v>11</v>
      </c>
      <c r="E3323" s="21" t="s">
        <v>11</v>
      </c>
    </row>
    <row r="3324" spans="1:5" s="21" customFormat="1" ht="15.75" hidden="1" customHeight="1">
      <c r="A3324" s="21">
        <v>721030</v>
      </c>
      <c r="B3324" s="21" t="s">
        <v>3314</v>
      </c>
      <c r="C3324" s="21" t="s">
        <v>5826</v>
      </c>
      <c r="D3324" s="21" t="s">
        <v>11</v>
      </c>
      <c r="E3324" s="21" t="s">
        <v>11</v>
      </c>
    </row>
    <row r="3325" spans="1:5" s="21" customFormat="1" ht="15.75" hidden="1" customHeight="1">
      <c r="A3325" s="21">
        <v>721041</v>
      </c>
      <c r="B3325" s="21" t="s">
        <v>3315</v>
      </c>
      <c r="C3325" s="21" t="s">
        <v>5826</v>
      </c>
      <c r="D3325" s="21" t="s">
        <v>11</v>
      </c>
      <c r="E3325" s="21" t="s">
        <v>11</v>
      </c>
    </row>
    <row r="3326" spans="1:5" s="21" customFormat="1" ht="15.75" hidden="1" customHeight="1">
      <c r="A3326" s="21">
        <v>721049</v>
      </c>
      <c r="B3326" s="21" t="s">
        <v>3316</v>
      </c>
      <c r="C3326" s="21" t="s">
        <v>5826</v>
      </c>
      <c r="D3326" s="21" t="s">
        <v>11</v>
      </c>
      <c r="E3326" s="21" t="s">
        <v>11</v>
      </c>
    </row>
    <row r="3327" spans="1:5" s="21" customFormat="1" ht="15.75" hidden="1" customHeight="1">
      <c r="A3327" s="21">
        <v>721050</v>
      </c>
      <c r="B3327" s="21" t="s">
        <v>3317</v>
      </c>
      <c r="C3327" s="21" t="s">
        <v>5826</v>
      </c>
      <c r="D3327" s="21" t="s">
        <v>11</v>
      </c>
      <c r="E3327" s="21" t="s">
        <v>11</v>
      </c>
    </row>
    <row r="3328" spans="1:5" s="21" customFormat="1" ht="15.75" hidden="1" customHeight="1">
      <c r="A3328" s="21">
        <v>721061</v>
      </c>
      <c r="B3328" s="21" t="s">
        <v>3318</v>
      </c>
      <c r="C3328" s="21" t="s">
        <v>5826</v>
      </c>
      <c r="D3328" s="21" t="s">
        <v>11</v>
      </c>
      <c r="E3328" s="21" t="s">
        <v>11</v>
      </c>
    </row>
    <row r="3329" spans="1:5" s="21" customFormat="1" ht="15.75" hidden="1" customHeight="1">
      <c r="A3329" s="21">
        <v>721069</v>
      </c>
      <c r="B3329" s="21" t="s">
        <v>3319</v>
      </c>
      <c r="C3329" s="21" t="s">
        <v>5826</v>
      </c>
      <c r="D3329" s="21" t="s">
        <v>11</v>
      </c>
      <c r="E3329" s="21" t="s">
        <v>11</v>
      </c>
    </row>
    <row r="3330" spans="1:5" s="21" customFormat="1" ht="15.75" hidden="1" customHeight="1">
      <c r="A3330" s="21">
        <v>721070</v>
      </c>
      <c r="B3330" s="21" t="s">
        <v>3320</v>
      </c>
      <c r="C3330" s="21" t="s">
        <v>5826</v>
      </c>
      <c r="D3330" s="21" t="s">
        <v>11</v>
      </c>
      <c r="E3330" s="21" t="s">
        <v>11</v>
      </c>
    </row>
    <row r="3331" spans="1:5" s="21" customFormat="1" ht="15.75" hidden="1" customHeight="1">
      <c r="A3331" s="21">
        <v>721090</v>
      </c>
      <c r="B3331" s="21" t="s">
        <v>3321</v>
      </c>
      <c r="C3331" s="21" t="s">
        <v>5826</v>
      </c>
      <c r="D3331" s="21" t="s">
        <v>11</v>
      </c>
      <c r="E3331" s="21" t="s">
        <v>11</v>
      </c>
    </row>
    <row r="3332" spans="1:5" s="21" customFormat="1" ht="15.75" hidden="1" customHeight="1">
      <c r="A3332" s="21">
        <v>721113</v>
      </c>
      <c r="B3332" s="21" t="s">
        <v>3322</v>
      </c>
      <c r="C3332" s="21" t="s">
        <v>5826</v>
      </c>
      <c r="D3332" s="21" t="s">
        <v>11</v>
      </c>
      <c r="E3332" s="21" t="s">
        <v>11</v>
      </c>
    </row>
    <row r="3333" spans="1:5" s="21" customFormat="1" ht="15.75" hidden="1" customHeight="1">
      <c r="A3333" s="21">
        <v>721114</v>
      </c>
      <c r="B3333" s="21" t="s">
        <v>3323</v>
      </c>
      <c r="C3333" s="21" t="s">
        <v>5826</v>
      </c>
      <c r="D3333" s="21" t="s">
        <v>11</v>
      </c>
      <c r="E3333" s="21" t="s">
        <v>11</v>
      </c>
    </row>
    <row r="3334" spans="1:5" s="21" customFormat="1" ht="15.75" hidden="1" customHeight="1">
      <c r="A3334" s="21">
        <v>721119</v>
      </c>
      <c r="B3334" s="21" t="s">
        <v>3324</v>
      </c>
      <c r="C3334" s="21" t="s">
        <v>5826</v>
      </c>
      <c r="D3334" s="21" t="s">
        <v>11</v>
      </c>
      <c r="E3334" s="21" t="s">
        <v>11</v>
      </c>
    </row>
    <row r="3335" spans="1:5" s="21" customFormat="1" ht="15.75" hidden="1" customHeight="1">
      <c r="A3335" s="21">
        <v>721123</v>
      </c>
      <c r="B3335" s="21" t="s">
        <v>3325</v>
      </c>
      <c r="C3335" s="21" t="s">
        <v>5826</v>
      </c>
      <c r="D3335" s="21" t="s">
        <v>11</v>
      </c>
      <c r="E3335" s="21" t="s">
        <v>11</v>
      </c>
    </row>
    <row r="3336" spans="1:5" s="21" customFormat="1" ht="15.75" hidden="1" customHeight="1">
      <c r="A3336" s="21">
        <v>721129</v>
      </c>
      <c r="B3336" s="21" t="s">
        <v>3326</v>
      </c>
      <c r="C3336" s="21" t="s">
        <v>5826</v>
      </c>
      <c r="D3336" s="21" t="s">
        <v>11</v>
      </c>
      <c r="E3336" s="21" t="s">
        <v>11</v>
      </c>
    </row>
    <row r="3337" spans="1:5" s="21" customFormat="1" ht="15.75" hidden="1" customHeight="1">
      <c r="A3337" s="21">
        <v>721190</v>
      </c>
      <c r="B3337" s="21" t="s">
        <v>3327</v>
      </c>
      <c r="C3337" s="21" t="s">
        <v>5826</v>
      </c>
      <c r="D3337" s="21" t="s">
        <v>11</v>
      </c>
      <c r="E3337" s="21" t="s">
        <v>11</v>
      </c>
    </row>
    <row r="3338" spans="1:5" s="21" customFormat="1" ht="15.75" hidden="1" customHeight="1">
      <c r="A3338" s="21">
        <v>721210</v>
      </c>
      <c r="B3338" s="21" t="s">
        <v>3328</v>
      </c>
      <c r="C3338" s="21" t="s">
        <v>5826</v>
      </c>
      <c r="D3338" s="21" t="s">
        <v>11</v>
      </c>
      <c r="E3338" s="21" t="s">
        <v>11</v>
      </c>
    </row>
    <row r="3339" spans="1:5" s="21" customFormat="1" ht="15.75" hidden="1" customHeight="1">
      <c r="A3339" s="21">
        <v>721220</v>
      </c>
      <c r="B3339" s="21" t="s">
        <v>3329</v>
      </c>
      <c r="C3339" s="21" t="s">
        <v>5826</v>
      </c>
      <c r="D3339" s="21" t="s">
        <v>11</v>
      </c>
      <c r="E3339" s="21" t="s">
        <v>11</v>
      </c>
    </row>
    <row r="3340" spans="1:5" s="21" customFormat="1" ht="15.75" hidden="1" customHeight="1">
      <c r="A3340" s="21">
        <v>721230</v>
      </c>
      <c r="B3340" s="21" t="s">
        <v>3330</v>
      </c>
      <c r="C3340" s="21" t="s">
        <v>5826</v>
      </c>
      <c r="D3340" s="21" t="s">
        <v>11</v>
      </c>
      <c r="E3340" s="21" t="s">
        <v>11</v>
      </c>
    </row>
    <row r="3341" spans="1:5" s="21" customFormat="1" ht="15.75" hidden="1" customHeight="1">
      <c r="A3341" s="21">
        <v>721240</v>
      </c>
      <c r="B3341" s="21" t="s">
        <v>3331</v>
      </c>
      <c r="C3341" s="21" t="s">
        <v>5826</v>
      </c>
      <c r="D3341" s="21" t="s">
        <v>11</v>
      </c>
      <c r="E3341" s="21" t="s">
        <v>11</v>
      </c>
    </row>
    <row r="3342" spans="1:5" s="21" customFormat="1" ht="15.75" hidden="1" customHeight="1">
      <c r="A3342" s="21">
        <v>721250</v>
      </c>
      <c r="B3342" s="21" t="s">
        <v>3332</v>
      </c>
      <c r="C3342" s="21" t="s">
        <v>5826</v>
      </c>
      <c r="D3342" s="21" t="s">
        <v>11</v>
      </c>
      <c r="E3342" s="21" t="s">
        <v>11</v>
      </c>
    </row>
    <row r="3343" spans="1:5" s="21" customFormat="1" ht="15.75" hidden="1" customHeight="1">
      <c r="A3343" s="21">
        <v>721260</v>
      </c>
      <c r="B3343" s="21" t="s">
        <v>3333</v>
      </c>
      <c r="C3343" s="21" t="s">
        <v>5826</v>
      </c>
      <c r="D3343" s="21" t="s">
        <v>11</v>
      </c>
      <c r="E3343" s="21" t="s">
        <v>11</v>
      </c>
    </row>
    <row r="3344" spans="1:5" s="21" customFormat="1" ht="15.75" hidden="1" customHeight="1">
      <c r="A3344" s="21">
        <v>721310</v>
      </c>
      <c r="B3344" s="21" t="s">
        <v>3334</v>
      </c>
      <c r="C3344" s="21" t="s">
        <v>5826</v>
      </c>
      <c r="D3344" s="21" t="s">
        <v>11</v>
      </c>
      <c r="E3344" s="21" t="s">
        <v>11</v>
      </c>
    </row>
    <row r="3345" spans="1:5" s="21" customFormat="1" ht="15.75" hidden="1" customHeight="1">
      <c r="A3345" s="21">
        <v>721320</v>
      </c>
      <c r="B3345" s="21" t="s">
        <v>3335</v>
      </c>
      <c r="C3345" s="21" t="s">
        <v>5826</v>
      </c>
      <c r="D3345" s="21" t="s">
        <v>11</v>
      </c>
      <c r="E3345" s="21" t="s">
        <v>11</v>
      </c>
    </row>
    <row r="3346" spans="1:5" s="21" customFormat="1" ht="15.75" hidden="1" customHeight="1">
      <c r="A3346" s="21">
        <v>721391</v>
      </c>
      <c r="B3346" s="21" t="s">
        <v>3336</v>
      </c>
      <c r="C3346" s="21" t="s">
        <v>5826</v>
      </c>
      <c r="D3346" s="21" t="s">
        <v>11</v>
      </c>
      <c r="E3346" s="21" t="s">
        <v>11</v>
      </c>
    </row>
    <row r="3347" spans="1:5" s="21" customFormat="1" ht="15.75" hidden="1" customHeight="1">
      <c r="A3347" s="21">
        <v>721399</v>
      </c>
      <c r="B3347" s="21" t="s">
        <v>3337</v>
      </c>
      <c r="C3347" s="21" t="s">
        <v>5826</v>
      </c>
      <c r="D3347" s="21" t="s">
        <v>11</v>
      </c>
      <c r="E3347" s="21" t="s">
        <v>11</v>
      </c>
    </row>
    <row r="3348" spans="1:5" s="21" customFormat="1" ht="15.75" hidden="1" customHeight="1">
      <c r="A3348" s="21">
        <v>721410</v>
      </c>
      <c r="B3348" s="21" t="s">
        <v>3338</v>
      </c>
      <c r="C3348" s="21" t="s">
        <v>5826</v>
      </c>
      <c r="D3348" s="21" t="s">
        <v>11</v>
      </c>
      <c r="E3348" s="21" t="s">
        <v>11</v>
      </c>
    </row>
    <row r="3349" spans="1:5" s="21" customFormat="1" ht="15.75" hidden="1" customHeight="1">
      <c r="A3349" s="21">
        <v>721420</v>
      </c>
      <c r="B3349" s="21" t="s">
        <v>3339</v>
      </c>
      <c r="C3349" s="21" t="s">
        <v>5826</v>
      </c>
      <c r="D3349" s="21" t="s">
        <v>11</v>
      </c>
      <c r="E3349" s="21" t="s">
        <v>11</v>
      </c>
    </row>
    <row r="3350" spans="1:5" s="21" customFormat="1" ht="15.75" hidden="1" customHeight="1">
      <c r="A3350" s="21">
        <v>721430</v>
      </c>
      <c r="B3350" s="21" t="s">
        <v>3340</v>
      </c>
      <c r="C3350" s="21" t="s">
        <v>5826</v>
      </c>
      <c r="D3350" s="21" t="s">
        <v>11</v>
      </c>
      <c r="E3350" s="21" t="s">
        <v>11</v>
      </c>
    </row>
    <row r="3351" spans="1:5" s="21" customFormat="1" ht="15.75" hidden="1" customHeight="1">
      <c r="A3351" s="21">
        <v>721491</v>
      </c>
      <c r="B3351" s="21" t="s">
        <v>3341</v>
      </c>
      <c r="C3351" s="21" t="s">
        <v>5826</v>
      </c>
      <c r="D3351" s="21" t="s">
        <v>11</v>
      </c>
      <c r="E3351" s="21" t="s">
        <v>11</v>
      </c>
    </row>
    <row r="3352" spans="1:5" s="21" customFormat="1" ht="15.75" hidden="1" customHeight="1">
      <c r="A3352" s="21">
        <v>721499</v>
      </c>
      <c r="B3352" s="21" t="s">
        <v>3342</v>
      </c>
      <c r="C3352" s="21" t="s">
        <v>5826</v>
      </c>
      <c r="D3352" s="21" t="s">
        <v>11</v>
      </c>
      <c r="E3352" s="21" t="s">
        <v>11</v>
      </c>
    </row>
    <row r="3353" spans="1:5" s="21" customFormat="1" ht="15.75" hidden="1" customHeight="1">
      <c r="A3353" s="21">
        <v>721510</v>
      </c>
      <c r="B3353" s="21" t="s">
        <v>3343</v>
      </c>
      <c r="C3353" s="21" t="s">
        <v>5826</v>
      </c>
      <c r="D3353" s="21" t="s">
        <v>11</v>
      </c>
      <c r="E3353" s="21" t="s">
        <v>11</v>
      </c>
    </row>
    <row r="3354" spans="1:5" s="21" customFormat="1" ht="15.75" hidden="1" customHeight="1">
      <c r="A3354" s="21">
        <v>721550</v>
      </c>
      <c r="B3354" s="21" t="s">
        <v>3344</v>
      </c>
      <c r="C3354" s="21" t="s">
        <v>5826</v>
      </c>
      <c r="D3354" s="21" t="s">
        <v>11</v>
      </c>
      <c r="E3354" s="21" t="s">
        <v>11</v>
      </c>
    </row>
    <row r="3355" spans="1:5" s="21" customFormat="1" ht="15.75" hidden="1" customHeight="1">
      <c r="A3355" s="21">
        <v>721590</v>
      </c>
      <c r="B3355" s="21" t="s">
        <v>3345</v>
      </c>
      <c r="C3355" s="21" t="s">
        <v>5826</v>
      </c>
      <c r="D3355" s="21" t="s">
        <v>11</v>
      </c>
      <c r="E3355" s="21" t="s">
        <v>11</v>
      </c>
    </row>
    <row r="3356" spans="1:5" s="21" customFormat="1" ht="15.75" hidden="1" customHeight="1">
      <c r="A3356" s="21">
        <v>721610</v>
      </c>
      <c r="B3356" s="21" t="s">
        <v>3346</v>
      </c>
      <c r="C3356" s="21" t="s">
        <v>5826</v>
      </c>
      <c r="D3356" s="21" t="s">
        <v>11</v>
      </c>
      <c r="E3356" s="21" t="s">
        <v>11</v>
      </c>
    </row>
    <row r="3357" spans="1:5" s="21" customFormat="1" ht="15.75" hidden="1" customHeight="1">
      <c r="A3357" s="21">
        <v>721621</v>
      </c>
      <c r="B3357" s="21" t="s">
        <v>3347</v>
      </c>
      <c r="C3357" s="21" t="s">
        <v>5826</v>
      </c>
      <c r="D3357" s="21" t="s">
        <v>11</v>
      </c>
      <c r="E3357" s="21" t="s">
        <v>11</v>
      </c>
    </row>
    <row r="3358" spans="1:5" s="21" customFormat="1" ht="15.75" hidden="1" customHeight="1">
      <c r="A3358" s="21">
        <v>721622</v>
      </c>
      <c r="B3358" s="21" t="s">
        <v>3348</v>
      </c>
      <c r="C3358" s="21" t="s">
        <v>5826</v>
      </c>
      <c r="D3358" s="21" t="s">
        <v>11</v>
      </c>
      <c r="E3358" s="21" t="s">
        <v>11</v>
      </c>
    </row>
    <row r="3359" spans="1:5" s="21" customFormat="1" ht="15.75" hidden="1" customHeight="1">
      <c r="A3359" s="21">
        <v>721631</v>
      </c>
      <c r="B3359" s="21" t="s">
        <v>3349</v>
      </c>
      <c r="C3359" s="21" t="s">
        <v>5826</v>
      </c>
      <c r="D3359" s="21" t="s">
        <v>11</v>
      </c>
      <c r="E3359" s="21" t="s">
        <v>11</v>
      </c>
    </row>
    <row r="3360" spans="1:5" s="21" customFormat="1" ht="15.75" hidden="1" customHeight="1">
      <c r="A3360" s="21">
        <v>721632</v>
      </c>
      <c r="B3360" s="21" t="s">
        <v>3350</v>
      </c>
      <c r="C3360" s="21" t="s">
        <v>5826</v>
      </c>
      <c r="D3360" s="21" t="s">
        <v>11</v>
      </c>
      <c r="E3360" s="21" t="s">
        <v>11</v>
      </c>
    </row>
    <row r="3361" spans="1:5" s="21" customFormat="1" ht="15.75" hidden="1" customHeight="1">
      <c r="A3361" s="21">
        <v>721633</v>
      </c>
      <c r="B3361" s="21" t="s">
        <v>3351</v>
      </c>
      <c r="C3361" s="21" t="s">
        <v>5826</v>
      </c>
      <c r="D3361" s="21" t="s">
        <v>11</v>
      </c>
      <c r="E3361" s="21" t="s">
        <v>11</v>
      </c>
    </row>
    <row r="3362" spans="1:5" s="21" customFormat="1" ht="15.75" hidden="1" customHeight="1">
      <c r="A3362" s="21">
        <v>721640</v>
      </c>
      <c r="B3362" s="21" t="s">
        <v>3352</v>
      </c>
      <c r="C3362" s="21" t="s">
        <v>5826</v>
      </c>
      <c r="D3362" s="21" t="s">
        <v>11</v>
      </c>
      <c r="E3362" s="21" t="s">
        <v>11</v>
      </c>
    </row>
    <row r="3363" spans="1:5" s="21" customFormat="1" ht="15.75" hidden="1" customHeight="1">
      <c r="A3363" s="21">
        <v>721650</v>
      </c>
      <c r="B3363" s="21" t="s">
        <v>3353</v>
      </c>
      <c r="C3363" s="21" t="s">
        <v>5826</v>
      </c>
      <c r="D3363" s="21" t="s">
        <v>11</v>
      </c>
      <c r="E3363" s="21" t="s">
        <v>11</v>
      </c>
    </row>
    <row r="3364" spans="1:5" s="21" customFormat="1" ht="15.75" hidden="1" customHeight="1">
      <c r="A3364" s="21">
        <v>721661</v>
      </c>
      <c r="B3364" s="21" t="s">
        <v>3354</v>
      </c>
      <c r="C3364" s="21" t="s">
        <v>5826</v>
      </c>
      <c r="D3364" s="21" t="s">
        <v>11</v>
      </c>
      <c r="E3364" s="21" t="s">
        <v>11</v>
      </c>
    </row>
    <row r="3365" spans="1:5" s="21" customFormat="1" ht="15.75" hidden="1" customHeight="1">
      <c r="A3365" s="21">
        <v>721669</v>
      </c>
      <c r="B3365" s="21" t="s">
        <v>3355</v>
      </c>
      <c r="C3365" s="21" t="s">
        <v>5826</v>
      </c>
      <c r="D3365" s="21" t="s">
        <v>11</v>
      </c>
      <c r="E3365" s="21" t="s">
        <v>11</v>
      </c>
    </row>
    <row r="3366" spans="1:5" s="21" customFormat="1" ht="15.75" hidden="1" customHeight="1">
      <c r="A3366" s="21">
        <v>721691</v>
      </c>
      <c r="B3366" s="21" t="s">
        <v>3356</v>
      </c>
      <c r="C3366" s="21" t="s">
        <v>5826</v>
      </c>
      <c r="D3366" s="21" t="s">
        <v>11</v>
      </c>
      <c r="E3366" s="21" t="s">
        <v>11</v>
      </c>
    </row>
    <row r="3367" spans="1:5" s="21" customFormat="1" ht="15.75" hidden="1" customHeight="1">
      <c r="A3367" s="21">
        <v>721699</v>
      </c>
      <c r="B3367" s="21" t="s">
        <v>3357</v>
      </c>
      <c r="C3367" s="21" t="s">
        <v>5826</v>
      </c>
      <c r="D3367" s="21" t="s">
        <v>11</v>
      </c>
      <c r="E3367" s="21" t="s">
        <v>11</v>
      </c>
    </row>
    <row r="3368" spans="1:5" s="21" customFormat="1" ht="15.75" hidden="1" customHeight="1">
      <c r="A3368" s="21">
        <v>721710</v>
      </c>
      <c r="B3368" s="21" t="s">
        <v>3358</v>
      </c>
      <c r="C3368" s="21" t="s">
        <v>5826</v>
      </c>
      <c r="D3368" s="21" t="s">
        <v>11</v>
      </c>
      <c r="E3368" s="21" t="s">
        <v>11</v>
      </c>
    </row>
    <row r="3369" spans="1:5" s="21" customFormat="1" ht="15.75" hidden="1" customHeight="1">
      <c r="A3369" s="21">
        <v>721720</v>
      </c>
      <c r="B3369" s="21" t="s">
        <v>3359</v>
      </c>
      <c r="C3369" s="21" t="s">
        <v>5826</v>
      </c>
      <c r="D3369" s="21" t="s">
        <v>11</v>
      </c>
      <c r="E3369" s="21" t="s">
        <v>11</v>
      </c>
    </row>
    <row r="3370" spans="1:5" s="21" customFormat="1" ht="15.75" hidden="1" customHeight="1">
      <c r="A3370" s="21">
        <v>721730</v>
      </c>
      <c r="B3370" s="21" t="s">
        <v>3360</v>
      </c>
      <c r="C3370" s="21" t="s">
        <v>5826</v>
      </c>
      <c r="D3370" s="21" t="s">
        <v>11</v>
      </c>
      <c r="E3370" s="21" t="s">
        <v>11</v>
      </c>
    </row>
    <row r="3371" spans="1:5" s="21" customFormat="1" ht="15.75" hidden="1" customHeight="1">
      <c r="A3371" s="21">
        <v>721790</v>
      </c>
      <c r="B3371" s="21" t="s">
        <v>3361</v>
      </c>
      <c r="C3371" s="21" t="s">
        <v>5826</v>
      </c>
      <c r="D3371" s="21" t="s">
        <v>11</v>
      </c>
      <c r="E3371" s="21" t="s">
        <v>11</v>
      </c>
    </row>
    <row r="3372" spans="1:5" s="21" customFormat="1" ht="15.75" hidden="1" customHeight="1">
      <c r="A3372" s="21">
        <v>721810</v>
      </c>
      <c r="B3372" s="21" t="s">
        <v>3362</v>
      </c>
      <c r="C3372" s="21" t="s">
        <v>5827</v>
      </c>
      <c r="D3372" s="21" t="s">
        <v>11</v>
      </c>
      <c r="E3372" s="21" t="s">
        <v>11</v>
      </c>
    </row>
    <row r="3373" spans="1:5" s="21" customFormat="1" ht="15.75" hidden="1" customHeight="1">
      <c r="A3373" s="21">
        <v>721891</v>
      </c>
      <c r="B3373" s="21" t="s">
        <v>3363</v>
      </c>
      <c r="C3373" s="21" t="s">
        <v>5827</v>
      </c>
      <c r="D3373" s="21" t="s">
        <v>11</v>
      </c>
      <c r="E3373" s="21" t="s">
        <v>11</v>
      </c>
    </row>
    <row r="3374" spans="1:5" s="21" customFormat="1" ht="15.75" hidden="1" customHeight="1">
      <c r="A3374" s="21">
        <v>721899</v>
      </c>
      <c r="B3374" s="21" t="s">
        <v>3364</v>
      </c>
      <c r="C3374" s="21" t="s">
        <v>5827</v>
      </c>
      <c r="D3374" s="21" t="s">
        <v>11</v>
      </c>
      <c r="E3374" s="21" t="s">
        <v>11</v>
      </c>
    </row>
    <row r="3375" spans="1:5" s="21" customFormat="1" ht="15.75" hidden="1" customHeight="1">
      <c r="A3375" s="21">
        <v>721911</v>
      </c>
      <c r="B3375" s="21" t="s">
        <v>3365</v>
      </c>
      <c r="C3375" s="21" t="s">
        <v>5827</v>
      </c>
      <c r="D3375" s="21" t="s">
        <v>11</v>
      </c>
      <c r="E3375" s="21" t="s">
        <v>11</v>
      </c>
    </row>
    <row r="3376" spans="1:5" s="21" customFormat="1" ht="15.75" hidden="1" customHeight="1">
      <c r="A3376" s="21">
        <v>721912</v>
      </c>
      <c r="B3376" s="21" t="s">
        <v>3366</v>
      </c>
      <c r="C3376" s="21" t="s">
        <v>5827</v>
      </c>
      <c r="D3376" s="21" t="s">
        <v>11</v>
      </c>
      <c r="E3376" s="21" t="s">
        <v>11</v>
      </c>
    </row>
    <row r="3377" spans="1:5" s="21" customFormat="1" ht="15.75" hidden="1" customHeight="1">
      <c r="A3377" s="21">
        <v>721913</v>
      </c>
      <c r="B3377" s="21" t="s">
        <v>3367</v>
      </c>
      <c r="C3377" s="21" t="s">
        <v>5827</v>
      </c>
      <c r="D3377" s="21" t="s">
        <v>11</v>
      </c>
      <c r="E3377" s="21" t="s">
        <v>11</v>
      </c>
    </row>
    <row r="3378" spans="1:5" s="21" customFormat="1" ht="15.75" hidden="1" customHeight="1">
      <c r="A3378" s="21">
        <v>721914</v>
      </c>
      <c r="B3378" s="21" t="s">
        <v>3368</v>
      </c>
      <c r="C3378" s="21" t="s">
        <v>5827</v>
      </c>
      <c r="D3378" s="21" t="s">
        <v>11</v>
      </c>
      <c r="E3378" s="21" t="s">
        <v>11</v>
      </c>
    </row>
    <row r="3379" spans="1:5" s="21" customFormat="1" ht="15.75" hidden="1" customHeight="1">
      <c r="A3379" s="21">
        <v>721921</v>
      </c>
      <c r="B3379" s="21" t="s">
        <v>3369</v>
      </c>
      <c r="C3379" s="21" t="s">
        <v>5827</v>
      </c>
      <c r="D3379" s="21" t="s">
        <v>11</v>
      </c>
      <c r="E3379" s="21" t="s">
        <v>11</v>
      </c>
    </row>
    <row r="3380" spans="1:5" s="21" customFormat="1" ht="15.75" hidden="1" customHeight="1">
      <c r="A3380" s="21">
        <v>721922</v>
      </c>
      <c r="B3380" s="21" t="s">
        <v>3370</v>
      </c>
      <c r="C3380" s="21" t="s">
        <v>5827</v>
      </c>
      <c r="D3380" s="21" t="s">
        <v>11</v>
      </c>
      <c r="E3380" s="21" t="s">
        <v>11</v>
      </c>
    </row>
    <row r="3381" spans="1:5" s="21" customFormat="1" ht="15.75" hidden="1" customHeight="1">
      <c r="A3381" s="21">
        <v>721923</v>
      </c>
      <c r="B3381" s="21" t="s">
        <v>3371</v>
      </c>
      <c r="C3381" s="21" t="s">
        <v>5827</v>
      </c>
      <c r="D3381" s="21" t="s">
        <v>11</v>
      </c>
      <c r="E3381" s="21" t="s">
        <v>11</v>
      </c>
    </row>
    <row r="3382" spans="1:5" s="21" customFormat="1" ht="15.75" hidden="1" customHeight="1">
      <c r="A3382" s="21">
        <v>721924</v>
      </c>
      <c r="B3382" s="21" t="s">
        <v>3372</v>
      </c>
      <c r="C3382" s="21" t="s">
        <v>5827</v>
      </c>
      <c r="D3382" s="21" t="s">
        <v>11</v>
      </c>
      <c r="E3382" s="21" t="s">
        <v>11</v>
      </c>
    </row>
    <row r="3383" spans="1:5" s="21" customFormat="1" ht="15.75" hidden="1" customHeight="1">
      <c r="A3383" s="21">
        <v>721931</v>
      </c>
      <c r="B3383" s="21" t="s">
        <v>3373</v>
      </c>
      <c r="C3383" s="21" t="s">
        <v>5827</v>
      </c>
      <c r="D3383" s="21" t="s">
        <v>11</v>
      </c>
      <c r="E3383" s="21" t="s">
        <v>11</v>
      </c>
    </row>
    <row r="3384" spans="1:5" s="21" customFormat="1" ht="15.75" hidden="1" customHeight="1">
      <c r="A3384" s="21">
        <v>721932</v>
      </c>
      <c r="B3384" s="21" t="s">
        <v>3374</v>
      </c>
      <c r="C3384" s="21" t="s">
        <v>5827</v>
      </c>
      <c r="D3384" s="21" t="s">
        <v>11</v>
      </c>
      <c r="E3384" s="21" t="s">
        <v>11</v>
      </c>
    </row>
    <row r="3385" spans="1:5" s="21" customFormat="1" ht="15.75" hidden="1" customHeight="1">
      <c r="A3385" s="21">
        <v>721933</v>
      </c>
      <c r="B3385" s="21" t="s">
        <v>3375</v>
      </c>
      <c r="C3385" s="21" t="s">
        <v>5827</v>
      </c>
      <c r="D3385" s="21" t="s">
        <v>11</v>
      </c>
      <c r="E3385" s="21" t="s">
        <v>11</v>
      </c>
    </row>
    <row r="3386" spans="1:5" s="21" customFormat="1" ht="15.75" hidden="1" customHeight="1">
      <c r="A3386" s="21">
        <v>721934</v>
      </c>
      <c r="B3386" s="21" t="s">
        <v>3376</v>
      </c>
      <c r="C3386" s="21" t="s">
        <v>5827</v>
      </c>
      <c r="D3386" s="21" t="s">
        <v>11</v>
      </c>
      <c r="E3386" s="21" t="s">
        <v>11</v>
      </c>
    </row>
    <row r="3387" spans="1:5" s="21" customFormat="1" ht="15.75" hidden="1" customHeight="1">
      <c r="A3387" s="21">
        <v>721935</v>
      </c>
      <c r="B3387" s="21" t="s">
        <v>3377</v>
      </c>
      <c r="C3387" s="21" t="s">
        <v>5827</v>
      </c>
      <c r="D3387" s="21" t="s">
        <v>11</v>
      </c>
      <c r="E3387" s="21" t="s">
        <v>11</v>
      </c>
    </row>
    <row r="3388" spans="1:5" s="21" customFormat="1" ht="15.75" hidden="1" customHeight="1">
      <c r="A3388" s="21">
        <v>721990</v>
      </c>
      <c r="B3388" s="21" t="s">
        <v>3378</v>
      </c>
      <c r="C3388" s="21" t="s">
        <v>5827</v>
      </c>
      <c r="D3388" s="21" t="s">
        <v>11</v>
      </c>
      <c r="E3388" s="21" t="s">
        <v>11</v>
      </c>
    </row>
    <row r="3389" spans="1:5" s="21" customFormat="1" ht="15.75" hidden="1" customHeight="1">
      <c r="A3389" s="21">
        <v>722011</v>
      </c>
      <c r="B3389" s="21" t="s">
        <v>3379</v>
      </c>
      <c r="C3389" s="21" t="s">
        <v>5827</v>
      </c>
      <c r="D3389" s="21" t="s">
        <v>11</v>
      </c>
      <c r="E3389" s="21" t="s">
        <v>11</v>
      </c>
    </row>
    <row r="3390" spans="1:5" s="21" customFormat="1" ht="15.75" hidden="1" customHeight="1">
      <c r="A3390" s="21">
        <v>722012</v>
      </c>
      <c r="B3390" s="21" t="s">
        <v>3380</v>
      </c>
      <c r="C3390" s="21" t="s">
        <v>5827</v>
      </c>
      <c r="D3390" s="21" t="s">
        <v>11</v>
      </c>
      <c r="E3390" s="21" t="s">
        <v>11</v>
      </c>
    </row>
    <row r="3391" spans="1:5" s="21" customFormat="1" ht="15.75" hidden="1" customHeight="1">
      <c r="A3391" s="21">
        <v>722020</v>
      </c>
      <c r="B3391" s="21" t="s">
        <v>3381</v>
      </c>
      <c r="C3391" s="21" t="s">
        <v>5827</v>
      </c>
      <c r="D3391" s="21" t="s">
        <v>11</v>
      </c>
      <c r="E3391" s="21" t="s">
        <v>11</v>
      </c>
    </row>
    <row r="3392" spans="1:5" s="21" customFormat="1" ht="15.75" hidden="1" customHeight="1">
      <c r="A3392" s="21">
        <v>722090</v>
      </c>
      <c r="B3392" s="21" t="s">
        <v>3382</v>
      </c>
      <c r="C3392" s="21" t="s">
        <v>5827</v>
      </c>
      <c r="D3392" s="21" t="s">
        <v>11</v>
      </c>
      <c r="E3392" s="21" t="s">
        <v>11</v>
      </c>
    </row>
    <row r="3393" spans="1:5" s="21" customFormat="1" ht="15.75" hidden="1" customHeight="1">
      <c r="A3393" s="21">
        <v>722100</v>
      </c>
      <c r="B3393" s="21" t="s">
        <v>3383</v>
      </c>
      <c r="C3393" s="21" t="s">
        <v>5827</v>
      </c>
      <c r="D3393" s="21" t="s">
        <v>11</v>
      </c>
      <c r="E3393" s="21" t="s">
        <v>11</v>
      </c>
    </row>
    <row r="3394" spans="1:5" s="21" customFormat="1" ht="15.75" hidden="1" customHeight="1">
      <c r="A3394" s="21">
        <v>722211</v>
      </c>
      <c r="B3394" s="21" t="s">
        <v>3384</v>
      </c>
      <c r="C3394" s="21" t="s">
        <v>5827</v>
      </c>
      <c r="D3394" s="21" t="s">
        <v>11</v>
      </c>
      <c r="E3394" s="21" t="s">
        <v>11</v>
      </c>
    </row>
    <row r="3395" spans="1:5" s="21" customFormat="1" ht="15.75" hidden="1" customHeight="1">
      <c r="A3395" s="21">
        <v>722219</v>
      </c>
      <c r="B3395" s="21" t="s">
        <v>3385</v>
      </c>
      <c r="C3395" s="21" t="s">
        <v>5827</v>
      </c>
      <c r="D3395" s="21" t="s">
        <v>11</v>
      </c>
      <c r="E3395" s="21" t="s">
        <v>11</v>
      </c>
    </row>
    <row r="3396" spans="1:5" s="21" customFormat="1" ht="15.75" hidden="1" customHeight="1">
      <c r="A3396" s="21">
        <v>722220</v>
      </c>
      <c r="B3396" s="21" t="s">
        <v>3386</v>
      </c>
      <c r="C3396" s="21" t="s">
        <v>5827</v>
      </c>
      <c r="D3396" s="21" t="s">
        <v>11</v>
      </c>
      <c r="E3396" s="21" t="s">
        <v>11</v>
      </c>
    </row>
    <row r="3397" spans="1:5" s="21" customFormat="1" ht="15.75" hidden="1" customHeight="1">
      <c r="A3397" s="21">
        <v>722230</v>
      </c>
      <c r="B3397" s="21" t="s">
        <v>3387</v>
      </c>
      <c r="C3397" s="21" t="s">
        <v>5827</v>
      </c>
      <c r="D3397" s="21" t="s">
        <v>11</v>
      </c>
      <c r="E3397" s="21" t="s">
        <v>11</v>
      </c>
    </row>
    <row r="3398" spans="1:5" s="21" customFormat="1" ht="15.75" hidden="1" customHeight="1">
      <c r="A3398" s="21">
        <v>722240</v>
      </c>
      <c r="B3398" s="21" t="s">
        <v>3388</v>
      </c>
      <c r="C3398" s="21" t="s">
        <v>5827</v>
      </c>
      <c r="D3398" s="21" t="s">
        <v>11</v>
      </c>
      <c r="E3398" s="21" t="s">
        <v>11</v>
      </c>
    </row>
    <row r="3399" spans="1:5" s="21" customFormat="1" ht="15.75" hidden="1" customHeight="1">
      <c r="A3399" s="21">
        <v>722300</v>
      </c>
      <c r="B3399" s="21" t="s">
        <v>3389</v>
      </c>
      <c r="C3399" s="21" t="s">
        <v>5827</v>
      </c>
      <c r="D3399" s="21" t="s">
        <v>11</v>
      </c>
      <c r="E3399" s="21" t="s">
        <v>11</v>
      </c>
    </row>
    <row r="3400" spans="1:5" s="21" customFormat="1" ht="15.75" hidden="1" customHeight="1">
      <c r="A3400" s="21">
        <v>722410</v>
      </c>
      <c r="B3400" s="21" t="s">
        <v>3390</v>
      </c>
      <c r="C3400" s="21" t="s">
        <v>5828</v>
      </c>
      <c r="D3400" s="21" t="s">
        <v>11</v>
      </c>
      <c r="E3400" s="21" t="s">
        <v>11</v>
      </c>
    </row>
    <row r="3401" spans="1:5" s="21" customFormat="1" ht="15.75" hidden="1" customHeight="1">
      <c r="A3401" s="21">
        <v>722490</v>
      </c>
      <c r="B3401" s="21" t="s">
        <v>3391</v>
      </c>
      <c r="C3401" s="21" t="s">
        <v>5828</v>
      </c>
      <c r="D3401" s="21" t="s">
        <v>11</v>
      </c>
      <c r="E3401" s="21" t="s">
        <v>11</v>
      </c>
    </row>
    <row r="3402" spans="1:5" s="21" customFormat="1" ht="15.75" hidden="1" customHeight="1">
      <c r="A3402" s="21">
        <v>722511</v>
      </c>
      <c r="B3402" s="21" t="s">
        <v>3392</v>
      </c>
      <c r="C3402" s="21" t="s">
        <v>5828</v>
      </c>
      <c r="D3402" s="21" t="s">
        <v>11</v>
      </c>
      <c r="E3402" s="21" t="s">
        <v>11</v>
      </c>
    </row>
    <row r="3403" spans="1:5" s="21" customFormat="1" ht="15.75" hidden="1" customHeight="1">
      <c r="A3403" s="21">
        <v>722519</v>
      </c>
      <c r="B3403" s="21" t="s">
        <v>3393</v>
      </c>
      <c r="C3403" s="21" t="s">
        <v>5828</v>
      </c>
      <c r="D3403" s="21" t="s">
        <v>11</v>
      </c>
      <c r="E3403" s="21" t="s">
        <v>11</v>
      </c>
    </row>
    <row r="3404" spans="1:5" s="21" customFormat="1" ht="15.75" hidden="1" customHeight="1">
      <c r="A3404" s="21">
        <v>722530</v>
      </c>
      <c r="B3404" s="21" t="s">
        <v>3394</v>
      </c>
      <c r="C3404" s="21" t="s">
        <v>5828</v>
      </c>
      <c r="D3404" s="21" t="s">
        <v>11</v>
      </c>
      <c r="E3404" s="21" t="s">
        <v>11</v>
      </c>
    </row>
    <row r="3405" spans="1:5" s="21" customFormat="1" ht="15.75" hidden="1" customHeight="1">
      <c r="A3405" s="21">
        <v>722540</v>
      </c>
      <c r="B3405" s="21" t="s">
        <v>3395</v>
      </c>
      <c r="C3405" s="21" t="s">
        <v>5828</v>
      </c>
      <c r="D3405" s="21" t="s">
        <v>11</v>
      </c>
      <c r="E3405" s="21" t="s">
        <v>11</v>
      </c>
    </row>
    <row r="3406" spans="1:5" s="21" customFormat="1" ht="15.75" hidden="1" customHeight="1">
      <c r="A3406" s="21">
        <v>722550</v>
      </c>
      <c r="B3406" s="21" t="s">
        <v>3396</v>
      </c>
      <c r="C3406" s="21" t="s">
        <v>5828</v>
      </c>
      <c r="D3406" s="21" t="s">
        <v>11</v>
      </c>
      <c r="E3406" s="21" t="s">
        <v>11</v>
      </c>
    </row>
    <row r="3407" spans="1:5" s="21" customFormat="1" ht="15.75" hidden="1" customHeight="1">
      <c r="A3407" s="21">
        <v>722591</v>
      </c>
      <c r="B3407" s="21" t="s">
        <v>3397</v>
      </c>
      <c r="C3407" s="21" t="s">
        <v>5828</v>
      </c>
      <c r="D3407" s="21" t="s">
        <v>11</v>
      </c>
      <c r="E3407" s="21" t="s">
        <v>11</v>
      </c>
    </row>
    <row r="3408" spans="1:5" s="21" customFormat="1" ht="15.75" hidden="1" customHeight="1">
      <c r="A3408" s="21">
        <v>722592</v>
      </c>
      <c r="B3408" s="21" t="s">
        <v>3398</v>
      </c>
      <c r="C3408" s="21" t="s">
        <v>5828</v>
      </c>
      <c r="D3408" s="21" t="s">
        <v>11</v>
      </c>
      <c r="E3408" s="21" t="s">
        <v>11</v>
      </c>
    </row>
    <row r="3409" spans="1:5" s="21" customFormat="1" ht="15.75" hidden="1" customHeight="1">
      <c r="A3409" s="21">
        <v>722599</v>
      </c>
      <c r="B3409" s="21" t="s">
        <v>3399</v>
      </c>
      <c r="C3409" s="21" t="s">
        <v>5828</v>
      </c>
      <c r="D3409" s="21" t="s">
        <v>11</v>
      </c>
      <c r="E3409" s="21" t="s">
        <v>11</v>
      </c>
    </row>
    <row r="3410" spans="1:5" s="21" customFormat="1" ht="15.75" hidden="1" customHeight="1">
      <c r="A3410" s="21">
        <v>722611</v>
      </c>
      <c r="B3410" s="21" t="s">
        <v>3400</v>
      </c>
      <c r="C3410" s="21" t="s">
        <v>5828</v>
      </c>
      <c r="D3410" s="21" t="s">
        <v>11</v>
      </c>
      <c r="E3410" s="21" t="s">
        <v>11</v>
      </c>
    </row>
    <row r="3411" spans="1:5" s="21" customFormat="1" ht="15.75" hidden="1" customHeight="1">
      <c r="A3411" s="21">
        <v>722619</v>
      </c>
      <c r="B3411" s="21" t="s">
        <v>3401</v>
      </c>
      <c r="C3411" s="21" t="s">
        <v>5828</v>
      </c>
      <c r="D3411" s="21" t="s">
        <v>11</v>
      </c>
      <c r="E3411" s="21" t="s">
        <v>11</v>
      </c>
    </row>
    <row r="3412" spans="1:5" s="21" customFormat="1" ht="15.75" hidden="1" customHeight="1">
      <c r="A3412" s="21">
        <v>722620</v>
      </c>
      <c r="B3412" s="21" t="s">
        <v>3402</v>
      </c>
      <c r="C3412" s="21" t="s">
        <v>5828</v>
      </c>
      <c r="D3412" s="21" t="s">
        <v>11</v>
      </c>
      <c r="E3412" s="21" t="s">
        <v>11</v>
      </c>
    </row>
    <row r="3413" spans="1:5" s="21" customFormat="1" ht="15.75" hidden="1" customHeight="1">
      <c r="A3413" s="21">
        <v>722691</v>
      </c>
      <c r="B3413" s="21" t="s">
        <v>3403</v>
      </c>
      <c r="C3413" s="21" t="s">
        <v>5828</v>
      </c>
      <c r="D3413" s="21" t="s">
        <v>11</v>
      </c>
      <c r="E3413" s="21" t="s">
        <v>11</v>
      </c>
    </row>
    <row r="3414" spans="1:5" s="21" customFormat="1" ht="15.75" hidden="1" customHeight="1">
      <c r="A3414" s="21">
        <v>722692</v>
      </c>
      <c r="B3414" s="21" t="s">
        <v>3404</v>
      </c>
      <c r="C3414" s="21" t="s">
        <v>5828</v>
      </c>
      <c r="D3414" s="21" t="s">
        <v>11</v>
      </c>
      <c r="E3414" s="21" t="s">
        <v>11</v>
      </c>
    </row>
    <row r="3415" spans="1:5" s="21" customFormat="1" ht="15.75" hidden="1" customHeight="1">
      <c r="A3415" s="21">
        <v>722699</v>
      </c>
      <c r="B3415" s="21" t="s">
        <v>3405</v>
      </c>
      <c r="C3415" s="21" t="s">
        <v>5828</v>
      </c>
      <c r="D3415" s="21" t="s">
        <v>11</v>
      </c>
      <c r="E3415" s="21" t="s">
        <v>11</v>
      </c>
    </row>
    <row r="3416" spans="1:5" s="21" customFormat="1" ht="15.75" hidden="1" customHeight="1">
      <c r="A3416" s="21">
        <v>722710</v>
      </c>
      <c r="B3416" s="21" t="s">
        <v>3406</v>
      </c>
      <c r="C3416" s="21" t="s">
        <v>5828</v>
      </c>
      <c r="D3416" s="21" t="s">
        <v>11</v>
      </c>
      <c r="E3416" s="21" t="s">
        <v>11</v>
      </c>
    </row>
    <row r="3417" spans="1:5" s="21" customFormat="1" ht="15.75" hidden="1" customHeight="1">
      <c r="A3417" s="21">
        <v>722720</v>
      </c>
      <c r="B3417" s="21" t="s">
        <v>3407</v>
      </c>
      <c r="C3417" s="21" t="s">
        <v>5828</v>
      </c>
      <c r="D3417" s="21" t="s">
        <v>11</v>
      </c>
      <c r="E3417" s="21" t="s">
        <v>11</v>
      </c>
    </row>
    <row r="3418" spans="1:5" s="21" customFormat="1" ht="15.75" hidden="1" customHeight="1">
      <c r="A3418" s="21">
        <v>722790</v>
      </c>
      <c r="B3418" s="21" t="s">
        <v>3408</v>
      </c>
      <c r="C3418" s="21" t="s">
        <v>5828</v>
      </c>
      <c r="D3418" s="21" t="s">
        <v>11</v>
      </c>
      <c r="E3418" s="21" t="s">
        <v>11</v>
      </c>
    </row>
    <row r="3419" spans="1:5" s="21" customFormat="1" ht="15.75" hidden="1" customHeight="1">
      <c r="A3419" s="21">
        <v>722810</v>
      </c>
      <c r="B3419" s="21" t="s">
        <v>3409</v>
      </c>
      <c r="C3419" s="21" t="s">
        <v>5828</v>
      </c>
      <c r="D3419" s="21" t="s">
        <v>11</v>
      </c>
      <c r="E3419" s="21" t="s">
        <v>11</v>
      </c>
    </row>
    <row r="3420" spans="1:5" s="21" customFormat="1" ht="15.75" hidden="1" customHeight="1">
      <c r="A3420" s="21">
        <v>722820</v>
      </c>
      <c r="B3420" s="21" t="s">
        <v>3410</v>
      </c>
      <c r="C3420" s="21" t="s">
        <v>5828</v>
      </c>
      <c r="D3420" s="21" t="s">
        <v>11</v>
      </c>
      <c r="E3420" s="21" t="s">
        <v>11</v>
      </c>
    </row>
    <row r="3421" spans="1:5" s="21" customFormat="1" ht="15.75" hidden="1" customHeight="1">
      <c r="A3421" s="21">
        <v>722830</v>
      </c>
      <c r="B3421" s="21" t="s">
        <v>3411</v>
      </c>
      <c r="C3421" s="21" t="s">
        <v>5828</v>
      </c>
      <c r="D3421" s="21" t="s">
        <v>11</v>
      </c>
      <c r="E3421" s="21" t="s">
        <v>11</v>
      </c>
    </row>
    <row r="3422" spans="1:5" s="21" customFormat="1" ht="15.75" hidden="1" customHeight="1">
      <c r="A3422" s="21">
        <v>722840</v>
      </c>
      <c r="B3422" s="21" t="s">
        <v>3412</v>
      </c>
      <c r="C3422" s="21" t="s">
        <v>5828</v>
      </c>
      <c r="D3422" s="21" t="s">
        <v>11</v>
      </c>
      <c r="E3422" s="21" t="s">
        <v>11</v>
      </c>
    </row>
    <row r="3423" spans="1:5" s="21" customFormat="1" ht="15.75" hidden="1" customHeight="1">
      <c r="A3423" s="21">
        <v>722850</v>
      </c>
      <c r="B3423" s="21" t="s">
        <v>3413</v>
      </c>
      <c r="C3423" s="21" t="s">
        <v>5828</v>
      </c>
      <c r="D3423" s="21" t="s">
        <v>11</v>
      </c>
      <c r="E3423" s="21" t="s">
        <v>11</v>
      </c>
    </row>
    <row r="3424" spans="1:5" s="21" customFormat="1" ht="15.75" hidden="1" customHeight="1">
      <c r="A3424" s="21">
        <v>722860</v>
      </c>
      <c r="B3424" s="21" t="s">
        <v>3414</v>
      </c>
      <c r="C3424" s="21" t="s">
        <v>5828</v>
      </c>
      <c r="D3424" s="21" t="s">
        <v>11</v>
      </c>
      <c r="E3424" s="21" t="s">
        <v>11</v>
      </c>
    </row>
    <row r="3425" spans="1:5" s="21" customFormat="1" ht="15.75" hidden="1" customHeight="1">
      <c r="A3425" s="21">
        <v>722870</v>
      </c>
      <c r="B3425" s="21" t="s">
        <v>3415</v>
      </c>
      <c r="C3425" s="21" t="s">
        <v>5828</v>
      </c>
      <c r="D3425" s="21" t="s">
        <v>11</v>
      </c>
      <c r="E3425" s="21" t="s">
        <v>11</v>
      </c>
    </row>
    <row r="3426" spans="1:5" s="21" customFormat="1" ht="15.75" hidden="1" customHeight="1">
      <c r="A3426" s="21">
        <v>722880</v>
      </c>
      <c r="B3426" s="21" t="s">
        <v>3416</v>
      </c>
      <c r="C3426" s="21" t="s">
        <v>5829</v>
      </c>
      <c r="D3426" s="21" t="s">
        <v>11</v>
      </c>
      <c r="E3426" s="21" t="s">
        <v>11</v>
      </c>
    </row>
    <row r="3427" spans="1:5" s="21" customFormat="1" ht="15.75" hidden="1" customHeight="1">
      <c r="A3427" s="21">
        <v>722920</v>
      </c>
      <c r="B3427" s="21" t="s">
        <v>3417</v>
      </c>
      <c r="C3427" s="21" t="s">
        <v>5828</v>
      </c>
      <c r="D3427" s="21" t="s">
        <v>11</v>
      </c>
      <c r="E3427" s="21" t="s">
        <v>11</v>
      </c>
    </row>
    <row r="3428" spans="1:5" s="21" customFormat="1" ht="15.75" hidden="1" customHeight="1">
      <c r="A3428" s="21">
        <v>722990</v>
      </c>
      <c r="B3428" s="21" t="s">
        <v>3418</v>
      </c>
      <c r="C3428" s="21" t="s">
        <v>5828</v>
      </c>
      <c r="D3428" s="21" t="s">
        <v>11</v>
      </c>
      <c r="E3428" s="21" t="s">
        <v>11</v>
      </c>
    </row>
    <row r="3429" spans="1:5" s="21" customFormat="1" ht="15.75" hidden="1" customHeight="1">
      <c r="A3429" s="21">
        <v>730110</v>
      </c>
      <c r="B3429" s="21" t="s">
        <v>3419</v>
      </c>
      <c r="C3429" s="21" t="s">
        <v>5830</v>
      </c>
      <c r="D3429" s="21" t="s">
        <v>11</v>
      </c>
      <c r="E3429" s="21" t="s">
        <v>11</v>
      </c>
    </row>
    <row r="3430" spans="1:5" s="21" customFormat="1" ht="15.75" hidden="1" customHeight="1">
      <c r="A3430" s="21">
        <v>730120</v>
      </c>
      <c r="B3430" s="21" t="s">
        <v>3420</v>
      </c>
      <c r="C3430" s="21" t="s">
        <v>5830</v>
      </c>
      <c r="D3430" s="21" t="s">
        <v>11</v>
      </c>
      <c r="E3430" s="21" t="s">
        <v>11</v>
      </c>
    </row>
    <row r="3431" spans="1:5" s="21" customFormat="1" ht="15.75" hidden="1" customHeight="1">
      <c r="A3431" s="21">
        <v>730210</v>
      </c>
      <c r="B3431" s="21" t="s">
        <v>3421</v>
      </c>
      <c r="C3431" s="21" t="s">
        <v>5831</v>
      </c>
      <c r="D3431" s="21" t="s">
        <v>11</v>
      </c>
      <c r="E3431" s="21" t="s">
        <v>11</v>
      </c>
    </row>
    <row r="3432" spans="1:5" s="21" customFormat="1" ht="15.75" hidden="1" customHeight="1">
      <c r="A3432" s="21">
        <v>730230</v>
      </c>
      <c r="B3432" s="21" t="s">
        <v>3422</v>
      </c>
      <c r="C3432" s="21" t="s">
        <v>5831</v>
      </c>
      <c r="D3432" s="21" t="s">
        <v>11</v>
      </c>
      <c r="E3432" s="21" t="s">
        <v>11</v>
      </c>
    </row>
    <row r="3433" spans="1:5" s="21" customFormat="1" ht="15.75" hidden="1" customHeight="1">
      <c r="A3433" s="21">
        <v>730240</v>
      </c>
      <c r="B3433" s="21" t="s">
        <v>3423</v>
      </c>
      <c r="C3433" s="21" t="s">
        <v>5831</v>
      </c>
      <c r="D3433" s="21" t="s">
        <v>11</v>
      </c>
      <c r="E3433" s="21" t="s">
        <v>11</v>
      </c>
    </row>
    <row r="3434" spans="1:5" s="21" customFormat="1" ht="15.75" hidden="1" customHeight="1">
      <c r="A3434" s="21">
        <v>730290</v>
      </c>
      <c r="B3434" s="21" t="s">
        <v>3424</v>
      </c>
      <c r="C3434" s="21" t="s">
        <v>5831</v>
      </c>
      <c r="D3434" s="21" t="s">
        <v>11</v>
      </c>
      <c r="E3434" s="21" t="s">
        <v>11</v>
      </c>
    </row>
    <row r="3435" spans="1:5" s="21" customFormat="1" ht="15.75" hidden="1" customHeight="1">
      <c r="A3435" s="21">
        <v>730300</v>
      </c>
      <c r="B3435" s="21" t="s">
        <v>3425</v>
      </c>
      <c r="C3435" s="21" t="s">
        <v>5832</v>
      </c>
      <c r="D3435" s="21" t="s">
        <v>11</v>
      </c>
      <c r="E3435" s="21" t="s">
        <v>11</v>
      </c>
    </row>
    <row r="3436" spans="1:5" s="21" customFormat="1" ht="15.75" hidden="1" customHeight="1">
      <c r="A3436" s="21">
        <v>730411</v>
      </c>
      <c r="B3436" s="21" t="s">
        <v>3426</v>
      </c>
      <c r="C3436" s="21" t="s">
        <v>5833</v>
      </c>
      <c r="D3436" s="21" t="s">
        <v>11</v>
      </c>
      <c r="E3436" s="21" t="s">
        <v>11</v>
      </c>
    </row>
    <row r="3437" spans="1:5" s="21" customFormat="1" ht="15.75" hidden="1" customHeight="1">
      <c r="A3437" s="21">
        <v>730419</v>
      </c>
      <c r="B3437" s="21" t="s">
        <v>3427</v>
      </c>
      <c r="C3437" s="21" t="s">
        <v>5834</v>
      </c>
      <c r="D3437" s="21" t="s">
        <v>11</v>
      </c>
      <c r="E3437" s="21" t="s">
        <v>11</v>
      </c>
    </row>
    <row r="3438" spans="1:5" s="21" customFormat="1" ht="15.75" hidden="1" customHeight="1">
      <c r="A3438" s="21">
        <v>730422</v>
      </c>
      <c r="B3438" s="21" t="s">
        <v>3428</v>
      </c>
      <c r="C3438" s="21" t="s">
        <v>5827</v>
      </c>
      <c r="D3438" s="21" t="s">
        <v>11</v>
      </c>
      <c r="E3438" s="21" t="s">
        <v>11</v>
      </c>
    </row>
    <row r="3439" spans="1:5" s="21" customFormat="1" ht="15.75" hidden="1" customHeight="1">
      <c r="A3439" s="21">
        <v>730423</v>
      </c>
      <c r="B3439" s="21" t="s">
        <v>3429</v>
      </c>
      <c r="C3439" s="21" t="s">
        <v>5834</v>
      </c>
      <c r="D3439" s="21" t="s">
        <v>11</v>
      </c>
      <c r="E3439" s="21" t="s">
        <v>11</v>
      </c>
    </row>
    <row r="3440" spans="1:5" s="21" customFormat="1" ht="15.75" hidden="1" customHeight="1">
      <c r="A3440" s="21">
        <v>730424</v>
      </c>
      <c r="B3440" s="21" t="s">
        <v>3430</v>
      </c>
      <c r="C3440" s="21" t="s">
        <v>5827</v>
      </c>
      <c r="D3440" s="21" t="s">
        <v>11</v>
      </c>
      <c r="E3440" s="21" t="s">
        <v>11</v>
      </c>
    </row>
    <row r="3441" spans="1:5" s="21" customFormat="1" ht="15.75" hidden="1" customHeight="1">
      <c r="A3441" s="21">
        <v>730429</v>
      </c>
      <c r="B3441" s="21" t="s">
        <v>3431</v>
      </c>
      <c r="C3441" s="21" t="s">
        <v>5834</v>
      </c>
      <c r="D3441" s="21" t="s">
        <v>11</v>
      </c>
      <c r="E3441" s="21" t="s">
        <v>11</v>
      </c>
    </row>
    <row r="3442" spans="1:5" s="21" customFormat="1" ht="15.75" hidden="1" customHeight="1">
      <c r="A3442" s="21">
        <v>730431</v>
      </c>
      <c r="B3442" s="21" t="s">
        <v>3432</v>
      </c>
      <c r="C3442" s="21" t="s">
        <v>5835</v>
      </c>
      <c r="D3442" s="21" t="s">
        <v>11</v>
      </c>
      <c r="E3442" s="21" t="s">
        <v>11</v>
      </c>
    </row>
    <row r="3443" spans="1:5" s="21" customFormat="1" ht="15.75" hidden="1" customHeight="1">
      <c r="A3443" s="21">
        <v>730439</v>
      </c>
      <c r="B3443" s="21" t="s">
        <v>3433</v>
      </c>
      <c r="C3443" s="21" t="s">
        <v>5835</v>
      </c>
      <c r="D3443" s="21" t="s">
        <v>11</v>
      </c>
      <c r="E3443" s="21" t="s">
        <v>11</v>
      </c>
    </row>
    <row r="3444" spans="1:5" s="21" customFormat="1" ht="15.75" hidden="1" customHeight="1">
      <c r="A3444" s="21">
        <v>730441</v>
      </c>
      <c r="B3444" s="21" t="s">
        <v>3434</v>
      </c>
      <c r="C3444" s="21" t="s">
        <v>5827</v>
      </c>
      <c r="D3444" s="21" t="s">
        <v>11</v>
      </c>
      <c r="E3444" s="21" t="s">
        <v>11</v>
      </c>
    </row>
    <row r="3445" spans="1:5" s="21" customFormat="1" ht="15.75" hidden="1" customHeight="1">
      <c r="A3445" s="21">
        <v>730449</v>
      </c>
      <c r="B3445" s="21" t="s">
        <v>3435</v>
      </c>
      <c r="C3445" s="21" t="s">
        <v>5827</v>
      </c>
      <c r="D3445" s="21" t="s">
        <v>11</v>
      </c>
      <c r="E3445" s="21" t="s">
        <v>11</v>
      </c>
    </row>
    <row r="3446" spans="1:5" s="21" customFormat="1" ht="15.75" hidden="1" customHeight="1">
      <c r="A3446" s="21">
        <v>730451</v>
      </c>
      <c r="B3446" s="21" t="s">
        <v>3436</v>
      </c>
      <c r="C3446" s="21" t="s">
        <v>5836</v>
      </c>
      <c r="D3446" s="21" t="s">
        <v>11</v>
      </c>
      <c r="E3446" s="21" t="s">
        <v>11</v>
      </c>
    </row>
    <row r="3447" spans="1:5" s="21" customFormat="1" ht="15.75" hidden="1" customHeight="1">
      <c r="A3447" s="21">
        <v>730459</v>
      </c>
      <c r="B3447" s="21" t="s">
        <v>3437</v>
      </c>
      <c r="C3447" s="21" t="s">
        <v>5836</v>
      </c>
      <c r="D3447" s="21" t="s">
        <v>11</v>
      </c>
      <c r="E3447" s="21" t="s">
        <v>11</v>
      </c>
    </row>
    <row r="3448" spans="1:5" s="21" customFormat="1" ht="15.75" hidden="1" customHeight="1">
      <c r="A3448" s="21">
        <v>730490</v>
      </c>
      <c r="B3448" s="21" t="s">
        <v>3438</v>
      </c>
      <c r="C3448" s="21" t="s">
        <v>5833</v>
      </c>
      <c r="D3448" s="21" t="s">
        <v>11</v>
      </c>
      <c r="E3448" s="21" t="s">
        <v>11</v>
      </c>
    </row>
    <row r="3449" spans="1:5" s="21" customFormat="1" ht="15.75" hidden="1" customHeight="1">
      <c r="A3449" s="21">
        <v>730511</v>
      </c>
      <c r="B3449" s="21" t="s">
        <v>3439</v>
      </c>
      <c r="C3449" s="21" t="s">
        <v>5833</v>
      </c>
      <c r="D3449" s="21" t="s">
        <v>11</v>
      </c>
      <c r="E3449" s="21" t="s">
        <v>11</v>
      </c>
    </row>
    <row r="3450" spans="1:5" s="21" customFormat="1" ht="15.75" hidden="1" customHeight="1">
      <c r="A3450" s="21">
        <v>730512</v>
      </c>
      <c r="B3450" s="21" t="s">
        <v>3440</v>
      </c>
      <c r="C3450" s="21" t="s">
        <v>5833</v>
      </c>
      <c r="D3450" s="21" t="s">
        <v>11</v>
      </c>
      <c r="E3450" s="21" t="s">
        <v>11</v>
      </c>
    </row>
    <row r="3451" spans="1:5" s="21" customFormat="1" ht="15.75" hidden="1" customHeight="1">
      <c r="A3451" s="21">
        <v>730519</v>
      </c>
      <c r="B3451" s="21" t="s">
        <v>3441</v>
      </c>
      <c r="C3451" s="21" t="s">
        <v>5833</v>
      </c>
      <c r="D3451" s="21" t="s">
        <v>11</v>
      </c>
      <c r="E3451" s="21" t="s">
        <v>11</v>
      </c>
    </row>
    <row r="3452" spans="1:5" s="21" customFormat="1" ht="15.75" hidden="1" customHeight="1">
      <c r="A3452" s="21">
        <v>730520</v>
      </c>
      <c r="B3452" s="21" t="s">
        <v>3442</v>
      </c>
      <c r="C3452" s="21" t="s">
        <v>5833</v>
      </c>
      <c r="D3452" s="21" t="s">
        <v>11</v>
      </c>
      <c r="E3452" s="21" t="s">
        <v>11</v>
      </c>
    </row>
    <row r="3453" spans="1:5" s="21" customFormat="1" ht="15.75" hidden="1" customHeight="1">
      <c r="A3453" s="21">
        <v>730531</v>
      </c>
      <c r="B3453" s="21" t="s">
        <v>3443</v>
      </c>
      <c r="C3453" s="21" t="s">
        <v>5833</v>
      </c>
      <c r="D3453" s="21" t="s">
        <v>11</v>
      </c>
      <c r="E3453" s="21" t="s">
        <v>11</v>
      </c>
    </row>
    <row r="3454" spans="1:5" s="21" customFormat="1" ht="15.75" hidden="1" customHeight="1">
      <c r="A3454" s="21">
        <v>730539</v>
      </c>
      <c r="B3454" s="21" t="s">
        <v>3444</v>
      </c>
      <c r="C3454" s="21" t="s">
        <v>5833</v>
      </c>
      <c r="D3454" s="21" t="s">
        <v>11</v>
      </c>
      <c r="E3454" s="21" t="s">
        <v>11</v>
      </c>
    </row>
    <row r="3455" spans="1:5" s="21" customFormat="1" ht="15.75" hidden="1" customHeight="1">
      <c r="A3455" s="21">
        <v>730590</v>
      </c>
      <c r="B3455" s="21" t="s">
        <v>3445</v>
      </c>
      <c r="C3455" s="21" t="s">
        <v>5833</v>
      </c>
      <c r="D3455" s="21" t="s">
        <v>11</v>
      </c>
      <c r="E3455" s="21" t="s">
        <v>11</v>
      </c>
    </row>
    <row r="3456" spans="1:5" s="21" customFormat="1" ht="15.75" hidden="1" customHeight="1">
      <c r="A3456" s="21">
        <v>730611</v>
      </c>
      <c r="B3456" s="21" t="s">
        <v>3446</v>
      </c>
      <c r="C3456" s="21" t="s">
        <v>5837</v>
      </c>
      <c r="D3456" s="21" t="s">
        <v>11</v>
      </c>
      <c r="E3456" s="21" t="s">
        <v>11</v>
      </c>
    </row>
    <row r="3457" spans="1:5" s="21" customFormat="1" ht="15.75" hidden="1" customHeight="1">
      <c r="A3457" s="21">
        <v>730619</v>
      </c>
      <c r="B3457" s="21" t="s">
        <v>3447</v>
      </c>
      <c r="C3457" s="21" t="s">
        <v>5833</v>
      </c>
      <c r="D3457" s="21" t="s">
        <v>11</v>
      </c>
      <c r="E3457" s="21" t="s">
        <v>11</v>
      </c>
    </row>
    <row r="3458" spans="1:5" s="21" customFormat="1" ht="15.75" hidden="1" customHeight="1">
      <c r="A3458" s="21">
        <v>730621</v>
      </c>
      <c r="B3458" s="21" t="s">
        <v>3448</v>
      </c>
      <c r="C3458" s="21" t="s">
        <v>5827</v>
      </c>
      <c r="D3458" s="21" t="s">
        <v>11</v>
      </c>
      <c r="E3458" s="21" t="s">
        <v>11</v>
      </c>
    </row>
    <row r="3459" spans="1:5" s="21" customFormat="1" ht="15.75" hidden="1" customHeight="1">
      <c r="A3459" s="21">
        <v>730629</v>
      </c>
      <c r="B3459" s="21" t="s">
        <v>3449</v>
      </c>
      <c r="C3459" s="21" t="s">
        <v>5833</v>
      </c>
      <c r="D3459" s="21" t="s">
        <v>11</v>
      </c>
      <c r="E3459" s="21" t="s">
        <v>11</v>
      </c>
    </row>
    <row r="3460" spans="1:5" s="21" customFormat="1" ht="15.75" hidden="1" customHeight="1">
      <c r="A3460" s="21">
        <v>730630</v>
      </c>
      <c r="B3460" s="21" t="s">
        <v>3450</v>
      </c>
      <c r="C3460" s="21" t="s">
        <v>5835</v>
      </c>
      <c r="D3460" s="21" t="s">
        <v>11</v>
      </c>
      <c r="E3460" s="21" t="s">
        <v>11</v>
      </c>
    </row>
    <row r="3461" spans="1:5" s="21" customFormat="1" ht="15.75" hidden="1" customHeight="1">
      <c r="A3461" s="21">
        <v>730640</v>
      </c>
      <c r="B3461" s="21" t="s">
        <v>3451</v>
      </c>
      <c r="C3461" s="21" t="s">
        <v>5827</v>
      </c>
      <c r="D3461" s="21" t="s">
        <v>11</v>
      </c>
      <c r="E3461" s="21" t="s">
        <v>11</v>
      </c>
    </row>
    <row r="3462" spans="1:5" s="21" customFormat="1" ht="15.75" hidden="1" customHeight="1">
      <c r="A3462" s="21">
        <v>730650</v>
      </c>
      <c r="B3462" s="21" t="s">
        <v>3452</v>
      </c>
      <c r="C3462" s="21" t="s">
        <v>5828</v>
      </c>
      <c r="D3462" s="21" t="s">
        <v>11</v>
      </c>
      <c r="E3462" s="21" t="s">
        <v>11</v>
      </c>
    </row>
    <row r="3463" spans="1:5" s="21" customFormat="1" ht="15.75" hidden="1" customHeight="1">
      <c r="A3463" s="21">
        <v>730661</v>
      </c>
      <c r="B3463" s="21" t="s">
        <v>3453</v>
      </c>
      <c r="C3463" s="21" t="s">
        <v>5833</v>
      </c>
      <c r="D3463" s="21" t="s">
        <v>11</v>
      </c>
      <c r="E3463" s="21" t="s">
        <v>11</v>
      </c>
    </row>
    <row r="3464" spans="1:5" s="21" customFormat="1" ht="15.75" hidden="1" customHeight="1">
      <c r="A3464" s="21">
        <v>730669</v>
      </c>
      <c r="B3464" s="21" t="s">
        <v>3454</v>
      </c>
      <c r="C3464" s="21" t="s">
        <v>5833</v>
      </c>
      <c r="D3464" s="21" t="s">
        <v>11</v>
      </c>
      <c r="E3464" s="21" t="s">
        <v>11</v>
      </c>
    </row>
    <row r="3465" spans="1:5" s="21" customFormat="1" ht="15.75" hidden="1" customHeight="1">
      <c r="A3465" s="21">
        <v>730690</v>
      </c>
      <c r="B3465" s="21" t="s">
        <v>3455</v>
      </c>
      <c r="C3465" s="21" t="s">
        <v>5833</v>
      </c>
      <c r="D3465" s="21" t="s">
        <v>11</v>
      </c>
      <c r="E3465" s="21" t="s">
        <v>11</v>
      </c>
    </row>
    <row r="3466" spans="1:5" s="21" customFormat="1" ht="15.75" hidden="1" customHeight="1">
      <c r="A3466" s="21">
        <v>730711</v>
      </c>
      <c r="B3466" s="21" t="s">
        <v>3456</v>
      </c>
      <c r="C3466" s="21" t="s">
        <v>5832</v>
      </c>
      <c r="D3466" s="21" t="s">
        <v>11</v>
      </c>
      <c r="E3466" s="21" t="s">
        <v>11</v>
      </c>
    </row>
    <row r="3467" spans="1:5" s="21" customFormat="1" ht="15.75" hidden="1" customHeight="1">
      <c r="A3467" s="21">
        <v>730719</v>
      </c>
      <c r="B3467" s="21" t="s">
        <v>3457</v>
      </c>
      <c r="C3467" s="21" t="s">
        <v>5830</v>
      </c>
      <c r="D3467" s="21" t="s">
        <v>11</v>
      </c>
      <c r="E3467" s="21" t="s">
        <v>11</v>
      </c>
    </row>
    <row r="3468" spans="1:5" s="21" customFormat="1" ht="15.75" hidden="1" customHeight="1">
      <c r="A3468" s="21">
        <v>730721</v>
      </c>
      <c r="B3468" s="21" t="s">
        <v>3458</v>
      </c>
      <c r="C3468" s="21" t="s">
        <v>5827</v>
      </c>
      <c r="D3468" s="21" t="s">
        <v>11</v>
      </c>
      <c r="E3468" s="21" t="s">
        <v>11</v>
      </c>
    </row>
    <row r="3469" spans="1:5" s="21" customFormat="1" ht="15.75" hidden="1" customHeight="1">
      <c r="A3469" s="21">
        <v>730722</v>
      </c>
      <c r="B3469" s="21" t="s">
        <v>3459</v>
      </c>
      <c r="C3469" s="21" t="s">
        <v>5827</v>
      </c>
      <c r="D3469" s="21" t="s">
        <v>11</v>
      </c>
      <c r="E3469" s="21" t="s">
        <v>11</v>
      </c>
    </row>
    <row r="3470" spans="1:5" s="21" customFormat="1" ht="15.75" hidden="1" customHeight="1">
      <c r="A3470" s="21">
        <v>730723</v>
      </c>
      <c r="B3470" s="21" t="s">
        <v>3460</v>
      </c>
      <c r="C3470" s="21" t="s">
        <v>5827</v>
      </c>
      <c r="D3470" s="21" t="s">
        <v>11</v>
      </c>
      <c r="E3470" s="21" t="s">
        <v>11</v>
      </c>
    </row>
    <row r="3471" spans="1:5" s="21" customFormat="1" ht="15.75" hidden="1" customHeight="1">
      <c r="A3471" s="21">
        <v>730729</v>
      </c>
      <c r="B3471" s="21" t="s">
        <v>3461</v>
      </c>
      <c r="C3471" s="21" t="s">
        <v>5827</v>
      </c>
      <c r="D3471" s="21" t="s">
        <v>11</v>
      </c>
      <c r="E3471" s="21" t="s">
        <v>11</v>
      </c>
    </row>
    <row r="3472" spans="1:5" s="21" customFormat="1" ht="15.75" hidden="1" customHeight="1">
      <c r="A3472" s="21">
        <v>730791</v>
      </c>
      <c r="B3472" s="21" t="s">
        <v>3462</v>
      </c>
      <c r="C3472" s="21" t="s">
        <v>5830</v>
      </c>
      <c r="D3472" s="21" t="s">
        <v>11</v>
      </c>
      <c r="E3472" s="21" t="s">
        <v>11</v>
      </c>
    </row>
    <row r="3473" spans="1:5" s="21" customFormat="1" ht="15.75" hidden="1" customHeight="1">
      <c r="A3473" s="21">
        <v>730792</v>
      </c>
      <c r="B3473" s="21" t="s">
        <v>3463</v>
      </c>
      <c r="C3473" s="21" t="s">
        <v>5830</v>
      </c>
      <c r="D3473" s="21" t="s">
        <v>11</v>
      </c>
      <c r="E3473" s="21" t="s">
        <v>11</v>
      </c>
    </row>
    <row r="3474" spans="1:5" s="21" customFormat="1" ht="15.75" hidden="1" customHeight="1">
      <c r="A3474" s="21">
        <v>730793</v>
      </c>
      <c r="B3474" s="21" t="s">
        <v>3464</v>
      </c>
      <c r="C3474" s="21" t="s">
        <v>5830</v>
      </c>
      <c r="D3474" s="21" t="s">
        <v>11</v>
      </c>
      <c r="E3474" s="21" t="s">
        <v>11</v>
      </c>
    </row>
    <row r="3475" spans="1:5" s="21" customFormat="1" ht="15.75" hidden="1" customHeight="1">
      <c r="A3475" s="21">
        <v>730799</v>
      </c>
      <c r="B3475" s="21" t="s">
        <v>3465</v>
      </c>
      <c r="C3475" s="21" t="s">
        <v>5830</v>
      </c>
      <c r="D3475" s="21" t="s">
        <v>11</v>
      </c>
      <c r="E3475" s="21" t="s">
        <v>11</v>
      </c>
    </row>
    <row r="3476" spans="1:5" s="21" customFormat="1" ht="15.75" hidden="1" customHeight="1">
      <c r="A3476" s="21">
        <v>730810</v>
      </c>
      <c r="B3476" s="21" t="s">
        <v>3466</v>
      </c>
      <c r="C3476" s="21" t="s">
        <v>5830</v>
      </c>
      <c r="D3476" s="21" t="s">
        <v>11</v>
      </c>
      <c r="E3476" s="21" t="s">
        <v>11</v>
      </c>
    </row>
    <row r="3477" spans="1:5" s="21" customFormat="1" ht="15.75" hidden="1" customHeight="1">
      <c r="A3477" s="21">
        <v>730820</v>
      </c>
      <c r="B3477" s="21" t="s">
        <v>3467</v>
      </c>
      <c r="C3477" s="21" t="s">
        <v>5830</v>
      </c>
      <c r="D3477" s="21" t="s">
        <v>11</v>
      </c>
      <c r="E3477" s="21" t="s">
        <v>11</v>
      </c>
    </row>
    <row r="3478" spans="1:5" s="21" customFormat="1" ht="15.75" hidden="1" customHeight="1">
      <c r="A3478" s="21">
        <v>730830</v>
      </c>
      <c r="B3478" s="21" t="s">
        <v>3468</v>
      </c>
      <c r="C3478" s="21" t="s">
        <v>5830</v>
      </c>
      <c r="D3478" s="21" t="s">
        <v>11</v>
      </c>
      <c r="E3478" s="21" t="s">
        <v>11</v>
      </c>
    </row>
    <row r="3479" spans="1:5" s="21" customFormat="1" ht="15.75" hidden="1" customHeight="1">
      <c r="A3479" s="21">
        <v>730840</v>
      </c>
      <c r="B3479" s="21" t="s">
        <v>3469</v>
      </c>
      <c r="C3479" s="21" t="s">
        <v>5830</v>
      </c>
      <c r="D3479" s="21" t="s">
        <v>11</v>
      </c>
      <c r="E3479" s="21" t="s">
        <v>11</v>
      </c>
    </row>
    <row r="3480" spans="1:5" s="21" customFormat="1" ht="15.75" hidden="1" customHeight="1">
      <c r="A3480" s="21">
        <v>730890</v>
      </c>
      <c r="B3480" s="21" t="s">
        <v>3470</v>
      </c>
      <c r="C3480" s="21" t="s">
        <v>5830</v>
      </c>
      <c r="D3480" s="21" t="s">
        <v>11</v>
      </c>
      <c r="E3480" s="21" t="s">
        <v>11</v>
      </c>
    </row>
    <row r="3481" spans="1:5" s="21" customFormat="1" ht="15.75" hidden="1" customHeight="1">
      <c r="A3481" s="21">
        <v>730900</v>
      </c>
      <c r="B3481" s="21" t="s">
        <v>3471</v>
      </c>
      <c r="C3481" s="21" t="s">
        <v>5838</v>
      </c>
      <c r="D3481" s="21" t="s">
        <v>11</v>
      </c>
      <c r="E3481" s="21" t="s">
        <v>11</v>
      </c>
    </row>
    <row r="3482" spans="1:5" s="21" customFormat="1" ht="15.75" hidden="1" customHeight="1">
      <c r="A3482" s="21">
        <v>731010</v>
      </c>
      <c r="B3482" s="21" t="s">
        <v>3472</v>
      </c>
      <c r="C3482" s="21" t="s">
        <v>3472</v>
      </c>
      <c r="D3482" s="21" t="s">
        <v>11</v>
      </c>
      <c r="E3482" s="21" t="s">
        <v>11</v>
      </c>
    </row>
    <row r="3483" spans="1:5" s="21" customFormat="1" ht="15.75" hidden="1" customHeight="1">
      <c r="A3483" s="21">
        <v>731021</v>
      </c>
      <c r="B3483" s="21" t="s">
        <v>3473</v>
      </c>
      <c r="C3483" s="21" t="s">
        <v>5839</v>
      </c>
      <c r="D3483" s="21" t="s">
        <v>11</v>
      </c>
      <c r="E3483" s="21" t="s">
        <v>11</v>
      </c>
    </row>
    <row r="3484" spans="1:5" s="21" customFormat="1" ht="15.75" hidden="1" customHeight="1">
      <c r="A3484" s="21">
        <v>731029</v>
      </c>
      <c r="B3484" s="21" t="s">
        <v>3474</v>
      </c>
      <c r="C3484" s="21" t="s">
        <v>3474</v>
      </c>
      <c r="D3484" s="21" t="s">
        <v>11</v>
      </c>
      <c r="E3484" s="21" t="s">
        <v>11</v>
      </c>
    </row>
    <row r="3485" spans="1:5" s="21" customFormat="1" ht="15.75" hidden="1" customHeight="1">
      <c r="A3485" s="21">
        <v>731100</v>
      </c>
      <c r="B3485" s="21" t="s">
        <v>3475</v>
      </c>
      <c r="C3485" s="21" t="s">
        <v>3475</v>
      </c>
      <c r="D3485" s="21" t="s">
        <v>11</v>
      </c>
      <c r="E3485" s="21" t="s">
        <v>11</v>
      </c>
    </row>
    <row r="3486" spans="1:5" s="21" customFormat="1" ht="15.75" hidden="1" customHeight="1">
      <c r="A3486" s="21">
        <v>731210</v>
      </c>
      <c r="B3486" s="21" t="s">
        <v>3476</v>
      </c>
      <c r="C3486" s="21" t="s">
        <v>5830</v>
      </c>
      <c r="D3486" s="21" t="s">
        <v>11</v>
      </c>
      <c r="E3486" s="21" t="s">
        <v>11</v>
      </c>
    </row>
    <row r="3487" spans="1:5" s="21" customFormat="1" ht="15.75" hidden="1" customHeight="1">
      <c r="A3487" s="21">
        <v>731290</v>
      </c>
      <c r="B3487" s="21" t="s">
        <v>3477</v>
      </c>
      <c r="C3487" s="21" t="s">
        <v>5830</v>
      </c>
      <c r="D3487" s="21" t="s">
        <v>11</v>
      </c>
      <c r="E3487" s="21" t="s">
        <v>11</v>
      </c>
    </row>
    <row r="3488" spans="1:5" s="21" customFormat="1" ht="15.75" hidden="1" customHeight="1">
      <c r="A3488" s="21">
        <v>731300</v>
      </c>
      <c r="B3488" s="21" t="s">
        <v>3478</v>
      </c>
      <c r="C3488" s="21" t="s">
        <v>5840</v>
      </c>
      <c r="D3488" s="21" t="s">
        <v>11</v>
      </c>
      <c r="E3488" s="21" t="s">
        <v>11</v>
      </c>
    </row>
    <row r="3489" spans="1:5" s="21" customFormat="1" ht="15.75" hidden="1" customHeight="1">
      <c r="A3489" s="21">
        <v>731412</v>
      </c>
      <c r="B3489" s="21" t="s">
        <v>3479</v>
      </c>
      <c r="C3489" s="21" t="s">
        <v>5830</v>
      </c>
      <c r="D3489" s="21" t="s">
        <v>11</v>
      </c>
      <c r="E3489" s="21" t="s">
        <v>11</v>
      </c>
    </row>
    <row r="3490" spans="1:5" s="21" customFormat="1" ht="15.75" hidden="1" customHeight="1">
      <c r="A3490" s="21">
        <v>731414</v>
      </c>
      <c r="B3490" s="21" t="s">
        <v>3480</v>
      </c>
      <c r="C3490" s="21" t="s">
        <v>5830</v>
      </c>
      <c r="D3490" s="21" t="s">
        <v>11</v>
      </c>
      <c r="E3490" s="21" t="s">
        <v>11</v>
      </c>
    </row>
    <row r="3491" spans="1:5" s="21" customFormat="1" ht="15.75" hidden="1" customHeight="1">
      <c r="A3491" s="21">
        <v>731419</v>
      </c>
      <c r="B3491" s="21" t="s">
        <v>3481</v>
      </c>
      <c r="C3491" s="21" t="s">
        <v>5830</v>
      </c>
      <c r="D3491" s="21" t="s">
        <v>11</v>
      </c>
      <c r="E3491" s="21" t="s">
        <v>11</v>
      </c>
    </row>
    <row r="3492" spans="1:5" s="21" customFormat="1" ht="15.75" hidden="1" customHeight="1">
      <c r="A3492" s="21">
        <v>731420</v>
      </c>
      <c r="B3492" s="21" t="s">
        <v>3482</v>
      </c>
      <c r="C3492" s="21" t="s">
        <v>5841</v>
      </c>
      <c r="D3492" s="21" t="s">
        <v>11</v>
      </c>
      <c r="E3492" s="21" t="s">
        <v>11</v>
      </c>
    </row>
    <row r="3493" spans="1:5" s="21" customFormat="1" ht="15.75" hidden="1" customHeight="1">
      <c r="A3493" s="21">
        <v>731431</v>
      </c>
      <c r="B3493" s="21" t="s">
        <v>3483</v>
      </c>
      <c r="C3493" s="21" t="s">
        <v>5841</v>
      </c>
      <c r="D3493" s="21" t="s">
        <v>11</v>
      </c>
      <c r="E3493" s="21" t="s">
        <v>11</v>
      </c>
    </row>
    <row r="3494" spans="1:5" s="21" customFormat="1" ht="15.75" hidden="1" customHeight="1">
      <c r="A3494" s="21">
        <v>731439</v>
      </c>
      <c r="B3494" s="21" t="s">
        <v>3484</v>
      </c>
      <c r="C3494" s="21" t="s">
        <v>5841</v>
      </c>
      <c r="D3494" s="21" t="s">
        <v>11</v>
      </c>
      <c r="E3494" s="21" t="s">
        <v>11</v>
      </c>
    </row>
    <row r="3495" spans="1:5" s="21" customFormat="1" ht="15.75" hidden="1" customHeight="1">
      <c r="A3495" s="21">
        <v>731441</v>
      </c>
      <c r="B3495" s="21" t="s">
        <v>3485</v>
      </c>
      <c r="C3495" s="21" t="s">
        <v>5841</v>
      </c>
      <c r="D3495" s="21" t="s">
        <v>11</v>
      </c>
      <c r="E3495" s="21" t="s">
        <v>11</v>
      </c>
    </row>
    <row r="3496" spans="1:5" s="21" customFormat="1" ht="15.75" hidden="1" customHeight="1">
      <c r="A3496" s="21">
        <v>731442</v>
      </c>
      <c r="B3496" s="21" t="s">
        <v>3486</v>
      </c>
      <c r="C3496" s="21" t="s">
        <v>5841</v>
      </c>
      <c r="D3496" s="21" t="s">
        <v>11</v>
      </c>
      <c r="E3496" s="21" t="s">
        <v>11</v>
      </c>
    </row>
    <row r="3497" spans="1:5" s="21" customFormat="1" ht="15.75" hidden="1" customHeight="1">
      <c r="A3497" s="21">
        <v>731449</v>
      </c>
      <c r="B3497" s="21" t="s">
        <v>3487</v>
      </c>
      <c r="C3497" s="21" t="s">
        <v>5841</v>
      </c>
      <c r="D3497" s="21" t="s">
        <v>11</v>
      </c>
      <c r="E3497" s="21" t="s">
        <v>11</v>
      </c>
    </row>
    <row r="3498" spans="1:5" s="21" customFormat="1" ht="15.75" hidden="1" customHeight="1">
      <c r="A3498" s="21">
        <v>731450</v>
      </c>
      <c r="B3498" s="21" t="s">
        <v>3488</v>
      </c>
      <c r="C3498" s="21" t="s">
        <v>5830</v>
      </c>
      <c r="D3498" s="21" t="s">
        <v>11</v>
      </c>
      <c r="E3498" s="21" t="s">
        <v>11</v>
      </c>
    </row>
    <row r="3499" spans="1:5" s="21" customFormat="1" ht="15.75" hidden="1" customHeight="1">
      <c r="A3499" s="21">
        <v>731511</v>
      </c>
      <c r="B3499" s="21" t="s">
        <v>3489</v>
      </c>
      <c r="C3499" s="21" t="s">
        <v>5842</v>
      </c>
      <c r="D3499" s="21" t="s">
        <v>11</v>
      </c>
      <c r="E3499" s="21" t="s">
        <v>11</v>
      </c>
    </row>
    <row r="3500" spans="1:5" s="21" customFormat="1" ht="15.75" hidden="1" customHeight="1">
      <c r="A3500" s="21">
        <v>731512</v>
      </c>
      <c r="B3500" s="21" t="s">
        <v>3490</v>
      </c>
      <c r="C3500" s="21" t="s">
        <v>5842</v>
      </c>
      <c r="D3500" s="21" t="s">
        <v>11</v>
      </c>
      <c r="E3500" s="21" t="s">
        <v>11</v>
      </c>
    </row>
    <row r="3501" spans="1:5" s="21" customFormat="1" ht="15.75" hidden="1" customHeight="1">
      <c r="A3501" s="21">
        <v>731519</v>
      </c>
      <c r="B3501" s="21" t="s">
        <v>3491</v>
      </c>
      <c r="C3501" s="21" t="s">
        <v>5842</v>
      </c>
      <c r="D3501" s="21" t="s">
        <v>11</v>
      </c>
      <c r="E3501" s="21" t="s">
        <v>11</v>
      </c>
    </row>
    <row r="3502" spans="1:5" s="21" customFormat="1" ht="15.75" hidden="1" customHeight="1">
      <c r="A3502" s="21">
        <v>731520</v>
      </c>
      <c r="B3502" s="21" t="s">
        <v>3492</v>
      </c>
      <c r="C3502" s="21" t="s">
        <v>5842</v>
      </c>
      <c r="D3502" s="21" t="s">
        <v>11</v>
      </c>
      <c r="E3502" s="21" t="s">
        <v>11</v>
      </c>
    </row>
    <row r="3503" spans="1:5" s="21" customFormat="1" ht="15.75" hidden="1" customHeight="1">
      <c r="A3503" s="21">
        <v>731581</v>
      </c>
      <c r="B3503" s="21" t="s">
        <v>3493</v>
      </c>
      <c r="C3503" s="21" t="s">
        <v>5842</v>
      </c>
      <c r="D3503" s="21" t="s">
        <v>11</v>
      </c>
      <c r="E3503" s="21" t="s">
        <v>11</v>
      </c>
    </row>
    <row r="3504" spans="1:5" s="21" customFormat="1" ht="15.75" hidden="1" customHeight="1">
      <c r="A3504" s="21">
        <v>731582</v>
      </c>
      <c r="B3504" s="21" t="s">
        <v>3494</v>
      </c>
      <c r="C3504" s="21" t="s">
        <v>5842</v>
      </c>
      <c r="D3504" s="21" t="s">
        <v>11</v>
      </c>
      <c r="E3504" s="21" t="s">
        <v>11</v>
      </c>
    </row>
    <row r="3505" spans="1:5" s="21" customFormat="1" ht="15.75" hidden="1" customHeight="1">
      <c r="A3505" s="21">
        <v>731589</v>
      </c>
      <c r="B3505" s="21" t="s">
        <v>3495</v>
      </c>
      <c r="C3505" s="21" t="s">
        <v>5842</v>
      </c>
      <c r="D3505" s="21" t="s">
        <v>11</v>
      </c>
      <c r="E3505" s="21" t="s">
        <v>11</v>
      </c>
    </row>
    <row r="3506" spans="1:5" s="21" customFormat="1" ht="15.75" hidden="1" customHeight="1">
      <c r="A3506" s="21">
        <v>731590</v>
      </c>
      <c r="B3506" s="21" t="s">
        <v>3496</v>
      </c>
      <c r="C3506" s="21" t="s">
        <v>5842</v>
      </c>
      <c r="D3506" s="21" t="s">
        <v>11</v>
      </c>
      <c r="E3506" s="21" t="s">
        <v>11</v>
      </c>
    </row>
    <row r="3507" spans="1:5" s="21" customFormat="1" ht="15.75" hidden="1" customHeight="1">
      <c r="A3507" s="21">
        <v>731600</v>
      </c>
      <c r="B3507" s="21" t="s">
        <v>3497</v>
      </c>
      <c r="C3507" s="21" t="s">
        <v>5830</v>
      </c>
      <c r="D3507" s="21" t="s">
        <v>11</v>
      </c>
      <c r="E3507" s="21" t="s">
        <v>11</v>
      </c>
    </row>
    <row r="3508" spans="1:5" s="21" customFormat="1" ht="15.75" hidden="1" customHeight="1">
      <c r="A3508" s="21">
        <v>731700</v>
      </c>
      <c r="B3508" s="21" t="s">
        <v>3498</v>
      </c>
      <c r="C3508" s="21" t="s">
        <v>5830</v>
      </c>
      <c r="D3508" s="21" t="s">
        <v>11</v>
      </c>
      <c r="E3508" s="21" t="s">
        <v>11</v>
      </c>
    </row>
    <row r="3509" spans="1:5" s="21" customFormat="1" ht="15.75" hidden="1" customHeight="1">
      <c r="A3509" s="21">
        <v>731811</v>
      </c>
      <c r="B3509" s="21" t="s">
        <v>3499</v>
      </c>
      <c r="C3509" s="21" t="s">
        <v>5830</v>
      </c>
      <c r="D3509" s="21" t="s">
        <v>11</v>
      </c>
      <c r="E3509" s="21" t="s">
        <v>11</v>
      </c>
    </row>
    <row r="3510" spans="1:5" s="21" customFormat="1" ht="15.75" hidden="1" customHeight="1">
      <c r="A3510" s="21">
        <v>731812</v>
      </c>
      <c r="B3510" s="21" t="s">
        <v>3500</v>
      </c>
      <c r="C3510" s="21" t="s">
        <v>5830</v>
      </c>
      <c r="D3510" s="21" t="s">
        <v>11</v>
      </c>
      <c r="E3510" s="21" t="s">
        <v>11</v>
      </c>
    </row>
    <row r="3511" spans="1:5" s="21" customFormat="1" ht="15.75" hidden="1" customHeight="1">
      <c r="A3511" s="21">
        <v>731813</v>
      </c>
      <c r="B3511" s="21" t="s">
        <v>3501</v>
      </c>
      <c r="C3511" s="21" t="s">
        <v>5830</v>
      </c>
      <c r="D3511" s="21" t="s">
        <v>11</v>
      </c>
      <c r="E3511" s="21" t="s">
        <v>11</v>
      </c>
    </row>
    <row r="3512" spans="1:5" s="21" customFormat="1" ht="15.75" hidden="1" customHeight="1">
      <c r="A3512" s="21">
        <v>731814</v>
      </c>
      <c r="B3512" s="21" t="s">
        <v>3502</v>
      </c>
      <c r="C3512" s="21" t="s">
        <v>5830</v>
      </c>
      <c r="D3512" s="21" t="s">
        <v>11</v>
      </c>
      <c r="E3512" s="21" t="s">
        <v>11</v>
      </c>
    </row>
    <row r="3513" spans="1:5" s="21" customFormat="1" ht="15.75" hidden="1" customHeight="1">
      <c r="A3513" s="21">
        <v>731815</v>
      </c>
      <c r="B3513" s="21" t="s">
        <v>3503</v>
      </c>
      <c r="C3513" s="21" t="s">
        <v>5830</v>
      </c>
      <c r="D3513" s="21" t="s">
        <v>11</v>
      </c>
      <c r="E3513" s="21" t="s">
        <v>11</v>
      </c>
    </row>
    <row r="3514" spans="1:5" s="21" customFormat="1" ht="15.75" hidden="1" customHeight="1">
      <c r="A3514" s="21">
        <v>731816</v>
      </c>
      <c r="B3514" s="21" t="s">
        <v>3504</v>
      </c>
      <c r="C3514" s="21" t="s">
        <v>5830</v>
      </c>
      <c r="D3514" s="21" t="s">
        <v>11</v>
      </c>
      <c r="E3514" s="21" t="s">
        <v>11</v>
      </c>
    </row>
    <row r="3515" spans="1:5" s="21" customFormat="1" ht="15.75" hidden="1" customHeight="1">
      <c r="A3515" s="21">
        <v>731819</v>
      </c>
      <c r="B3515" s="21" t="s">
        <v>3505</v>
      </c>
      <c r="C3515" s="21" t="s">
        <v>5830</v>
      </c>
      <c r="D3515" s="21" t="s">
        <v>11</v>
      </c>
      <c r="E3515" s="21" t="s">
        <v>11</v>
      </c>
    </row>
    <row r="3516" spans="1:5" s="21" customFormat="1" ht="15.75" hidden="1" customHeight="1">
      <c r="A3516" s="21">
        <v>731821</v>
      </c>
      <c r="B3516" s="21" t="s">
        <v>3506</v>
      </c>
      <c r="C3516" s="21" t="s">
        <v>5830</v>
      </c>
      <c r="D3516" s="21" t="s">
        <v>11</v>
      </c>
      <c r="E3516" s="21" t="s">
        <v>11</v>
      </c>
    </row>
    <row r="3517" spans="1:5" s="21" customFormat="1" ht="15.75" hidden="1" customHeight="1">
      <c r="A3517" s="21">
        <v>731822</v>
      </c>
      <c r="B3517" s="21" t="s">
        <v>3507</v>
      </c>
      <c r="C3517" s="21" t="s">
        <v>5830</v>
      </c>
      <c r="D3517" s="21" t="s">
        <v>11</v>
      </c>
      <c r="E3517" s="21" t="s">
        <v>11</v>
      </c>
    </row>
    <row r="3518" spans="1:5" s="21" customFormat="1" ht="15.75" hidden="1" customHeight="1">
      <c r="A3518" s="21">
        <v>731823</v>
      </c>
      <c r="B3518" s="21" t="s">
        <v>3508</v>
      </c>
      <c r="C3518" s="21" t="s">
        <v>5830</v>
      </c>
      <c r="D3518" s="21" t="s">
        <v>11</v>
      </c>
      <c r="E3518" s="21" t="s">
        <v>11</v>
      </c>
    </row>
    <row r="3519" spans="1:5" s="21" customFormat="1" ht="15.75" hidden="1" customHeight="1">
      <c r="A3519" s="21">
        <v>731824</v>
      </c>
      <c r="B3519" s="21" t="s">
        <v>3509</v>
      </c>
      <c r="C3519" s="21" t="s">
        <v>5830</v>
      </c>
      <c r="D3519" s="21" t="s">
        <v>11</v>
      </c>
      <c r="E3519" s="21" t="s">
        <v>11</v>
      </c>
    </row>
    <row r="3520" spans="1:5" s="21" customFormat="1" ht="15.75" hidden="1" customHeight="1">
      <c r="A3520" s="21">
        <v>731829</v>
      </c>
      <c r="B3520" s="21" t="s">
        <v>3510</v>
      </c>
      <c r="C3520" s="21" t="s">
        <v>5830</v>
      </c>
      <c r="D3520" s="21" t="s">
        <v>11</v>
      </c>
      <c r="E3520" s="21" t="s">
        <v>11</v>
      </c>
    </row>
    <row r="3521" spans="1:5" s="21" customFormat="1" ht="15.75" hidden="1" customHeight="1">
      <c r="A3521" s="21">
        <v>731920</v>
      </c>
      <c r="B3521" s="21" t="s">
        <v>3511</v>
      </c>
      <c r="C3521" s="21" t="s">
        <v>3511</v>
      </c>
      <c r="D3521" s="21" t="s">
        <v>11</v>
      </c>
      <c r="E3521" s="21" t="s">
        <v>11</v>
      </c>
    </row>
    <row r="3522" spans="1:5" s="21" customFormat="1" ht="15.75" hidden="1" customHeight="1">
      <c r="A3522" s="21">
        <v>731930</v>
      </c>
      <c r="B3522" s="21" t="s">
        <v>3512</v>
      </c>
      <c r="C3522" s="21" t="s">
        <v>3512</v>
      </c>
      <c r="D3522" s="21" t="s">
        <v>11</v>
      </c>
      <c r="E3522" s="21" t="s">
        <v>11</v>
      </c>
    </row>
    <row r="3523" spans="1:5" s="21" customFormat="1" ht="15.75" hidden="1" customHeight="1">
      <c r="A3523" s="21">
        <v>731990</v>
      </c>
      <c r="B3523" s="21" t="s">
        <v>3513</v>
      </c>
      <c r="C3523" s="21" t="s">
        <v>3513</v>
      </c>
      <c r="D3523" s="21" t="s">
        <v>11</v>
      </c>
      <c r="E3523" s="21" t="s">
        <v>11</v>
      </c>
    </row>
    <row r="3524" spans="1:5" s="21" customFormat="1" ht="15.75" hidden="1" customHeight="1">
      <c r="A3524" s="21">
        <v>732010</v>
      </c>
      <c r="B3524" s="21" t="s">
        <v>3514</v>
      </c>
      <c r="C3524" s="21" t="s">
        <v>5830</v>
      </c>
      <c r="D3524" s="21" t="s">
        <v>11</v>
      </c>
      <c r="E3524" s="21" t="s">
        <v>11</v>
      </c>
    </row>
    <row r="3525" spans="1:5" s="21" customFormat="1" ht="15.75" hidden="1" customHeight="1">
      <c r="A3525" s="21">
        <v>732020</v>
      </c>
      <c r="B3525" s="21" t="s">
        <v>3515</v>
      </c>
      <c r="C3525" s="21" t="s">
        <v>5830</v>
      </c>
      <c r="D3525" s="21" t="s">
        <v>11</v>
      </c>
      <c r="E3525" s="21" t="s">
        <v>11</v>
      </c>
    </row>
    <row r="3526" spans="1:5" s="21" customFormat="1" ht="15.75" hidden="1" customHeight="1">
      <c r="A3526" s="21">
        <v>732090</v>
      </c>
      <c r="B3526" s="21" t="s">
        <v>3516</v>
      </c>
      <c r="C3526" s="21" t="s">
        <v>5830</v>
      </c>
      <c r="D3526" s="21" t="s">
        <v>11</v>
      </c>
      <c r="E3526" s="21" t="s">
        <v>11</v>
      </c>
    </row>
    <row r="3527" spans="1:5" s="21" customFormat="1" ht="15.75" hidden="1" customHeight="1">
      <c r="A3527" s="21">
        <v>732111</v>
      </c>
      <c r="B3527" s="21" t="s">
        <v>3517</v>
      </c>
      <c r="C3527" s="21" t="s">
        <v>5843</v>
      </c>
      <c r="D3527" s="21" t="s">
        <v>11</v>
      </c>
      <c r="E3527" s="21" t="s">
        <v>11</v>
      </c>
    </row>
    <row r="3528" spans="1:5" s="21" customFormat="1" ht="15.75" hidden="1" customHeight="1">
      <c r="A3528" s="21">
        <v>732112</v>
      </c>
      <c r="B3528" s="21" t="s">
        <v>3518</v>
      </c>
      <c r="C3528" s="21" t="s">
        <v>5843</v>
      </c>
      <c r="D3528" s="21" t="s">
        <v>11</v>
      </c>
      <c r="E3528" s="21" t="s">
        <v>11</v>
      </c>
    </row>
    <row r="3529" spans="1:5" s="21" customFormat="1" ht="15.75" hidden="1" customHeight="1">
      <c r="A3529" s="21">
        <v>732119</v>
      </c>
      <c r="B3529" s="21" t="s">
        <v>3519</v>
      </c>
      <c r="C3529" s="21" t="s">
        <v>5843</v>
      </c>
      <c r="D3529" s="21" t="s">
        <v>11</v>
      </c>
      <c r="E3529" s="21" t="s">
        <v>11</v>
      </c>
    </row>
    <row r="3530" spans="1:5" s="21" customFormat="1" ht="15.75" hidden="1" customHeight="1">
      <c r="A3530" s="21">
        <v>732181</v>
      </c>
      <c r="B3530" s="21" t="s">
        <v>3520</v>
      </c>
      <c r="C3530" s="21" t="s">
        <v>5844</v>
      </c>
      <c r="D3530" s="21" t="s">
        <v>11</v>
      </c>
      <c r="E3530" s="21" t="s">
        <v>11</v>
      </c>
    </row>
    <row r="3531" spans="1:5" s="21" customFormat="1" ht="15.75" hidden="1" customHeight="1">
      <c r="A3531" s="21">
        <v>732182</v>
      </c>
      <c r="B3531" s="21" t="s">
        <v>3521</v>
      </c>
      <c r="C3531" s="21" t="s">
        <v>5844</v>
      </c>
      <c r="D3531" s="21" t="s">
        <v>11</v>
      </c>
      <c r="E3531" s="21" t="s">
        <v>11</v>
      </c>
    </row>
    <row r="3532" spans="1:5" s="21" customFormat="1" ht="15.75" hidden="1" customHeight="1">
      <c r="A3532" s="21">
        <v>732189</v>
      </c>
      <c r="B3532" s="21" t="s">
        <v>3522</v>
      </c>
      <c r="C3532" s="21" t="s">
        <v>5844</v>
      </c>
      <c r="D3532" s="21" t="s">
        <v>11</v>
      </c>
      <c r="E3532" s="21" t="s">
        <v>11</v>
      </c>
    </row>
    <row r="3533" spans="1:5" s="21" customFormat="1" ht="15.75" hidden="1" customHeight="1">
      <c r="A3533" s="21">
        <v>732190</v>
      </c>
      <c r="B3533" s="21" t="s">
        <v>3523</v>
      </c>
      <c r="C3533" s="21" t="s">
        <v>5844</v>
      </c>
      <c r="D3533" s="21" t="s">
        <v>11</v>
      </c>
      <c r="E3533" s="21" t="s">
        <v>11</v>
      </c>
    </row>
    <row r="3534" spans="1:5" s="21" customFormat="1" ht="15.75" hidden="1" customHeight="1">
      <c r="A3534" s="21">
        <v>732211</v>
      </c>
      <c r="B3534" s="21" t="s">
        <v>3524</v>
      </c>
      <c r="C3534" s="21" t="s">
        <v>5845</v>
      </c>
      <c r="D3534" s="21" t="s">
        <v>11</v>
      </c>
      <c r="E3534" s="21" t="s">
        <v>11</v>
      </c>
    </row>
    <row r="3535" spans="1:5" s="21" customFormat="1" ht="15.75" hidden="1" customHeight="1">
      <c r="A3535" s="21">
        <v>732219</v>
      </c>
      <c r="B3535" s="21" t="s">
        <v>3525</v>
      </c>
      <c r="C3535" s="21" t="s">
        <v>5845</v>
      </c>
      <c r="D3535" s="21" t="s">
        <v>11</v>
      </c>
      <c r="E3535" s="21" t="s">
        <v>11</v>
      </c>
    </row>
    <row r="3536" spans="1:5" s="21" customFormat="1" ht="15.75" hidden="1" customHeight="1">
      <c r="A3536" s="21">
        <v>732290</v>
      </c>
      <c r="B3536" s="21" t="s">
        <v>3526</v>
      </c>
      <c r="C3536" s="21" t="s">
        <v>3526</v>
      </c>
      <c r="D3536" s="21" t="s">
        <v>11</v>
      </c>
      <c r="E3536" s="21" t="s">
        <v>11</v>
      </c>
    </row>
    <row r="3537" spans="1:5" s="21" customFormat="1" ht="15.75" hidden="1" customHeight="1">
      <c r="A3537" s="21">
        <v>732310</v>
      </c>
      <c r="B3537" s="21" t="s">
        <v>3527</v>
      </c>
      <c r="C3537" s="21" t="s">
        <v>5830</v>
      </c>
      <c r="D3537" s="21" t="s">
        <v>11</v>
      </c>
      <c r="E3537" s="21" t="s">
        <v>11</v>
      </c>
    </row>
    <row r="3538" spans="1:5" s="21" customFormat="1" ht="15.75" hidden="1" customHeight="1">
      <c r="A3538" s="21">
        <v>732391</v>
      </c>
      <c r="B3538" s="21" t="s">
        <v>3528</v>
      </c>
      <c r="C3538" s="21" t="s">
        <v>5832</v>
      </c>
      <c r="D3538" s="21" t="s">
        <v>11</v>
      </c>
      <c r="E3538" s="21" t="s">
        <v>11</v>
      </c>
    </row>
    <row r="3539" spans="1:5" s="21" customFormat="1" ht="15.75" hidden="1" customHeight="1">
      <c r="A3539" s="21">
        <v>732392</v>
      </c>
      <c r="B3539" s="21" t="s">
        <v>3529</v>
      </c>
      <c r="C3539" s="21" t="s">
        <v>5832</v>
      </c>
      <c r="D3539" s="21" t="s">
        <v>11</v>
      </c>
      <c r="E3539" s="21" t="s">
        <v>11</v>
      </c>
    </row>
    <row r="3540" spans="1:5" s="21" customFormat="1" ht="15.75" hidden="1" customHeight="1">
      <c r="A3540" s="21">
        <v>732393</v>
      </c>
      <c r="B3540" s="21" t="s">
        <v>3530</v>
      </c>
      <c r="C3540" s="21" t="s">
        <v>5827</v>
      </c>
      <c r="D3540" s="21" t="s">
        <v>11</v>
      </c>
      <c r="E3540" s="21" t="s">
        <v>11</v>
      </c>
    </row>
    <row r="3541" spans="1:5" s="21" customFormat="1" ht="15.75" hidden="1" customHeight="1">
      <c r="A3541" s="21">
        <v>732394</v>
      </c>
      <c r="B3541" s="21" t="s">
        <v>3531</v>
      </c>
      <c r="C3541" s="21" t="s">
        <v>5846</v>
      </c>
      <c r="D3541" s="21" t="s">
        <v>11</v>
      </c>
      <c r="E3541" s="21" t="s">
        <v>11</v>
      </c>
    </row>
    <row r="3542" spans="1:5" s="21" customFormat="1" ht="15.75" hidden="1" customHeight="1">
      <c r="A3542" s="21">
        <v>732399</v>
      </c>
      <c r="B3542" s="21" t="s">
        <v>3532</v>
      </c>
      <c r="C3542" s="21" t="s">
        <v>5830</v>
      </c>
      <c r="D3542" s="21" t="s">
        <v>11</v>
      </c>
      <c r="E3542" s="21" t="s">
        <v>11</v>
      </c>
    </row>
    <row r="3543" spans="1:5" s="21" customFormat="1" ht="15.75" hidden="1" customHeight="1">
      <c r="A3543" s="21">
        <v>732410</v>
      </c>
      <c r="B3543" s="21" t="s">
        <v>3533</v>
      </c>
      <c r="C3543" s="21" t="s">
        <v>5837</v>
      </c>
      <c r="D3543" s="21" t="s">
        <v>11</v>
      </c>
      <c r="E3543" s="21" t="s">
        <v>11</v>
      </c>
    </row>
    <row r="3544" spans="1:5" s="21" customFormat="1" ht="15.75" hidden="1" customHeight="1">
      <c r="A3544" s="21">
        <v>732421</v>
      </c>
      <c r="B3544" s="21" t="s">
        <v>3534</v>
      </c>
      <c r="C3544" s="21" t="s">
        <v>3534</v>
      </c>
      <c r="D3544" s="21" t="s">
        <v>11</v>
      </c>
      <c r="E3544" s="21" t="s">
        <v>11</v>
      </c>
    </row>
    <row r="3545" spans="1:5" s="21" customFormat="1" ht="15.75" hidden="1" customHeight="1">
      <c r="A3545" s="21">
        <v>732429</v>
      </c>
      <c r="B3545" s="21" t="s">
        <v>3535</v>
      </c>
      <c r="C3545" s="21" t="s">
        <v>5847</v>
      </c>
      <c r="D3545" s="21" t="s">
        <v>11</v>
      </c>
      <c r="E3545" s="21" t="s">
        <v>11</v>
      </c>
    </row>
    <row r="3546" spans="1:5" s="21" customFormat="1" ht="15.75" hidden="1" customHeight="1">
      <c r="A3546" s="21">
        <v>732490</v>
      </c>
      <c r="B3546" s="21" t="s">
        <v>3536</v>
      </c>
      <c r="C3546" s="21" t="s">
        <v>5830</v>
      </c>
      <c r="D3546" s="21" t="s">
        <v>11</v>
      </c>
      <c r="E3546" s="21" t="s">
        <v>11</v>
      </c>
    </row>
    <row r="3547" spans="1:5" s="21" customFormat="1" ht="15.75" hidden="1" customHeight="1">
      <c r="A3547" s="21">
        <v>732510</v>
      </c>
      <c r="B3547" s="21" t="s">
        <v>3537</v>
      </c>
      <c r="C3547" s="21" t="s">
        <v>5821</v>
      </c>
      <c r="D3547" s="21" t="s">
        <v>11</v>
      </c>
      <c r="E3547" s="21" t="s">
        <v>11</v>
      </c>
    </row>
    <row r="3548" spans="1:5" s="21" customFormat="1" ht="15.75" hidden="1" customHeight="1">
      <c r="A3548" s="21">
        <v>732591</v>
      </c>
      <c r="B3548" s="21" t="s">
        <v>3538</v>
      </c>
      <c r="C3548" s="21" t="s">
        <v>5821</v>
      </c>
      <c r="D3548" s="21" t="s">
        <v>11</v>
      </c>
      <c r="E3548" s="21" t="s">
        <v>11</v>
      </c>
    </row>
    <row r="3549" spans="1:5" s="21" customFormat="1" ht="15.75" hidden="1" customHeight="1">
      <c r="A3549" s="21">
        <v>732599</v>
      </c>
      <c r="B3549" s="21" t="s">
        <v>3539</v>
      </c>
      <c r="C3549" s="21" t="s">
        <v>5830</v>
      </c>
      <c r="D3549" s="21" t="s">
        <v>11</v>
      </c>
      <c r="E3549" s="21" t="s">
        <v>11</v>
      </c>
    </row>
    <row r="3550" spans="1:5" s="21" customFormat="1" ht="15.75" hidden="1" customHeight="1">
      <c r="A3550" s="21">
        <v>732611</v>
      </c>
      <c r="B3550" s="21" t="s">
        <v>3540</v>
      </c>
      <c r="C3550" s="21" t="s">
        <v>5830</v>
      </c>
      <c r="D3550" s="21" t="s">
        <v>11</v>
      </c>
      <c r="E3550" s="21" t="s">
        <v>11</v>
      </c>
    </row>
    <row r="3551" spans="1:5" s="21" customFormat="1" ht="15.75" hidden="1" customHeight="1">
      <c r="A3551" s="21">
        <v>732619</v>
      </c>
      <c r="B3551" s="21" t="s">
        <v>3541</v>
      </c>
      <c r="C3551" s="21" t="s">
        <v>5830</v>
      </c>
      <c r="D3551" s="21" t="s">
        <v>11</v>
      </c>
      <c r="E3551" s="21" t="s">
        <v>11</v>
      </c>
    </row>
    <row r="3552" spans="1:5" s="21" customFormat="1" ht="15.75" hidden="1" customHeight="1">
      <c r="A3552" s="21">
        <v>732620</v>
      </c>
      <c r="B3552" s="21" t="s">
        <v>3542</v>
      </c>
      <c r="C3552" s="21" t="s">
        <v>5830</v>
      </c>
      <c r="D3552" s="21" t="s">
        <v>11</v>
      </c>
      <c r="E3552" s="21" t="s">
        <v>11</v>
      </c>
    </row>
    <row r="3553" spans="1:5" s="21" customFormat="1" ht="15.75" hidden="1" customHeight="1">
      <c r="A3553" s="21">
        <v>732690</v>
      </c>
      <c r="B3553" s="21" t="s">
        <v>3543</v>
      </c>
      <c r="C3553" s="21" t="s">
        <v>5830</v>
      </c>
      <c r="D3553" s="21" t="s">
        <v>11</v>
      </c>
      <c r="E3553" s="21" t="s">
        <v>11</v>
      </c>
    </row>
    <row r="3554" spans="1:5" s="21" customFormat="1" ht="15.75" hidden="1" customHeight="1">
      <c r="A3554" s="21">
        <v>740100</v>
      </c>
      <c r="B3554" s="21" t="s">
        <v>3544</v>
      </c>
      <c r="C3554" s="21" t="s">
        <v>5848</v>
      </c>
      <c r="D3554" s="21" t="s">
        <v>11</v>
      </c>
      <c r="E3554" s="21" t="s">
        <v>11</v>
      </c>
    </row>
    <row r="3555" spans="1:5" s="21" customFormat="1" ht="15.75" hidden="1" customHeight="1">
      <c r="A3555" s="21">
        <v>740200</v>
      </c>
      <c r="B3555" s="21" t="s">
        <v>3545</v>
      </c>
      <c r="C3555" s="21" t="s">
        <v>5849</v>
      </c>
      <c r="D3555" s="21" t="s">
        <v>11</v>
      </c>
      <c r="E3555" s="21" t="s">
        <v>11</v>
      </c>
    </row>
    <row r="3556" spans="1:5" s="21" customFormat="1" ht="15.75" hidden="1" customHeight="1">
      <c r="A3556" s="21">
        <v>740311</v>
      </c>
      <c r="B3556" s="21" t="s">
        <v>3546</v>
      </c>
      <c r="C3556" s="21" t="s">
        <v>5849</v>
      </c>
      <c r="D3556" s="21" t="s">
        <v>11</v>
      </c>
      <c r="E3556" s="21" t="s">
        <v>11</v>
      </c>
    </row>
    <row r="3557" spans="1:5" s="21" customFormat="1" ht="15.75" hidden="1" customHeight="1">
      <c r="A3557" s="21">
        <v>740312</v>
      </c>
      <c r="B3557" s="21" t="s">
        <v>3547</v>
      </c>
      <c r="C3557" s="21" t="s">
        <v>5849</v>
      </c>
      <c r="D3557" s="21" t="s">
        <v>11</v>
      </c>
      <c r="E3557" s="21" t="s">
        <v>11</v>
      </c>
    </row>
    <row r="3558" spans="1:5" s="21" customFormat="1" ht="15.75" hidden="1" customHeight="1">
      <c r="A3558" s="21">
        <v>740313</v>
      </c>
      <c r="B3558" s="21" t="s">
        <v>3548</v>
      </c>
      <c r="C3558" s="21" t="s">
        <v>5849</v>
      </c>
      <c r="D3558" s="21" t="s">
        <v>11</v>
      </c>
      <c r="E3558" s="21" t="s">
        <v>11</v>
      </c>
    </row>
    <row r="3559" spans="1:5" s="21" customFormat="1" ht="15.75" hidden="1" customHeight="1">
      <c r="A3559" s="21">
        <v>740319</v>
      </c>
      <c r="B3559" s="21" t="s">
        <v>3549</v>
      </c>
      <c r="C3559" s="21" t="s">
        <v>5849</v>
      </c>
      <c r="D3559" s="21" t="s">
        <v>11</v>
      </c>
      <c r="E3559" s="21" t="s">
        <v>11</v>
      </c>
    </row>
    <row r="3560" spans="1:5" s="21" customFormat="1" ht="15.75" hidden="1" customHeight="1">
      <c r="A3560" s="21">
        <v>740321</v>
      </c>
      <c r="B3560" s="21" t="s">
        <v>3550</v>
      </c>
      <c r="C3560" s="21" t="s">
        <v>5849</v>
      </c>
      <c r="D3560" s="21" t="s">
        <v>11</v>
      </c>
      <c r="E3560" s="21" t="s">
        <v>11</v>
      </c>
    </row>
    <row r="3561" spans="1:5" s="21" customFormat="1" ht="15.75" hidden="1" customHeight="1">
      <c r="A3561" s="21">
        <v>740322</v>
      </c>
      <c r="B3561" s="21" t="s">
        <v>3551</v>
      </c>
      <c r="C3561" s="21" t="s">
        <v>5849</v>
      </c>
      <c r="D3561" s="21" t="s">
        <v>11</v>
      </c>
      <c r="E3561" s="21" t="s">
        <v>11</v>
      </c>
    </row>
    <row r="3562" spans="1:5" s="21" customFormat="1" ht="15.75" hidden="1" customHeight="1">
      <c r="A3562" s="21">
        <v>740329</v>
      </c>
      <c r="B3562" s="21" t="s">
        <v>3552</v>
      </c>
      <c r="C3562" s="21" t="s">
        <v>5849</v>
      </c>
      <c r="D3562" s="21" t="s">
        <v>11</v>
      </c>
      <c r="E3562" s="21" t="s">
        <v>11</v>
      </c>
    </row>
    <row r="3563" spans="1:5" s="21" customFormat="1" ht="15.75" hidden="1" customHeight="1">
      <c r="A3563" s="21">
        <v>740400</v>
      </c>
      <c r="B3563" s="21" t="s">
        <v>3553</v>
      </c>
      <c r="C3563" s="21" t="s">
        <v>5849</v>
      </c>
      <c r="D3563" s="21" t="s">
        <v>11</v>
      </c>
      <c r="E3563" s="21" t="s">
        <v>11</v>
      </c>
    </row>
    <row r="3564" spans="1:5" s="21" customFormat="1" ht="15.75" hidden="1" customHeight="1">
      <c r="A3564" s="21">
        <v>740500</v>
      </c>
      <c r="B3564" s="21" t="s">
        <v>3554</v>
      </c>
      <c r="C3564" s="21" t="s">
        <v>5849</v>
      </c>
      <c r="D3564" s="21" t="s">
        <v>11</v>
      </c>
      <c r="E3564" s="21" t="s">
        <v>11</v>
      </c>
    </row>
    <row r="3565" spans="1:5" s="21" customFormat="1" ht="15.75" hidden="1" customHeight="1">
      <c r="A3565" s="21">
        <v>740610</v>
      </c>
      <c r="B3565" s="21" t="s">
        <v>3555</v>
      </c>
      <c r="C3565" s="21" t="s">
        <v>5849</v>
      </c>
      <c r="D3565" s="21" t="s">
        <v>11</v>
      </c>
      <c r="E3565" s="21" t="s">
        <v>11</v>
      </c>
    </row>
    <row r="3566" spans="1:5" s="21" customFormat="1" ht="15.75" hidden="1" customHeight="1">
      <c r="A3566" s="21">
        <v>740620</v>
      </c>
      <c r="B3566" s="21" t="s">
        <v>3556</v>
      </c>
      <c r="C3566" s="21" t="s">
        <v>5849</v>
      </c>
      <c r="D3566" s="21" t="s">
        <v>11</v>
      </c>
      <c r="E3566" s="21" t="s">
        <v>11</v>
      </c>
    </row>
    <row r="3567" spans="1:5" s="21" customFormat="1" ht="15.75" hidden="1" customHeight="1">
      <c r="A3567" s="21">
        <v>740710</v>
      </c>
      <c r="B3567" s="21" t="s">
        <v>3557</v>
      </c>
      <c r="C3567" s="21" t="s">
        <v>5849</v>
      </c>
      <c r="D3567" s="21" t="s">
        <v>11</v>
      </c>
      <c r="E3567" s="21" t="s">
        <v>11</v>
      </c>
    </row>
    <row r="3568" spans="1:5" s="21" customFormat="1" ht="15.75" hidden="1" customHeight="1">
      <c r="A3568" s="21">
        <v>740721</v>
      </c>
      <c r="B3568" s="21" t="s">
        <v>3558</v>
      </c>
      <c r="C3568" s="21" t="s">
        <v>5849</v>
      </c>
      <c r="D3568" s="21" t="s">
        <v>11</v>
      </c>
      <c r="E3568" s="21" t="s">
        <v>11</v>
      </c>
    </row>
    <row r="3569" spans="1:5" s="21" customFormat="1" ht="15.75" hidden="1" customHeight="1">
      <c r="A3569" s="21">
        <v>740729</v>
      </c>
      <c r="B3569" s="21" t="s">
        <v>3559</v>
      </c>
      <c r="C3569" s="21" t="s">
        <v>5849</v>
      </c>
      <c r="D3569" s="21" t="s">
        <v>11</v>
      </c>
      <c r="E3569" s="21" t="s">
        <v>11</v>
      </c>
    </row>
    <row r="3570" spans="1:5" s="21" customFormat="1" ht="15.75" hidden="1" customHeight="1">
      <c r="A3570" s="21">
        <v>740811</v>
      </c>
      <c r="B3570" s="21" t="s">
        <v>3560</v>
      </c>
      <c r="C3570" s="21" t="s">
        <v>5849</v>
      </c>
      <c r="D3570" s="21" t="s">
        <v>11</v>
      </c>
      <c r="E3570" s="21" t="s">
        <v>11</v>
      </c>
    </row>
    <row r="3571" spans="1:5" s="21" customFormat="1" ht="15.75" hidden="1" customHeight="1">
      <c r="A3571" s="21">
        <v>740819</v>
      </c>
      <c r="B3571" s="21" t="s">
        <v>3561</v>
      </c>
      <c r="C3571" s="21" t="s">
        <v>5849</v>
      </c>
      <c r="D3571" s="21" t="s">
        <v>11</v>
      </c>
      <c r="E3571" s="21" t="s">
        <v>11</v>
      </c>
    </row>
    <row r="3572" spans="1:5" s="21" customFormat="1" ht="15.75" hidden="1" customHeight="1">
      <c r="A3572" s="21">
        <v>740821</v>
      </c>
      <c r="B3572" s="21" t="s">
        <v>3562</v>
      </c>
      <c r="C3572" s="21" t="s">
        <v>5849</v>
      </c>
      <c r="D3572" s="21" t="s">
        <v>11</v>
      </c>
      <c r="E3572" s="21" t="s">
        <v>11</v>
      </c>
    </row>
    <row r="3573" spans="1:5" s="21" customFormat="1" ht="15.75" hidden="1" customHeight="1">
      <c r="A3573" s="21">
        <v>740822</v>
      </c>
      <c r="B3573" s="21" t="s">
        <v>3563</v>
      </c>
      <c r="C3573" s="21" t="s">
        <v>5849</v>
      </c>
      <c r="D3573" s="21" t="s">
        <v>11</v>
      </c>
      <c r="E3573" s="21" t="s">
        <v>11</v>
      </c>
    </row>
    <row r="3574" spans="1:5" s="21" customFormat="1" ht="15.75" hidden="1" customHeight="1">
      <c r="A3574" s="21">
        <v>740829</v>
      </c>
      <c r="B3574" s="21" t="s">
        <v>3564</v>
      </c>
      <c r="C3574" s="21" t="s">
        <v>5849</v>
      </c>
      <c r="D3574" s="21" t="s">
        <v>11</v>
      </c>
      <c r="E3574" s="21" t="s">
        <v>11</v>
      </c>
    </row>
    <row r="3575" spans="1:5" s="21" customFormat="1" ht="15.75" hidden="1" customHeight="1">
      <c r="A3575" s="21">
        <v>740911</v>
      </c>
      <c r="B3575" s="21" t="s">
        <v>3565</v>
      </c>
      <c r="C3575" s="21" t="s">
        <v>5849</v>
      </c>
      <c r="D3575" s="21" t="s">
        <v>11</v>
      </c>
      <c r="E3575" s="21" t="s">
        <v>11</v>
      </c>
    </row>
    <row r="3576" spans="1:5" s="21" customFormat="1" ht="15.75" hidden="1" customHeight="1">
      <c r="A3576" s="21">
        <v>740919</v>
      </c>
      <c r="B3576" s="21" t="s">
        <v>3566</v>
      </c>
      <c r="C3576" s="21" t="s">
        <v>5849</v>
      </c>
      <c r="D3576" s="21" t="s">
        <v>11</v>
      </c>
      <c r="E3576" s="21" t="s">
        <v>11</v>
      </c>
    </row>
    <row r="3577" spans="1:5" s="21" customFormat="1" ht="15.75" hidden="1" customHeight="1">
      <c r="A3577" s="21">
        <v>740921</v>
      </c>
      <c r="B3577" s="21" t="s">
        <v>3567</v>
      </c>
      <c r="C3577" s="21" t="s">
        <v>5849</v>
      </c>
      <c r="D3577" s="21" t="s">
        <v>11</v>
      </c>
      <c r="E3577" s="21" t="s">
        <v>11</v>
      </c>
    </row>
    <row r="3578" spans="1:5" s="21" customFormat="1" ht="15.75" hidden="1" customHeight="1">
      <c r="A3578" s="21">
        <v>740929</v>
      </c>
      <c r="B3578" s="21" t="s">
        <v>3568</v>
      </c>
      <c r="C3578" s="21" t="s">
        <v>5849</v>
      </c>
      <c r="D3578" s="21" t="s">
        <v>11</v>
      </c>
      <c r="E3578" s="21" t="s">
        <v>11</v>
      </c>
    </row>
    <row r="3579" spans="1:5" s="21" customFormat="1" ht="15.75" hidden="1" customHeight="1">
      <c r="A3579" s="21">
        <v>740931</v>
      </c>
      <c r="B3579" s="21" t="s">
        <v>3569</v>
      </c>
      <c r="C3579" s="21" t="s">
        <v>5849</v>
      </c>
      <c r="D3579" s="21" t="s">
        <v>11</v>
      </c>
      <c r="E3579" s="21" t="s">
        <v>11</v>
      </c>
    </row>
    <row r="3580" spans="1:5" s="21" customFormat="1" ht="15.75" hidden="1" customHeight="1">
      <c r="A3580" s="21">
        <v>740939</v>
      </c>
      <c r="B3580" s="21" t="s">
        <v>3570</v>
      </c>
      <c r="C3580" s="21" t="s">
        <v>5849</v>
      </c>
      <c r="D3580" s="21" t="s">
        <v>11</v>
      </c>
      <c r="E3580" s="21" t="s">
        <v>11</v>
      </c>
    </row>
    <row r="3581" spans="1:5" s="21" customFormat="1" ht="15.75" hidden="1" customHeight="1">
      <c r="A3581" s="21">
        <v>740940</v>
      </c>
      <c r="B3581" s="21" t="s">
        <v>3571</v>
      </c>
      <c r="C3581" s="21" t="s">
        <v>5849</v>
      </c>
      <c r="D3581" s="21" t="s">
        <v>11</v>
      </c>
      <c r="E3581" s="21" t="s">
        <v>11</v>
      </c>
    </row>
    <row r="3582" spans="1:5" s="21" customFormat="1" ht="15.75" hidden="1" customHeight="1">
      <c r="A3582" s="21">
        <v>740990</v>
      </c>
      <c r="B3582" s="21" t="s">
        <v>3572</v>
      </c>
      <c r="C3582" s="21" t="s">
        <v>5849</v>
      </c>
      <c r="D3582" s="21" t="s">
        <v>11</v>
      </c>
      <c r="E3582" s="21" t="s">
        <v>11</v>
      </c>
    </row>
    <row r="3583" spans="1:5" s="21" customFormat="1" ht="15.75" hidden="1" customHeight="1">
      <c r="A3583" s="21">
        <v>741011</v>
      </c>
      <c r="B3583" s="21" t="s">
        <v>3573</v>
      </c>
      <c r="C3583" s="21" t="s">
        <v>5849</v>
      </c>
      <c r="D3583" s="21" t="s">
        <v>11</v>
      </c>
      <c r="E3583" s="21" t="s">
        <v>11</v>
      </c>
    </row>
    <row r="3584" spans="1:5" s="21" customFormat="1" ht="15.75" hidden="1" customHeight="1">
      <c r="A3584" s="21">
        <v>741012</v>
      </c>
      <c r="B3584" s="21" t="s">
        <v>3574</v>
      </c>
      <c r="C3584" s="21" t="s">
        <v>5849</v>
      </c>
      <c r="D3584" s="21" t="s">
        <v>11</v>
      </c>
      <c r="E3584" s="21" t="s">
        <v>11</v>
      </c>
    </row>
    <row r="3585" spans="1:5" s="21" customFormat="1" ht="15.75" hidden="1" customHeight="1">
      <c r="A3585" s="21">
        <v>741021</v>
      </c>
      <c r="B3585" s="21" t="s">
        <v>3575</v>
      </c>
      <c r="C3585" s="21" t="s">
        <v>5849</v>
      </c>
      <c r="D3585" s="21" t="s">
        <v>11</v>
      </c>
      <c r="E3585" s="21" t="s">
        <v>11</v>
      </c>
    </row>
    <row r="3586" spans="1:5" s="21" customFormat="1" ht="15.75" hidden="1" customHeight="1">
      <c r="A3586" s="21">
        <v>741022</v>
      </c>
      <c r="B3586" s="21" t="s">
        <v>3576</v>
      </c>
      <c r="C3586" s="21" t="s">
        <v>5849</v>
      </c>
      <c r="D3586" s="21" t="s">
        <v>11</v>
      </c>
      <c r="E3586" s="21" t="s">
        <v>11</v>
      </c>
    </row>
    <row r="3587" spans="1:5" s="21" customFormat="1" ht="15.75" hidden="1" customHeight="1">
      <c r="A3587" s="21">
        <v>741110</v>
      </c>
      <c r="B3587" s="21" t="s">
        <v>3577</v>
      </c>
      <c r="C3587" s="21" t="s">
        <v>5849</v>
      </c>
      <c r="D3587" s="21" t="s">
        <v>11</v>
      </c>
      <c r="E3587" s="21" t="s">
        <v>11</v>
      </c>
    </row>
    <row r="3588" spans="1:5" s="21" customFormat="1" ht="15.75" hidden="1" customHeight="1">
      <c r="A3588" s="21">
        <v>741121</v>
      </c>
      <c r="B3588" s="21" t="s">
        <v>3578</v>
      </c>
      <c r="C3588" s="21" t="s">
        <v>5849</v>
      </c>
      <c r="D3588" s="21" t="s">
        <v>11</v>
      </c>
      <c r="E3588" s="21" t="s">
        <v>11</v>
      </c>
    </row>
    <row r="3589" spans="1:5" s="21" customFormat="1" ht="15.75" hidden="1" customHeight="1">
      <c r="A3589" s="21">
        <v>741122</v>
      </c>
      <c r="B3589" s="21" t="s">
        <v>3579</v>
      </c>
      <c r="C3589" s="21" t="s">
        <v>5849</v>
      </c>
      <c r="D3589" s="21" t="s">
        <v>11</v>
      </c>
      <c r="E3589" s="21" t="s">
        <v>11</v>
      </c>
    </row>
    <row r="3590" spans="1:5" s="21" customFormat="1" ht="15.75" hidden="1" customHeight="1">
      <c r="A3590" s="21">
        <v>741129</v>
      </c>
      <c r="B3590" s="21" t="s">
        <v>3580</v>
      </c>
      <c r="C3590" s="21" t="s">
        <v>5849</v>
      </c>
      <c r="D3590" s="21" t="s">
        <v>11</v>
      </c>
      <c r="E3590" s="21" t="s">
        <v>11</v>
      </c>
    </row>
    <row r="3591" spans="1:5" s="21" customFormat="1" ht="15.75" hidden="1" customHeight="1">
      <c r="A3591" s="21">
        <v>741210</v>
      </c>
      <c r="B3591" s="21" t="s">
        <v>3581</v>
      </c>
      <c r="C3591" s="21" t="s">
        <v>5849</v>
      </c>
      <c r="D3591" s="21" t="s">
        <v>11</v>
      </c>
      <c r="E3591" s="21" t="s">
        <v>11</v>
      </c>
    </row>
    <row r="3592" spans="1:5" s="21" customFormat="1" ht="15.75" hidden="1" customHeight="1">
      <c r="A3592" s="21">
        <v>741220</v>
      </c>
      <c r="B3592" s="21" t="s">
        <v>3582</v>
      </c>
      <c r="C3592" s="21" t="s">
        <v>5849</v>
      </c>
      <c r="D3592" s="21" t="s">
        <v>11</v>
      </c>
      <c r="E3592" s="21" t="s">
        <v>11</v>
      </c>
    </row>
    <row r="3593" spans="1:5" s="21" customFormat="1" ht="15.75" hidden="1" customHeight="1">
      <c r="A3593" s="21">
        <v>741300</v>
      </c>
      <c r="B3593" s="21" t="s">
        <v>3583</v>
      </c>
      <c r="C3593" s="21" t="s">
        <v>5849</v>
      </c>
      <c r="D3593" s="21" t="s">
        <v>11</v>
      </c>
      <c r="E3593" s="21" t="s">
        <v>11</v>
      </c>
    </row>
    <row r="3594" spans="1:5" s="21" customFormat="1" ht="15.75" hidden="1" customHeight="1">
      <c r="A3594" s="21">
        <v>741510</v>
      </c>
      <c r="B3594" s="21" t="s">
        <v>3584</v>
      </c>
      <c r="C3594" s="21" t="s">
        <v>5849</v>
      </c>
      <c r="D3594" s="21" t="s">
        <v>11</v>
      </c>
      <c r="E3594" s="21" t="s">
        <v>11</v>
      </c>
    </row>
    <row r="3595" spans="1:5" s="21" customFormat="1" ht="15.75" hidden="1" customHeight="1">
      <c r="A3595" s="21">
        <v>741521</v>
      </c>
      <c r="B3595" s="21" t="s">
        <v>3585</v>
      </c>
      <c r="C3595" s="21" t="s">
        <v>5849</v>
      </c>
      <c r="D3595" s="21" t="s">
        <v>11</v>
      </c>
      <c r="E3595" s="21" t="s">
        <v>11</v>
      </c>
    </row>
    <row r="3596" spans="1:5" s="21" customFormat="1" ht="15.75" hidden="1" customHeight="1">
      <c r="A3596" s="21">
        <v>741529</v>
      </c>
      <c r="B3596" s="21" t="s">
        <v>3586</v>
      </c>
      <c r="C3596" s="21" t="s">
        <v>5849</v>
      </c>
      <c r="D3596" s="21" t="s">
        <v>11</v>
      </c>
      <c r="E3596" s="21" t="s">
        <v>11</v>
      </c>
    </row>
    <row r="3597" spans="1:5" s="21" customFormat="1" ht="15.75" hidden="1" customHeight="1">
      <c r="A3597" s="21">
        <v>741533</v>
      </c>
      <c r="B3597" s="21" t="s">
        <v>3587</v>
      </c>
      <c r="C3597" s="21" t="s">
        <v>5849</v>
      </c>
      <c r="D3597" s="21" t="s">
        <v>11</v>
      </c>
      <c r="E3597" s="21" t="s">
        <v>11</v>
      </c>
    </row>
    <row r="3598" spans="1:5" s="21" customFormat="1" ht="15.75" hidden="1" customHeight="1">
      <c r="A3598" s="21">
        <v>741539</v>
      </c>
      <c r="B3598" s="21" t="s">
        <v>3588</v>
      </c>
      <c r="C3598" s="21" t="s">
        <v>5849</v>
      </c>
      <c r="D3598" s="21" t="s">
        <v>11</v>
      </c>
      <c r="E3598" s="21" t="s">
        <v>11</v>
      </c>
    </row>
    <row r="3599" spans="1:5" s="21" customFormat="1" ht="15.75" hidden="1" customHeight="1">
      <c r="A3599" s="21">
        <v>741811</v>
      </c>
      <c r="B3599" s="21" t="s">
        <v>3589</v>
      </c>
      <c r="C3599" s="21" t="s">
        <v>5849</v>
      </c>
      <c r="D3599" s="21" t="s">
        <v>11</v>
      </c>
      <c r="E3599" s="21" t="s">
        <v>11</v>
      </c>
    </row>
    <row r="3600" spans="1:5" s="21" customFormat="1" ht="15.75" hidden="1" customHeight="1">
      <c r="A3600" s="21">
        <v>741819</v>
      </c>
      <c r="B3600" s="21" t="s">
        <v>3590</v>
      </c>
      <c r="C3600" s="21" t="s">
        <v>5849</v>
      </c>
      <c r="D3600" s="21" t="s">
        <v>11</v>
      </c>
      <c r="E3600" s="21" t="s">
        <v>11</v>
      </c>
    </row>
    <row r="3601" spans="1:5" s="21" customFormat="1" ht="15.75" hidden="1" customHeight="1">
      <c r="A3601" s="21">
        <v>741820</v>
      </c>
      <c r="B3601" s="21" t="s">
        <v>3591</v>
      </c>
      <c r="C3601" s="21" t="s">
        <v>5849</v>
      </c>
      <c r="D3601" s="21" t="s">
        <v>11</v>
      </c>
      <c r="E3601" s="21" t="s">
        <v>11</v>
      </c>
    </row>
    <row r="3602" spans="1:5" s="21" customFormat="1" ht="15.75" hidden="1" customHeight="1">
      <c r="A3602" s="21">
        <v>741910</v>
      </c>
      <c r="B3602" s="21" t="s">
        <v>3592</v>
      </c>
      <c r="C3602" s="21" t="s">
        <v>5849</v>
      </c>
      <c r="D3602" s="21" t="s">
        <v>11</v>
      </c>
      <c r="E3602" s="21" t="s">
        <v>11</v>
      </c>
    </row>
    <row r="3603" spans="1:5" s="21" customFormat="1" ht="15.75" hidden="1" customHeight="1">
      <c r="A3603" s="21">
        <v>741991</v>
      </c>
      <c r="B3603" s="21" t="s">
        <v>3593</v>
      </c>
      <c r="C3603" s="21" t="s">
        <v>5849</v>
      </c>
      <c r="D3603" s="21" t="s">
        <v>11</v>
      </c>
      <c r="E3603" s="21" t="s">
        <v>11</v>
      </c>
    </row>
    <row r="3604" spans="1:5" s="21" customFormat="1" ht="15.75" hidden="1" customHeight="1">
      <c r="A3604" s="21">
        <v>741999</v>
      </c>
      <c r="B3604" s="21" t="s">
        <v>3594</v>
      </c>
      <c r="C3604" s="21" t="s">
        <v>5849</v>
      </c>
      <c r="D3604" s="21" t="s">
        <v>11</v>
      </c>
      <c r="E3604" s="21" t="s">
        <v>11</v>
      </c>
    </row>
    <row r="3605" spans="1:5" s="21" customFormat="1" ht="15.75" hidden="1" customHeight="1">
      <c r="A3605" s="21">
        <v>750110</v>
      </c>
      <c r="B3605" s="21" t="s">
        <v>3595</v>
      </c>
      <c r="C3605" s="21" t="s">
        <v>5850</v>
      </c>
      <c r="D3605" s="21" t="s">
        <v>11</v>
      </c>
      <c r="E3605" s="21" t="s">
        <v>11</v>
      </c>
    </row>
    <row r="3606" spans="1:5" s="21" customFormat="1" ht="15.75" hidden="1" customHeight="1">
      <c r="A3606" s="21">
        <v>750120</v>
      </c>
      <c r="B3606" s="21" t="s">
        <v>3596</v>
      </c>
      <c r="C3606" s="21" t="s">
        <v>5850</v>
      </c>
      <c r="D3606" s="21" t="s">
        <v>11</v>
      </c>
      <c r="E3606" s="21" t="s">
        <v>11</v>
      </c>
    </row>
    <row r="3607" spans="1:5" s="21" customFormat="1" ht="15.75" hidden="1" customHeight="1">
      <c r="A3607" s="21">
        <v>750210</v>
      </c>
      <c r="B3607" s="21" t="s">
        <v>3597</v>
      </c>
      <c r="C3607" s="21" t="s">
        <v>5850</v>
      </c>
      <c r="D3607" s="21" t="s">
        <v>11</v>
      </c>
      <c r="E3607" s="21" t="s">
        <v>11</v>
      </c>
    </row>
    <row r="3608" spans="1:5" s="21" customFormat="1" ht="15.75" hidden="1" customHeight="1">
      <c r="A3608" s="21">
        <v>750220</v>
      </c>
      <c r="B3608" s="21" t="s">
        <v>3598</v>
      </c>
      <c r="C3608" s="21" t="s">
        <v>5850</v>
      </c>
      <c r="D3608" s="21" t="s">
        <v>11</v>
      </c>
      <c r="E3608" s="21" t="s">
        <v>11</v>
      </c>
    </row>
    <row r="3609" spans="1:5" s="21" customFormat="1" ht="15.75" hidden="1" customHeight="1">
      <c r="A3609" s="21">
        <v>750300</v>
      </c>
      <c r="B3609" s="21" t="s">
        <v>3599</v>
      </c>
      <c r="C3609" s="21" t="s">
        <v>5850</v>
      </c>
      <c r="D3609" s="21" t="s">
        <v>11</v>
      </c>
      <c r="E3609" s="21" t="s">
        <v>11</v>
      </c>
    </row>
    <row r="3610" spans="1:5" s="21" customFormat="1" ht="15.75" hidden="1" customHeight="1">
      <c r="A3610" s="21">
        <v>750400</v>
      </c>
      <c r="B3610" s="21" t="s">
        <v>3600</v>
      </c>
      <c r="C3610" s="21" t="s">
        <v>5850</v>
      </c>
      <c r="D3610" s="21" t="s">
        <v>11</v>
      </c>
      <c r="E3610" s="21" t="s">
        <v>11</v>
      </c>
    </row>
    <row r="3611" spans="1:5" s="21" customFormat="1" ht="15.75" hidden="1" customHeight="1">
      <c r="A3611" s="21">
        <v>750511</v>
      </c>
      <c r="B3611" s="21" t="s">
        <v>3601</v>
      </c>
      <c r="C3611" s="21" t="s">
        <v>5850</v>
      </c>
      <c r="D3611" s="21" t="s">
        <v>11</v>
      </c>
      <c r="E3611" s="21" t="s">
        <v>11</v>
      </c>
    </row>
    <row r="3612" spans="1:5" s="21" customFormat="1" ht="15.75" hidden="1" customHeight="1">
      <c r="A3612" s="21">
        <v>750512</v>
      </c>
      <c r="B3612" s="21" t="s">
        <v>3602</v>
      </c>
      <c r="C3612" s="21" t="s">
        <v>5850</v>
      </c>
      <c r="D3612" s="21" t="s">
        <v>11</v>
      </c>
      <c r="E3612" s="21" t="s">
        <v>11</v>
      </c>
    </row>
    <row r="3613" spans="1:5" s="21" customFormat="1" ht="15.75" hidden="1" customHeight="1">
      <c r="A3613" s="21">
        <v>750521</v>
      </c>
      <c r="B3613" s="21" t="s">
        <v>3603</v>
      </c>
      <c r="C3613" s="21" t="s">
        <v>5850</v>
      </c>
      <c r="D3613" s="21" t="s">
        <v>11</v>
      </c>
      <c r="E3613" s="21" t="s">
        <v>11</v>
      </c>
    </row>
    <row r="3614" spans="1:5" s="21" customFormat="1" ht="15.75" hidden="1" customHeight="1">
      <c r="A3614" s="21">
        <v>750522</v>
      </c>
      <c r="B3614" s="21" t="s">
        <v>3604</v>
      </c>
      <c r="C3614" s="21" t="s">
        <v>5850</v>
      </c>
      <c r="D3614" s="21" t="s">
        <v>11</v>
      </c>
      <c r="E3614" s="21" t="s">
        <v>11</v>
      </c>
    </row>
    <row r="3615" spans="1:5" s="21" customFormat="1" ht="15.75" hidden="1" customHeight="1">
      <c r="A3615" s="21">
        <v>750610</v>
      </c>
      <c r="B3615" s="21" t="s">
        <v>3605</v>
      </c>
      <c r="C3615" s="21" t="s">
        <v>5850</v>
      </c>
      <c r="D3615" s="21" t="s">
        <v>11</v>
      </c>
      <c r="E3615" s="21" t="s">
        <v>11</v>
      </c>
    </row>
    <row r="3616" spans="1:5" s="21" customFormat="1" ht="15.75" hidden="1" customHeight="1">
      <c r="A3616" s="21">
        <v>750620</v>
      </c>
      <c r="B3616" s="21" t="s">
        <v>3606</v>
      </c>
      <c r="C3616" s="21" t="s">
        <v>5850</v>
      </c>
      <c r="D3616" s="21" t="s">
        <v>11</v>
      </c>
      <c r="E3616" s="21" t="s">
        <v>11</v>
      </c>
    </row>
    <row r="3617" spans="1:5" s="21" customFormat="1" ht="15.75" hidden="1" customHeight="1">
      <c r="A3617" s="21">
        <v>750711</v>
      </c>
      <c r="B3617" s="21" t="s">
        <v>3607</v>
      </c>
      <c r="C3617" s="21" t="s">
        <v>5850</v>
      </c>
      <c r="D3617" s="21" t="s">
        <v>11</v>
      </c>
      <c r="E3617" s="21" t="s">
        <v>11</v>
      </c>
    </row>
    <row r="3618" spans="1:5" s="21" customFormat="1" ht="15.75" hidden="1" customHeight="1">
      <c r="A3618" s="21">
        <v>750712</v>
      </c>
      <c r="B3618" s="21" t="s">
        <v>3608</v>
      </c>
      <c r="C3618" s="21" t="s">
        <v>5850</v>
      </c>
      <c r="D3618" s="21" t="s">
        <v>11</v>
      </c>
      <c r="E3618" s="21" t="s">
        <v>11</v>
      </c>
    </row>
    <row r="3619" spans="1:5" s="21" customFormat="1" ht="15.75" hidden="1" customHeight="1">
      <c r="A3619" s="21">
        <v>750720</v>
      </c>
      <c r="B3619" s="21" t="s">
        <v>3609</v>
      </c>
      <c r="C3619" s="21" t="s">
        <v>5850</v>
      </c>
      <c r="D3619" s="21" t="s">
        <v>11</v>
      </c>
      <c r="E3619" s="21" t="s">
        <v>11</v>
      </c>
    </row>
    <row r="3620" spans="1:5" s="21" customFormat="1" ht="15.75" hidden="1" customHeight="1">
      <c r="A3620" s="21">
        <v>750810</v>
      </c>
      <c r="B3620" s="21" t="s">
        <v>3610</v>
      </c>
      <c r="C3620" s="21" t="s">
        <v>5850</v>
      </c>
      <c r="D3620" s="21" t="s">
        <v>11</v>
      </c>
      <c r="E3620" s="21" t="s">
        <v>11</v>
      </c>
    </row>
    <row r="3621" spans="1:5" s="21" customFormat="1" ht="15.75" hidden="1" customHeight="1">
      <c r="A3621" s="21">
        <v>750890</v>
      </c>
      <c r="B3621" s="21" t="s">
        <v>3611</v>
      </c>
      <c r="C3621" s="21" t="s">
        <v>5850</v>
      </c>
      <c r="D3621" s="21" t="s">
        <v>11</v>
      </c>
      <c r="E3621" s="21" t="s">
        <v>11</v>
      </c>
    </row>
    <row r="3622" spans="1:5" s="21" customFormat="1" ht="15.75" hidden="1" customHeight="1">
      <c r="A3622" s="21">
        <v>760110</v>
      </c>
      <c r="B3622" s="21" t="s">
        <v>3612</v>
      </c>
      <c r="C3622" s="21" t="s">
        <v>5851</v>
      </c>
      <c r="D3622" s="21" t="s">
        <v>11</v>
      </c>
      <c r="E3622" s="21" t="s">
        <v>11</v>
      </c>
    </row>
    <row r="3623" spans="1:5" s="21" customFormat="1" ht="15.75" hidden="1" customHeight="1">
      <c r="A3623" s="21">
        <v>760120</v>
      </c>
      <c r="B3623" s="21" t="s">
        <v>3613</v>
      </c>
      <c r="C3623" s="21" t="s">
        <v>5851</v>
      </c>
      <c r="D3623" s="21" t="s">
        <v>11</v>
      </c>
      <c r="E3623" s="21" t="s">
        <v>11</v>
      </c>
    </row>
    <row r="3624" spans="1:5" s="21" customFormat="1" ht="15.75" hidden="1" customHeight="1">
      <c r="A3624" s="21">
        <v>760200</v>
      </c>
      <c r="B3624" s="21" t="s">
        <v>3614</v>
      </c>
      <c r="C3624" s="21" t="s">
        <v>5851</v>
      </c>
      <c r="D3624" s="21" t="s">
        <v>11</v>
      </c>
      <c r="E3624" s="21" t="s">
        <v>11</v>
      </c>
    </row>
    <row r="3625" spans="1:5" s="21" customFormat="1" ht="15.75" hidden="1" customHeight="1">
      <c r="A3625" s="21">
        <v>760310</v>
      </c>
      <c r="B3625" s="21" t="s">
        <v>3615</v>
      </c>
      <c r="C3625" s="21" t="s">
        <v>5851</v>
      </c>
      <c r="D3625" s="21" t="s">
        <v>11</v>
      </c>
      <c r="E3625" s="21" t="s">
        <v>11</v>
      </c>
    </row>
    <row r="3626" spans="1:5" s="21" customFormat="1" ht="15.75" hidden="1" customHeight="1">
      <c r="A3626" s="21">
        <v>760320</v>
      </c>
      <c r="B3626" s="21" t="s">
        <v>3616</v>
      </c>
      <c r="C3626" s="21" t="s">
        <v>5851</v>
      </c>
      <c r="D3626" s="21" t="s">
        <v>11</v>
      </c>
      <c r="E3626" s="21" t="s">
        <v>11</v>
      </c>
    </row>
    <row r="3627" spans="1:5" s="21" customFormat="1" ht="15.75" hidden="1" customHeight="1">
      <c r="A3627" s="21">
        <v>760410</v>
      </c>
      <c r="B3627" s="21" t="s">
        <v>3617</v>
      </c>
      <c r="C3627" s="21" t="s">
        <v>5851</v>
      </c>
      <c r="D3627" s="21" t="s">
        <v>11</v>
      </c>
      <c r="E3627" s="21" t="s">
        <v>11</v>
      </c>
    </row>
    <row r="3628" spans="1:5" s="21" customFormat="1" ht="15.75" hidden="1" customHeight="1">
      <c r="A3628" s="21">
        <v>760421</v>
      </c>
      <c r="B3628" s="21" t="s">
        <v>3618</v>
      </c>
      <c r="C3628" s="21" t="s">
        <v>5851</v>
      </c>
      <c r="D3628" s="21" t="s">
        <v>11</v>
      </c>
      <c r="E3628" s="21" t="s">
        <v>11</v>
      </c>
    </row>
    <row r="3629" spans="1:5" s="21" customFormat="1" ht="15.75" hidden="1" customHeight="1">
      <c r="A3629" s="21">
        <v>760429</v>
      </c>
      <c r="B3629" s="21" t="s">
        <v>3619</v>
      </c>
      <c r="C3629" s="21" t="s">
        <v>5851</v>
      </c>
      <c r="D3629" s="21" t="s">
        <v>11</v>
      </c>
      <c r="E3629" s="21" t="s">
        <v>11</v>
      </c>
    </row>
    <row r="3630" spans="1:5" s="21" customFormat="1" ht="15.75" hidden="1" customHeight="1">
      <c r="A3630" s="21">
        <v>760511</v>
      </c>
      <c r="B3630" s="21" t="s">
        <v>3620</v>
      </c>
      <c r="C3630" s="21" t="s">
        <v>5851</v>
      </c>
      <c r="D3630" s="21" t="s">
        <v>11</v>
      </c>
      <c r="E3630" s="21" t="s">
        <v>11</v>
      </c>
    </row>
    <row r="3631" spans="1:5" s="21" customFormat="1" ht="15.75" hidden="1" customHeight="1">
      <c r="A3631" s="21">
        <v>760519</v>
      </c>
      <c r="B3631" s="21" t="s">
        <v>3621</v>
      </c>
      <c r="C3631" s="21" t="s">
        <v>5851</v>
      </c>
      <c r="D3631" s="21" t="s">
        <v>11</v>
      </c>
      <c r="E3631" s="21" t="s">
        <v>11</v>
      </c>
    </row>
    <row r="3632" spans="1:5" s="21" customFormat="1" ht="15.75" hidden="1" customHeight="1">
      <c r="A3632" s="21">
        <v>760521</v>
      </c>
      <c r="B3632" s="21" t="s">
        <v>3622</v>
      </c>
      <c r="C3632" s="21" t="s">
        <v>5851</v>
      </c>
      <c r="D3632" s="21" t="s">
        <v>11</v>
      </c>
      <c r="E3632" s="21" t="s">
        <v>11</v>
      </c>
    </row>
    <row r="3633" spans="1:5" s="21" customFormat="1" ht="15.75" hidden="1" customHeight="1">
      <c r="A3633" s="21">
        <v>760529</v>
      </c>
      <c r="B3633" s="21" t="s">
        <v>3623</v>
      </c>
      <c r="C3633" s="21" t="s">
        <v>5851</v>
      </c>
      <c r="D3633" s="21" t="s">
        <v>11</v>
      </c>
      <c r="E3633" s="21" t="s">
        <v>11</v>
      </c>
    </row>
    <row r="3634" spans="1:5" s="21" customFormat="1" ht="15.75" hidden="1" customHeight="1">
      <c r="A3634" s="21">
        <v>760611</v>
      </c>
      <c r="B3634" s="21" t="s">
        <v>3624</v>
      </c>
      <c r="C3634" s="21" t="s">
        <v>5851</v>
      </c>
      <c r="D3634" s="21" t="s">
        <v>11</v>
      </c>
      <c r="E3634" s="21" t="s">
        <v>11</v>
      </c>
    </row>
    <row r="3635" spans="1:5" s="21" customFormat="1" ht="15.75" hidden="1" customHeight="1">
      <c r="A3635" s="21">
        <v>760612</v>
      </c>
      <c r="B3635" s="21" t="s">
        <v>3625</v>
      </c>
      <c r="C3635" s="21" t="s">
        <v>5851</v>
      </c>
      <c r="D3635" s="21" t="s">
        <v>11</v>
      </c>
      <c r="E3635" s="21" t="s">
        <v>11</v>
      </c>
    </row>
    <row r="3636" spans="1:5" s="21" customFormat="1" ht="15.75" hidden="1" customHeight="1">
      <c r="A3636" s="21">
        <v>760691</v>
      </c>
      <c r="B3636" s="21" t="s">
        <v>3626</v>
      </c>
      <c r="C3636" s="21" t="s">
        <v>5851</v>
      </c>
      <c r="D3636" s="21" t="s">
        <v>11</v>
      </c>
      <c r="E3636" s="21" t="s">
        <v>11</v>
      </c>
    </row>
    <row r="3637" spans="1:5" s="21" customFormat="1" ht="15.75" hidden="1" customHeight="1">
      <c r="A3637" s="21">
        <v>760692</v>
      </c>
      <c r="B3637" s="21" t="s">
        <v>3627</v>
      </c>
      <c r="C3637" s="21" t="s">
        <v>5851</v>
      </c>
      <c r="D3637" s="21" t="s">
        <v>11</v>
      </c>
      <c r="E3637" s="21" t="s">
        <v>11</v>
      </c>
    </row>
    <row r="3638" spans="1:5" s="21" customFormat="1" ht="15.75" hidden="1" customHeight="1">
      <c r="A3638" s="21">
        <v>760711</v>
      </c>
      <c r="B3638" s="21" t="s">
        <v>3628</v>
      </c>
      <c r="C3638" s="21" t="s">
        <v>5851</v>
      </c>
      <c r="D3638" s="21" t="s">
        <v>11</v>
      </c>
      <c r="E3638" s="21" t="s">
        <v>11</v>
      </c>
    </row>
    <row r="3639" spans="1:5" s="21" customFormat="1" ht="15.75" hidden="1" customHeight="1">
      <c r="A3639" s="21">
        <v>760719</v>
      </c>
      <c r="B3639" s="21" t="s">
        <v>3629</v>
      </c>
      <c r="C3639" s="21" t="s">
        <v>5851</v>
      </c>
      <c r="D3639" s="21" t="s">
        <v>11</v>
      </c>
      <c r="E3639" s="21" t="s">
        <v>11</v>
      </c>
    </row>
    <row r="3640" spans="1:5" s="21" customFormat="1" ht="15.75" hidden="1" customHeight="1">
      <c r="A3640" s="21">
        <v>760720</v>
      </c>
      <c r="B3640" s="21" t="s">
        <v>3630</v>
      </c>
      <c r="C3640" s="21" t="s">
        <v>5851</v>
      </c>
      <c r="D3640" s="21" t="s">
        <v>11</v>
      </c>
      <c r="E3640" s="21" t="s">
        <v>11</v>
      </c>
    </row>
    <row r="3641" spans="1:5" s="21" customFormat="1" ht="15.75" hidden="1" customHeight="1">
      <c r="A3641" s="21">
        <v>760810</v>
      </c>
      <c r="B3641" s="21" t="s">
        <v>3631</v>
      </c>
      <c r="C3641" s="21" t="s">
        <v>5851</v>
      </c>
      <c r="D3641" s="21" t="s">
        <v>11</v>
      </c>
      <c r="E3641" s="21" t="s">
        <v>11</v>
      </c>
    </row>
    <row r="3642" spans="1:5" s="21" customFormat="1" ht="15.75" hidden="1" customHeight="1">
      <c r="A3642" s="21">
        <v>760820</v>
      </c>
      <c r="B3642" s="21" t="s">
        <v>3632</v>
      </c>
      <c r="C3642" s="21" t="s">
        <v>5851</v>
      </c>
      <c r="D3642" s="21" t="s">
        <v>11</v>
      </c>
      <c r="E3642" s="21" t="s">
        <v>11</v>
      </c>
    </row>
    <row r="3643" spans="1:5" s="21" customFormat="1" ht="15.75" hidden="1" customHeight="1">
      <c r="A3643" s="21">
        <v>760900</v>
      </c>
      <c r="B3643" s="21" t="s">
        <v>3633</v>
      </c>
      <c r="C3643" s="21" t="s">
        <v>5851</v>
      </c>
      <c r="D3643" s="21" t="s">
        <v>11</v>
      </c>
      <c r="E3643" s="21" t="s">
        <v>11</v>
      </c>
    </row>
    <row r="3644" spans="1:5" s="21" customFormat="1" ht="15.75" hidden="1" customHeight="1">
      <c r="A3644" s="21">
        <v>761010</v>
      </c>
      <c r="B3644" s="21" t="s">
        <v>3634</v>
      </c>
      <c r="C3644" s="21" t="s">
        <v>5851</v>
      </c>
      <c r="D3644" s="21" t="s">
        <v>11</v>
      </c>
      <c r="E3644" s="21" t="s">
        <v>11</v>
      </c>
    </row>
    <row r="3645" spans="1:5" s="21" customFormat="1" ht="15.75" hidden="1" customHeight="1">
      <c r="A3645" s="21">
        <v>761090</v>
      </c>
      <c r="B3645" s="21" t="s">
        <v>3635</v>
      </c>
      <c r="C3645" s="21" t="s">
        <v>5851</v>
      </c>
      <c r="D3645" s="21" t="s">
        <v>11</v>
      </c>
      <c r="E3645" s="21" t="s">
        <v>11</v>
      </c>
    </row>
    <row r="3646" spans="1:5" s="21" customFormat="1" ht="15.75" hidden="1" customHeight="1">
      <c r="A3646" s="21">
        <v>761100</v>
      </c>
      <c r="B3646" s="21" t="s">
        <v>3636</v>
      </c>
      <c r="C3646" s="21" t="s">
        <v>5851</v>
      </c>
      <c r="D3646" s="21" t="s">
        <v>11</v>
      </c>
      <c r="E3646" s="21" t="s">
        <v>11</v>
      </c>
    </row>
    <row r="3647" spans="1:5" s="21" customFormat="1" ht="15.75" hidden="1" customHeight="1">
      <c r="A3647" s="21">
        <v>761210</v>
      </c>
      <c r="B3647" s="21" t="s">
        <v>3637</v>
      </c>
      <c r="C3647" s="21" t="s">
        <v>5851</v>
      </c>
      <c r="D3647" s="21" t="s">
        <v>11</v>
      </c>
      <c r="E3647" s="21" t="s">
        <v>11</v>
      </c>
    </row>
    <row r="3648" spans="1:5" s="21" customFormat="1" ht="15.75" hidden="1" customHeight="1">
      <c r="A3648" s="21">
        <v>761290</v>
      </c>
      <c r="B3648" s="21" t="s">
        <v>3638</v>
      </c>
      <c r="C3648" s="21" t="s">
        <v>5851</v>
      </c>
      <c r="D3648" s="21" t="s">
        <v>11</v>
      </c>
      <c r="E3648" s="21" t="s">
        <v>11</v>
      </c>
    </row>
    <row r="3649" spans="1:5" s="21" customFormat="1" ht="15.75" hidden="1" customHeight="1">
      <c r="A3649" s="21">
        <v>761300</v>
      </c>
      <c r="B3649" s="21" t="s">
        <v>3639</v>
      </c>
      <c r="C3649" s="21" t="s">
        <v>5851</v>
      </c>
      <c r="D3649" s="21" t="s">
        <v>11</v>
      </c>
      <c r="E3649" s="21" t="s">
        <v>11</v>
      </c>
    </row>
    <row r="3650" spans="1:5" s="21" customFormat="1" ht="15.75" hidden="1" customHeight="1">
      <c r="A3650" s="21">
        <v>761410</v>
      </c>
      <c r="B3650" s="21" t="s">
        <v>3640</v>
      </c>
      <c r="C3650" s="21" t="s">
        <v>5851</v>
      </c>
      <c r="D3650" s="21" t="s">
        <v>11</v>
      </c>
      <c r="E3650" s="21" t="s">
        <v>11</v>
      </c>
    </row>
    <row r="3651" spans="1:5" s="21" customFormat="1" ht="15.75" hidden="1" customHeight="1">
      <c r="A3651" s="21">
        <v>761490</v>
      </c>
      <c r="B3651" s="21" t="s">
        <v>3641</v>
      </c>
      <c r="C3651" s="21" t="s">
        <v>5851</v>
      </c>
      <c r="D3651" s="21" t="s">
        <v>11</v>
      </c>
      <c r="E3651" s="21" t="s">
        <v>11</v>
      </c>
    </row>
    <row r="3652" spans="1:5" s="21" customFormat="1" ht="15.75" hidden="1" customHeight="1">
      <c r="A3652" s="21">
        <v>761511</v>
      </c>
      <c r="B3652" s="21" t="s">
        <v>3642</v>
      </c>
      <c r="C3652" s="21" t="s">
        <v>5851</v>
      </c>
      <c r="D3652" s="21" t="s">
        <v>11</v>
      </c>
      <c r="E3652" s="21" t="s">
        <v>11</v>
      </c>
    </row>
    <row r="3653" spans="1:5" s="21" customFormat="1" ht="15.75" hidden="1" customHeight="1">
      <c r="A3653" s="21">
        <v>761519</v>
      </c>
      <c r="B3653" s="21" t="s">
        <v>3643</v>
      </c>
      <c r="C3653" s="21" t="s">
        <v>5851</v>
      </c>
      <c r="D3653" s="21" t="s">
        <v>11</v>
      </c>
      <c r="E3653" s="21" t="s">
        <v>11</v>
      </c>
    </row>
    <row r="3654" spans="1:5" s="21" customFormat="1" ht="15.75" hidden="1" customHeight="1">
      <c r="A3654" s="21">
        <v>761520</v>
      </c>
      <c r="B3654" s="21" t="s">
        <v>3644</v>
      </c>
      <c r="C3654" s="21" t="s">
        <v>5851</v>
      </c>
      <c r="D3654" s="21" t="s">
        <v>11</v>
      </c>
      <c r="E3654" s="21" t="s">
        <v>11</v>
      </c>
    </row>
    <row r="3655" spans="1:5" s="21" customFormat="1" ht="15.75" hidden="1" customHeight="1">
      <c r="A3655" s="21">
        <v>761610</v>
      </c>
      <c r="B3655" s="21" t="s">
        <v>3645</v>
      </c>
      <c r="C3655" s="21" t="s">
        <v>5851</v>
      </c>
      <c r="D3655" s="21" t="s">
        <v>11</v>
      </c>
      <c r="E3655" s="21" t="s">
        <v>11</v>
      </c>
    </row>
    <row r="3656" spans="1:5" s="21" customFormat="1" ht="15.75" hidden="1" customHeight="1">
      <c r="A3656" s="21">
        <v>761691</v>
      </c>
      <c r="B3656" s="21" t="s">
        <v>3646</v>
      </c>
      <c r="C3656" s="21" t="s">
        <v>5851</v>
      </c>
      <c r="D3656" s="21" t="s">
        <v>11</v>
      </c>
      <c r="E3656" s="21" t="s">
        <v>11</v>
      </c>
    </row>
    <row r="3657" spans="1:5" s="21" customFormat="1" ht="15.75" hidden="1" customHeight="1">
      <c r="A3657" s="21">
        <v>761699</v>
      </c>
      <c r="B3657" s="21" t="s">
        <v>3647</v>
      </c>
      <c r="C3657" s="21" t="s">
        <v>5851</v>
      </c>
      <c r="D3657" s="21" t="s">
        <v>11</v>
      </c>
      <c r="E3657" s="21" t="s">
        <v>11</v>
      </c>
    </row>
    <row r="3658" spans="1:5" s="21" customFormat="1" ht="15.75" hidden="1" customHeight="1">
      <c r="A3658" s="21">
        <v>780110</v>
      </c>
      <c r="B3658" s="21" t="s">
        <v>3648</v>
      </c>
      <c r="C3658" s="21" t="s">
        <v>5383</v>
      </c>
      <c r="D3658" s="21" t="s">
        <v>11</v>
      </c>
      <c r="E3658" s="21" t="s">
        <v>11</v>
      </c>
    </row>
    <row r="3659" spans="1:5" s="21" customFormat="1" ht="15.75" hidden="1" customHeight="1">
      <c r="A3659" s="21">
        <v>780191</v>
      </c>
      <c r="B3659" s="21" t="s">
        <v>3649</v>
      </c>
      <c r="C3659" s="21" t="s">
        <v>5383</v>
      </c>
      <c r="D3659" s="21" t="s">
        <v>11</v>
      </c>
      <c r="E3659" s="21" t="s">
        <v>11</v>
      </c>
    </row>
    <row r="3660" spans="1:5" s="21" customFormat="1" ht="15.75" hidden="1" customHeight="1">
      <c r="A3660" s="21">
        <v>780199</v>
      </c>
      <c r="B3660" s="21" t="s">
        <v>3650</v>
      </c>
      <c r="C3660" s="21" t="s">
        <v>5383</v>
      </c>
      <c r="D3660" s="21" t="s">
        <v>11</v>
      </c>
      <c r="E3660" s="21" t="s">
        <v>11</v>
      </c>
    </row>
    <row r="3661" spans="1:5" s="21" customFormat="1" ht="15.75" hidden="1" customHeight="1">
      <c r="A3661" s="21">
        <v>780200</v>
      </c>
      <c r="B3661" s="21" t="s">
        <v>3651</v>
      </c>
      <c r="C3661" s="21" t="s">
        <v>5383</v>
      </c>
      <c r="D3661" s="21" t="s">
        <v>11</v>
      </c>
      <c r="E3661" s="21" t="s">
        <v>11</v>
      </c>
    </row>
    <row r="3662" spans="1:5" s="21" customFormat="1" ht="15.75" hidden="1" customHeight="1">
      <c r="A3662" s="21">
        <v>780411</v>
      </c>
      <c r="B3662" s="21" t="s">
        <v>3652</v>
      </c>
      <c r="C3662" s="21" t="s">
        <v>5383</v>
      </c>
      <c r="D3662" s="21" t="s">
        <v>11</v>
      </c>
      <c r="E3662" s="21" t="s">
        <v>11</v>
      </c>
    </row>
    <row r="3663" spans="1:5" s="21" customFormat="1" ht="15.75" hidden="1" customHeight="1">
      <c r="A3663" s="21">
        <v>780419</v>
      </c>
      <c r="B3663" s="21" t="s">
        <v>3653</v>
      </c>
      <c r="C3663" s="21" t="s">
        <v>5383</v>
      </c>
      <c r="D3663" s="21" t="s">
        <v>11</v>
      </c>
      <c r="E3663" s="21" t="s">
        <v>11</v>
      </c>
    </row>
    <row r="3664" spans="1:5" s="21" customFormat="1" ht="15.75" hidden="1" customHeight="1">
      <c r="A3664" s="21">
        <v>780420</v>
      </c>
      <c r="B3664" s="21" t="s">
        <v>3654</v>
      </c>
      <c r="C3664" s="21" t="s">
        <v>5383</v>
      </c>
      <c r="D3664" s="21" t="s">
        <v>11</v>
      </c>
      <c r="E3664" s="21" t="s">
        <v>11</v>
      </c>
    </row>
    <row r="3665" spans="1:5" s="21" customFormat="1" ht="15.75" hidden="1" customHeight="1">
      <c r="A3665" s="21">
        <v>780600</v>
      </c>
      <c r="B3665" s="21" t="s">
        <v>3655</v>
      </c>
      <c r="C3665" s="21" t="s">
        <v>5383</v>
      </c>
      <c r="D3665" s="21" t="s">
        <v>11</v>
      </c>
      <c r="E3665" s="21" t="s">
        <v>11</v>
      </c>
    </row>
    <row r="3666" spans="1:5" s="21" customFormat="1" ht="15.75" hidden="1" customHeight="1">
      <c r="A3666" s="21">
        <v>790111</v>
      </c>
      <c r="B3666" s="21" t="s">
        <v>3656</v>
      </c>
      <c r="C3666" s="21" t="s">
        <v>5377</v>
      </c>
      <c r="D3666" s="21" t="s">
        <v>11</v>
      </c>
      <c r="E3666" s="21" t="s">
        <v>11</v>
      </c>
    </row>
    <row r="3667" spans="1:5" s="21" customFormat="1" ht="15.75" hidden="1" customHeight="1">
      <c r="A3667" s="21">
        <v>790112</v>
      </c>
      <c r="B3667" s="21" t="s">
        <v>3657</v>
      </c>
      <c r="C3667" s="21" t="s">
        <v>5377</v>
      </c>
      <c r="D3667" s="21" t="s">
        <v>11</v>
      </c>
      <c r="E3667" s="21" t="s">
        <v>11</v>
      </c>
    </row>
    <row r="3668" spans="1:5" s="21" customFormat="1" ht="15.75" hidden="1" customHeight="1">
      <c r="A3668" s="21">
        <v>790120</v>
      </c>
      <c r="B3668" s="21" t="s">
        <v>3658</v>
      </c>
      <c r="C3668" s="21" t="s">
        <v>5377</v>
      </c>
      <c r="D3668" s="21" t="s">
        <v>11</v>
      </c>
      <c r="E3668" s="21" t="s">
        <v>11</v>
      </c>
    </row>
    <row r="3669" spans="1:5" s="21" customFormat="1" ht="15.75" hidden="1" customHeight="1">
      <c r="A3669" s="21">
        <v>790200</v>
      </c>
      <c r="B3669" s="21" t="s">
        <v>3659</v>
      </c>
      <c r="C3669" s="21" t="s">
        <v>5377</v>
      </c>
      <c r="D3669" s="21" t="s">
        <v>11</v>
      </c>
      <c r="E3669" s="21" t="s">
        <v>11</v>
      </c>
    </row>
    <row r="3670" spans="1:5" s="21" customFormat="1" ht="15.75" hidden="1" customHeight="1">
      <c r="A3670" s="21">
        <v>790310</v>
      </c>
      <c r="B3670" s="21" t="s">
        <v>3660</v>
      </c>
      <c r="C3670" s="21" t="s">
        <v>3660</v>
      </c>
      <c r="D3670" s="21" t="s">
        <v>11</v>
      </c>
      <c r="E3670" s="21" t="s">
        <v>11</v>
      </c>
    </row>
    <row r="3671" spans="1:5" s="21" customFormat="1" ht="15.75" hidden="1" customHeight="1">
      <c r="A3671" s="21">
        <v>790390</v>
      </c>
      <c r="B3671" s="21" t="s">
        <v>3661</v>
      </c>
      <c r="C3671" s="21" t="s">
        <v>5377</v>
      </c>
      <c r="D3671" s="21" t="s">
        <v>11</v>
      </c>
      <c r="E3671" s="21" t="s">
        <v>11</v>
      </c>
    </row>
    <row r="3672" spans="1:5" s="21" customFormat="1" ht="15.75" hidden="1" customHeight="1">
      <c r="A3672" s="21">
        <v>790400</v>
      </c>
      <c r="B3672" s="21" t="s">
        <v>3662</v>
      </c>
      <c r="C3672" s="21" t="s">
        <v>5377</v>
      </c>
      <c r="D3672" s="21" t="s">
        <v>11</v>
      </c>
      <c r="E3672" s="21" t="s">
        <v>11</v>
      </c>
    </row>
    <row r="3673" spans="1:5" s="21" customFormat="1" ht="15.75" hidden="1" customHeight="1">
      <c r="A3673" s="21">
        <v>790500</v>
      </c>
      <c r="B3673" s="21" t="s">
        <v>3663</v>
      </c>
      <c r="C3673" s="21" t="s">
        <v>5377</v>
      </c>
      <c r="D3673" s="21" t="s">
        <v>11</v>
      </c>
      <c r="E3673" s="21" t="s">
        <v>11</v>
      </c>
    </row>
    <row r="3674" spans="1:5" s="21" customFormat="1" ht="15.75" hidden="1" customHeight="1">
      <c r="A3674" s="21">
        <v>790700</v>
      </c>
      <c r="B3674" s="21" t="s">
        <v>3664</v>
      </c>
      <c r="C3674" s="21" t="s">
        <v>5377</v>
      </c>
      <c r="D3674" s="21" t="s">
        <v>11</v>
      </c>
      <c r="E3674" s="21" t="s">
        <v>11</v>
      </c>
    </row>
    <row r="3675" spans="1:5" s="21" customFormat="1" ht="15.75" hidden="1" customHeight="1">
      <c r="A3675" s="21">
        <v>800110</v>
      </c>
      <c r="B3675" s="21" t="s">
        <v>3665</v>
      </c>
      <c r="C3675" s="21" t="s">
        <v>5852</v>
      </c>
      <c r="D3675" s="21" t="s">
        <v>11</v>
      </c>
      <c r="E3675" s="21" t="s">
        <v>11</v>
      </c>
    </row>
    <row r="3676" spans="1:5" s="21" customFormat="1" ht="15.75" hidden="1" customHeight="1">
      <c r="A3676" s="21">
        <v>800120</v>
      </c>
      <c r="B3676" s="21" t="s">
        <v>3666</v>
      </c>
      <c r="C3676" s="21" t="s">
        <v>5852</v>
      </c>
      <c r="D3676" s="21" t="s">
        <v>11</v>
      </c>
      <c r="E3676" s="21" t="s">
        <v>11</v>
      </c>
    </row>
    <row r="3677" spans="1:5" s="21" customFormat="1" ht="15.75" hidden="1" customHeight="1">
      <c r="A3677" s="21">
        <v>800200</v>
      </c>
      <c r="B3677" s="21" t="s">
        <v>3667</v>
      </c>
      <c r="C3677" s="21" t="s">
        <v>5852</v>
      </c>
      <c r="D3677" s="21" t="s">
        <v>11</v>
      </c>
      <c r="E3677" s="21" t="s">
        <v>11</v>
      </c>
    </row>
    <row r="3678" spans="1:5" s="21" customFormat="1" ht="15.75" hidden="1" customHeight="1">
      <c r="A3678" s="21">
        <v>800300</v>
      </c>
      <c r="B3678" s="21" t="s">
        <v>3668</v>
      </c>
      <c r="C3678" s="21" t="s">
        <v>5852</v>
      </c>
      <c r="D3678" s="21" t="s">
        <v>11</v>
      </c>
      <c r="E3678" s="21" t="s">
        <v>11</v>
      </c>
    </row>
    <row r="3679" spans="1:5" s="21" customFormat="1" ht="15.75" hidden="1" customHeight="1">
      <c r="A3679" s="21">
        <v>800700</v>
      </c>
      <c r="B3679" s="21" t="s">
        <v>3669</v>
      </c>
      <c r="C3679" s="21" t="s">
        <v>5852</v>
      </c>
      <c r="D3679" s="21" t="s">
        <v>11</v>
      </c>
      <c r="E3679" s="21" t="s">
        <v>11</v>
      </c>
    </row>
    <row r="3680" spans="1:5" s="21" customFormat="1" ht="15.75" hidden="1" customHeight="1">
      <c r="A3680" s="21">
        <v>810110</v>
      </c>
      <c r="B3680" s="21" t="s">
        <v>3670</v>
      </c>
      <c r="C3680" s="21" t="s">
        <v>5853</v>
      </c>
      <c r="D3680" s="21" t="s">
        <v>11</v>
      </c>
      <c r="E3680" s="21" t="s">
        <v>11</v>
      </c>
    </row>
    <row r="3681" spans="1:5" s="21" customFormat="1" ht="15.75" hidden="1" customHeight="1">
      <c r="A3681" s="21">
        <v>810194</v>
      </c>
      <c r="B3681" s="21" t="s">
        <v>3671</v>
      </c>
      <c r="C3681" s="21" t="s">
        <v>5853</v>
      </c>
      <c r="D3681" s="21" t="s">
        <v>11</v>
      </c>
      <c r="E3681" s="21" t="s">
        <v>11</v>
      </c>
    </row>
    <row r="3682" spans="1:5" s="21" customFormat="1" ht="15.75" hidden="1" customHeight="1">
      <c r="A3682" s="21">
        <v>810196</v>
      </c>
      <c r="B3682" s="21" t="s">
        <v>3672</v>
      </c>
      <c r="C3682" s="21" t="s">
        <v>5853</v>
      </c>
      <c r="D3682" s="21" t="s">
        <v>11</v>
      </c>
      <c r="E3682" s="21" t="s">
        <v>11</v>
      </c>
    </row>
    <row r="3683" spans="1:5" s="21" customFormat="1" ht="15.75" hidden="1" customHeight="1">
      <c r="A3683" s="21">
        <v>810197</v>
      </c>
      <c r="B3683" s="21" t="s">
        <v>3673</v>
      </c>
      <c r="C3683" s="21" t="s">
        <v>5853</v>
      </c>
      <c r="D3683" s="21" t="s">
        <v>11</v>
      </c>
      <c r="E3683" s="21" t="s">
        <v>11</v>
      </c>
    </row>
    <row r="3684" spans="1:5" s="21" customFormat="1" ht="15.75" hidden="1" customHeight="1">
      <c r="A3684" s="21">
        <v>810199</v>
      </c>
      <c r="B3684" s="21" t="s">
        <v>3674</v>
      </c>
      <c r="C3684" s="21" t="s">
        <v>5853</v>
      </c>
      <c r="D3684" s="21" t="s">
        <v>11</v>
      </c>
      <c r="E3684" s="21" t="s">
        <v>11</v>
      </c>
    </row>
    <row r="3685" spans="1:5" s="21" customFormat="1" ht="15.75" hidden="1" customHeight="1">
      <c r="A3685" s="21">
        <v>810210</v>
      </c>
      <c r="B3685" s="21" t="s">
        <v>3675</v>
      </c>
      <c r="C3685" s="21" t="s">
        <v>5854</v>
      </c>
      <c r="D3685" s="21" t="s">
        <v>11</v>
      </c>
      <c r="E3685" s="21" t="s">
        <v>11</v>
      </c>
    </row>
    <row r="3686" spans="1:5" s="21" customFormat="1" ht="15.75" hidden="1" customHeight="1">
      <c r="A3686" s="21">
        <v>810294</v>
      </c>
      <c r="B3686" s="21" t="s">
        <v>3676</v>
      </c>
      <c r="C3686" s="21" t="s">
        <v>5854</v>
      </c>
      <c r="D3686" s="21" t="s">
        <v>11</v>
      </c>
      <c r="E3686" s="21" t="s">
        <v>11</v>
      </c>
    </row>
    <row r="3687" spans="1:5" s="21" customFormat="1" ht="15.75" hidden="1" customHeight="1">
      <c r="A3687" s="21">
        <v>810295</v>
      </c>
      <c r="B3687" s="21" t="s">
        <v>3677</v>
      </c>
      <c r="C3687" s="21" t="s">
        <v>5854</v>
      </c>
      <c r="D3687" s="21" t="s">
        <v>11</v>
      </c>
      <c r="E3687" s="21" t="s">
        <v>11</v>
      </c>
    </row>
    <row r="3688" spans="1:5" s="21" customFormat="1" ht="15.75" hidden="1" customHeight="1">
      <c r="A3688" s="21">
        <v>810296</v>
      </c>
      <c r="B3688" s="21" t="s">
        <v>3678</v>
      </c>
      <c r="C3688" s="21" t="s">
        <v>5854</v>
      </c>
      <c r="D3688" s="21" t="s">
        <v>11</v>
      </c>
      <c r="E3688" s="21" t="s">
        <v>11</v>
      </c>
    </row>
    <row r="3689" spans="1:5" s="21" customFormat="1" ht="15.75" hidden="1" customHeight="1">
      <c r="A3689" s="21">
        <v>810297</v>
      </c>
      <c r="B3689" s="21" t="s">
        <v>3679</v>
      </c>
      <c r="C3689" s="21" t="s">
        <v>5854</v>
      </c>
      <c r="D3689" s="21" t="s">
        <v>11</v>
      </c>
      <c r="E3689" s="21" t="s">
        <v>11</v>
      </c>
    </row>
    <row r="3690" spans="1:5" s="21" customFormat="1" ht="15.75" hidden="1" customHeight="1">
      <c r="A3690" s="21">
        <v>810299</v>
      </c>
      <c r="B3690" s="21" t="s">
        <v>3680</v>
      </c>
      <c r="C3690" s="21" t="s">
        <v>5854</v>
      </c>
      <c r="D3690" s="21" t="s">
        <v>11</v>
      </c>
      <c r="E3690" s="21" t="s">
        <v>11</v>
      </c>
    </row>
    <row r="3691" spans="1:5" s="21" customFormat="1" ht="15.75" hidden="1" customHeight="1">
      <c r="A3691" s="21">
        <v>810320</v>
      </c>
      <c r="B3691" s="21" t="s">
        <v>3681</v>
      </c>
      <c r="C3691" s="21" t="s">
        <v>5855</v>
      </c>
      <c r="D3691" s="21" t="s">
        <v>11</v>
      </c>
      <c r="E3691" s="21" t="s">
        <v>11</v>
      </c>
    </row>
    <row r="3692" spans="1:5" s="21" customFormat="1" ht="15.75" hidden="1" customHeight="1">
      <c r="A3692" s="21">
        <v>810330</v>
      </c>
      <c r="B3692" s="21" t="s">
        <v>3682</v>
      </c>
      <c r="C3692" s="21" t="s">
        <v>5855</v>
      </c>
      <c r="D3692" s="21" t="s">
        <v>11</v>
      </c>
      <c r="E3692" s="21" t="s">
        <v>11</v>
      </c>
    </row>
    <row r="3693" spans="1:5" s="21" customFormat="1" ht="15.75" hidden="1" customHeight="1">
      <c r="A3693" s="21">
        <v>810390</v>
      </c>
      <c r="B3693" s="21" t="s">
        <v>3683</v>
      </c>
      <c r="C3693" s="21" t="s">
        <v>5855</v>
      </c>
      <c r="D3693" s="21" t="s">
        <v>11</v>
      </c>
      <c r="E3693" s="21" t="s">
        <v>11</v>
      </c>
    </row>
    <row r="3694" spans="1:5" s="21" customFormat="1" ht="15.75" hidden="1" customHeight="1">
      <c r="A3694" s="21">
        <v>810411</v>
      </c>
      <c r="B3694" s="21" t="s">
        <v>3684</v>
      </c>
      <c r="C3694" s="21" t="s">
        <v>5856</v>
      </c>
      <c r="D3694" s="21" t="s">
        <v>11</v>
      </c>
      <c r="E3694" s="21" t="s">
        <v>11</v>
      </c>
    </row>
    <row r="3695" spans="1:5" s="21" customFormat="1" ht="15.75" hidden="1" customHeight="1">
      <c r="A3695" s="21">
        <v>810419</v>
      </c>
      <c r="B3695" s="21" t="s">
        <v>3685</v>
      </c>
      <c r="C3695" s="21" t="s">
        <v>5856</v>
      </c>
      <c r="D3695" s="21" t="s">
        <v>11</v>
      </c>
      <c r="E3695" s="21" t="s">
        <v>11</v>
      </c>
    </row>
    <row r="3696" spans="1:5" s="21" customFormat="1" ht="15.75" hidden="1" customHeight="1">
      <c r="A3696" s="21">
        <v>810420</v>
      </c>
      <c r="B3696" s="21" t="s">
        <v>3686</v>
      </c>
      <c r="C3696" s="21" t="s">
        <v>5856</v>
      </c>
      <c r="D3696" s="21" t="s">
        <v>11</v>
      </c>
      <c r="E3696" s="21" t="s">
        <v>11</v>
      </c>
    </row>
    <row r="3697" spans="1:5" s="21" customFormat="1" ht="15.75" hidden="1" customHeight="1">
      <c r="A3697" s="21">
        <v>810430</v>
      </c>
      <c r="B3697" s="21" t="s">
        <v>3687</v>
      </c>
      <c r="C3697" s="21" t="s">
        <v>5856</v>
      </c>
      <c r="D3697" s="21" t="s">
        <v>11</v>
      </c>
      <c r="E3697" s="21" t="s">
        <v>11</v>
      </c>
    </row>
    <row r="3698" spans="1:5" s="21" customFormat="1" ht="15.75" hidden="1" customHeight="1">
      <c r="A3698" s="21">
        <v>810490</v>
      </c>
      <c r="B3698" s="21" t="s">
        <v>3688</v>
      </c>
      <c r="C3698" s="21" t="s">
        <v>5856</v>
      </c>
      <c r="D3698" s="21" t="s">
        <v>11</v>
      </c>
      <c r="E3698" s="21" t="s">
        <v>11</v>
      </c>
    </row>
    <row r="3699" spans="1:5" s="21" customFormat="1" ht="15.75" hidden="1" customHeight="1">
      <c r="A3699" s="21">
        <v>810520</v>
      </c>
      <c r="B3699" s="21" t="s">
        <v>3689</v>
      </c>
      <c r="C3699" s="21" t="s">
        <v>5857</v>
      </c>
      <c r="D3699" s="21" t="s">
        <v>11</v>
      </c>
      <c r="E3699" s="21" t="s">
        <v>11</v>
      </c>
    </row>
    <row r="3700" spans="1:5" s="21" customFormat="1" ht="15.75" hidden="1" customHeight="1">
      <c r="A3700" s="21">
        <v>810530</v>
      </c>
      <c r="B3700" s="21" t="s">
        <v>3690</v>
      </c>
      <c r="C3700" s="21" t="s">
        <v>5857</v>
      </c>
      <c r="D3700" s="21" t="s">
        <v>11</v>
      </c>
      <c r="E3700" s="21" t="s">
        <v>11</v>
      </c>
    </row>
    <row r="3701" spans="1:5" s="21" customFormat="1" ht="15.75" hidden="1" customHeight="1">
      <c r="A3701" s="21">
        <v>810590</v>
      </c>
      <c r="B3701" s="21" t="s">
        <v>3691</v>
      </c>
      <c r="C3701" s="21" t="s">
        <v>5857</v>
      </c>
      <c r="D3701" s="21" t="s">
        <v>11</v>
      </c>
      <c r="E3701" s="21" t="s">
        <v>11</v>
      </c>
    </row>
    <row r="3702" spans="1:5" s="21" customFormat="1" ht="15.75" hidden="1" customHeight="1">
      <c r="A3702" s="21">
        <v>810600</v>
      </c>
      <c r="B3702" s="21" t="s">
        <v>3692</v>
      </c>
      <c r="C3702" s="21" t="s">
        <v>5858</v>
      </c>
      <c r="D3702" s="21" t="s">
        <v>11</v>
      </c>
      <c r="E3702" s="21" t="s">
        <v>11</v>
      </c>
    </row>
    <row r="3703" spans="1:5" s="21" customFormat="1" ht="15.75" hidden="1" customHeight="1">
      <c r="A3703" s="21">
        <v>810720</v>
      </c>
      <c r="B3703" s="21" t="s">
        <v>3693</v>
      </c>
      <c r="C3703" s="21" t="s">
        <v>5859</v>
      </c>
      <c r="D3703" s="21" t="s">
        <v>11</v>
      </c>
      <c r="E3703" s="21" t="s">
        <v>11</v>
      </c>
    </row>
    <row r="3704" spans="1:5" s="21" customFormat="1" ht="15.75" hidden="1" customHeight="1">
      <c r="A3704" s="21">
        <v>810730</v>
      </c>
      <c r="B3704" s="21" t="s">
        <v>3694</v>
      </c>
      <c r="C3704" s="21" t="s">
        <v>5859</v>
      </c>
      <c r="D3704" s="21" t="s">
        <v>11</v>
      </c>
      <c r="E3704" s="21" t="s">
        <v>11</v>
      </c>
    </row>
    <row r="3705" spans="1:5" s="21" customFormat="1" ht="15.75" hidden="1" customHeight="1">
      <c r="A3705" s="21">
        <v>810790</v>
      </c>
      <c r="B3705" s="21" t="s">
        <v>3695</v>
      </c>
      <c r="C3705" s="21" t="s">
        <v>5859</v>
      </c>
      <c r="D3705" s="21" t="s">
        <v>11</v>
      </c>
      <c r="E3705" s="21" t="s">
        <v>11</v>
      </c>
    </row>
    <row r="3706" spans="1:5" s="21" customFormat="1" ht="15.75" hidden="1" customHeight="1">
      <c r="A3706" s="21">
        <v>810820</v>
      </c>
      <c r="B3706" s="21" t="s">
        <v>3696</v>
      </c>
      <c r="C3706" s="21" t="s">
        <v>5860</v>
      </c>
      <c r="D3706" s="21" t="s">
        <v>11</v>
      </c>
      <c r="E3706" s="21" t="s">
        <v>11</v>
      </c>
    </row>
    <row r="3707" spans="1:5" s="21" customFormat="1" ht="15.75" hidden="1" customHeight="1">
      <c r="A3707" s="21">
        <v>810830</v>
      </c>
      <c r="B3707" s="21" t="s">
        <v>3697</v>
      </c>
      <c r="C3707" s="21" t="s">
        <v>5860</v>
      </c>
      <c r="D3707" s="21" t="s">
        <v>11</v>
      </c>
      <c r="E3707" s="21" t="s">
        <v>11</v>
      </c>
    </row>
    <row r="3708" spans="1:5" s="21" customFormat="1" ht="15.75" hidden="1" customHeight="1">
      <c r="A3708" s="21">
        <v>810890</v>
      </c>
      <c r="B3708" s="21" t="s">
        <v>3698</v>
      </c>
      <c r="C3708" s="21" t="s">
        <v>5860</v>
      </c>
      <c r="D3708" s="21" t="s">
        <v>11</v>
      </c>
      <c r="E3708" s="21" t="s">
        <v>11</v>
      </c>
    </row>
    <row r="3709" spans="1:5" s="21" customFormat="1" ht="15.75" hidden="1" customHeight="1">
      <c r="A3709" s="21">
        <v>810920</v>
      </c>
      <c r="B3709" s="21" t="s">
        <v>3699</v>
      </c>
      <c r="C3709" s="21" t="s">
        <v>5861</v>
      </c>
      <c r="D3709" s="21" t="s">
        <v>11</v>
      </c>
      <c r="E3709" s="21" t="s">
        <v>11</v>
      </c>
    </row>
    <row r="3710" spans="1:5" s="21" customFormat="1" ht="15.75" hidden="1" customHeight="1">
      <c r="A3710" s="21">
        <v>810930</v>
      </c>
      <c r="B3710" s="21" t="s">
        <v>3700</v>
      </c>
      <c r="C3710" s="21" t="s">
        <v>5861</v>
      </c>
      <c r="D3710" s="21" t="s">
        <v>11</v>
      </c>
      <c r="E3710" s="21" t="s">
        <v>11</v>
      </c>
    </row>
    <row r="3711" spans="1:5" s="21" customFormat="1" ht="15.75" hidden="1" customHeight="1">
      <c r="A3711" s="21">
        <v>810990</v>
      </c>
      <c r="B3711" s="21" t="s">
        <v>3701</v>
      </c>
      <c r="C3711" s="21" t="s">
        <v>5861</v>
      </c>
      <c r="D3711" s="21" t="s">
        <v>11</v>
      </c>
      <c r="E3711" s="21" t="s">
        <v>11</v>
      </c>
    </row>
    <row r="3712" spans="1:5" s="21" customFormat="1" ht="15.75" hidden="1" customHeight="1">
      <c r="A3712" s="21">
        <v>811010</v>
      </c>
      <c r="B3712" s="21" t="s">
        <v>3702</v>
      </c>
      <c r="C3712" s="21" t="s">
        <v>5862</v>
      </c>
      <c r="D3712" s="21" t="s">
        <v>11</v>
      </c>
      <c r="E3712" s="21" t="s">
        <v>11</v>
      </c>
    </row>
    <row r="3713" spans="1:5" s="21" customFormat="1" ht="15.75" hidden="1" customHeight="1">
      <c r="A3713" s="21">
        <v>811020</v>
      </c>
      <c r="B3713" s="21" t="s">
        <v>3703</v>
      </c>
      <c r="C3713" s="21" t="s">
        <v>5863</v>
      </c>
      <c r="D3713" s="21" t="s">
        <v>11</v>
      </c>
      <c r="E3713" s="21" t="s">
        <v>11</v>
      </c>
    </row>
    <row r="3714" spans="1:5" s="21" customFormat="1" ht="15.75" hidden="1" customHeight="1">
      <c r="A3714" s="21">
        <v>811090</v>
      </c>
      <c r="B3714" s="21" t="s">
        <v>3704</v>
      </c>
      <c r="C3714" s="21" t="s">
        <v>5862</v>
      </c>
      <c r="D3714" s="21" t="s">
        <v>11</v>
      </c>
      <c r="E3714" s="21" t="s">
        <v>11</v>
      </c>
    </row>
    <row r="3715" spans="1:5" s="21" customFormat="1" ht="15.75" hidden="1" customHeight="1">
      <c r="A3715" s="21">
        <v>811100</v>
      </c>
      <c r="B3715" s="21" t="s">
        <v>3705</v>
      </c>
      <c r="C3715" s="21" t="s">
        <v>5864</v>
      </c>
      <c r="D3715" s="21" t="s">
        <v>11</v>
      </c>
      <c r="E3715" s="21" t="s">
        <v>11</v>
      </c>
    </row>
    <row r="3716" spans="1:5" s="21" customFormat="1" ht="15.75" hidden="1" customHeight="1">
      <c r="A3716" s="21">
        <v>811212</v>
      </c>
      <c r="B3716" s="21" t="s">
        <v>3706</v>
      </c>
      <c r="C3716" s="21" t="s">
        <v>5865</v>
      </c>
      <c r="D3716" s="21" t="s">
        <v>11</v>
      </c>
      <c r="E3716" s="21" t="s">
        <v>11</v>
      </c>
    </row>
    <row r="3717" spans="1:5" s="21" customFormat="1" ht="15.75" hidden="1" customHeight="1">
      <c r="A3717" s="21">
        <v>811213</v>
      </c>
      <c r="B3717" s="21" t="s">
        <v>3707</v>
      </c>
      <c r="C3717" s="21" t="s">
        <v>5866</v>
      </c>
      <c r="D3717" s="21" t="s">
        <v>11</v>
      </c>
      <c r="E3717" s="21" t="s">
        <v>11</v>
      </c>
    </row>
    <row r="3718" spans="1:5" s="21" customFormat="1" ht="15.75" hidden="1" customHeight="1">
      <c r="A3718" s="21">
        <v>811219</v>
      </c>
      <c r="B3718" s="21" t="s">
        <v>3708</v>
      </c>
      <c r="C3718" s="21" t="s">
        <v>5865</v>
      </c>
      <c r="D3718" s="21" t="s">
        <v>11</v>
      </c>
      <c r="E3718" s="21" t="s">
        <v>11</v>
      </c>
    </row>
    <row r="3719" spans="1:5" s="21" customFormat="1" ht="15.75" hidden="1" customHeight="1">
      <c r="A3719" s="21">
        <v>811221</v>
      </c>
      <c r="B3719" s="21" t="s">
        <v>3709</v>
      </c>
      <c r="C3719" s="21" t="s">
        <v>5867</v>
      </c>
      <c r="D3719" s="21" t="s">
        <v>11</v>
      </c>
      <c r="E3719" s="21" t="s">
        <v>11</v>
      </c>
    </row>
    <row r="3720" spans="1:5" s="21" customFormat="1" ht="15.75" hidden="1" customHeight="1">
      <c r="A3720" s="21">
        <v>811222</v>
      </c>
      <c r="B3720" s="21" t="s">
        <v>3710</v>
      </c>
      <c r="C3720" s="21" t="s">
        <v>5868</v>
      </c>
      <c r="D3720" s="21" t="s">
        <v>11</v>
      </c>
      <c r="E3720" s="21" t="s">
        <v>11</v>
      </c>
    </row>
    <row r="3721" spans="1:5" s="21" customFormat="1" ht="15.75" hidden="1" customHeight="1">
      <c r="A3721" s="21">
        <v>811229</v>
      </c>
      <c r="B3721" s="21" t="s">
        <v>3711</v>
      </c>
      <c r="C3721" s="21" t="s">
        <v>5867</v>
      </c>
      <c r="D3721" s="21" t="s">
        <v>11</v>
      </c>
      <c r="E3721" s="21" t="s">
        <v>11</v>
      </c>
    </row>
    <row r="3722" spans="1:5" s="21" customFormat="1" ht="15.75" hidden="1" customHeight="1">
      <c r="A3722" s="21">
        <v>811251</v>
      </c>
      <c r="B3722" s="21" t="s">
        <v>3712</v>
      </c>
      <c r="C3722" s="21" t="s">
        <v>5869</v>
      </c>
      <c r="D3722" s="21" t="s">
        <v>11</v>
      </c>
      <c r="E3722" s="21" t="s">
        <v>11</v>
      </c>
    </row>
    <row r="3723" spans="1:5" s="21" customFormat="1" ht="15.75" hidden="1" customHeight="1">
      <c r="A3723" s="21">
        <v>811252</v>
      </c>
      <c r="B3723" s="21" t="s">
        <v>3713</v>
      </c>
      <c r="C3723" s="21" t="s">
        <v>5870</v>
      </c>
      <c r="D3723" s="21" t="s">
        <v>11</v>
      </c>
      <c r="E3723" s="21" t="s">
        <v>11</v>
      </c>
    </row>
    <row r="3724" spans="1:5" s="21" customFormat="1" ht="15.75" hidden="1" customHeight="1">
      <c r="A3724" s="21">
        <v>811259</v>
      </c>
      <c r="B3724" s="21" t="s">
        <v>3714</v>
      </c>
      <c r="C3724" s="21" t="s">
        <v>5869</v>
      </c>
      <c r="D3724" s="21" t="s">
        <v>11</v>
      </c>
      <c r="E3724" s="21" t="s">
        <v>11</v>
      </c>
    </row>
    <row r="3725" spans="1:5" s="21" customFormat="1" ht="15.75" hidden="1" customHeight="1">
      <c r="A3725" s="21">
        <v>811292</v>
      </c>
      <c r="B3725" s="21" t="s">
        <v>3715</v>
      </c>
      <c r="C3725" s="21" t="s">
        <v>5871</v>
      </c>
      <c r="D3725" s="21" t="s">
        <v>11</v>
      </c>
      <c r="E3725" s="21" t="s">
        <v>11</v>
      </c>
    </row>
    <row r="3726" spans="1:5" s="21" customFormat="1" ht="15.75" hidden="1" customHeight="1">
      <c r="A3726" s="21">
        <v>811299</v>
      </c>
      <c r="B3726" s="21" t="s">
        <v>3716</v>
      </c>
      <c r="C3726" s="21" t="s">
        <v>5871</v>
      </c>
      <c r="D3726" s="21" t="s">
        <v>11</v>
      </c>
      <c r="E3726" s="21" t="s">
        <v>11</v>
      </c>
    </row>
    <row r="3727" spans="1:5" s="21" customFormat="1" ht="15.75" hidden="1" customHeight="1">
      <c r="A3727" s="21">
        <v>811300</v>
      </c>
      <c r="B3727" s="21" t="s">
        <v>3717</v>
      </c>
      <c r="C3727" s="21" t="s">
        <v>5872</v>
      </c>
      <c r="D3727" s="21" t="s">
        <v>11</v>
      </c>
      <c r="E3727" s="21" t="s">
        <v>11</v>
      </c>
    </row>
    <row r="3728" spans="1:5" s="21" customFormat="1" ht="15.75" hidden="1" customHeight="1">
      <c r="A3728" s="21">
        <v>820110</v>
      </c>
      <c r="B3728" s="21" t="s">
        <v>3718</v>
      </c>
      <c r="C3728" s="21" t="s">
        <v>5873</v>
      </c>
      <c r="D3728" s="21" t="s">
        <v>11</v>
      </c>
      <c r="E3728" s="21" t="s">
        <v>11</v>
      </c>
    </row>
    <row r="3729" spans="1:5" s="21" customFormat="1" ht="15.75" hidden="1" customHeight="1">
      <c r="A3729" s="21">
        <v>820120</v>
      </c>
      <c r="B3729" s="21" t="s">
        <v>3719</v>
      </c>
      <c r="C3729" s="21" t="s">
        <v>5873</v>
      </c>
      <c r="D3729" s="21" t="s">
        <v>11</v>
      </c>
      <c r="E3729" s="21" t="s">
        <v>11</v>
      </c>
    </row>
    <row r="3730" spans="1:5" s="21" customFormat="1" ht="15.75" hidden="1" customHeight="1">
      <c r="A3730" s="21">
        <v>820130</v>
      </c>
      <c r="B3730" s="21" t="s">
        <v>3720</v>
      </c>
      <c r="C3730" s="21" t="s">
        <v>5873</v>
      </c>
      <c r="D3730" s="21" t="s">
        <v>11</v>
      </c>
      <c r="E3730" s="21" t="s">
        <v>11</v>
      </c>
    </row>
    <row r="3731" spans="1:5" s="21" customFormat="1" ht="15.75" hidden="1" customHeight="1">
      <c r="A3731" s="21">
        <v>820140</v>
      </c>
      <c r="B3731" s="21" t="s">
        <v>3721</v>
      </c>
      <c r="C3731" s="21" t="s">
        <v>5873</v>
      </c>
      <c r="D3731" s="21" t="s">
        <v>11</v>
      </c>
      <c r="E3731" s="21" t="s">
        <v>11</v>
      </c>
    </row>
    <row r="3732" spans="1:5" s="21" customFormat="1" ht="15.75" hidden="1" customHeight="1">
      <c r="A3732" s="21">
        <v>820150</v>
      </c>
      <c r="B3732" s="21" t="s">
        <v>3722</v>
      </c>
      <c r="C3732" s="21" t="s">
        <v>5873</v>
      </c>
      <c r="D3732" s="21" t="s">
        <v>11</v>
      </c>
      <c r="E3732" s="21" t="s">
        <v>11</v>
      </c>
    </row>
    <row r="3733" spans="1:5" s="21" customFormat="1" ht="15.75" hidden="1" customHeight="1">
      <c r="A3733" s="21">
        <v>820160</v>
      </c>
      <c r="B3733" s="21" t="s">
        <v>3723</v>
      </c>
      <c r="C3733" s="21" t="s">
        <v>5873</v>
      </c>
      <c r="D3733" s="21" t="s">
        <v>11</v>
      </c>
      <c r="E3733" s="21" t="s">
        <v>11</v>
      </c>
    </row>
    <row r="3734" spans="1:5" s="21" customFormat="1" ht="15.75" hidden="1" customHeight="1">
      <c r="A3734" s="21">
        <v>820190</v>
      </c>
      <c r="B3734" s="21" t="s">
        <v>3724</v>
      </c>
      <c r="C3734" s="21" t="s">
        <v>5873</v>
      </c>
      <c r="D3734" s="21" t="s">
        <v>11</v>
      </c>
      <c r="E3734" s="21" t="s">
        <v>11</v>
      </c>
    </row>
    <row r="3735" spans="1:5" s="21" customFormat="1" ht="15.75" hidden="1" customHeight="1">
      <c r="A3735" s="21">
        <v>820210</v>
      </c>
      <c r="B3735" s="21" t="s">
        <v>3725</v>
      </c>
      <c r="C3735" s="21" t="s">
        <v>5873</v>
      </c>
      <c r="D3735" s="21" t="s">
        <v>11</v>
      </c>
      <c r="E3735" s="21" t="s">
        <v>11</v>
      </c>
    </row>
    <row r="3736" spans="1:5" s="21" customFormat="1" ht="15.75" hidden="1" customHeight="1">
      <c r="A3736" s="21">
        <v>820220</v>
      </c>
      <c r="B3736" s="21" t="s">
        <v>3726</v>
      </c>
      <c r="C3736" s="21" t="s">
        <v>5873</v>
      </c>
      <c r="D3736" s="21" t="s">
        <v>11</v>
      </c>
      <c r="E3736" s="21" t="s">
        <v>11</v>
      </c>
    </row>
    <row r="3737" spans="1:5" s="21" customFormat="1" ht="15.75" hidden="1" customHeight="1">
      <c r="A3737" s="21">
        <v>820231</v>
      </c>
      <c r="B3737" s="21" t="s">
        <v>3727</v>
      </c>
      <c r="C3737" s="21" t="s">
        <v>5873</v>
      </c>
      <c r="D3737" s="21" t="s">
        <v>11</v>
      </c>
      <c r="E3737" s="21" t="s">
        <v>11</v>
      </c>
    </row>
    <row r="3738" spans="1:5" s="21" customFormat="1" ht="15.75" hidden="1" customHeight="1">
      <c r="A3738" s="21">
        <v>820239</v>
      </c>
      <c r="B3738" s="21" t="s">
        <v>3728</v>
      </c>
      <c r="C3738" s="21" t="s">
        <v>5873</v>
      </c>
      <c r="D3738" s="21" t="s">
        <v>11</v>
      </c>
      <c r="E3738" s="21" t="s">
        <v>11</v>
      </c>
    </row>
    <row r="3739" spans="1:5" s="21" customFormat="1" ht="15.75" hidden="1" customHeight="1">
      <c r="A3739" s="21">
        <v>820240</v>
      </c>
      <c r="B3739" s="21" t="s">
        <v>3729</v>
      </c>
      <c r="C3739" s="21" t="s">
        <v>5873</v>
      </c>
      <c r="D3739" s="21" t="s">
        <v>11</v>
      </c>
      <c r="E3739" s="21" t="s">
        <v>11</v>
      </c>
    </row>
    <row r="3740" spans="1:5" s="21" customFormat="1" ht="15.75" hidden="1" customHeight="1">
      <c r="A3740" s="21">
        <v>820291</v>
      </c>
      <c r="B3740" s="21" t="s">
        <v>3730</v>
      </c>
      <c r="C3740" s="21" t="s">
        <v>5873</v>
      </c>
      <c r="D3740" s="21" t="s">
        <v>11</v>
      </c>
      <c r="E3740" s="21" t="s">
        <v>11</v>
      </c>
    </row>
    <row r="3741" spans="1:5" s="21" customFormat="1" ht="15.75" hidden="1" customHeight="1">
      <c r="A3741" s="21">
        <v>820299</v>
      </c>
      <c r="B3741" s="21" t="s">
        <v>3731</v>
      </c>
      <c r="C3741" s="21" t="s">
        <v>5873</v>
      </c>
      <c r="D3741" s="21" t="s">
        <v>11</v>
      </c>
      <c r="E3741" s="21" t="s">
        <v>11</v>
      </c>
    </row>
    <row r="3742" spans="1:5" s="21" customFormat="1" ht="15.75" hidden="1" customHeight="1">
      <c r="A3742" s="21">
        <v>820310</v>
      </c>
      <c r="B3742" s="21" t="s">
        <v>3732</v>
      </c>
      <c r="C3742" s="21" t="s">
        <v>5873</v>
      </c>
      <c r="D3742" s="21" t="s">
        <v>11</v>
      </c>
      <c r="E3742" s="21" t="s">
        <v>11</v>
      </c>
    </row>
    <row r="3743" spans="1:5" s="21" customFormat="1" ht="15.75" hidden="1" customHeight="1">
      <c r="A3743" s="21">
        <v>820320</v>
      </c>
      <c r="B3743" s="21" t="s">
        <v>3733</v>
      </c>
      <c r="C3743" s="21" t="s">
        <v>5873</v>
      </c>
      <c r="D3743" s="21" t="s">
        <v>11</v>
      </c>
      <c r="E3743" s="21" t="s">
        <v>11</v>
      </c>
    </row>
    <row r="3744" spans="1:5" s="21" customFormat="1" ht="15.75" hidden="1" customHeight="1">
      <c r="A3744" s="21">
        <v>820330</v>
      </c>
      <c r="B3744" s="21" t="s">
        <v>3734</v>
      </c>
      <c r="C3744" s="21" t="s">
        <v>5873</v>
      </c>
      <c r="D3744" s="21" t="s">
        <v>11</v>
      </c>
      <c r="E3744" s="21" t="s">
        <v>11</v>
      </c>
    </row>
    <row r="3745" spans="1:5" s="21" customFormat="1" ht="15.75" hidden="1" customHeight="1">
      <c r="A3745" s="21">
        <v>820340</v>
      </c>
      <c r="B3745" s="21" t="s">
        <v>3735</v>
      </c>
      <c r="C3745" s="21" t="s">
        <v>5873</v>
      </c>
      <c r="D3745" s="21" t="s">
        <v>11</v>
      </c>
      <c r="E3745" s="21" t="s">
        <v>11</v>
      </c>
    </row>
    <row r="3746" spans="1:5" s="21" customFormat="1" ht="15.75" hidden="1" customHeight="1">
      <c r="A3746" s="21">
        <v>820411</v>
      </c>
      <c r="B3746" s="21" t="s">
        <v>3736</v>
      </c>
      <c r="C3746" s="21" t="s">
        <v>5873</v>
      </c>
      <c r="D3746" s="21" t="s">
        <v>11</v>
      </c>
      <c r="E3746" s="21" t="s">
        <v>11</v>
      </c>
    </row>
    <row r="3747" spans="1:5" s="21" customFormat="1" ht="15.75" hidden="1" customHeight="1">
      <c r="A3747" s="21">
        <v>820412</v>
      </c>
      <c r="B3747" s="21" t="s">
        <v>3737</v>
      </c>
      <c r="C3747" s="21" t="s">
        <v>5873</v>
      </c>
      <c r="D3747" s="21" t="s">
        <v>11</v>
      </c>
      <c r="E3747" s="21" t="s">
        <v>11</v>
      </c>
    </row>
    <row r="3748" spans="1:5" s="21" customFormat="1" ht="15.75" hidden="1" customHeight="1">
      <c r="A3748" s="21">
        <v>820420</v>
      </c>
      <c r="B3748" s="21" t="s">
        <v>3738</v>
      </c>
      <c r="C3748" s="21" t="s">
        <v>5873</v>
      </c>
      <c r="D3748" s="21" t="s">
        <v>11</v>
      </c>
      <c r="E3748" s="21" t="s">
        <v>11</v>
      </c>
    </row>
    <row r="3749" spans="1:5" s="21" customFormat="1" ht="15.75" hidden="1" customHeight="1">
      <c r="A3749" s="21">
        <v>820510</v>
      </c>
      <c r="B3749" s="21" t="s">
        <v>3739</v>
      </c>
      <c r="C3749" s="21" t="s">
        <v>5873</v>
      </c>
      <c r="D3749" s="21" t="s">
        <v>11</v>
      </c>
      <c r="E3749" s="21" t="s">
        <v>11</v>
      </c>
    </row>
    <row r="3750" spans="1:5" s="21" customFormat="1" ht="15.75" hidden="1" customHeight="1">
      <c r="A3750" s="21">
        <v>820520</v>
      </c>
      <c r="B3750" s="21" t="s">
        <v>3740</v>
      </c>
      <c r="C3750" s="21" t="s">
        <v>5873</v>
      </c>
      <c r="D3750" s="21" t="s">
        <v>11</v>
      </c>
      <c r="E3750" s="21" t="s">
        <v>11</v>
      </c>
    </row>
    <row r="3751" spans="1:5" s="21" customFormat="1" ht="15.75" hidden="1" customHeight="1">
      <c r="A3751" s="21">
        <v>820530</v>
      </c>
      <c r="B3751" s="21" t="s">
        <v>3741</v>
      </c>
      <c r="C3751" s="21" t="s">
        <v>5873</v>
      </c>
      <c r="D3751" s="21" t="s">
        <v>11</v>
      </c>
      <c r="E3751" s="21" t="s">
        <v>11</v>
      </c>
    </row>
    <row r="3752" spans="1:5" s="21" customFormat="1" ht="15.75" hidden="1" customHeight="1">
      <c r="A3752" s="21">
        <v>820540</v>
      </c>
      <c r="B3752" s="21" t="s">
        <v>3742</v>
      </c>
      <c r="C3752" s="21" t="s">
        <v>5873</v>
      </c>
      <c r="D3752" s="21" t="s">
        <v>11</v>
      </c>
      <c r="E3752" s="21" t="s">
        <v>11</v>
      </c>
    </row>
    <row r="3753" spans="1:5" s="21" customFormat="1" ht="15.75" hidden="1" customHeight="1">
      <c r="A3753" s="21">
        <v>820551</v>
      </c>
      <c r="B3753" s="21" t="s">
        <v>3743</v>
      </c>
      <c r="C3753" s="21" t="s">
        <v>5873</v>
      </c>
      <c r="D3753" s="21" t="s">
        <v>11</v>
      </c>
      <c r="E3753" s="21" t="s">
        <v>11</v>
      </c>
    </row>
    <row r="3754" spans="1:5" s="21" customFormat="1" ht="15.75" hidden="1" customHeight="1">
      <c r="A3754" s="21">
        <v>820559</v>
      </c>
      <c r="B3754" s="21" t="s">
        <v>3744</v>
      </c>
      <c r="C3754" s="21" t="s">
        <v>5873</v>
      </c>
      <c r="D3754" s="21" t="s">
        <v>11</v>
      </c>
      <c r="E3754" s="21" t="s">
        <v>11</v>
      </c>
    </row>
    <row r="3755" spans="1:5" s="21" customFormat="1" ht="15.75" hidden="1" customHeight="1">
      <c r="A3755" s="21">
        <v>820560</v>
      </c>
      <c r="B3755" s="21" t="s">
        <v>3745</v>
      </c>
      <c r="C3755" s="21" t="s">
        <v>5873</v>
      </c>
      <c r="D3755" s="21" t="s">
        <v>11</v>
      </c>
      <c r="E3755" s="21" t="s">
        <v>11</v>
      </c>
    </row>
    <row r="3756" spans="1:5" s="21" customFormat="1" ht="15.75" hidden="1" customHeight="1">
      <c r="A3756" s="21">
        <v>820570</v>
      </c>
      <c r="B3756" s="21" t="s">
        <v>3746</v>
      </c>
      <c r="C3756" s="21" t="s">
        <v>5873</v>
      </c>
      <c r="D3756" s="21" t="s">
        <v>11</v>
      </c>
      <c r="E3756" s="21" t="s">
        <v>11</v>
      </c>
    </row>
    <row r="3757" spans="1:5" s="21" customFormat="1" ht="15.75" hidden="1" customHeight="1">
      <c r="A3757" s="21">
        <v>820580</v>
      </c>
      <c r="B3757" s="21" t="s">
        <v>3747</v>
      </c>
      <c r="C3757" s="21" t="s">
        <v>5873</v>
      </c>
      <c r="D3757" s="21" t="s">
        <v>11</v>
      </c>
      <c r="E3757" s="21" t="s">
        <v>11</v>
      </c>
    </row>
    <row r="3758" spans="1:5" s="21" customFormat="1" ht="15.75" hidden="1" customHeight="1">
      <c r="A3758" s="21">
        <v>820590</v>
      </c>
      <c r="B3758" s="21" t="s">
        <v>3748</v>
      </c>
      <c r="C3758" s="21" t="s">
        <v>5873</v>
      </c>
      <c r="D3758" s="21" t="s">
        <v>11</v>
      </c>
      <c r="E3758" s="21" t="s">
        <v>11</v>
      </c>
    </row>
    <row r="3759" spans="1:5" s="21" customFormat="1" ht="15.75" hidden="1" customHeight="1">
      <c r="A3759" s="21">
        <v>820600</v>
      </c>
      <c r="B3759" s="21" t="s">
        <v>3749</v>
      </c>
      <c r="C3759" s="21" t="s">
        <v>5873</v>
      </c>
      <c r="D3759" s="21" t="s">
        <v>11</v>
      </c>
      <c r="E3759" s="21" t="s">
        <v>11</v>
      </c>
    </row>
    <row r="3760" spans="1:5" s="21" customFormat="1" ht="15.75" hidden="1" customHeight="1">
      <c r="A3760" s="21">
        <v>820713</v>
      </c>
      <c r="B3760" s="21" t="s">
        <v>3750</v>
      </c>
      <c r="C3760" s="21" t="s">
        <v>5874</v>
      </c>
      <c r="D3760" s="21" t="s">
        <v>11</v>
      </c>
      <c r="E3760" s="21" t="s">
        <v>11</v>
      </c>
    </row>
    <row r="3761" spans="1:5" s="21" customFormat="1" ht="15.75" hidden="1" customHeight="1">
      <c r="A3761" s="21">
        <v>820719</v>
      </c>
      <c r="B3761" s="21" t="s">
        <v>3751</v>
      </c>
      <c r="C3761" s="21" t="s">
        <v>5874</v>
      </c>
      <c r="D3761" s="21" t="s">
        <v>11</v>
      </c>
      <c r="E3761" s="21" t="s">
        <v>11</v>
      </c>
    </row>
    <row r="3762" spans="1:5" s="21" customFormat="1" ht="15.75" hidden="1" customHeight="1">
      <c r="A3762" s="21">
        <v>820720</v>
      </c>
      <c r="B3762" s="21" t="s">
        <v>3752</v>
      </c>
      <c r="C3762" s="21" t="s">
        <v>5874</v>
      </c>
      <c r="D3762" s="21" t="s">
        <v>11</v>
      </c>
      <c r="E3762" s="21" t="s">
        <v>11</v>
      </c>
    </row>
    <row r="3763" spans="1:5" s="21" customFormat="1" ht="15.75" hidden="1" customHeight="1">
      <c r="A3763" s="21">
        <v>820730</v>
      </c>
      <c r="B3763" s="21" t="s">
        <v>3753</v>
      </c>
      <c r="C3763" s="21" t="s">
        <v>5874</v>
      </c>
      <c r="D3763" s="21" t="s">
        <v>11</v>
      </c>
      <c r="E3763" s="21" t="s">
        <v>11</v>
      </c>
    </row>
    <row r="3764" spans="1:5" s="21" customFormat="1" ht="15.75" hidden="1" customHeight="1">
      <c r="A3764" s="21">
        <v>820740</v>
      </c>
      <c r="B3764" s="21" t="s">
        <v>3754</v>
      </c>
      <c r="C3764" s="21" t="s">
        <v>5874</v>
      </c>
      <c r="D3764" s="21" t="s">
        <v>11</v>
      </c>
      <c r="E3764" s="21" t="s">
        <v>11</v>
      </c>
    </row>
    <row r="3765" spans="1:5" s="21" customFormat="1" ht="15.75" hidden="1" customHeight="1">
      <c r="A3765" s="21">
        <v>820750</v>
      </c>
      <c r="B3765" s="21" t="s">
        <v>3755</v>
      </c>
      <c r="C3765" s="21" t="s">
        <v>5874</v>
      </c>
      <c r="D3765" s="21" t="s">
        <v>11</v>
      </c>
      <c r="E3765" s="21" t="s">
        <v>11</v>
      </c>
    </row>
    <row r="3766" spans="1:5" s="21" customFormat="1" ht="15.75" hidden="1" customHeight="1">
      <c r="A3766" s="21">
        <v>820760</v>
      </c>
      <c r="B3766" s="21" t="s">
        <v>3756</v>
      </c>
      <c r="C3766" s="21" t="s">
        <v>5874</v>
      </c>
      <c r="D3766" s="21" t="s">
        <v>11</v>
      </c>
      <c r="E3766" s="21" t="s">
        <v>11</v>
      </c>
    </row>
    <row r="3767" spans="1:5" s="21" customFormat="1" ht="15.75" hidden="1" customHeight="1">
      <c r="A3767" s="21">
        <v>820770</v>
      </c>
      <c r="B3767" s="21" t="s">
        <v>3757</v>
      </c>
      <c r="C3767" s="21" t="s">
        <v>5874</v>
      </c>
      <c r="D3767" s="21" t="s">
        <v>11</v>
      </c>
      <c r="E3767" s="21" t="s">
        <v>11</v>
      </c>
    </row>
    <row r="3768" spans="1:5" s="21" customFormat="1" ht="15.75" hidden="1" customHeight="1">
      <c r="A3768" s="21">
        <v>820780</v>
      </c>
      <c r="B3768" s="21" t="s">
        <v>3758</v>
      </c>
      <c r="C3768" s="21" t="s">
        <v>5874</v>
      </c>
      <c r="D3768" s="21" t="s">
        <v>11</v>
      </c>
      <c r="E3768" s="21" t="s">
        <v>11</v>
      </c>
    </row>
    <row r="3769" spans="1:5" s="21" customFormat="1" ht="15.75" hidden="1" customHeight="1">
      <c r="A3769" s="21">
        <v>820790</v>
      </c>
      <c r="B3769" s="21" t="s">
        <v>3759</v>
      </c>
      <c r="C3769" s="21" t="s">
        <v>5874</v>
      </c>
      <c r="D3769" s="21" t="s">
        <v>11</v>
      </c>
      <c r="E3769" s="21" t="s">
        <v>11</v>
      </c>
    </row>
    <row r="3770" spans="1:5" s="21" customFormat="1" ht="15.75" hidden="1" customHeight="1">
      <c r="A3770" s="21">
        <v>820810</v>
      </c>
      <c r="B3770" s="21" t="s">
        <v>3760</v>
      </c>
      <c r="C3770" s="21" t="s">
        <v>5875</v>
      </c>
      <c r="D3770" s="21" t="s">
        <v>11</v>
      </c>
      <c r="E3770" s="21" t="s">
        <v>11</v>
      </c>
    </row>
    <row r="3771" spans="1:5" s="21" customFormat="1" ht="15.75" hidden="1" customHeight="1">
      <c r="A3771" s="21">
        <v>820820</v>
      </c>
      <c r="B3771" s="21" t="s">
        <v>3761</v>
      </c>
      <c r="C3771" s="21" t="s">
        <v>5875</v>
      </c>
      <c r="D3771" s="21" t="s">
        <v>11</v>
      </c>
      <c r="E3771" s="21" t="s">
        <v>11</v>
      </c>
    </row>
    <row r="3772" spans="1:5" s="21" customFormat="1" ht="15.75" hidden="1" customHeight="1">
      <c r="A3772" s="21">
        <v>820830</v>
      </c>
      <c r="B3772" s="21" t="s">
        <v>3762</v>
      </c>
      <c r="C3772" s="21" t="s">
        <v>5875</v>
      </c>
      <c r="D3772" s="21" t="s">
        <v>11</v>
      </c>
      <c r="E3772" s="21" t="s">
        <v>11</v>
      </c>
    </row>
    <row r="3773" spans="1:5" s="21" customFormat="1" ht="15.75" hidden="1" customHeight="1">
      <c r="A3773" s="21">
        <v>820840</v>
      </c>
      <c r="B3773" s="21" t="s">
        <v>3763</v>
      </c>
      <c r="C3773" s="21" t="s">
        <v>5875</v>
      </c>
      <c r="D3773" s="21" t="s">
        <v>11</v>
      </c>
      <c r="E3773" s="21" t="s">
        <v>11</v>
      </c>
    </row>
    <row r="3774" spans="1:5" s="21" customFormat="1" ht="15.75" hidden="1" customHeight="1">
      <c r="A3774" s="21">
        <v>820890</v>
      </c>
      <c r="B3774" s="21" t="s">
        <v>3764</v>
      </c>
      <c r="C3774" s="21" t="s">
        <v>5875</v>
      </c>
      <c r="D3774" s="21" t="s">
        <v>11</v>
      </c>
      <c r="E3774" s="21" t="s">
        <v>11</v>
      </c>
    </row>
    <row r="3775" spans="1:5" s="21" customFormat="1" ht="15.75" hidden="1" customHeight="1">
      <c r="A3775" s="21">
        <v>820900</v>
      </c>
      <c r="B3775" s="21" t="s">
        <v>3765</v>
      </c>
      <c r="C3775" s="21" t="s">
        <v>5875</v>
      </c>
      <c r="D3775" s="21" t="s">
        <v>11</v>
      </c>
      <c r="E3775" s="21" t="s">
        <v>11</v>
      </c>
    </row>
    <row r="3776" spans="1:5" s="21" customFormat="1" ht="15.75" hidden="1" customHeight="1">
      <c r="A3776" s="21">
        <v>821000</v>
      </c>
      <c r="B3776" s="21" t="s">
        <v>3766</v>
      </c>
      <c r="C3776" s="21" t="s">
        <v>5875</v>
      </c>
      <c r="D3776" s="21" t="s">
        <v>11</v>
      </c>
      <c r="E3776" s="21" t="s">
        <v>11</v>
      </c>
    </row>
    <row r="3777" spans="1:5" s="21" customFormat="1" ht="15.75" hidden="1" customHeight="1">
      <c r="A3777" s="21">
        <v>821110</v>
      </c>
      <c r="B3777" s="21" t="s">
        <v>3767</v>
      </c>
      <c r="C3777" s="21" t="s">
        <v>5876</v>
      </c>
      <c r="D3777" s="21" t="s">
        <v>11</v>
      </c>
      <c r="E3777" s="21" t="s">
        <v>11</v>
      </c>
    </row>
    <row r="3778" spans="1:5" s="21" customFormat="1" ht="15.75" hidden="1" customHeight="1">
      <c r="A3778" s="21">
        <v>821191</v>
      </c>
      <c r="B3778" s="21" t="s">
        <v>3768</v>
      </c>
      <c r="C3778" s="21" t="s">
        <v>5876</v>
      </c>
      <c r="D3778" s="21" t="s">
        <v>11</v>
      </c>
      <c r="E3778" s="21" t="s">
        <v>11</v>
      </c>
    </row>
    <row r="3779" spans="1:5" s="21" customFormat="1" ht="15.75" hidden="1" customHeight="1">
      <c r="A3779" s="21">
        <v>821192</v>
      </c>
      <c r="B3779" s="21" t="s">
        <v>3769</v>
      </c>
      <c r="C3779" s="21" t="s">
        <v>5876</v>
      </c>
      <c r="D3779" s="21" t="s">
        <v>11</v>
      </c>
      <c r="E3779" s="21" t="s">
        <v>11</v>
      </c>
    </row>
    <row r="3780" spans="1:5" s="21" customFormat="1" ht="15.75" hidden="1" customHeight="1">
      <c r="A3780" s="21">
        <v>821193</v>
      </c>
      <c r="B3780" s="21" t="s">
        <v>3770</v>
      </c>
      <c r="C3780" s="21" t="s">
        <v>5876</v>
      </c>
      <c r="D3780" s="21" t="s">
        <v>11</v>
      </c>
      <c r="E3780" s="21" t="s">
        <v>11</v>
      </c>
    </row>
    <row r="3781" spans="1:5" s="21" customFormat="1" ht="15.75" hidden="1" customHeight="1">
      <c r="A3781" s="21">
        <v>821194</v>
      </c>
      <c r="B3781" s="21" t="s">
        <v>3771</v>
      </c>
      <c r="C3781" s="21" t="s">
        <v>5877</v>
      </c>
      <c r="D3781" s="21" t="s">
        <v>11</v>
      </c>
      <c r="E3781" s="21" t="s">
        <v>11</v>
      </c>
    </row>
    <row r="3782" spans="1:5" s="21" customFormat="1" ht="15.75" hidden="1" customHeight="1">
      <c r="A3782" s="21">
        <v>821195</v>
      </c>
      <c r="B3782" s="21" t="s">
        <v>3772</v>
      </c>
      <c r="C3782" s="21" t="s">
        <v>5876</v>
      </c>
      <c r="D3782" s="21" t="s">
        <v>11</v>
      </c>
      <c r="E3782" s="21" t="s">
        <v>11</v>
      </c>
    </row>
    <row r="3783" spans="1:5" s="21" customFormat="1" ht="15.75" hidden="1" customHeight="1">
      <c r="A3783" s="21">
        <v>821210</v>
      </c>
      <c r="B3783" s="21" t="s">
        <v>3773</v>
      </c>
      <c r="C3783" s="21" t="s">
        <v>3773</v>
      </c>
      <c r="D3783" s="21" t="s">
        <v>11</v>
      </c>
      <c r="E3783" s="21" t="s">
        <v>11</v>
      </c>
    </row>
    <row r="3784" spans="1:5" s="21" customFormat="1" ht="15.75" hidden="1" customHeight="1">
      <c r="A3784" s="21">
        <v>821220</v>
      </c>
      <c r="B3784" s="21" t="s">
        <v>3774</v>
      </c>
      <c r="C3784" s="21" t="s">
        <v>3773</v>
      </c>
      <c r="D3784" s="21" t="s">
        <v>11</v>
      </c>
      <c r="E3784" s="21" t="s">
        <v>11</v>
      </c>
    </row>
    <row r="3785" spans="1:5" s="21" customFormat="1" ht="15.75" hidden="1" customHeight="1">
      <c r="A3785" s="21">
        <v>821290</v>
      </c>
      <c r="B3785" s="21" t="s">
        <v>3775</v>
      </c>
      <c r="C3785" s="21" t="s">
        <v>3773</v>
      </c>
      <c r="D3785" s="21" t="s">
        <v>11</v>
      </c>
      <c r="E3785" s="21" t="s">
        <v>11</v>
      </c>
    </row>
    <row r="3786" spans="1:5" s="21" customFormat="1" ht="15.75" hidden="1" customHeight="1">
      <c r="A3786" s="21">
        <v>821300</v>
      </c>
      <c r="B3786" s="21" t="s">
        <v>3776</v>
      </c>
      <c r="C3786" s="21" t="s">
        <v>5878</v>
      </c>
      <c r="D3786" s="21" t="s">
        <v>11</v>
      </c>
      <c r="E3786" s="21" t="s">
        <v>11</v>
      </c>
    </row>
    <row r="3787" spans="1:5" s="21" customFormat="1" ht="15.75" hidden="1" customHeight="1">
      <c r="A3787" s="21">
        <v>821410</v>
      </c>
      <c r="B3787" s="21" t="s">
        <v>3777</v>
      </c>
      <c r="C3787" s="21" t="s">
        <v>5879</v>
      </c>
      <c r="D3787" s="21" t="s">
        <v>11</v>
      </c>
      <c r="E3787" s="21" t="s">
        <v>11</v>
      </c>
    </row>
    <row r="3788" spans="1:5" s="21" customFormat="1" ht="15.75" hidden="1" customHeight="1">
      <c r="A3788" s="21">
        <v>821420</v>
      </c>
      <c r="B3788" s="21" t="s">
        <v>3778</v>
      </c>
      <c r="C3788" s="21" t="s">
        <v>5880</v>
      </c>
      <c r="D3788" s="21" t="s">
        <v>11</v>
      </c>
      <c r="E3788" s="21" t="s">
        <v>11</v>
      </c>
    </row>
    <row r="3789" spans="1:5" s="21" customFormat="1" ht="15.75" hidden="1" customHeight="1">
      <c r="A3789" s="21">
        <v>821490</v>
      </c>
      <c r="B3789" s="21" t="s">
        <v>3779</v>
      </c>
      <c r="C3789" s="21" t="s">
        <v>5879</v>
      </c>
      <c r="D3789" s="21" t="s">
        <v>11</v>
      </c>
      <c r="E3789" s="21" t="s">
        <v>11</v>
      </c>
    </row>
    <row r="3790" spans="1:5" s="21" customFormat="1" ht="15.75" hidden="1" customHeight="1">
      <c r="A3790" s="21">
        <v>821510</v>
      </c>
      <c r="B3790" s="21" t="s">
        <v>3780</v>
      </c>
      <c r="C3790" s="21" t="s">
        <v>5879</v>
      </c>
      <c r="D3790" s="21" t="s">
        <v>11</v>
      </c>
      <c r="E3790" s="21" t="s">
        <v>11</v>
      </c>
    </row>
    <row r="3791" spans="1:5" s="21" customFormat="1" ht="15.75" hidden="1" customHeight="1">
      <c r="A3791" s="21">
        <v>821520</v>
      </c>
      <c r="B3791" s="21" t="s">
        <v>3781</v>
      </c>
      <c r="C3791" s="21" t="s">
        <v>5879</v>
      </c>
      <c r="D3791" s="21" t="s">
        <v>11</v>
      </c>
      <c r="E3791" s="21" t="s">
        <v>11</v>
      </c>
    </row>
    <row r="3792" spans="1:5" s="21" customFormat="1" ht="15.75" hidden="1" customHeight="1">
      <c r="A3792" s="21">
        <v>821591</v>
      </c>
      <c r="B3792" s="21" t="s">
        <v>3782</v>
      </c>
      <c r="C3792" s="21" t="s">
        <v>5879</v>
      </c>
      <c r="D3792" s="21" t="s">
        <v>11</v>
      </c>
      <c r="E3792" s="21" t="s">
        <v>11</v>
      </c>
    </row>
    <row r="3793" spans="1:5" s="21" customFormat="1" ht="15.75" hidden="1" customHeight="1">
      <c r="A3793" s="21">
        <v>821599</v>
      </c>
      <c r="B3793" s="21" t="s">
        <v>3783</v>
      </c>
      <c r="C3793" s="21" t="s">
        <v>5879</v>
      </c>
      <c r="D3793" s="21" t="s">
        <v>11</v>
      </c>
      <c r="E3793" s="21" t="s">
        <v>11</v>
      </c>
    </row>
    <row r="3794" spans="1:5" s="21" customFormat="1" ht="15.75" hidden="1" customHeight="1">
      <c r="A3794" s="21">
        <v>830110</v>
      </c>
      <c r="B3794" s="21" t="s">
        <v>3784</v>
      </c>
      <c r="C3794" s="21" t="s">
        <v>5881</v>
      </c>
      <c r="D3794" s="21" t="s">
        <v>11</v>
      </c>
      <c r="E3794" s="21" t="s">
        <v>11</v>
      </c>
    </row>
    <row r="3795" spans="1:5" s="21" customFormat="1" ht="15.75" hidden="1" customHeight="1">
      <c r="A3795" s="21">
        <v>830120</v>
      </c>
      <c r="B3795" s="21" t="s">
        <v>3785</v>
      </c>
      <c r="C3795" s="21" t="s">
        <v>5882</v>
      </c>
      <c r="D3795" s="21" t="s">
        <v>11</v>
      </c>
      <c r="E3795" s="21" t="s">
        <v>11</v>
      </c>
    </row>
    <row r="3796" spans="1:5" s="21" customFormat="1" ht="15.75" hidden="1" customHeight="1">
      <c r="A3796" s="21">
        <v>830130</v>
      </c>
      <c r="B3796" s="21" t="s">
        <v>3786</v>
      </c>
      <c r="C3796" s="21" t="s">
        <v>5882</v>
      </c>
      <c r="D3796" s="21" t="s">
        <v>11</v>
      </c>
      <c r="E3796" s="21" t="s">
        <v>11</v>
      </c>
    </row>
    <row r="3797" spans="1:5" s="21" customFormat="1" ht="15.75" hidden="1" customHeight="1">
      <c r="A3797" s="21">
        <v>830140</v>
      </c>
      <c r="B3797" s="21" t="s">
        <v>3787</v>
      </c>
      <c r="C3797" s="21" t="s">
        <v>5882</v>
      </c>
      <c r="D3797" s="21" t="s">
        <v>11</v>
      </c>
      <c r="E3797" s="21" t="s">
        <v>11</v>
      </c>
    </row>
    <row r="3798" spans="1:5" s="21" customFormat="1" ht="15.75" hidden="1" customHeight="1">
      <c r="A3798" s="21">
        <v>830150</v>
      </c>
      <c r="B3798" s="21" t="s">
        <v>3788</v>
      </c>
      <c r="C3798" s="21" t="s">
        <v>5883</v>
      </c>
      <c r="D3798" s="21" t="s">
        <v>11</v>
      </c>
      <c r="E3798" s="21" t="s">
        <v>11</v>
      </c>
    </row>
    <row r="3799" spans="1:5" s="21" customFormat="1" ht="15.75" hidden="1" customHeight="1">
      <c r="A3799" s="21">
        <v>830160</v>
      </c>
      <c r="B3799" s="21" t="s">
        <v>3789</v>
      </c>
      <c r="C3799" s="21" t="s">
        <v>5882</v>
      </c>
      <c r="D3799" s="21" t="s">
        <v>11</v>
      </c>
      <c r="E3799" s="21" t="s">
        <v>11</v>
      </c>
    </row>
    <row r="3800" spans="1:5" s="21" customFormat="1" ht="15.75" hidden="1" customHeight="1">
      <c r="A3800" s="21">
        <v>830170</v>
      </c>
      <c r="B3800" s="21" t="s">
        <v>3790</v>
      </c>
      <c r="C3800" s="21" t="s">
        <v>5884</v>
      </c>
      <c r="D3800" s="21" t="s">
        <v>11</v>
      </c>
      <c r="E3800" s="21" t="s">
        <v>11</v>
      </c>
    </row>
    <row r="3801" spans="1:5" s="21" customFormat="1" ht="15.75" hidden="1" customHeight="1">
      <c r="A3801" s="21">
        <v>830210</v>
      </c>
      <c r="B3801" s="21" t="s">
        <v>3791</v>
      </c>
      <c r="C3801" s="21" t="s">
        <v>5885</v>
      </c>
      <c r="D3801" s="21" t="s">
        <v>11</v>
      </c>
      <c r="E3801" s="21" t="s">
        <v>11</v>
      </c>
    </row>
    <row r="3802" spans="1:5" s="21" customFormat="1" ht="15.75" hidden="1" customHeight="1">
      <c r="A3802" s="21">
        <v>830220</v>
      </c>
      <c r="B3802" s="21" t="s">
        <v>3792</v>
      </c>
      <c r="C3802" s="21" t="s">
        <v>5886</v>
      </c>
      <c r="D3802" s="21" t="s">
        <v>11</v>
      </c>
      <c r="E3802" s="21" t="s">
        <v>11</v>
      </c>
    </row>
    <row r="3803" spans="1:5" s="21" customFormat="1" ht="15.75" hidden="1" customHeight="1">
      <c r="A3803" s="21">
        <v>830230</v>
      </c>
      <c r="B3803" s="21" t="s">
        <v>3793</v>
      </c>
      <c r="C3803" s="21" t="s">
        <v>5887</v>
      </c>
      <c r="D3803" s="21" t="s">
        <v>11</v>
      </c>
      <c r="E3803" s="21" t="s">
        <v>11</v>
      </c>
    </row>
    <row r="3804" spans="1:5" s="21" customFormat="1" ht="15.75" hidden="1" customHeight="1">
      <c r="A3804" s="21">
        <v>830241</v>
      </c>
      <c r="B3804" s="21" t="s">
        <v>3794</v>
      </c>
      <c r="C3804" s="21" t="s">
        <v>5887</v>
      </c>
      <c r="D3804" s="21" t="s">
        <v>11</v>
      </c>
      <c r="E3804" s="21" t="s">
        <v>11</v>
      </c>
    </row>
    <row r="3805" spans="1:5" s="21" customFormat="1" ht="15.75" hidden="1" customHeight="1">
      <c r="A3805" s="21">
        <v>830242</v>
      </c>
      <c r="B3805" s="21" t="s">
        <v>3795</v>
      </c>
      <c r="C3805" s="21" t="s">
        <v>5887</v>
      </c>
      <c r="D3805" s="21" t="s">
        <v>11</v>
      </c>
      <c r="E3805" s="21" t="s">
        <v>11</v>
      </c>
    </row>
    <row r="3806" spans="1:5" s="21" customFormat="1" ht="15.75" hidden="1" customHeight="1">
      <c r="A3806" s="21">
        <v>830249</v>
      </c>
      <c r="B3806" s="21" t="s">
        <v>3796</v>
      </c>
      <c r="C3806" s="21" t="s">
        <v>5887</v>
      </c>
      <c r="D3806" s="21" t="s">
        <v>11</v>
      </c>
      <c r="E3806" s="21" t="s">
        <v>11</v>
      </c>
    </row>
    <row r="3807" spans="1:5" s="21" customFormat="1" ht="15.75" hidden="1" customHeight="1">
      <c r="A3807" s="21">
        <v>830250</v>
      </c>
      <c r="B3807" s="21" t="s">
        <v>3797</v>
      </c>
      <c r="C3807" s="21" t="s">
        <v>3797</v>
      </c>
      <c r="D3807" s="21" t="s">
        <v>11</v>
      </c>
      <c r="E3807" s="21" t="s">
        <v>11</v>
      </c>
    </row>
    <row r="3808" spans="1:5" s="21" customFormat="1" ht="15.75" hidden="1" customHeight="1">
      <c r="A3808" s="21">
        <v>830260</v>
      </c>
      <c r="B3808" s="21" t="s">
        <v>3798</v>
      </c>
      <c r="C3808" s="21" t="s">
        <v>5888</v>
      </c>
      <c r="D3808" s="21" t="s">
        <v>11</v>
      </c>
      <c r="E3808" s="21" t="s">
        <v>11</v>
      </c>
    </row>
    <row r="3809" spans="1:5" s="21" customFormat="1" ht="15.75" hidden="1" customHeight="1">
      <c r="A3809" s="21">
        <v>830300</v>
      </c>
      <c r="B3809" s="21" t="s">
        <v>3799</v>
      </c>
      <c r="C3809" s="21" t="s">
        <v>5889</v>
      </c>
      <c r="D3809" s="21" t="s">
        <v>11</v>
      </c>
      <c r="E3809" s="21" t="s">
        <v>11</v>
      </c>
    </row>
    <row r="3810" spans="1:5" s="21" customFormat="1" ht="15.75" hidden="1" customHeight="1">
      <c r="A3810" s="21">
        <v>830400</v>
      </c>
      <c r="B3810" s="21" t="s">
        <v>3800</v>
      </c>
      <c r="C3810" s="21" t="s">
        <v>5890</v>
      </c>
      <c r="D3810" s="21" t="s">
        <v>11</v>
      </c>
      <c r="E3810" s="21" t="s">
        <v>11</v>
      </c>
    </row>
    <row r="3811" spans="1:5" s="21" customFormat="1" ht="15.75" hidden="1" customHeight="1">
      <c r="A3811" s="21">
        <v>830510</v>
      </c>
      <c r="B3811" s="21" t="s">
        <v>3801</v>
      </c>
      <c r="C3811" s="21" t="s">
        <v>5891</v>
      </c>
      <c r="D3811" s="21" t="s">
        <v>11</v>
      </c>
      <c r="E3811" s="21" t="s">
        <v>11</v>
      </c>
    </row>
    <row r="3812" spans="1:5" s="21" customFormat="1" ht="15.75" hidden="1" customHeight="1">
      <c r="A3812" s="21">
        <v>830520</v>
      </c>
      <c r="B3812" s="21" t="s">
        <v>3802</v>
      </c>
      <c r="C3812" s="21" t="s">
        <v>5891</v>
      </c>
      <c r="D3812" s="21" t="s">
        <v>11</v>
      </c>
      <c r="E3812" s="21" t="s">
        <v>11</v>
      </c>
    </row>
    <row r="3813" spans="1:5" s="21" customFormat="1" ht="15.75" hidden="1" customHeight="1">
      <c r="A3813" s="21">
        <v>830590</v>
      </c>
      <c r="B3813" s="21" t="s">
        <v>3803</v>
      </c>
      <c r="C3813" s="21" t="s">
        <v>5891</v>
      </c>
      <c r="D3813" s="21" t="s">
        <v>11</v>
      </c>
      <c r="E3813" s="21" t="s">
        <v>11</v>
      </c>
    </row>
    <row r="3814" spans="1:5" s="21" customFormat="1" ht="15.75" hidden="1" customHeight="1">
      <c r="A3814" s="21">
        <v>830610</v>
      </c>
      <c r="B3814" s="21" t="s">
        <v>3804</v>
      </c>
      <c r="C3814" s="21" t="s">
        <v>5892</v>
      </c>
      <c r="D3814" s="21" t="s">
        <v>11</v>
      </c>
      <c r="E3814" s="21" t="s">
        <v>11</v>
      </c>
    </row>
    <row r="3815" spans="1:5" s="21" customFormat="1" ht="15.75" hidden="1" customHeight="1">
      <c r="A3815" s="21">
        <v>830621</v>
      </c>
      <c r="B3815" s="21" t="s">
        <v>3805</v>
      </c>
      <c r="C3815" s="21" t="s">
        <v>5893</v>
      </c>
      <c r="D3815" s="21" t="s">
        <v>11</v>
      </c>
      <c r="E3815" s="21" t="s">
        <v>11</v>
      </c>
    </row>
    <row r="3816" spans="1:5" s="21" customFormat="1" ht="15.75" hidden="1" customHeight="1">
      <c r="A3816" s="21">
        <v>830629</v>
      </c>
      <c r="B3816" s="21" t="s">
        <v>3806</v>
      </c>
      <c r="C3816" s="21" t="s">
        <v>5893</v>
      </c>
      <c r="D3816" s="21" t="s">
        <v>11</v>
      </c>
      <c r="E3816" s="21" t="s">
        <v>11</v>
      </c>
    </row>
    <row r="3817" spans="1:5" s="21" customFormat="1" ht="15.75" hidden="1" customHeight="1">
      <c r="A3817" s="21">
        <v>830630</v>
      </c>
      <c r="B3817" s="21" t="s">
        <v>3807</v>
      </c>
      <c r="C3817" s="21" t="s">
        <v>5894</v>
      </c>
      <c r="D3817" s="21" t="s">
        <v>11</v>
      </c>
      <c r="E3817" s="21" t="s">
        <v>11</v>
      </c>
    </row>
    <row r="3818" spans="1:5" s="21" customFormat="1" ht="15.75" hidden="1" customHeight="1">
      <c r="A3818" s="21">
        <v>830710</v>
      </c>
      <c r="B3818" s="21" t="s">
        <v>3808</v>
      </c>
      <c r="C3818" s="21" t="s">
        <v>5895</v>
      </c>
      <c r="D3818" s="21" t="s">
        <v>11</v>
      </c>
      <c r="E3818" s="21" t="s">
        <v>11</v>
      </c>
    </row>
    <row r="3819" spans="1:5" s="21" customFormat="1" ht="15.75" hidden="1" customHeight="1">
      <c r="A3819" s="21">
        <v>830790</v>
      </c>
      <c r="B3819" s="21" t="s">
        <v>3809</v>
      </c>
      <c r="C3819" s="21" t="s">
        <v>5895</v>
      </c>
      <c r="D3819" s="21" t="s">
        <v>11</v>
      </c>
      <c r="E3819" s="21" t="s">
        <v>11</v>
      </c>
    </row>
    <row r="3820" spans="1:5" s="21" customFormat="1" ht="15.75" hidden="1" customHeight="1">
      <c r="A3820" s="21">
        <v>830810</v>
      </c>
      <c r="B3820" s="21" t="s">
        <v>3810</v>
      </c>
      <c r="C3820" s="21" t="s">
        <v>5896</v>
      </c>
      <c r="D3820" s="21" t="s">
        <v>11</v>
      </c>
      <c r="E3820" s="21" t="s">
        <v>11</v>
      </c>
    </row>
    <row r="3821" spans="1:5" s="21" customFormat="1" ht="15.75" hidden="1" customHeight="1">
      <c r="A3821" s="21">
        <v>830820</v>
      </c>
      <c r="B3821" s="21" t="s">
        <v>3811</v>
      </c>
      <c r="C3821" s="21" t="s">
        <v>5897</v>
      </c>
      <c r="D3821" s="21" t="s">
        <v>11</v>
      </c>
      <c r="E3821" s="21" t="s">
        <v>11</v>
      </c>
    </row>
    <row r="3822" spans="1:5" s="21" customFormat="1" ht="15.75" hidden="1" customHeight="1">
      <c r="A3822" s="21">
        <v>830890</v>
      </c>
      <c r="B3822" s="21" t="s">
        <v>3812</v>
      </c>
      <c r="C3822" s="21" t="s">
        <v>5898</v>
      </c>
      <c r="D3822" s="21" t="s">
        <v>11</v>
      </c>
      <c r="E3822" s="21" t="s">
        <v>11</v>
      </c>
    </row>
    <row r="3823" spans="1:5" s="21" customFormat="1" ht="15.75" hidden="1" customHeight="1">
      <c r="A3823" s="21">
        <v>830910</v>
      </c>
      <c r="B3823" s="21" t="s">
        <v>3813</v>
      </c>
      <c r="C3823" s="21" t="s">
        <v>5899</v>
      </c>
      <c r="D3823" s="21" t="s">
        <v>11</v>
      </c>
      <c r="E3823" s="21" t="s">
        <v>11</v>
      </c>
    </row>
    <row r="3824" spans="1:5" s="21" customFormat="1" ht="15.75" hidden="1" customHeight="1">
      <c r="A3824" s="21">
        <v>830990</v>
      </c>
      <c r="B3824" s="21" t="s">
        <v>3814</v>
      </c>
      <c r="C3824" s="21" t="s">
        <v>5899</v>
      </c>
      <c r="D3824" s="21" t="s">
        <v>11</v>
      </c>
      <c r="E3824" s="21" t="s">
        <v>11</v>
      </c>
    </row>
    <row r="3825" spans="1:5" s="21" customFormat="1" ht="15.75" hidden="1" customHeight="1">
      <c r="A3825" s="21">
        <v>831000</v>
      </c>
      <c r="B3825" s="21" t="s">
        <v>3815</v>
      </c>
      <c r="C3825" s="21" t="s">
        <v>5900</v>
      </c>
      <c r="D3825" s="21" t="s">
        <v>11</v>
      </c>
      <c r="E3825" s="21" t="s">
        <v>11</v>
      </c>
    </row>
    <row r="3826" spans="1:5" s="21" customFormat="1" ht="15.75" hidden="1" customHeight="1">
      <c r="A3826" s="21">
        <v>831110</v>
      </c>
      <c r="B3826" s="21" t="s">
        <v>3816</v>
      </c>
      <c r="C3826" s="21" t="s">
        <v>5901</v>
      </c>
      <c r="D3826" s="21" t="s">
        <v>11</v>
      </c>
      <c r="E3826" s="21" t="s">
        <v>11</v>
      </c>
    </row>
    <row r="3827" spans="1:5" s="21" customFormat="1" ht="15.75" hidden="1" customHeight="1">
      <c r="A3827" s="21">
        <v>831120</v>
      </c>
      <c r="B3827" s="21" t="s">
        <v>3817</v>
      </c>
      <c r="C3827" s="21" t="s">
        <v>5902</v>
      </c>
      <c r="D3827" s="21" t="s">
        <v>11</v>
      </c>
      <c r="E3827" s="21" t="s">
        <v>11</v>
      </c>
    </row>
    <row r="3828" spans="1:5" s="21" customFormat="1" ht="15.75" hidden="1" customHeight="1">
      <c r="A3828" s="21">
        <v>831130</v>
      </c>
      <c r="B3828" s="21" t="s">
        <v>3818</v>
      </c>
      <c r="C3828" s="21" t="s">
        <v>5903</v>
      </c>
      <c r="D3828" s="21" t="s">
        <v>11</v>
      </c>
      <c r="E3828" s="21" t="s">
        <v>11</v>
      </c>
    </row>
    <row r="3829" spans="1:5" s="21" customFormat="1" ht="15.75" hidden="1" customHeight="1">
      <c r="A3829" s="21">
        <v>831190</v>
      </c>
      <c r="B3829" s="21" t="s">
        <v>3819</v>
      </c>
      <c r="C3829" s="21" t="s">
        <v>5904</v>
      </c>
      <c r="D3829" s="21" t="s">
        <v>11</v>
      </c>
      <c r="E3829" s="21" t="s">
        <v>11</v>
      </c>
    </row>
    <row r="3830" spans="1:5" s="21" customFormat="1" ht="15.75" hidden="1" customHeight="1">
      <c r="A3830" s="21">
        <v>840110</v>
      </c>
      <c r="B3830" s="21" t="s">
        <v>3820</v>
      </c>
      <c r="C3830" s="21" t="s">
        <v>3820</v>
      </c>
      <c r="D3830" s="21" t="s">
        <v>11</v>
      </c>
      <c r="E3830" s="21" t="s">
        <v>11</v>
      </c>
    </row>
    <row r="3831" spans="1:5" s="21" customFormat="1" ht="15.75" hidden="1" customHeight="1">
      <c r="A3831" s="21">
        <v>840120</v>
      </c>
      <c r="B3831" s="21" t="s">
        <v>3821</v>
      </c>
      <c r="C3831" s="21" t="s">
        <v>5905</v>
      </c>
      <c r="D3831" s="21" t="s">
        <v>11</v>
      </c>
      <c r="E3831" s="21" t="s">
        <v>11</v>
      </c>
    </row>
    <row r="3832" spans="1:5" s="21" customFormat="1" ht="15.75" hidden="1" customHeight="1">
      <c r="A3832" s="21">
        <v>840130</v>
      </c>
      <c r="B3832" s="21" t="s">
        <v>3822</v>
      </c>
      <c r="C3832" s="21" t="s">
        <v>5906</v>
      </c>
      <c r="D3832" s="21" t="s">
        <v>11</v>
      </c>
      <c r="E3832" s="21" t="s">
        <v>11</v>
      </c>
    </row>
    <row r="3833" spans="1:5" s="21" customFormat="1" ht="15.75" hidden="1" customHeight="1">
      <c r="A3833" s="21">
        <v>840140</v>
      </c>
      <c r="B3833" s="21" t="s">
        <v>3823</v>
      </c>
      <c r="C3833" s="21" t="s">
        <v>3820</v>
      </c>
      <c r="D3833" s="21" t="s">
        <v>11</v>
      </c>
      <c r="E3833" s="21" t="s">
        <v>11</v>
      </c>
    </row>
    <row r="3834" spans="1:5" s="21" customFormat="1" ht="15.75" hidden="1" customHeight="1">
      <c r="A3834" s="21">
        <v>840211</v>
      </c>
      <c r="B3834" s="21" t="s">
        <v>3824</v>
      </c>
      <c r="C3834" s="21" t="s">
        <v>5907</v>
      </c>
      <c r="D3834" s="21" t="s">
        <v>11</v>
      </c>
      <c r="E3834" s="21" t="s">
        <v>11</v>
      </c>
    </row>
    <row r="3835" spans="1:5" s="21" customFormat="1" ht="15.75" hidden="1" customHeight="1">
      <c r="A3835" s="21">
        <v>840212</v>
      </c>
      <c r="B3835" s="21" t="s">
        <v>3825</v>
      </c>
      <c r="C3835" s="21" t="s">
        <v>5907</v>
      </c>
      <c r="D3835" s="21" t="s">
        <v>11</v>
      </c>
      <c r="E3835" s="21" t="s">
        <v>11</v>
      </c>
    </row>
    <row r="3836" spans="1:5" s="21" customFormat="1" ht="15.75" hidden="1" customHeight="1">
      <c r="A3836" s="21">
        <v>840219</v>
      </c>
      <c r="B3836" s="21" t="s">
        <v>3826</v>
      </c>
      <c r="C3836" s="21" t="s">
        <v>5907</v>
      </c>
      <c r="D3836" s="21" t="s">
        <v>11</v>
      </c>
      <c r="E3836" s="21" t="s">
        <v>11</v>
      </c>
    </row>
    <row r="3837" spans="1:5" s="21" customFormat="1" ht="15.75" hidden="1" customHeight="1">
      <c r="A3837" s="21">
        <v>840220</v>
      </c>
      <c r="B3837" s="21" t="s">
        <v>3827</v>
      </c>
      <c r="C3837" s="21" t="s">
        <v>5907</v>
      </c>
      <c r="D3837" s="21" t="s">
        <v>11</v>
      </c>
      <c r="E3837" s="21" t="s">
        <v>11</v>
      </c>
    </row>
    <row r="3838" spans="1:5" s="21" customFormat="1" ht="15.75" hidden="1" customHeight="1">
      <c r="A3838" s="21">
        <v>840290</v>
      </c>
      <c r="B3838" s="21" t="s">
        <v>3828</v>
      </c>
      <c r="C3838" s="21" t="s">
        <v>5907</v>
      </c>
      <c r="D3838" s="21" t="s">
        <v>11</v>
      </c>
      <c r="E3838" s="21" t="s">
        <v>11</v>
      </c>
    </row>
    <row r="3839" spans="1:5" s="21" customFormat="1" ht="15.75" hidden="1" customHeight="1">
      <c r="A3839" s="21">
        <v>840310</v>
      </c>
      <c r="B3839" s="21" t="s">
        <v>3829</v>
      </c>
      <c r="C3839" s="21" t="s">
        <v>5907</v>
      </c>
      <c r="D3839" s="21" t="s">
        <v>11</v>
      </c>
      <c r="E3839" s="21" t="s">
        <v>11</v>
      </c>
    </row>
    <row r="3840" spans="1:5" s="21" customFormat="1" ht="15.75" hidden="1" customHeight="1">
      <c r="A3840" s="21">
        <v>840390</v>
      </c>
      <c r="B3840" s="21" t="s">
        <v>3830</v>
      </c>
      <c r="C3840" s="21" t="s">
        <v>5907</v>
      </c>
      <c r="D3840" s="21" t="s">
        <v>11</v>
      </c>
      <c r="E3840" s="21" t="s">
        <v>11</v>
      </c>
    </row>
    <row r="3841" spans="1:5" s="21" customFormat="1" ht="15.75" hidden="1" customHeight="1">
      <c r="A3841" s="21">
        <v>840410</v>
      </c>
      <c r="B3841" s="21" t="s">
        <v>3831</v>
      </c>
      <c r="C3841" s="21" t="s">
        <v>5907</v>
      </c>
      <c r="D3841" s="21" t="s">
        <v>11</v>
      </c>
      <c r="E3841" s="21" t="s">
        <v>11</v>
      </c>
    </row>
    <row r="3842" spans="1:5" s="21" customFormat="1" ht="15.75" hidden="1" customHeight="1">
      <c r="A3842" s="21">
        <v>840420</v>
      </c>
      <c r="B3842" s="21" t="s">
        <v>3832</v>
      </c>
      <c r="C3842" s="21" t="s">
        <v>5907</v>
      </c>
      <c r="D3842" s="21" t="s">
        <v>11</v>
      </c>
      <c r="E3842" s="21" t="s">
        <v>11</v>
      </c>
    </row>
    <row r="3843" spans="1:5" s="21" customFormat="1" ht="15.75" hidden="1" customHeight="1">
      <c r="A3843" s="21">
        <v>840490</v>
      </c>
      <c r="B3843" s="21" t="s">
        <v>3833</v>
      </c>
      <c r="C3843" s="21" t="s">
        <v>5907</v>
      </c>
      <c r="D3843" s="21" t="s">
        <v>11</v>
      </c>
      <c r="E3843" s="21" t="s">
        <v>11</v>
      </c>
    </row>
    <row r="3844" spans="1:5" s="21" customFormat="1" ht="15.75" hidden="1" customHeight="1">
      <c r="A3844" s="21">
        <v>840510</v>
      </c>
      <c r="B3844" s="21" t="s">
        <v>3834</v>
      </c>
      <c r="C3844" s="21" t="s">
        <v>5908</v>
      </c>
      <c r="D3844" s="21" t="s">
        <v>11</v>
      </c>
      <c r="E3844" s="21" t="s">
        <v>11</v>
      </c>
    </row>
    <row r="3845" spans="1:5" s="21" customFormat="1" ht="15.75" hidden="1" customHeight="1">
      <c r="A3845" s="21">
        <v>840590</v>
      </c>
      <c r="B3845" s="21" t="s">
        <v>3835</v>
      </c>
      <c r="C3845" s="21" t="s">
        <v>5908</v>
      </c>
      <c r="D3845" s="21" t="s">
        <v>11</v>
      </c>
      <c r="E3845" s="21" t="s">
        <v>11</v>
      </c>
    </row>
    <row r="3846" spans="1:5" s="21" customFormat="1" ht="15.75" hidden="1" customHeight="1">
      <c r="A3846" s="21">
        <v>840610</v>
      </c>
      <c r="B3846" s="21" t="s">
        <v>3836</v>
      </c>
      <c r="C3846" s="21" t="s">
        <v>5909</v>
      </c>
      <c r="D3846" s="21" t="s">
        <v>11</v>
      </c>
      <c r="E3846" s="21" t="s">
        <v>11</v>
      </c>
    </row>
    <row r="3847" spans="1:5" s="21" customFormat="1" ht="15.75" hidden="1" customHeight="1">
      <c r="A3847" s="21">
        <v>840681</v>
      </c>
      <c r="B3847" s="21" t="s">
        <v>3837</v>
      </c>
      <c r="C3847" s="21" t="s">
        <v>5909</v>
      </c>
      <c r="D3847" s="21" t="s">
        <v>11</v>
      </c>
      <c r="E3847" s="21" t="s">
        <v>11</v>
      </c>
    </row>
    <row r="3848" spans="1:5" s="21" customFormat="1" ht="15.75" hidden="1" customHeight="1">
      <c r="A3848" s="21">
        <v>840682</v>
      </c>
      <c r="B3848" s="21" t="s">
        <v>3838</v>
      </c>
      <c r="C3848" s="21" t="s">
        <v>5909</v>
      </c>
      <c r="D3848" s="21" t="s">
        <v>11</v>
      </c>
      <c r="E3848" s="21" t="s">
        <v>11</v>
      </c>
    </row>
    <row r="3849" spans="1:5" s="21" customFormat="1" ht="15.75" hidden="1" customHeight="1">
      <c r="A3849" s="21">
        <v>840690</v>
      </c>
      <c r="B3849" s="21" t="s">
        <v>3839</v>
      </c>
      <c r="C3849" s="21" t="s">
        <v>5909</v>
      </c>
      <c r="D3849" s="21" t="s">
        <v>11</v>
      </c>
      <c r="E3849" s="21" t="s">
        <v>11</v>
      </c>
    </row>
    <row r="3850" spans="1:5" s="21" customFormat="1" ht="15.75" hidden="1" customHeight="1">
      <c r="A3850" s="21">
        <v>840710</v>
      </c>
      <c r="B3850" s="21" t="s">
        <v>3840</v>
      </c>
      <c r="C3850" s="21" t="s">
        <v>5910</v>
      </c>
      <c r="D3850" s="21" t="s">
        <v>11</v>
      </c>
      <c r="E3850" s="21" t="s">
        <v>11</v>
      </c>
    </row>
    <row r="3851" spans="1:5" s="21" customFormat="1" ht="15.75" hidden="1" customHeight="1">
      <c r="A3851" s="21">
        <v>840721</v>
      </c>
      <c r="B3851" s="21" t="s">
        <v>3841</v>
      </c>
      <c r="C3851" s="21" t="s">
        <v>5910</v>
      </c>
      <c r="D3851" s="21" t="s">
        <v>11</v>
      </c>
      <c r="E3851" s="21" t="s">
        <v>11</v>
      </c>
    </row>
    <row r="3852" spans="1:5" s="21" customFormat="1" ht="15.75" hidden="1" customHeight="1">
      <c r="A3852" s="21">
        <v>840729</v>
      </c>
      <c r="B3852" s="21" t="s">
        <v>3842</v>
      </c>
      <c r="C3852" s="21" t="s">
        <v>5910</v>
      </c>
      <c r="D3852" s="21" t="s">
        <v>11</v>
      </c>
      <c r="E3852" s="21" t="s">
        <v>11</v>
      </c>
    </row>
    <row r="3853" spans="1:5" s="21" customFormat="1" ht="15.75" hidden="1" customHeight="1">
      <c r="A3853" s="21">
        <v>840731</v>
      </c>
      <c r="B3853" s="21" t="s">
        <v>3843</v>
      </c>
      <c r="C3853" s="21" t="s">
        <v>5910</v>
      </c>
      <c r="D3853" s="21" t="s">
        <v>11</v>
      </c>
      <c r="E3853" s="21" t="s">
        <v>11</v>
      </c>
    </row>
    <row r="3854" spans="1:5" s="21" customFormat="1" ht="15.75" hidden="1" customHeight="1">
      <c r="A3854" s="21">
        <v>840732</v>
      </c>
      <c r="B3854" s="21" t="s">
        <v>3844</v>
      </c>
      <c r="C3854" s="21" t="s">
        <v>5910</v>
      </c>
      <c r="D3854" s="21" t="s">
        <v>11</v>
      </c>
      <c r="E3854" s="21" t="s">
        <v>11</v>
      </c>
    </row>
    <row r="3855" spans="1:5" s="21" customFormat="1" ht="15.75" hidden="1" customHeight="1">
      <c r="A3855" s="21">
        <v>840733</v>
      </c>
      <c r="B3855" s="21" t="s">
        <v>3845</v>
      </c>
      <c r="C3855" s="21" t="s">
        <v>5910</v>
      </c>
      <c r="D3855" s="21" t="s">
        <v>11</v>
      </c>
      <c r="E3855" s="21" t="s">
        <v>11</v>
      </c>
    </row>
    <row r="3856" spans="1:5" s="21" customFormat="1" ht="15.75" hidden="1" customHeight="1">
      <c r="A3856" s="21">
        <v>840734</v>
      </c>
      <c r="B3856" s="21" t="s">
        <v>3846</v>
      </c>
      <c r="C3856" s="21" t="s">
        <v>5910</v>
      </c>
      <c r="D3856" s="21" t="s">
        <v>11</v>
      </c>
      <c r="E3856" s="21" t="s">
        <v>11</v>
      </c>
    </row>
    <row r="3857" spans="1:5" s="21" customFormat="1" ht="15.75" hidden="1" customHeight="1">
      <c r="A3857" s="21">
        <v>840790</v>
      </c>
      <c r="B3857" s="21" t="s">
        <v>3847</v>
      </c>
      <c r="C3857" s="21" t="s">
        <v>5910</v>
      </c>
      <c r="D3857" s="21" t="s">
        <v>11</v>
      </c>
      <c r="E3857" s="21" t="s">
        <v>11</v>
      </c>
    </row>
    <row r="3858" spans="1:5" s="21" customFormat="1" ht="15.75" hidden="1" customHeight="1">
      <c r="A3858" s="21">
        <v>840810</v>
      </c>
      <c r="B3858" s="21" t="s">
        <v>3848</v>
      </c>
      <c r="C3858" s="21" t="s">
        <v>5910</v>
      </c>
      <c r="D3858" s="21" t="s">
        <v>11</v>
      </c>
      <c r="E3858" s="21" t="s">
        <v>11</v>
      </c>
    </row>
    <row r="3859" spans="1:5" s="21" customFormat="1" ht="15.75" hidden="1" customHeight="1">
      <c r="A3859" s="21">
        <v>840820</v>
      </c>
      <c r="B3859" s="21" t="s">
        <v>3849</v>
      </c>
      <c r="C3859" s="21" t="s">
        <v>5910</v>
      </c>
      <c r="D3859" s="21" t="s">
        <v>11</v>
      </c>
      <c r="E3859" s="21" t="s">
        <v>11</v>
      </c>
    </row>
    <row r="3860" spans="1:5" s="21" customFormat="1" ht="15.75" hidden="1" customHeight="1">
      <c r="A3860" s="21">
        <v>840890</v>
      </c>
      <c r="B3860" s="21" t="s">
        <v>3850</v>
      </c>
      <c r="C3860" s="21" t="s">
        <v>5910</v>
      </c>
      <c r="D3860" s="21" t="s">
        <v>11</v>
      </c>
      <c r="E3860" s="21" t="s">
        <v>11</v>
      </c>
    </row>
    <row r="3861" spans="1:5" s="21" customFormat="1" ht="15.75" hidden="1" customHeight="1">
      <c r="A3861" s="21">
        <v>840910</v>
      </c>
      <c r="B3861" s="21" t="s">
        <v>3851</v>
      </c>
      <c r="C3861" s="21" t="s">
        <v>5910</v>
      </c>
      <c r="D3861" s="21" t="s">
        <v>11</v>
      </c>
      <c r="E3861" s="21" t="s">
        <v>11</v>
      </c>
    </row>
    <row r="3862" spans="1:5" s="21" customFormat="1" ht="15.75" hidden="1" customHeight="1">
      <c r="A3862" s="21">
        <v>840991</v>
      </c>
      <c r="B3862" s="21" t="s">
        <v>3852</v>
      </c>
      <c r="C3862" s="21" t="s">
        <v>5910</v>
      </c>
      <c r="D3862" s="21" t="s">
        <v>11</v>
      </c>
      <c r="E3862" s="21" t="s">
        <v>11</v>
      </c>
    </row>
    <row r="3863" spans="1:5" s="21" customFormat="1" ht="15.75" hidden="1" customHeight="1">
      <c r="A3863" s="21">
        <v>840999</v>
      </c>
      <c r="B3863" s="21" t="s">
        <v>3853</v>
      </c>
      <c r="C3863" s="21" t="s">
        <v>5910</v>
      </c>
      <c r="D3863" s="21" t="s">
        <v>11</v>
      </c>
      <c r="E3863" s="21" t="s">
        <v>11</v>
      </c>
    </row>
    <row r="3864" spans="1:5" s="21" customFormat="1" ht="15.75" hidden="1" customHeight="1">
      <c r="A3864" s="21">
        <v>841011</v>
      </c>
      <c r="B3864" s="21" t="s">
        <v>3854</v>
      </c>
      <c r="C3864" s="21" t="s">
        <v>5909</v>
      </c>
      <c r="D3864" s="21" t="s">
        <v>11</v>
      </c>
      <c r="E3864" s="21" t="s">
        <v>11</v>
      </c>
    </row>
    <row r="3865" spans="1:5" s="21" customFormat="1" ht="15.75" hidden="1" customHeight="1">
      <c r="A3865" s="21">
        <v>841012</v>
      </c>
      <c r="B3865" s="21" t="s">
        <v>3855</v>
      </c>
      <c r="C3865" s="21" t="s">
        <v>5909</v>
      </c>
      <c r="D3865" s="21" t="s">
        <v>11</v>
      </c>
      <c r="E3865" s="21" t="s">
        <v>11</v>
      </c>
    </row>
    <row r="3866" spans="1:5" s="21" customFormat="1" ht="15.75" hidden="1" customHeight="1">
      <c r="A3866" s="21">
        <v>841013</v>
      </c>
      <c r="B3866" s="21" t="s">
        <v>3856</v>
      </c>
      <c r="C3866" s="21" t="s">
        <v>5909</v>
      </c>
      <c r="D3866" s="21" t="s">
        <v>11</v>
      </c>
      <c r="E3866" s="21" t="s">
        <v>11</v>
      </c>
    </row>
    <row r="3867" spans="1:5" s="21" customFormat="1" ht="15.75" hidden="1" customHeight="1">
      <c r="A3867" s="21">
        <v>841090</v>
      </c>
      <c r="B3867" s="21" t="s">
        <v>3857</v>
      </c>
      <c r="C3867" s="21" t="s">
        <v>5909</v>
      </c>
      <c r="D3867" s="21" t="s">
        <v>11</v>
      </c>
      <c r="E3867" s="21" t="s">
        <v>11</v>
      </c>
    </row>
    <row r="3868" spans="1:5" s="21" customFormat="1" ht="15.75" hidden="1" customHeight="1">
      <c r="A3868" s="21">
        <v>841111</v>
      </c>
      <c r="B3868" s="21" t="s">
        <v>3858</v>
      </c>
      <c r="C3868" s="21" t="s">
        <v>5911</v>
      </c>
      <c r="D3868" s="21" t="s">
        <v>11</v>
      </c>
      <c r="E3868" s="21" t="s">
        <v>11</v>
      </c>
    </row>
    <row r="3869" spans="1:5" s="21" customFormat="1" ht="15.75" hidden="1" customHeight="1">
      <c r="A3869" s="21">
        <v>841112</v>
      </c>
      <c r="B3869" s="21" t="s">
        <v>3859</v>
      </c>
      <c r="C3869" s="21" t="s">
        <v>5911</v>
      </c>
      <c r="D3869" s="21" t="s">
        <v>11</v>
      </c>
      <c r="E3869" s="21" t="s">
        <v>11</v>
      </c>
    </row>
    <row r="3870" spans="1:5" s="21" customFormat="1" ht="15.75" hidden="1" customHeight="1">
      <c r="A3870" s="21">
        <v>841121</v>
      </c>
      <c r="B3870" s="21" t="s">
        <v>3860</v>
      </c>
      <c r="C3870" s="21" t="s">
        <v>5912</v>
      </c>
      <c r="D3870" s="21" t="s">
        <v>11</v>
      </c>
      <c r="E3870" s="21" t="s">
        <v>11</v>
      </c>
    </row>
    <row r="3871" spans="1:5" s="21" customFormat="1" ht="15.75" hidden="1" customHeight="1">
      <c r="A3871" s="21">
        <v>841122</v>
      </c>
      <c r="B3871" s="21" t="s">
        <v>3861</v>
      </c>
      <c r="C3871" s="21" t="s">
        <v>5912</v>
      </c>
      <c r="D3871" s="21" t="s">
        <v>11</v>
      </c>
      <c r="E3871" s="21" t="s">
        <v>11</v>
      </c>
    </row>
    <row r="3872" spans="1:5" s="21" customFormat="1" ht="15.75" hidden="1" customHeight="1">
      <c r="A3872" s="21">
        <v>841181</v>
      </c>
      <c r="B3872" s="21" t="s">
        <v>3862</v>
      </c>
      <c r="C3872" s="21" t="s">
        <v>5909</v>
      </c>
      <c r="D3872" s="21" t="s">
        <v>11</v>
      </c>
      <c r="E3872" s="21" t="s">
        <v>11</v>
      </c>
    </row>
    <row r="3873" spans="1:5" s="21" customFormat="1" ht="15.75" hidden="1" customHeight="1">
      <c r="A3873" s="21">
        <v>841182</v>
      </c>
      <c r="B3873" s="21" t="s">
        <v>3863</v>
      </c>
      <c r="C3873" s="21" t="s">
        <v>5909</v>
      </c>
      <c r="D3873" s="21" t="s">
        <v>11</v>
      </c>
      <c r="E3873" s="21" t="s">
        <v>11</v>
      </c>
    </row>
    <row r="3874" spans="1:5" s="21" customFormat="1" ht="15.75" hidden="1" customHeight="1">
      <c r="A3874" s="21">
        <v>841191</v>
      </c>
      <c r="B3874" s="21" t="s">
        <v>3864</v>
      </c>
      <c r="C3874" s="21" t="s">
        <v>5909</v>
      </c>
      <c r="D3874" s="21" t="s">
        <v>11</v>
      </c>
      <c r="E3874" s="21" t="s">
        <v>11</v>
      </c>
    </row>
    <row r="3875" spans="1:5" s="21" customFormat="1" ht="15.75" hidden="1" customHeight="1">
      <c r="A3875" s="21">
        <v>841199</v>
      </c>
      <c r="B3875" s="21" t="s">
        <v>3865</v>
      </c>
      <c r="C3875" s="21" t="s">
        <v>5909</v>
      </c>
      <c r="D3875" s="21" t="s">
        <v>11</v>
      </c>
      <c r="E3875" s="21" t="s">
        <v>11</v>
      </c>
    </row>
    <row r="3876" spans="1:5" s="21" customFormat="1" ht="15.75" hidden="1" customHeight="1">
      <c r="A3876" s="21">
        <v>841210</v>
      </c>
      <c r="B3876" s="21" t="s">
        <v>3866</v>
      </c>
      <c r="C3876" s="21" t="s">
        <v>5910</v>
      </c>
      <c r="D3876" s="21" t="s">
        <v>11</v>
      </c>
      <c r="E3876" s="21" t="s">
        <v>11</v>
      </c>
    </row>
    <row r="3877" spans="1:5" s="21" customFormat="1" ht="15.75" hidden="1" customHeight="1">
      <c r="A3877" s="21">
        <v>841221</v>
      </c>
      <c r="B3877" s="21" t="s">
        <v>3867</v>
      </c>
      <c r="C3877" s="21" t="s">
        <v>5910</v>
      </c>
      <c r="D3877" s="21" t="s">
        <v>11</v>
      </c>
      <c r="E3877" s="21" t="s">
        <v>11</v>
      </c>
    </row>
    <row r="3878" spans="1:5" s="21" customFormat="1" ht="15.75" hidden="1" customHeight="1">
      <c r="A3878" s="21">
        <v>841229</v>
      </c>
      <c r="B3878" s="21" t="s">
        <v>3868</v>
      </c>
      <c r="C3878" s="21" t="s">
        <v>5910</v>
      </c>
      <c r="D3878" s="21" t="s">
        <v>11</v>
      </c>
      <c r="E3878" s="21" t="s">
        <v>11</v>
      </c>
    </row>
    <row r="3879" spans="1:5" s="21" customFormat="1" ht="15.75" hidden="1" customHeight="1">
      <c r="A3879" s="21">
        <v>841231</v>
      </c>
      <c r="B3879" s="21" t="s">
        <v>3869</v>
      </c>
      <c r="C3879" s="21" t="s">
        <v>5910</v>
      </c>
      <c r="D3879" s="21" t="s">
        <v>11</v>
      </c>
      <c r="E3879" s="21" t="s">
        <v>11</v>
      </c>
    </row>
    <row r="3880" spans="1:5" s="21" customFormat="1" ht="15.75" hidden="1" customHeight="1">
      <c r="A3880" s="21">
        <v>841239</v>
      </c>
      <c r="B3880" s="21" t="s">
        <v>3870</v>
      </c>
      <c r="C3880" s="21" t="s">
        <v>5910</v>
      </c>
      <c r="D3880" s="21" t="s">
        <v>11</v>
      </c>
      <c r="E3880" s="21" t="s">
        <v>11</v>
      </c>
    </row>
    <row r="3881" spans="1:5" s="21" customFormat="1" ht="15.75" hidden="1" customHeight="1">
      <c r="A3881" s="21">
        <v>841280</v>
      </c>
      <c r="B3881" s="21" t="s">
        <v>3871</v>
      </c>
      <c r="C3881" s="21" t="s">
        <v>5910</v>
      </c>
      <c r="D3881" s="21" t="s">
        <v>11</v>
      </c>
      <c r="E3881" s="21" t="s">
        <v>11</v>
      </c>
    </row>
    <row r="3882" spans="1:5" s="21" customFormat="1" ht="15.75" hidden="1" customHeight="1">
      <c r="A3882" s="21">
        <v>841290</v>
      </c>
      <c r="B3882" s="21" t="s">
        <v>3872</v>
      </c>
      <c r="C3882" s="21" t="s">
        <v>5910</v>
      </c>
      <c r="D3882" s="21" t="s">
        <v>11</v>
      </c>
      <c r="E3882" s="21" t="s">
        <v>11</v>
      </c>
    </row>
    <row r="3883" spans="1:5" s="21" customFormat="1" ht="15.75" hidden="1" customHeight="1">
      <c r="A3883" s="21">
        <v>841311</v>
      </c>
      <c r="B3883" s="21" t="s">
        <v>3873</v>
      </c>
      <c r="C3883" s="21" t="s">
        <v>5913</v>
      </c>
      <c r="D3883" s="21" t="s">
        <v>11</v>
      </c>
      <c r="E3883" s="21" t="s">
        <v>11</v>
      </c>
    </row>
    <row r="3884" spans="1:5" s="21" customFormat="1" ht="15.75" hidden="1" customHeight="1">
      <c r="A3884" s="21">
        <v>841319</v>
      </c>
      <c r="B3884" s="21" t="s">
        <v>3874</v>
      </c>
      <c r="C3884" s="21" t="s">
        <v>5913</v>
      </c>
      <c r="D3884" s="21" t="s">
        <v>11</v>
      </c>
      <c r="E3884" s="21" t="s">
        <v>11</v>
      </c>
    </row>
    <row r="3885" spans="1:5" s="21" customFormat="1" ht="15.75" hidden="1" customHeight="1">
      <c r="A3885" s="21">
        <v>841320</v>
      </c>
      <c r="B3885" s="21" t="s">
        <v>3875</v>
      </c>
      <c r="C3885" s="21" t="s">
        <v>5913</v>
      </c>
      <c r="D3885" s="21" t="s">
        <v>11</v>
      </c>
      <c r="E3885" s="21" t="s">
        <v>11</v>
      </c>
    </row>
    <row r="3886" spans="1:5" s="21" customFormat="1" ht="15.75" hidden="1" customHeight="1">
      <c r="A3886" s="21">
        <v>841330</v>
      </c>
      <c r="B3886" s="21" t="s">
        <v>3876</v>
      </c>
      <c r="C3886" s="21" t="s">
        <v>5913</v>
      </c>
      <c r="D3886" s="21" t="s">
        <v>11</v>
      </c>
      <c r="E3886" s="21" t="s">
        <v>11</v>
      </c>
    </row>
    <row r="3887" spans="1:5" s="21" customFormat="1" ht="15.75" hidden="1" customHeight="1">
      <c r="A3887" s="21">
        <v>841340</v>
      </c>
      <c r="B3887" s="21" t="s">
        <v>3877</v>
      </c>
      <c r="C3887" s="21" t="s">
        <v>5913</v>
      </c>
      <c r="D3887" s="21" t="s">
        <v>11</v>
      </c>
      <c r="E3887" s="21" t="s">
        <v>11</v>
      </c>
    </row>
    <row r="3888" spans="1:5" s="21" customFormat="1" ht="15.75" hidden="1" customHeight="1">
      <c r="A3888" s="21">
        <v>841350</v>
      </c>
      <c r="B3888" s="21" t="s">
        <v>3878</v>
      </c>
      <c r="C3888" s="21" t="s">
        <v>5913</v>
      </c>
      <c r="D3888" s="21" t="s">
        <v>11</v>
      </c>
      <c r="E3888" s="21" t="s">
        <v>11</v>
      </c>
    </row>
    <row r="3889" spans="1:6" ht="15.75" hidden="1" customHeight="1">
      <c r="A3889" s="21">
        <v>841360</v>
      </c>
      <c r="B3889" s="21" t="s">
        <v>3879</v>
      </c>
      <c r="C3889" s="21" t="s">
        <v>5913</v>
      </c>
      <c r="D3889" s="21" t="s">
        <v>11</v>
      </c>
      <c r="E3889" s="21" t="s">
        <v>11</v>
      </c>
      <c r="F3889" s="21"/>
    </row>
    <row r="3890" spans="1:6" s="21" customFormat="1" ht="15.75" hidden="1" customHeight="1">
      <c r="A3890" s="21">
        <v>841370</v>
      </c>
      <c r="B3890" s="21" t="s">
        <v>3880</v>
      </c>
      <c r="C3890" s="21" t="s">
        <v>5913</v>
      </c>
      <c r="D3890" s="21" t="s">
        <v>11</v>
      </c>
      <c r="E3890" s="21" t="s">
        <v>11</v>
      </c>
    </row>
    <row r="3891" spans="1:6" s="21" customFormat="1" ht="15.75" hidden="1" customHeight="1">
      <c r="A3891" s="21">
        <v>841381</v>
      </c>
      <c r="B3891" s="21" t="s">
        <v>3881</v>
      </c>
      <c r="C3891" s="21" t="s">
        <v>5914</v>
      </c>
      <c r="D3891" s="21" t="s">
        <v>11</v>
      </c>
      <c r="E3891" s="21" t="s">
        <v>11</v>
      </c>
    </row>
    <row r="3892" spans="1:6" s="21" customFormat="1" ht="15.75" hidden="1" customHeight="1">
      <c r="A3892" s="21">
        <v>841382</v>
      </c>
      <c r="B3892" s="21" t="s">
        <v>3882</v>
      </c>
      <c r="C3892" s="21" t="s">
        <v>3882</v>
      </c>
      <c r="D3892" s="21" t="s">
        <v>11</v>
      </c>
      <c r="E3892" s="21" t="s">
        <v>11</v>
      </c>
    </row>
    <row r="3893" spans="1:6" s="21" customFormat="1" ht="15.75" hidden="1" customHeight="1">
      <c r="A3893" s="21">
        <v>841391</v>
      </c>
      <c r="B3893" s="21" t="s">
        <v>3883</v>
      </c>
      <c r="C3893" s="21" t="s">
        <v>5913</v>
      </c>
      <c r="D3893" s="21" t="s">
        <v>11</v>
      </c>
      <c r="E3893" s="21" t="s">
        <v>11</v>
      </c>
    </row>
    <row r="3894" spans="1:6" s="21" customFormat="1" ht="15.75" hidden="1" customHeight="1">
      <c r="A3894" s="21">
        <v>841392</v>
      </c>
      <c r="B3894" s="21" t="s">
        <v>3884</v>
      </c>
      <c r="C3894" s="21" t="s">
        <v>3882</v>
      </c>
      <c r="D3894" s="21" t="s">
        <v>11</v>
      </c>
      <c r="E3894" s="21" t="s">
        <v>11</v>
      </c>
    </row>
    <row r="3895" spans="1:6" s="21" customFormat="1" ht="15.75" hidden="1" customHeight="1">
      <c r="A3895" s="21">
        <v>841410</v>
      </c>
      <c r="B3895" s="21" t="s">
        <v>3885</v>
      </c>
      <c r="C3895" s="21" t="s">
        <v>5913</v>
      </c>
      <c r="D3895" s="21" t="s">
        <v>11</v>
      </c>
      <c r="E3895" s="21" t="s">
        <v>11</v>
      </c>
    </row>
    <row r="3896" spans="1:6" s="21" customFormat="1" ht="15.75" hidden="1" customHeight="1">
      <c r="A3896" s="21">
        <v>841420</v>
      </c>
      <c r="B3896" s="21" t="s">
        <v>3886</v>
      </c>
      <c r="C3896" s="21" t="s">
        <v>5913</v>
      </c>
      <c r="D3896" s="21" t="s">
        <v>11</v>
      </c>
      <c r="E3896" s="21" t="s">
        <v>11</v>
      </c>
    </row>
    <row r="3897" spans="1:6" s="21" customFormat="1" ht="15.75" hidden="1" customHeight="1">
      <c r="A3897" s="21">
        <v>841430</v>
      </c>
      <c r="B3897" s="21" t="s">
        <v>3887</v>
      </c>
      <c r="C3897" s="21" t="s">
        <v>5915</v>
      </c>
      <c r="D3897" s="21" t="s">
        <v>11</v>
      </c>
      <c r="E3897" s="21" t="s">
        <v>11</v>
      </c>
    </row>
    <row r="3898" spans="1:6" s="21" customFormat="1" ht="15.75" hidden="1" customHeight="1">
      <c r="A3898" s="21">
        <v>841440</v>
      </c>
      <c r="B3898" s="21" t="s">
        <v>3888</v>
      </c>
      <c r="C3898" s="21" t="s">
        <v>5915</v>
      </c>
      <c r="D3898" s="21" t="s">
        <v>11</v>
      </c>
      <c r="E3898" s="21" t="s">
        <v>11</v>
      </c>
    </row>
    <row r="3899" spans="1:6" s="21" customFormat="1" ht="15.75" hidden="1" customHeight="1">
      <c r="A3899" s="21">
        <v>841451</v>
      </c>
      <c r="B3899" s="21" t="s">
        <v>3889</v>
      </c>
      <c r="C3899" s="21" t="s">
        <v>5916</v>
      </c>
      <c r="D3899" s="21" t="s">
        <v>11</v>
      </c>
      <c r="E3899" s="21" t="s">
        <v>11</v>
      </c>
    </row>
    <row r="3900" spans="1:6" s="21" customFormat="1" ht="15.75" hidden="1" customHeight="1">
      <c r="A3900" s="21">
        <v>841459</v>
      </c>
      <c r="B3900" s="21" t="s">
        <v>3890</v>
      </c>
      <c r="C3900" s="21" t="s">
        <v>5916</v>
      </c>
      <c r="D3900" s="21" t="s">
        <v>11</v>
      </c>
      <c r="E3900" s="21" t="s">
        <v>11</v>
      </c>
    </row>
    <row r="3901" spans="1:6" s="21" customFormat="1" ht="15.75" hidden="1" customHeight="1">
      <c r="A3901" s="21">
        <v>841460</v>
      </c>
      <c r="B3901" s="21" t="s">
        <v>3891</v>
      </c>
      <c r="C3901" s="21" t="s">
        <v>5917</v>
      </c>
      <c r="D3901" s="21" t="s">
        <v>11</v>
      </c>
      <c r="E3901" s="21" t="s">
        <v>11</v>
      </c>
    </row>
    <row r="3902" spans="1:6" s="21" customFormat="1" ht="15.75" hidden="1" customHeight="1">
      <c r="A3902" s="21">
        <v>841480</v>
      </c>
      <c r="B3902" s="21" t="s">
        <v>3892</v>
      </c>
      <c r="C3902" s="21" t="s">
        <v>5918</v>
      </c>
      <c r="D3902" s="21" t="s">
        <v>11</v>
      </c>
      <c r="E3902" s="21" t="s">
        <v>11</v>
      </c>
    </row>
    <row r="3903" spans="1:6" s="21" customFormat="1" ht="15.75" hidden="1" customHeight="1">
      <c r="A3903" s="21">
        <v>841490</v>
      </c>
      <c r="B3903" s="21" t="s">
        <v>3893</v>
      </c>
      <c r="C3903" s="21" t="s">
        <v>5918</v>
      </c>
      <c r="D3903" s="21" t="s">
        <v>11</v>
      </c>
      <c r="E3903" s="21" t="s">
        <v>11</v>
      </c>
    </row>
    <row r="3904" spans="1:6" s="21" customFormat="1" ht="15.75" hidden="1" customHeight="1">
      <c r="A3904" s="21">
        <v>841510</v>
      </c>
      <c r="B3904" s="21" t="s">
        <v>3894</v>
      </c>
      <c r="C3904" s="21" t="s">
        <v>5919</v>
      </c>
      <c r="D3904" s="21" t="s">
        <v>11</v>
      </c>
      <c r="E3904" s="21" t="s">
        <v>11</v>
      </c>
    </row>
    <row r="3905" spans="1:5" s="21" customFormat="1" ht="15.75" hidden="1" customHeight="1">
      <c r="A3905" s="21">
        <v>841520</v>
      </c>
      <c r="B3905" s="21" t="s">
        <v>3895</v>
      </c>
      <c r="C3905" s="21" t="s">
        <v>5919</v>
      </c>
      <c r="D3905" s="21" t="s">
        <v>11</v>
      </c>
      <c r="E3905" s="21" t="s">
        <v>11</v>
      </c>
    </row>
    <row r="3906" spans="1:5" s="21" customFormat="1" ht="15.75" hidden="1" customHeight="1">
      <c r="A3906" s="21">
        <v>841581</v>
      </c>
      <c r="B3906" s="21" t="s">
        <v>3896</v>
      </c>
      <c r="C3906" s="21" t="s">
        <v>5919</v>
      </c>
      <c r="D3906" s="21" t="s">
        <v>11</v>
      </c>
      <c r="E3906" s="21" t="s">
        <v>11</v>
      </c>
    </row>
    <row r="3907" spans="1:5" s="21" customFormat="1" ht="15.75" hidden="1" customHeight="1">
      <c r="A3907" s="21">
        <v>841582</v>
      </c>
      <c r="B3907" s="21" t="s">
        <v>3897</v>
      </c>
      <c r="C3907" s="21" t="s">
        <v>5919</v>
      </c>
      <c r="D3907" s="21" t="s">
        <v>11</v>
      </c>
      <c r="E3907" s="21" t="s">
        <v>11</v>
      </c>
    </row>
    <row r="3908" spans="1:5" s="21" customFormat="1" ht="15.75" hidden="1" customHeight="1">
      <c r="A3908" s="21">
        <v>841583</v>
      </c>
      <c r="B3908" s="21" t="s">
        <v>3898</v>
      </c>
      <c r="C3908" s="21" t="s">
        <v>5919</v>
      </c>
      <c r="D3908" s="21" t="s">
        <v>11</v>
      </c>
      <c r="E3908" s="21" t="s">
        <v>11</v>
      </c>
    </row>
    <row r="3909" spans="1:5" s="21" customFormat="1" ht="15.75" hidden="1" customHeight="1">
      <c r="A3909" s="21">
        <v>841590</v>
      </c>
      <c r="B3909" s="21" t="s">
        <v>3899</v>
      </c>
      <c r="C3909" s="21" t="s">
        <v>5919</v>
      </c>
      <c r="D3909" s="21" t="s">
        <v>11</v>
      </c>
      <c r="E3909" s="21" t="s">
        <v>11</v>
      </c>
    </row>
    <row r="3910" spans="1:5" s="21" customFormat="1" ht="15.75" hidden="1" customHeight="1">
      <c r="A3910" s="21">
        <v>841610</v>
      </c>
      <c r="B3910" s="21" t="s">
        <v>3900</v>
      </c>
      <c r="C3910" s="21" t="s">
        <v>5920</v>
      </c>
      <c r="D3910" s="21" t="s">
        <v>11</v>
      </c>
      <c r="E3910" s="21" t="s">
        <v>11</v>
      </c>
    </row>
    <row r="3911" spans="1:5" s="21" customFormat="1" ht="15.75" hidden="1" customHeight="1">
      <c r="A3911" s="21">
        <v>841620</v>
      </c>
      <c r="B3911" s="21" t="s">
        <v>3901</v>
      </c>
      <c r="C3911" s="21" t="s">
        <v>5920</v>
      </c>
      <c r="D3911" s="21" t="s">
        <v>11</v>
      </c>
      <c r="E3911" s="21" t="s">
        <v>11</v>
      </c>
    </row>
    <row r="3912" spans="1:5" s="21" customFormat="1" ht="15.75" hidden="1" customHeight="1">
      <c r="A3912" s="21">
        <v>841630</v>
      </c>
      <c r="B3912" s="21" t="s">
        <v>3902</v>
      </c>
      <c r="C3912" s="21" t="s">
        <v>5921</v>
      </c>
      <c r="D3912" s="21" t="s">
        <v>11</v>
      </c>
      <c r="E3912" s="21" t="s">
        <v>11</v>
      </c>
    </row>
    <row r="3913" spans="1:5" s="21" customFormat="1" ht="15.75" hidden="1" customHeight="1">
      <c r="A3913" s="21">
        <v>841690</v>
      </c>
      <c r="B3913" s="21" t="s">
        <v>3903</v>
      </c>
      <c r="C3913" s="21" t="s">
        <v>5920</v>
      </c>
      <c r="D3913" s="21" t="s">
        <v>11</v>
      </c>
      <c r="E3913" s="21" t="s">
        <v>11</v>
      </c>
    </row>
    <row r="3914" spans="1:5" s="21" customFormat="1" ht="15.75" hidden="1" customHeight="1">
      <c r="A3914" s="21">
        <v>841710</v>
      </c>
      <c r="B3914" s="21" t="s">
        <v>3904</v>
      </c>
      <c r="C3914" s="21" t="s">
        <v>5922</v>
      </c>
      <c r="D3914" s="21" t="s">
        <v>11</v>
      </c>
      <c r="E3914" s="21" t="s">
        <v>11</v>
      </c>
    </row>
    <row r="3915" spans="1:5" s="21" customFormat="1" ht="15.75" hidden="1" customHeight="1">
      <c r="A3915" s="21">
        <v>841720</v>
      </c>
      <c r="B3915" s="21" t="s">
        <v>3905</v>
      </c>
      <c r="C3915" s="21" t="s">
        <v>5923</v>
      </c>
      <c r="D3915" s="21" t="s">
        <v>11</v>
      </c>
      <c r="E3915" s="21" t="s">
        <v>11</v>
      </c>
    </row>
    <row r="3916" spans="1:5" s="21" customFormat="1" ht="15.75" hidden="1" customHeight="1">
      <c r="A3916" s="21">
        <v>841780</v>
      </c>
      <c r="B3916" s="21" t="s">
        <v>3906</v>
      </c>
      <c r="C3916" s="21" t="s">
        <v>5922</v>
      </c>
      <c r="D3916" s="21" t="s">
        <v>11</v>
      </c>
      <c r="E3916" s="21" t="s">
        <v>11</v>
      </c>
    </row>
    <row r="3917" spans="1:5" s="21" customFormat="1" ht="15.75" hidden="1" customHeight="1">
      <c r="A3917" s="21">
        <v>841790</v>
      </c>
      <c r="B3917" s="21" t="s">
        <v>3907</v>
      </c>
      <c r="C3917" s="21" t="s">
        <v>5922</v>
      </c>
      <c r="D3917" s="21" t="s">
        <v>11</v>
      </c>
      <c r="E3917" s="21" t="s">
        <v>11</v>
      </c>
    </row>
    <row r="3918" spans="1:5" s="21" customFormat="1" ht="15.75" hidden="1" customHeight="1">
      <c r="A3918" s="21">
        <v>841810</v>
      </c>
      <c r="B3918" s="21" t="s">
        <v>3908</v>
      </c>
      <c r="C3918" s="21" t="s">
        <v>5924</v>
      </c>
      <c r="D3918" s="21" t="s">
        <v>11</v>
      </c>
      <c r="E3918" s="21" t="s">
        <v>11</v>
      </c>
    </row>
    <row r="3919" spans="1:5" s="21" customFormat="1" ht="15.75" hidden="1" customHeight="1">
      <c r="A3919" s="21">
        <v>841821</v>
      </c>
      <c r="B3919" s="21" t="s">
        <v>3909</v>
      </c>
      <c r="C3919" s="21" t="s">
        <v>5925</v>
      </c>
      <c r="D3919" s="21" t="s">
        <v>11</v>
      </c>
      <c r="E3919" s="21" t="s">
        <v>11</v>
      </c>
    </row>
    <row r="3920" spans="1:5" s="21" customFormat="1" ht="15.75" hidden="1" customHeight="1">
      <c r="A3920" s="21">
        <v>841829</v>
      </c>
      <c r="B3920" s="21" t="s">
        <v>3910</v>
      </c>
      <c r="C3920" s="21" t="s">
        <v>5925</v>
      </c>
      <c r="D3920" s="21" t="s">
        <v>11</v>
      </c>
      <c r="E3920" s="21" t="s">
        <v>11</v>
      </c>
    </row>
    <row r="3921" spans="1:5" s="21" customFormat="1" ht="15.75" hidden="1" customHeight="1">
      <c r="A3921" s="21">
        <v>841830</v>
      </c>
      <c r="B3921" s="21" t="s">
        <v>3911</v>
      </c>
      <c r="C3921" s="21" t="s">
        <v>5926</v>
      </c>
      <c r="D3921" s="21" t="s">
        <v>11</v>
      </c>
      <c r="E3921" s="21" t="s">
        <v>11</v>
      </c>
    </row>
    <row r="3922" spans="1:5" s="21" customFormat="1" ht="15.75" hidden="1" customHeight="1">
      <c r="A3922" s="21">
        <v>841840</v>
      </c>
      <c r="B3922" s="21" t="s">
        <v>3912</v>
      </c>
      <c r="C3922" s="21" t="s">
        <v>5926</v>
      </c>
      <c r="D3922" s="21" t="s">
        <v>11</v>
      </c>
      <c r="E3922" s="21" t="s">
        <v>11</v>
      </c>
    </row>
    <row r="3923" spans="1:5" s="21" customFormat="1" ht="15.75" hidden="1" customHeight="1">
      <c r="A3923" s="21">
        <v>841850</v>
      </c>
      <c r="B3923" s="21" t="s">
        <v>3913</v>
      </c>
      <c r="C3923" s="21" t="s">
        <v>5927</v>
      </c>
      <c r="D3923" s="21" t="s">
        <v>11</v>
      </c>
      <c r="E3923" s="21" t="s">
        <v>11</v>
      </c>
    </row>
    <row r="3924" spans="1:5" s="21" customFormat="1" ht="15.75" hidden="1" customHeight="1">
      <c r="A3924" s="21">
        <v>841861</v>
      </c>
      <c r="B3924" s="21" t="s">
        <v>3914</v>
      </c>
      <c r="C3924" s="21" t="s">
        <v>5928</v>
      </c>
      <c r="D3924" s="21" t="s">
        <v>11</v>
      </c>
      <c r="E3924" s="21" t="s">
        <v>11</v>
      </c>
    </row>
    <row r="3925" spans="1:5" s="21" customFormat="1" ht="15.75" hidden="1" customHeight="1">
      <c r="A3925" s="21">
        <v>841869</v>
      </c>
      <c r="B3925" s="21" t="s">
        <v>3915</v>
      </c>
      <c r="C3925" s="21" t="s">
        <v>5929</v>
      </c>
      <c r="D3925" s="21" t="s">
        <v>11</v>
      </c>
      <c r="E3925" s="21" t="s">
        <v>11</v>
      </c>
    </row>
    <row r="3926" spans="1:5" s="21" customFormat="1" ht="15.75" hidden="1" customHeight="1">
      <c r="A3926" s="21">
        <v>841891</v>
      </c>
      <c r="B3926" s="21" t="s">
        <v>3916</v>
      </c>
      <c r="C3926" s="21" t="s">
        <v>5929</v>
      </c>
      <c r="D3926" s="21" t="s">
        <v>11</v>
      </c>
      <c r="E3926" s="21" t="s">
        <v>11</v>
      </c>
    </row>
    <row r="3927" spans="1:5" s="21" customFormat="1" ht="15.75" hidden="1" customHeight="1">
      <c r="A3927" s="21">
        <v>841899</v>
      </c>
      <c r="B3927" s="21" t="s">
        <v>3917</v>
      </c>
      <c r="C3927" s="21" t="s">
        <v>5929</v>
      </c>
      <c r="D3927" s="21" t="s">
        <v>11</v>
      </c>
      <c r="E3927" s="21" t="s">
        <v>11</v>
      </c>
    </row>
    <row r="3928" spans="1:5" s="21" customFormat="1" ht="15.75" hidden="1" customHeight="1">
      <c r="A3928" s="21">
        <v>841911</v>
      </c>
      <c r="B3928" s="21" t="s">
        <v>3918</v>
      </c>
      <c r="C3928" s="21" t="s">
        <v>5930</v>
      </c>
      <c r="D3928" s="21" t="s">
        <v>11</v>
      </c>
      <c r="E3928" s="21" t="s">
        <v>11</v>
      </c>
    </row>
    <row r="3929" spans="1:5" s="21" customFormat="1" ht="15.75" hidden="1" customHeight="1">
      <c r="A3929" s="21">
        <v>841919</v>
      </c>
      <c r="B3929" s="21" t="s">
        <v>3919</v>
      </c>
      <c r="C3929" s="21" t="s">
        <v>5930</v>
      </c>
      <c r="D3929" s="21" t="s">
        <v>11</v>
      </c>
      <c r="E3929" s="21" t="s">
        <v>11</v>
      </c>
    </row>
    <row r="3930" spans="1:5" s="21" customFormat="1" ht="15.75" hidden="1" customHeight="1">
      <c r="A3930" s="21">
        <v>841931</v>
      </c>
      <c r="B3930" s="21" t="s">
        <v>3921</v>
      </c>
      <c r="C3930" s="21" t="s">
        <v>5931</v>
      </c>
      <c r="D3930" s="21" t="s">
        <v>11</v>
      </c>
      <c r="E3930" s="21" t="s">
        <v>11</v>
      </c>
    </row>
    <row r="3931" spans="1:5" s="21" customFormat="1" ht="15.75" hidden="1" customHeight="1">
      <c r="A3931" s="21">
        <v>841932</v>
      </c>
      <c r="B3931" s="21" t="s">
        <v>3922</v>
      </c>
      <c r="C3931" s="21" t="s">
        <v>5931</v>
      </c>
      <c r="D3931" s="21" t="s">
        <v>11</v>
      </c>
      <c r="E3931" s="21" t="s">
        <v>11</v>
      </c>
    </row>
    <row r="3932" spans="1:5" s="21" customFormat="1" ht="15.75" hidden="1" customHeight="1">
      <c r="A3932" s="21">
        <v>841939</v>
      </c>
      <c r="B3932" s="21" t="s">
        <v>3923</v>
      </c>
      <c r="C3932" s="21" t="s">
        <v>5931</v>
      </c>
      <c r="D3932" s="21" t="s">
        <v>11</v>
      </c>
      <c r="E3932" s="21" t="s">
        <v>11</v>
      </c>
    </row>
    <row r="3933" spans="1:5" s="21" customFormat="1" ht="15.75" hidden="1" customHeight="1">
      <c r="A3933" s="21">
        <v>841940</v>
      </c>
      <c r="B3933" s="21" t="s">
        <v>3924</v>
      </c>
      <c r="C3933" s="21" t="s">
        <v>5932</v>
      </c>
      <c r="D3933" s="21" t="s">
        <v>11</v>
      </c>
      <c r="E3933" s="21" t="s">
        <v>11</v>
      </c>
    </row>
    <row r="3934" spans="1:5" s="21" customFormat="1" ht="15.75" hidden="1" customHeight="1">
      <c r="A3934" s="21">
        <v>841950</v>
      </c>
      <c r="B3934" s="21" t="s">
        <v>3925</v>
      </c>
      <c r="C3934" s="21" t="s">
        <v>5933</v>
      </c>
      <c r="D3934" s="21" t="s">
        <v>11</v>
      </c>
      <c r="E3934" s="21" t="s">
        <v>11</v>
      </c>
    </row>
    <row r="3935" spans="1:5" s="21" customFormat="1" ht="15.75" hidden="1" customHeight="1">
      <c r="A3935" s="21">
        <v>841960</v>
      </c>
      <c r="B3935" s="21" t="s">
        <v>3926</v>
      </c>
      <c r="C3935" s="21" t="s">
        <v>5934</v>
      </c>
      <c r="D3935" s="21" t="s">
        <v>11</v>
      </c>
      <c r="E3935" s="21" t="s">
        <v>11</v>
      </c>
    </row>
    <row r="3936" spans="1:5" s="21" customFormat="1" ht="15.75" hidden="1" customHeight="1">
      <c r="A3936" s="21">
        <v>841981</v>
      </c>
      <c r="B3936" s="21" t="s">
        <v>3927</v>
      </c>
      <c r="C3936" s="21" t="s">
        <v>5935</v>
      </c>
      <c r="D3936" s="21" t="s">
        <v>11</v>
      </c>
      <c r="E3936" s="21" t="s">
        <v>11</v>
      </c>
    </row>
    <row r="3937" spans="1:5" s="21" customFormat="1" ht="15.75" hidden="1" customHeight="1">
      <c r="A3937" s="21">
        <v>841989</v>
      </c>
      <c r="B3937" s="21" t="s">
        <v>3928</v>
      </c>
      <c r="C3937" s="21" t="s">
        <v>5936</v>
      </c>
      <c r="D3937" s="21" t="s">
        <v>11</v>
      </c>
      <c r="E3937" s="21" t="s">
        <v>11</v>
      </c>
    </row>
    <row r="3938" spans="1:5" s="21" customFormat="1" ht="15.75" hidden="1" customHeight="1">
      <c r="A3938" s="21">
        <v>841990</v>
      </c>
      <c r="B3938" s="21" t="s">
        <v>3929</v>
      </c>
      <c r="C3938" s="21" t="s">
        <v>5936</v>
      </c>
      <c r="D3938" s="21" t="s">
        <v>11</v>
      </c>
      <c r="E3938" s="21" t="s">
        <v>11</v>
      </c>
    </row>
    <row r="3939" spans="1:5" s="21" customFormat="1" ht="15.75" hidden="1" customHeight="1">
      <c r="A3939" s="21">
        <v>842010</v>
      </c>
      <c r="B3939" s="21" t="s">
        <v>3930</v>
      </c>
      <c r="C3939" s="21" t="s">
        <v>5937</v>
      </c>
      <c r="D3939" s="21" t="s">
        <v>11</v>
      </c>
      <c r="E3939" s="21" t="s">
        <v>11</v>
      </c>
    </row>
    <row r="3940" spans="1:5" s="21" customFormat="1" ht="15.75" hidden="1" customHeight="1">
      <c r="A3940" s="21">
        <v>842091</v>
      </c>
      <c r="B3940" s="21" t="s">
        <v>3931</v>
      </c>
      <c r="C3940" s="21" t="s">
        <v>5937</v>
      </c>
      <c r="D3940" s="21" t="s">
        <v>11</v>
      </c>
      <c r="E3940" s="21" t="s">
        <v>11</v>
      </c>
    </row>
    <row r="3941" spans="1:5" s="21" customFormat="1" ht="15.75" hidden="1" customHeight="1">
      <c r="A3941" s="21">
        <v>842099</v>
      </c>
      <c r="B3941" s="21" t="s">
        <v>3932</v>
      </c>
      <c r="C3941" s="21" t="s">
        <v>5937</v>
      </c>
      <c r="D3941" s="21" t="s">
        <v>11</v>
      </c>
      <c r="E3941" s="21" t="s">
        <v>11</v>
      </c>
    </row>
    <row r="3942" spans="1:5" s="21" customFormat="1" ht="15.75" hidden="1" customHeight="1">
      <c r="A3942" s="21">
        <v>842111</v>
      </c>
      <c r="B3942" s="21" t="s">
        <v>3933</v>
      </c>
      <c r="C3942" s="21" t="s">
        <v>5938</v>
      </c>
      <c r="D3942" s="21" t="s">
        <v>11</v>
      </c>
      <c r="E3942" s="21" t="s">
        <v>11</v>
      </c>
    </row>
    <row r="3943" spans="1:5" s="21" customFormat="1" ht="15.75" hidden="1" customHeight="1">
      <c r="A3943" s="21">
        <v>842112</v>
      </c>
      <c r="B3943" s="21" t="s">
        <v>3934</v>
      </c>
      <c r="C3943" s="21" t="s">
        <v>5938</v>
      </c>
      <c r="D3943" s="21" t="s">
        <v>11</v>
      </c>
      <c r="E3943" s="21" t="s">
        <v>11</v>
      </c>
    </row>
    <row r="3944" spans="1:5" s="21" customFormat="1" ht="15.75" hidden="1" customHeight="1">
      <c r="A3944" s="21">
        <v>842119</v>
      </c>
      <c r="B3944" s="21" t="s">
        <v>3935</v>
      </c>
      <c r="C3944" s="21" t="s">
        <v>5938</v>
      </c>
      <c r="D3944" s="21" t="s">
        <v>11</v>
      </c>
      <c r="E3944" s="21" t="s">
        <v>11</v>
      </c>
    </row>
    <row r="3945" spans="1:5" s="21" customFormat="1" ht="15.75" hidden="1" customHeight="1">
      <c r="A3945" s="21">
        <v>842121</v>
      </c>
      <c r="B3945" s="21" t="s">
        <v>3936</v>
      </c>
      <c r="C3945" s="21" t="s">
        <v>5934</v>
      </c>
      <c r="D3945" s="21" t="s">
        <v>11</v>
      </c>
      <c r="E3945" s="21" t="s">
        <v>11</v>
      </c>
    </row>
    <row r="3946" spans="1:5" s="21" customFormat="1" ht="15.75" hidden="1" customHeight="1">
      <c r="A3946" s="21">
        <v>842122</v>
      </c>
      <c r="B3946" s="21" t="s">
        <v>3937</v>
      </c>
      <c r="C3946" s="21" t="s">
        <v>5934</v>
      </c>
      <c r="D3946" s="21" t="s">
        <v>11</v>
      </c>
      <c r="E3946" s="21" t="s">
        <v>11</v>
      </c>
    </row>
    <row r="3947" spans="1:5" s="21" customFormat="1" ht="15.75" hidden="1" customHeight="1">
      <c r="A3947" s="21">
        <v>842123</v>
      </c>
      <c r="B3947" s="21" t="s">
        <v>3938</v>
      </c>
      <c r="C3947" s="21" t="s">
        <v>5934</v>
      </c>
      <c r="D3947" s="21" t="s">
        <v>11</v>
      </c>
      <c r="E3947" s="21" t="s">
        <v>11</v>
      </c>
    </row>
    <row r="3948" spans="1:5" s="21" customFormat="1" ht="15.75" hidden="1" customHeight="1">
      <c r="A3948" s="21">
        <v>842129</v>
      </c>
      <c r="B3948" s="21" t="s">
        <v>3939</v>
      </c>
      <c r="C3948" s="21" t="s">
        <v>5934</v>
      </c>
      <c r="D3948" s="21" t="s">
        <v>11</v>
      </c>
      <c r="E3948" s="21" t="s">
        <v>11</v>
      </c>
    </row>
    <row r="3949" spans="1:5" s="21" customFormat="1" ht="15.75" hidden="1" customHeight="1">
      <c r="A3949" s="21">
        <v>842131</v>
      </c>
      <c r="B3949" s="21" t="s">
        <v>3940</v>
      </c>
      <c r="C3949" s="21" t="s">
        <v>5934</v>
      </c>
      <c r="D3949" s="21" t="s">
        <v>11</v>
      </c>
      <c r="E3949" s="21" t="s">
        <v>11</v>
      </c>
    </row>
    <row r="3950" spans="1:5" s="21" customFormat="1" ht="15.75" hidden="1" customHeight="1">
      <c r="A3950" s="21">
        <v>842139</v>
      </c>
      <c r="B3950" s="21" t="s">
        <v>3941</v>
      </c>
      <c r="C3950" s="21" t="s">
        <v>5934</v>
      </c>
      <c r="D3950" s="21" t="s">
        <v>11</v>
      </c>
      <c r="E3950" s="21" t="s">
        <v>11</v>
      </c>
    </row>
    <row r="3951" spans="1:5" s="21" customFormat="1" ht="15.75" hidden="1" customHeight="1">
      <c r="A3951" s="21">
        <v>842191</v>
      </c>
      <c r="B3951" s="21" t="s">
        <v>3942</v>
      </c>
      <c r="C3951" s="21" t="s">
        <v>5938</v>
      </c>
      <c r="D3951" s="21" t="s">
        <v>11</v>
      </c>
      <c r="E3951" s="21" t="s">
        <v>11</v>
      </c>
    </row>
    <row r="3952" spans="1:5" s="21" customFormat="1" ht="15.75" hidden="1" customHeight="1">
      <c r="A3952" s="21">
        <v>842199</v>
      </c>
      <c r="B3952" s="21" t="s">
        <v>3943</v>
      </c>
      <c r="C3952" s="21" t="s">
        <v>5934</v>
      </c>
      <c r="D3952" s="21" t="s">
        <v>11</v>
      </c>
      <c r="E3952" s="21" t="s">
        <v>11</v>
      </c>
    </row>
    <row r="3953" spans="1:5" s="21" customFormat="1" ht="15.75" hidden="1" customHeight="1">
      <c r="A3953" s="21">
        <v>842211</v>
      </c>
      <c r="B3953" s="21" t="s">
        <v>3944</v>
      </c>
      <c r="C3953" s="21" t="s">
        <v>5939</v>
      </c>
      <c r="D3953" s="21" t="s">
        <v>11</v>
      </c>
      <c r="E3953" s="21" t="s">
        <v>11</v>
      </c>
    </row>
    <row r="3954" spans="1:5" s="21" customFormat="1" ht="15.75" hidden="1" customHeight="1">
      <c r="A3954" s="21">
        <v>842219</v>
      </c>
      <c r="B3954" s="21" t="s">
        <v>3945</v>
      </c>
      <c r="C3954" s="21" t="s">
        <v>5939</v>
      </c>
      <c r="D3954" s="21" t="s">
        <v>11</v>
      </c>
      <c r="E3954" s="21" t="s">
        <v>11</v>
      </c>
    </row>
    <row r="3955" spans="1:5" s="21" customFormat="1" ht="15.75" hidden="1" customHeight="1">
      <c r="A3955" s="21">
        <v>842220</v>
      </c>
      <c r="B3955" s="21" t="s">
        <v>3946</v>
      </c>
      <c r="C3955" s="21" t="s">
        <v>5934</v>
      </c>
      <c r="D3955" s="21" t="s">
        <v>11</v>
      </c>
      <c r="E3955" s="21" t="s">
        <v>11</v>
      </c>
    </row>
    <row r="3956" spans="1:5" s="21" customFormat="1" ht="15.75" hidden="1" customHeight="1">
      <c r="A3956" s="21">
        <v>842230</v>
      </c>
      <c r="B3956" s="21" t="s">
        <v>3947</v>
      </c>
      <c r="C3956" s="21" t="s">
        <v>5934</v>
      </c>
      <c r="D3956" s="21" t="s">
        <v>11</v>
      </c>
      <c r="E3956" s="21" t="s">
        <v>11</v>
      </c>
    </row>
    <row r="3957" spans="1:5" s="21" customFormat="1" ht="15.75" hidden="1" customHeight="1">
      <c r="A3957" s="21">
        <v>842240</v>
      </c>
      <c r="B3957" s="21" t="s">
        <v>3948</v>
      </c>
      <c r="C3957" s="21" t="s">
        <v>5934</v>
      </c>
      <c r="D3957" s="21" t="s">
        <v>11</v>
      </c>
      <c r="E3957" s="21" t="s">
        <v>11</v>
      </c>
    </row>
    <row r="3958" spans="1:5" s="21" customFormat="1" ht="15.75" hidden="1" customHeight="1">
      <c r="A3958" s="21">
        <v>842290</v>
      </c>
      <c r="B3958" s="21" t="s">
        <v>3949</v>
      </c>
      <c r="C3958" s="21" t="s">
        <v>5934</v>
      </c>
      <c r="D3958" s="21" t="s">
        <v>11</v>
      </c>
      <c r="E3958" s="21" t="s">
        <v>11</v>
      </c>
    </row>
    <row r="3959" spans="1:5" s="21" customFormat="1" ht="15.75" hidden="1" customHeight="1">
      <c r="A3959" s="21">
        <v>842310</v>
      </c>
      <c r="B3959" s="21" t="s">
        <v>3950</v>
      </c>
      <c r="C3959" s="21" t="s">
        <v>5940</v>
      </c>
      <c r="D3959" s="21" t="s">
        <v>11</v>
      </c>
      <c r="E3959" s="21" t="s">
        <v>11</v>
      </c>
    </row>
    <row r="3960" spans="1:5" s="21" customFormat="1" ht="15.75" hidden="1" customHeight="1">
      <c r="A3960" s="21">
        <v>842320</v>
      </c>
      <c r="B3960" s="21" t="s">
        <v>3951</v>
      </c>
      <c r="C3960" s="21" t="s">
        <v>5940</v>
      </c>
      <c r="D3960" s="21" t="s">
        <v>11</v>
      </c>
      <c r="E3960" s="21" t="s">
        <v>11</v>
      </c>
    </row>
    <row r="3961" spans="1:5" s="21" customFormat="1" ht="15.75" hidden="1" customHeight="1">
      <c r="A3961" s="21">
        <v>842330</v>
      </c>
      <c r="B3961" s="21" t="s">
        <v>3952</v>
      </c>
      <c r="C3961" s="21" t="s">
        <v>5940</v>
      </c>
      <c r="D3961" s="21" t="s">
        <v>11</v>
      </c>
      <c r="E3961" s="21" t="s">
        <v>11</v>
      </c>
    </row>
    <row r="3962" spans="1:5" s="21" customFormat="1" ht="15.75" hidden="1" customHeight="1">
      <c r="A3962" s="21">
        <v>842381</v>
      </c>
      <c r="B3962" s="21" t="s">
        <v>3953</v>
      </c>
      <c r="C3962" s="21" t="s">
        <v>5940</v>
      </c>
      <c r="D3962" s="21" t="s">
        <v>11</v>
      </c>
      <c r="E3962" s="21" t="s">
        <v>11</v>
      </c>
    </row>
    <row r="3963" spans="1:5" s="21" customFormat="1" ht="15.75" hidden="1" customHeight="1">
      <c r="A3963" s="21">
        <v>842382</v>
      </c>
      <c r="B3963" s="21" t="s">
        <v>3954</v>
      </c>
      <c r="C3963" s="21" t="s">
        <v>5940</v>
      </c>
      <c r="D3963" s="21" t="s">
        <v>11</v>
      </c>
      <c r="E3963" s="21" t="s">
        <v>11</v>
      </c>
    </row>
    <row r="3964" spans="1:5" s="21" customFormat="1" ht="15.75" hidden="1" customHeight="1">
      <c r="A3964" s="21">
        <v>842389</v>
      </c>
      <c r="B3964" s="21" t="s">
        <v>3955</v>
      </c>
      <c r="C3964" s="21" t="s">
        <v>5940</v>
      </c>
      <c r="D3964" s="21" t="s">
        <v>11</v>
      </c>
      <c r="E3964" s="21" t="s">
        <v>11</v>
      </c>
    </row>
    <row r="3965" spans="1:5" s="21" customFormat="1" ht="15.75" hidden="1" customHeight="1">
      <c r="A3965" s="21">
        <v>842390</v>
      </c>
      <c r="B3965" s="21" t="s">
        <v>3956</v>
      </c>
      <c r="C3965" s="21" t="s">
        <v>5940</v>
      </c>
      <c r="D3965" s="21" t="s">
        <v>11</v>
      </c>
      <c r="E3965" s="21" t="s">
        <v>11</v>
      </c>
    </row>
    <row r="3966" spans="1:5" s="21" customFormat="1" ht="15.75" hidden="1" customHeight="1">
      <c r="A3966" s="21">
        <v>842410</v>
      </c>
      <c r="B3966" s="21" t="s">
        <v>3957</v>
      </c>
      <c r="C3966" s="21" t="s">
        <v>5941</v>
      </c>
      <c r="D3966" s="21" t="s">
        <v>11</v>
      </c>
      <c r="E3966" s="21" t="s">
        <v>11</v>
      </c>
    </row>
    <row r="3967" spans="1:5" s="21" customFormat="1" ht="15.75" hidden="1" customHeight="1">
      <c r="A3967" s="21">
        <v>842420</v>
      </c>
      <c r="B3967" s="21" t="s">
        <v>3958</v>
      </c>
      <c r="C3967" s="21" t="s">
        <v>3958</v>
      </c>
      <c r="D3967" s="21" t="s">
        <v>11</v>
      </c>
      <c r="E3967" s="21" t="s">
        <v>11</v>
      </c>
    </row>
    <row r="3968" spans="1:5" s="21" customFormat="1" ht="15.75" hidden="1" customHeight="1">
      <c r="A3968" s="21">
        <v>842430</v>
      </c>
      <c r="B3968" s="21" t="s">
        <v>3959</v>
      </c>
      <c r="C3968" s="21" t="s">
        <v>5942</v>
      </c>
      <c r="D3968" s="21" t="s">
        <v>11</v>
      </c>
      <c r="E3968" s="21" t="s">
        <v>11</v>
      </c>
    </row>
    <row r="3969" spans="1:5" s="21" customFormat="1" ht="15.75" hidden="1" customHeight="1">
      <c r="A3969" s="21">
        <v>842481</v>
      </c>
      <c r="B3969" s="21" t="s">
        <v>3960</v>
      </c>
      <c r="C3969" s="21" t="s">
        <v>5942</v>
      </c>
      <c r="D3969" s="21" t="s">
        <v>11</v>
      </c>
      <c r="E3969" s="21" t="s">
        <v>11</v>
      </c>
    </row>
    <row r="3970" spans="1:5" s="21" customFormat="1" ht="15.75" hidden="1" customHeight="1">
      <c r="A3970" s="21">
        <v>842489</v>
      </c>
      <c r="B3970" s="21" t="s">
        <v>3961</v>
      </c>
      <c r="C3970" s="21" t="s">
        <v>5942</v>
      </c>
      <c r="D3970" s="21" t="s">
        <v>11</v>
      </c>
      <c r="E3970" s="21" t="s">
        <v>11</v>
      </c>
    </row>
    <row r="3971" spans="1:5" s="21" customFormat="1" ht="15.75" hidden="1" customHeight="1">
      <c r="A3971" s="21">
        <v>842490</v>
      </c>
      <c r="B3971" s="21" t="s">
        <v>3962</v>
      </c>
      <c r="C3971" s="21" t="s">
        <v>5942</v>
      </c>
      <c r="D3971" s="21" t="s">
        <v>11</v>
      </c>
      <c r="E3971" s="21" t="s">
        <v>11</v>
      </c>
    </row>
    <row r="3972" spans="1:5" s="21" customFormat="1" ht="15.75" hidden="1" customHeight="1">
      <c r="A3972" s="21">
        <v>842511</v>
      </c>
      <c r="B3972" s="21" t="s">
        <v>3963</v>
      </c>
      <c r="C3972" s="21" t="s">
        <v>5943</v>
      </c>
      <c r="D3972" s="21" t="s">
        <v>11</v>
      </c>
      <c r="E3972" s="21" t="s">
        <v>11</v>
      </c>
    </row>
    <row r="3973" spans="1:5" s="21" customFormat="1" ht="15.75" hidden="1" customHeight="1">
      <c r="A3973" s="21">
        <v>842519</v>
      </c>
      <c r="B3973" s="21" t="s">
        <v>3964</v>
      </c>
      <c r="C3973" s="21" t="s">
        <v>5943</v>
      </c>
      <c r="D3973" s="21" t="s">
        <v>11</v>
      </c>
      <c r="E3973" s="21" t="s">
        <v>11</v>
      </c>
    </row>
    <row r="3974" spans="1:5" s="21" customFormat="1" ht="15.75" hidden="1" customHeight="1">
      <c r="A3974" s="21">
        <v>842531</v>
      </c>
      <c r="B3974" s="21" t="s">
        <v>3965</v>
      </c>
      <c r="C3974" s="21" t="s">
        <v>5944</v>
      </c>
      <c r="D3974" s="21" t="s">
        <v>11</v>
      </c>
      <c r="E3974" s="21" t="s">
        <v>11</v>
      </c>
    </row>
    <row r="3975" spans="1:5" s="21" customFormat="1" ht="15.75" hidden="1" customHeight="1">
      <c r="A3975" s="21">
        <v>842539</v>
      </c>
      <c r="B3975" s="21" t="s">
        <v>3966</v>
      </c>
      <c r="C3975" s="21" t="s">
        <v>5944</v>
      </c>
      <c r="D3975" s="21" t="s">
        <v>11</v>
      </c>
      <c r="E3975" s="21" t="s">
        <v>11</v>
      </c>
    </row>
    <row r="3976" spans="1:5" s="21" customFormat="1" ht="15.75" hidden="1" customHeight="1">
      <c r="A3976" s="21">
        <v>842541</v>
      </c>
      <c r="B3976" s="21" t="s">
        <v>3967</v>
      </c>
      <c r="C3976" s="21" t="s">
        <v>5945</v>
      </c>
      <c r="D3976" s="21" t="s">
        <v>11</v>
      </c>
      <c r="E3976" s="21" t="s">
        <v>11</v>
      </c>
    </row>
    <row r="3977" spans="1:5" s="21" customFormat="1" ht="15.75" hidden="1" customHeight="1">
      <c r="A3977" s="21">
        <v>842542</v>
      </c>
      <c r="B3977" s="21" t="s">
        <v>3968</v>
      </c>
      <c r="C3977" s="21" t="s">
        <v>5946</v>
      </c>
      <c r="D3977" s="21" t="s">
        <v>11</v>
      </c>
      <c r="E3977" s="21" t="s">
        <v>11</v>
      </c>
    </row>
    <row r="3978" spans="1:5" s="21" customFormat="1" ht="15.75" hidden="1" customHeight="1">
      <c r="A3978" s="21">
        <v>842549</v>
      </c>
      <c r="B3978" s="21" t="s">
        <v>3969</v>
      </c>
      <c r="C3978" s="21" t="s">
        <v>5946</v>
      </c>
      <c r="D3978" s="21" t="s">
        <v>11</v>
      </c>
      <c r="E3978" s="21" t="s">
        <v>11</v>
      </c>
    </row>
    <row r="3979" spans="1:5" s="21" customFormat="1" ht="15.75" hidden="1" customHeight="1">
      <c r="A3979" s="21">
        <v>842611</v>
      </c>
      <c r="B3979" s="21" t="s">
        <v>3970</v>
      </c>
      <c r="C3979" s="21" t="s">
        <v>5947</v>
      </c>
      <c r="D3979" s="21" t="s">
        <v>11</v>
      </c>
      <c r="E3979" s="21" t="s">
        <v>11</v>
      </c>
    </row>
    <row r="3980" spans="1:5" s="21" customFormat="1" ht="15.75" hidden="1" customHeight="1">
      <c r="A3980" s="21">
        <v>842612</v>
      </c>
      <c r="B3980" s="21" t="s">
        <v>3971</v>
      </c>
      <c r="C3980" s="21" t="s">
        <v>5947</v>
      </c>
      <c r="D3980" s="21" t="s">
        <v>11</v>
      </c>
      <c r="E3980" s="21" t="s">
        <v>11</v>
      </c>
    </row>
    <row r="3981" spans="1:5" s="21" customFormat="1" ht="15.75" hidden="1" customHeight="1">
      <c r="A3981" s="21">
        <v>842619</v>
      </c>
      <c r="B3981" s="21" t="s">
        <v>3972</v>
      </c>
      <c r="C3981" s="21" t="s">
        <v>5947</v>
      </c>
      <c r="D3981" s="21" t="s">
        <v>11</v>
      </c>
      <c r="E3981" s="21" t="s">
        <v>11</v>
      </c>
    </row>
    <row r="3982" spans="1:5" s="21" customFormat="1" ht="15.75" hidden="1" customHeight="1">
      <c r="A3982" s="21">
        <v>842620</v>
      </c>
      <c r="B3982" s="21" t="s">
        <v>3973</v>
      </c>
      <c r="C3982" s="21" t="s">
        <v>5947</v>
      </c>
      <c r="D3982" s="21" t="s">
        <v>11</v>
      </c>
      <c r="E3982" s="21" t="s">
        <v>11</v>
      </c>
    </row>
    <row r="3983" spans="1:5" s="21" customFormat="1" ht="15.75" hidden="1" customHeight="1">
      <c r="A3983" s="21">
        <v>842630</v>
      </c>
      <c r="B3983" s="21" t="s">
        <v>3974</v>
      </c>
      <c r="C3983" s="21" t="s">
        <v>5947</v>
      </c>
      <c r="D3983" s="21" t="s">
        <v>11</v>
      </c>
      <c r="E3983" s="21" t="s">
        <v>11</v>
      </c>
    </row>
    <row r="3984" spans="1:5" s="21" customFormat="1" ht="15.75" hidden="1" customHeight="1">
      <c r="A3984" s="21">
        <v>842641</v>
      </c>
      <c r="B3984" s="21" t="s">
        <v>3975</v>
      </c>
      <c r="C3984" s="21" t="s">
        <v>5947</v>
      </c>
      <c r="D3984" s="21" t="s">
        <v>11</v>
      </c>
      <c r="E3984" s="21" t="s">
        <v>11</v>
      </c>
    </row>
    <row r="3985" spans="1:5" s="21" customFormat="1" ht="15.75" hidden="1" customHeight="1">
      <c r="A3985" s="21">
        <v>842649</v>
      </c>
      <c r="B3985" s="21" t="s">
        <v>3976</v>
      </c>
      <c r="C3985" s="21" t="s">
        <v>5947</v>
      </c>
      <c r="D3985" s="21" t="s">
        <v>11</v>
      </c>
      <c r="E3985" s="21" t="s">
        <v>11</v>
      </c>
    </row>
    <row r="3986" spans="1:5" s="21" customFormat="1" ht="15.75" hidden="1" customHeight="1">
      <c r="A3986" s="21">
        <v>842691</v>
      </c>
      <c r="B3986" s="21" t="s">
        <v>3977</v>
      </c>
      <c r="C3986" s="21" t="s">
        <v>5948</v>
      </c>
      <c r="D3986" s="21" t="s">
        <v>11</v>
      </c>
      <c r="E3986" s="21" t="s">
        <v>11</v>
      </c>
    </row>
    <row r="3987" spans="1:5" s="21" customFormat="1" ht="15.75" hidden="1" customHeight="1">
      <c r="A3987" s="21">
        <v>842699</v>
      </c>
      <c r="B3987" s="21" t="s">
        <v>3978</v>
      </c>
      <c r="C3987" s="21" t="s">
        <v>5948</v>
      </c>
      <c r="D3987" s="21" t="s">
        <v>11</v>
      </c>
      <c r="E3987" s="21" t="s">
        <v>11</v>
      </c>
    </row>
    <row r="3988" spans="1:5" s="21" customFormat="1" ht="15.75" hidden="1" customHeight="1">
      <c r="A3988" s="21">
        <v>842710</v>
      </c>
      <c r="B3988" s="21" t="s">
        <v>3979</v>
      </c>
      <c r="C3988" s="21" t="s">
        <v>5949</v>
      </c>
      <c r="D3988" s="21" t="s">
        <v>11</v>
      </c>
      <c r="E3988" s="21" t="s">
        <v>11</v>
      </c>
    </row>
    <row r="3989" spans="1:5" s="21" customFormat="1" ht="15.75" hidden="1" customHeight="1">
      <c r="A3989" s="21">
        <v>842720</v>
      </c>
      <c r="B3989" s="21" t="s">
        <v>3980</v>
      </c>
      <c r="C3989" s="21" t="s">
        <v>5949</v>
      </c>
      <c r="D3989" s="21" t="s">
        <v>11</v>
      </c>
      <c r="E3989" s="21" t="s">
        <v>11</v>
      </c>
    </row>
    <row r="3990" spans="1:5" s="21" customFormat="1" ht="15.75" hidden="1" customHeight="1">
      <c r="A3990" s="21">
        <v>842790</v>
      </c>
      <c r="B3990" s="21" t="s">
        <v>3981</v>
      </c>
      <c r="C3990" s="21" t="s">
        <v>5949</v>
      </c>
      <c r="D3990" s="21" t="s">
        <v>11</v>
      </c>
      <c r="E3990" s="21" t="s">
        <v>11</v>
      </c>
    </row>
    <row r="3991" spans="1:5" s="21" customFormat="1" ht="15.75" hidden="1" customHeight="1">
      <c r="A3991" s="21">
        <v>842810</v>
      </c>
      <c r="B3991" s="21" t="s">
        <v>3982</v>
      </c>
      <c r="C3991" s="21" t="s">
        <v>3982</v>
      </c>
      <c r="D3991" s="21" t="s">
        <v>11</v>
      </c>
      <c r="E3991" s="21" t="s">
        <v>11</v>
      </c>
    </row>
    <row r="3992" spans="1:5" s="21" customFormat="1" ht="15.75" hidden="1" customHeight="1">
      <c r="A3992" s="21">
        <v>842820</v>
      </c>
      <c r="B3992" s="21" t="s">
        <v>3983</v>
      </c>
      <c r="C3992" s="21" t="s">
        <v>5950</v>
      </c>
      <c r="D3992" s="21" t="s">
        <v>11</v>
      </c>
      <c r="E3992" s="21" t="s">
        <v>11</v>
      </c>
    </row>
    <row r="3993" spans="1:5" s="21" customFormat="1" ht="15.75" hidden="1" customHeight="1">
      <c r="A3993" s="21">
        <v>842831</v>
      </c>
      <c r="B3993" s="21" t="s">
        <v>3984</v>
      </c>
      <c r="C3993" s="21" t="s">
        <v>5950</v>
      </c>
      <c r="D3993" s="21" t="s">
        <v>11</v>
      </c>
      <c r="E3993" s="21" t="s">
        <v>11</v>
      </c>
    </row>
    <row r="3994" spans="1:5" s="21" customFormat="1" ht="15.75" hidden="1" customHeight="1">
      <c r="A3994" s="21">
        <v>842832</v>
      </c>
      <c r="B3994" s="21" t="s">
        <v>3985</v>
      </c>
      <c r="C3994" s="21" t="s">
        <v>5950</v>
      </c>
      <c r="D3994" s="21" t="s">
        <v>11</v>
      </c>
      <c r="E3994" s="21" t="s">
        <v>11</v>
      </c>
    </row>
    <row r="3995" spans="1:5" s="21" customFormat="1" ht="15.75" hidden="1" customHeight="1">
      <c r="A3995" s="21">
        <v>842833</v>
      </c>
      <c r="B3995" s="21" t="s">
        <v>3986</v>
      </c>
      <c r="C3995" s="21" t="s">
        <v>5950</v>
      </c>
      <c r="D3995" s="21" t="s">
        <v>11</v>
      </c>
      <c r="E3995" s="21" t="s">
        <v>11</v>
      </c>
    </row>
    <row r="3996" spans="1:5" s="21" customFormat="1" ht="15.75" hidden="1" customHeight="1">
      <c r="A3996" s="21">
        <v>842839</v>
      </c>
      <c r="B3996" s="21" t="s">
        <v>3987</v>
      </c>
      <c r="C3996" s="21" t="s">
        <v>5950</v>
      </c>
      <c r="D3996" s="21" t="s">
        <v>11</v>
      </c>
      <c r="E3996" s="21" t="s">
        <v>11</v>
      </c>
    </row>
    <row r="3997" spans="1:5" s="21" customFormat="1" ht="15.75" hidden="1" customHeight="1">
      <c r="A3997" s="21">
        <v>842840</v>
      </c>
      <c r="B3997" s="21" t="s">
        <v>3988</v>
      </c>
      <c r="C3997" s="21" t="s">
        <v>3988</v>
      </c>
      <c r="D3997" s="21" t="s">
        <v>11</v>
      </c>
      <c r="E3997" s="21" t="s">
        <v>11</v>
      </c>
    </row>
    <row r="3998" spans="1:5" s="21" customFormat="1" ht="15.75" hidden="1" customHeight="1">
      <c r="A3998" s="21">
        <v>842860</v>
      </c>
      <c r="B3998" s="21" t="s">
        <v>3989</v>
      </c>
      <c r="C3998" s="21" t="s">
        <v>3989</v>
      </c>
      <c r="D3998" s="21" t="s">
        <v>11</v>
      </c>
      <c r="E3998" s="21" t="s">
        <v>11</v>
      </c>
    </row>
    <row r="3999" spans="1:5" s="21" customFormat="1" ht="15.75" hidden="1" customHeight="1">
      <c r="A3999" s="21">
        <v>842890</v>
      </c>
      <c r="B3999" s="21" t="s">
        <v>3990</v>
      </c>
      <c r="C3999" s="21" t="s">
        <v>5951</v>
      </c>
      <c r="D3999" s="21" t="s">
        <v>11</v>
      </c>
      <c r="E3999" s="21" t="s">
        <v>11</v>
      </c>
    </row>
    <row r="4000" spans="1:5" s="21" customFormat="1" ht="15.75" hidden="1" customHeight="1">
      <c r="A4000" s="21">
        <v>842911</v>
      </c>
      <c r="B4000" s="21" t="s">
        <v>3991</v>
      </c>
      <c r="C4000" s="21" t="s">
        <v>5952</v>
      </c>
      <c r="D4000" s="21" t="s">
        <v>11</v>
      </c>
      <c r="E4000" s="21" t="s">
        <v>11</v>
      </c>
    </row>
    <row r="4001" spans="1:5" s="21" customFormat="1" ht="15.75" hidden="1" customHeight="1">
      <c r="A4001" s="21">
        <v>842919</v>
      </c>
      <c r="B4001" s="21" t="s">
        <v>3992</v>
      </c>
      <c r="C4001" s="21" t="s">
        <v>5952</v>
      </c>
      <c r="D4001" s="21" t="s">
        <v>11</v>
      </c>
      <c r="E4001" s="21" t="s">
        <v>11</v>
      </c>
    </row>
    <row r="4002" spans="1:5" s="21" customFormat="1" ht="15.75" hidden="1" customHeight="1">
      <c r="A4002" s="21">
        <v>842920</v>
      </c>
      <c r="B4002" s="21" t="s">
        <v>3993</v>
      </c>
      <c r="C4002" s="21" t="s">
        <v>3993</v>
      </c>
      <c r="D4002" s="21" t="s">
        <v>11</v>
      </c>
      <c r="E4002" s="21" t="s">
        <v>11</v>
      </c>
    </row>
    <row r="4003" spans="1:5" s="21" customFormat="1" ht="15.75" hidden="1" customHeight="1">
      <c r="A4003" s="21">
        <v>842930</v>
      </c>
      <c r="B4003" s="21" t="s">
        <v>3994</v>
      </c>
      <c r="C4003" s="21" t="s">
        <v>5953</v>
      </c>
      <c r="D4003" s="21" t="s">
        <v>11</v>
      </c>
      <c r="E4003" s="21" t="s">
        <v>11</v>
      </c>
    </row>
    <row r="4004" spans="1:5" s="21" customFormat="1" ht="15.75" hidden="1" customHeight="1">
      <c r="A4004" s="21">
        <v>842940</v>
      </c>
      <c r="B4004" s="21" t="s">
        <v>3995</v>
      </c>
      <c r="C4004" s="21" t="s">
        <v>5954</v>
      </c>
      <c r="D4004" s="21" t="s">
        <v>11</v>
      </c>
      <c r="E4004" s="21" t="s">
        <v>11</v>
      </c>
    </row>
    <row r="4005" spans="1:5" s="21" customFormat="1" ht="15.75" hidden="1" customHeight="1">
      <c r="A4005" s="21">
        <v>842951</v>
      </c>
      <c r="B4005" s="21" t="s">
        <v>3996</v>
      </c>
      <c r="C4005" s="21" t="s">
        <v>3996</v>
      </c>
      <c r="D4005" s="21" t="s">
        <v>11</v>
      </c>
      <c r="E4005" s="21" t="s">
        <v>11</v>
      </c>
    </row>
    <row r="4006" spans="1:5" s="21" customFormat="1" ht="15.75" hidden="1" customHeight="1">
      <c r="A4006" s="21">
        <v>842952</v>
      </c>
      <c r="B4006" s="21" t="s">
        <v>3997</v>
      </c>
      <c r="C4006" s="21" t="s">
        <v>5955</v>
      </c>
      <c r="D4006" s="21" t="s">
        <v>11</v>
      </c>
      <c r="E4006" s="21" t="s">
        <v>11</v>
      </c>
    </row>
    <row r="4007" spans="1:5" s="21" customFormat="1" ht="15.75" hidden="1" customHeight="1">
      <c r="A4007" s="21">
        <v>842959</v>
      </c>
      <c r="B4007" s="21" t="s">
        <v>3998</v>
      </c>
      <c r="C4007" s="21" t="s">
        <v>5955</v>
      </c>
      <c r="D4007" s="21" t="s">
        <v>11</v>
      </c>
      <c r="E4007" s="21" t="s">
        <v>11</v>
      </c>
    </row>
    <row r="4008" spans="1:5" s="21" customFormat="1" ht="15.75" hidden="1" customHeight="1">
      <c r="A4008" s="21">
        <v>843010</v>
      </c>
      <c r="B4008" s="21" t="s">
        <v>3999</v>
      </c>
      <c r="C4008" s="21" t="s">
        <v>3999</v>
      </c>
      <c r="D4008" s="21" t="s">
        <v>11</v>
      </c>
      <c r="E4008" s="21" t="s">
        <v>11</v>
      </c>
    </row>
    <row r="4009" spans="1:5" s="21" customFormat="1" ht="15.75" hidden="1" customHeight="1">
      <c r="A4009" s="21">
        <v>843020</v>
      </c>
      <c r="B4009" s="21" t="s">
        <v>4000</v>
      </c>
      <c r="C4009" s="21" t="s">
        <v>4000</v>
      </c>
      <c r="D4009" s="21" t="s">
        <v>11</v>
      </c>
      <c r="E4009" s="21" t="s">
        <v>11</v>
      </c>
    </row>
    <row r="4010" spans="1:5" s="21" customFormat="1" ht="15.75" hidden="1" customHeight="1">
      <c r="A4010" s="21">
        <v>843031</v>
      </c>
      <c r="B4010" s="21" t="s">
        <v>4001</v>
      </c>
      <c r="C4010" s="21" t="s">
        <v>5956</v>
      </c>
      <c r="D4010" s="21" t="s">
        <v>11</v>
      </c>
      <c r="E4010" s="21" t="s">
        <v>11</v>
      </c>
    </row>
    <row r="4011" spans="1:5" s="21" customFormat="1" ht="15.75" hidden="1" customHeight="1">
      <c r="A4011" s="21">
        <v>843039</v>
      </c>
      <c r="B4011" s="21" t="s">
        <v>4002</v>
      </c>
      <c r="C4011" s="21" t="s">
        <v>5956</v>
      </c>
      <c r="D4011" s="21" t="s">
        <v>11</v>
      </c>
      <c r="E4011" s="21" t="s">
        <v>11</v>
      </c>
    </row>
    <row r="4012" spans="1:5" s="21" customFormat="1" ht="15.75" hidden="1" customHeight="1">
      <c r="A4012" s="21">
        <v>843041</v>
      </c>
      <c r="B4012" s="21" t="s">
        <v>4003</v>
      </c>
      <c r="C4012" s="21" t="s">
        <v>5957</v>
      </c>
      <c r="D4012" s="21" t="s">
        <v>11</v>
      </c>
      <c r="E4012" s="21" t="s">
        <v>11</v>
      </c>
    </row>
    <row r="4013" spans="1:5" s="21" customFormat="1" ht="15.75" hidden="1" customHeight="1">
      <c r="A4013" s="21">
        <v>843049</v>
      </c>
      <c r="B4013" s="21" t="s">
        <v>4004</v>
      </c>
      <c r="C4013" s="21" t="s">
        <v>5958</v>
      </c>
      <c r="D4013" s="21" t="s">
        <v>11</v>
      </c>
      <c r="E4013" s="21" t="s">
        <v>11</v>
      </c>
    </row>
    <row r="4014" spans="1:5" s="21" customFormat="1" ht="15.75" hidden="1" customHeight="1">
      <c r="A4014" s="21">
        <v>843050</v>
      </c>
      <c r="B4014" s="21" t="s">
        <v>4005</v>
      </c>
      <c r="C4014" s="21" t="s">
        <v>5934</v>
      </c>
      <c r="D4014" s="21" t="s">
        <v>11</v>
      </c>
      <c r="E4014" s="21" t="s">
        <v>11</v>
      </c>
    </row>
    <row r="4015" spans="1:5" s="21" customFormat="1" ht="15.75" hidden="1" customHeight="1">
      <c r="A4015" s="21">
        <v>843061</v>
      </c>
      <c r="B4015" s="21" t="s">
        <v>4006</v>
      </c>
      <c r="C4015" s="21" t="s">
        <v>5934</v>
      </c>
      <c r="D4015" s="21" t="s">
        <v>11</v>
      </c>
      <c r="E4015" s="21" t="s">
        <v>11</v>
      </c>
    </row>
    <row r="4016" spans="1:5" s="21" customFormat="1" ht="15.75" hidden="1" customHeight="1">
      <c r="A4016" s="21">
        <v>843069</v>
      </c>
      <c r="B4016" s="21" t="s">
        <v>4007</v>
      </c>
      <c r="C4016" s="21" t="s">
        <v>5934</v>
      </c>
      <c r="D4016" s="21" t="s">
        <v>11</v>
      </c>
      <c r="E4016" s="21" t="s">
        <v>11</v>
      </c>
    </row>
    <row r="4017" spans="1:5" s="21" customFormat="1" ht="15.75" hidden="1" customHeight="1">
      <c r="A4017" s="21">
        <v>843110</v>
      </c>
      <c r="B4017" s="21" t="s">
        <v>4008</v>
      </c>
      <c r="C4017" s="21" t="s">
        <v>5934</v>
      </c>
      <c r="D4017" s="21" t="s">
        <v>11</v>
      </c>
      <c r="E4017" s="21" t="s">
        <v>11</v>
      </c>
    </row>
    <row r="4018" spans="1:5" s="21" customFormat="1" ht="15.75" hidden="1" customHeight="1">
      <c r="A4018" s="21">
        <v>843120</v>
      </c>
      <c r="B4018" s="21" t="s">
        <v>4009</v>
      </c>
      <c r="C4018" s="21" t="s">
        <v>5934</v>
      </c>
      <c r="D4018" s="21" t="s">
        <v>11</v>
      </c>
      <c r="E4018" s="21" t="s">
        <v>11</v>
      </c>
    </row>
    <row r="4019" spans="1:5" s="21" customFormat="1" ht="15.75" hidden="1" customHeight="1">
      <c r="A4019" s="21">
        <v>843131</v>
      </c>
      <c r="B4019" s="21" t="s">
        <v>4010</v>
      </c>
      <c r="C4019" s="21" t="s">
        <v>5959</v>
      </c>
      <c r="D4019" s="21" t="s">
        <v>11</v>
      </c>
      <c r="E4019" s="21" t="s">
        <v>11</v>
      </c>
    </row>
    <row r="4020" spans="1:5" s="21" customFormat="1" ht="15.75" hidden="1" customHeight="1">
      <c r="A4020" s="21">
        <v>843139</v>
      </c>
      <c r="B4020" s="21" t="s">
        <v>4011</v>
      </c>
      <c r="C4020" s="21" t="s">
        <v>5934</v>
      </c>
      <c r="D4020" s="21" t="s">
        <v>11</v>
      </c>
      <c r="E4020" s="21" t="s">
        <v>11</v>
      </c>
    </row>
    <row r="4021" spans="1:5" s="21" customFormat="1" ht="15.75" hidden="1" customHeight="1">
      <c r="A4021" s="21">
        <v>843141</v>
      </c>
      <c r="B4021" s="21" t="s">
        <v>4012</v>
      </c>
      <c r="C4021" s="21" t="s">
        <v>5960</v>
      </c>
      <c r="D4021" s="21" t="s">
        <v>11</v>
      </c>
      <c r="E4021" s="21" t="s">
        <v>11</v>
      </c>
    </row>
    <row r="4022" spans="1:5" s="21" customFormat="1" ht="15.75" hidden="1" customHeight="1">
      <c r="A4022" s="21">
        <v>843142</v>
      </c>
      <c r="B4022" s="21" t="s">
        <v>4013</v>
      </c>
      <c r="C4022" s="21" t="s">
        <v>5960</v>
      </c>
      <c r="D4022" s="21" t="s">
        <v>11</v>
      </c>
      <c r="E4022" s="21" t="s">
        <v>11</v>
      </c>
    </row>
    <row r="4023" spans="1:5" s="21" customFormat="1" ht="15.75" hidden="1" customHeight="1">
      <c r="A4023" s="21">
        <v>843143</v>
      </c>
      <c r="B4023" s="21" t="s">
        <v>4014</v>
      </c>
      <c r="C4023" s="21" t="s">
        <v>5957</v>
      </c>
      <c r="D4023" s="21" t="s">
        <v>11</v>
      </c>
      <c r="E4023" s="21" t="s">
        <v>11</v>
      </c>
    </row>
    <row r="4024" spans="1:5" s="21" customFormat="1" ht="15.75" hidden="1" customHeight="1">
      <c r="A4024" s="21">
        <v>843149</v>
      </c>
      <c r="B4024" s="21" t="s">
        <v>4015</v>
      </c>
      <c r="C4024" s="21" t="s">
        <v>5934</v>
      </c>
      <c r="D4024" s="21" t="s">
        <v>11</v>
      </c>
      <c r="E4024" s="21" t="s">
        <v>11</v>
      </c>
    </row>
    <row r="4025" spans="1:5" s="21" customFormat="1" ht="15.75" hidden="1" customHeight="1">
      <c r="A4025" s="21">
        <v>843210</v>
      </c>
      <c r="B4025" s="21" t="s">
        <v>4016</v>
      </c>
      <c r="C4025" s="21" t="s">
        <v>5961</v>
      </c>
      <c r="D4025" s="21" t="s">
        <v>11</v>
      </c>
      <c r="E4025" s="21" t="s">
        <v>11</v>
      </c>
    </row>
    <row r="4026" spans="1:5" s="21" customFormat="1" ht="15.75" hidden="1" customHeight="1">
      <c r="A4026" s="21">
        <v>843221</v>
      </c>
      <c r="B4026" s="21" t="s">
        <v>4017</v>
      </c>
      <c r="C4026" s="21" t="s">
        <v>5962</v>
      </c>
      <c r="D4026" s="21" t="s">
        <v>11</v>
      </c>
      <c r="E4026" s="21" t="s">
        <v>11</v>
      </c>
    </row>
    <row r="4027" spans="1:5" s="21" customFormat="1" ht="15.75" hidden="1" customHeight="1">
      <c r="A4027" s="21">
        <v>843229</v>
      </c>
      <c r="B4027" s="21" t="s">
        <v>4018</v>
      </c>
      <c r="C4027" s="21" t="s">
        <v>5962</v>
      </c>
      <c r="D4027" s="21" t="s">
        <v>11</v>
      </c>
      <c r="E4027" s="21" t="s">
        <v>11</v>
      </c>
    </row>
    <row r="4028" spans="1:5" s="21" customFormat="1" ht="15.75" hidden="1" customHeight="1">
      <c r="A4028" s="21">
        <v>843230</v>
      </c>
      <c r="B4028" s="21" t="s">
        <v>4019</v>
      </c>
      <c r="C4028" s="21" t="s">
        <v>4019</v>
      </c>
      <c r="D4028" s="21" t="s">
        <v>11</v>
      </c>
      <c r="E4028" s="21" t="s">
        <v>11</v>
      </c>
    </row>
    <row r="4029" spans="1:5" s="21" customFormat="1" ht="15.75" hidden="1" customHeight="1">
      <c r="A4029" s="21">
        <v>843240</v>
      </c>
      <c r="B4029" s="21" t="s">
        <v>4020</v>
      </c>
      <c r="C4029" s="21" t="s">
        <v>5963</v>
      </c>
      <c r="D4029" s="21" t="s">
        <v>11</v>
      </c>
      <c r="E4029" s="21" t="s">
        <v>11</v>
      </c>
    </row>
    <row r="4030" spans="1:5" s="21" customFormat="1" ht="15.75" hidden="1" customHeight="1">
      <c r="A4030" s="21">
        <v>843280</v>
      </c>
      <c r="B4030" s="21" t="s">
        <v>4021</v>
      </c>
      <c r="C4030" s="21" t="s">
        <v>5964</v>
      </c>
      <c r="D4030" s="21" t="s">
        <v>11</v>
      </c>
      <c r="E4030" s="21" t="s">
        <v>11</v>
      </c>
    </row>
    <row r="4031" spans="1:5" s="21" customFormat="1" ht="15.75" hidden="1" customHeight="1">
      <c r="A4031" s="21">
        <v>843290</v>
      </c>
      <c r="B4031" s="21" t="s">
        <v>4022</v>
      </c>
      <c r="C4031" s="21" t="s">
        <v>5934</v>
      </c>
      <c r="D4031" s="21" t="s">
        <v>11</v>
      </c>
      <c r="E4031" s="21" t="s">
        <v>11</v>
      </c>
    </row>
    <row r="4032" spans="1:5" s="21" customFormat="1" ht="15.75" hidden="1" customHeight="1">
      <c r="A4032" s="21">
        <v>843311</v>
      </c>
      <c r="B4032" s="21" t="s">
        <v>4023</v>
      </c>
      <c r="C4032" s="21" t="s">
        <v>5965</v>
      </c>
      <c r="D4032" s="21" t="s">
        <v>11</v>
      </c>
      <c r="E4032" s="21" t="s">
        <v>11</v>
      </c>
    </row>
    <row r="4033" spans="1:5" s="21" customFormat="1" ht="15.75" hidden="1" customHeight="1">
      <c r="A4033" s="21">
        <v>843319</v>
      </c>
      <c r="B4033" s="21" t="s">
        <v>4024</v>
      </c>
      <c r="C4033" s="21" t="s">
        <v>5965</v>
      </c>
      <c r="D4033" s="21" t="s">
        <v>11</v>
      </c>
      <c r="E4033" s="21" t="s">
        <v>11</v>
      </c>
    </row>
    <row r="4034" spans="1:5" s="21" customFormat="1" ht="15.75" hidden="1" customHeight="1">
      <c r="A4034" s="21">
        <v>843320</v>
      </c>
      <c r="B4034" s="21" t="s">
        <v>4025</v>
      </c>
      <c r="C4034" s="21" t="s">
        <v>5965</v>
      </c>
      <c r="D4034" s="21" t="s">
        <v>11</v>
      </c>
      <c r="E4034" s="21" t="s">
        <v>11</v>
      </c>
    </row>
    <row r="4035" spans="1:5" s="21" customFormat="1" ht="15.75" hidden="1" customHeight="1">
      <c r="A4035" s="21">
        <v>843330</v>
      </c>
      <c r="B4035" s="21" t="s">
        <v>4026</v>
      </c>
      <c r="C4035" s="21" t="s">
        <v>4026</v>
      </c>
      <c r="D4035" s="21" t="s">
        <v>11</v>
      </c>
      <c r="E4035" s="21" t="s">
        <v>11</v>
      </c>
    </row>
    <row r="4036" spans="1:5" s="21" customFormat="1" ht="15.75" hidden="1" customHeight="1">
      <c r="A4036" s="21">
        <v>843340</v>
      </c>
      <c r="B4036" s="21" t="s">
        <v>4027</v>
      </c>
      <c r="C4036" s="21" t="s">
        <v>5966</v>
      </c>
      <c r="D4036" s="21" t="s">
        <v>11</v>
      </c>
      <c r="E4036" s="21" t="s">
        <v>11</v>
      </c>
    </row>
    <row r="4037" spans="1:5" s="21" customFormat="1" ht="15.75" hidden="1" customHeight="1">
      <c r="A4037" s="21">
        <v>843351</v>
      </c>
      <c r="B4037" s="21" t="s">
        <v>4028</v>
      </c>
      <c r="C4037" s="21" t="s">
        <v>4028</v>
      </c>
      <c r="D4037" s="21" t="s">
        <v>11</v>
      </c>
      <c r="E4037" s="21" t="s">
        <v>11</v>
      </c>
    </row>
    <row r="4038" spans="1:5" s="21" customFormat="1" ht="15.75" hidden="1" customHeight="1">
      <c r="A4038" s="21">
        <v>843352</v>
      </c>
      <c r="B4038" s="21" t="s">
        <v>4029</v>
      </c>
      <c r="C4038" s="21" t="s">
        <v>5967</v>
      </c>
      <c r="D4038" s="21" t="s">
        <v>11</v>
      </c>
      <c r="E4038" s="21" t="s">
        <v>11</v>
      </c>
    </row>
    <row r="4039" spans="1:5" s="21" customFormat="1" ht="15.75" hidden="1" customHeight="1">
      <c r="A4039" s="21">
        <v>843353</v>
      </c>
      <c r="B4039" s="21" t="s">
        <v>4030</v>
      </c>
      <c r="C4039" s="21" t="s">
        <v>5968</v>
      </c>
      <c r="D4039" s="21" t="s">
        <v>11</v>
      </c>
      <c r="E4039" s="21" t="s">
        <v>11</v>
      </c>
    </row>
    <row r="4040" spans="1:5" s="21" customFormat="1" ht="15.75" hidden="1" customHeight="1">
      <c r="A4040" s="21">
        <v>843359</v>
      </c>
      <c r="B4040" s="21" t="s">
        <v>4031</v>
      </c>
      <c r="C4040" s="21" t="s">
        <v>5968</v>
      </c>
      <c r="D4040" s="21" t="s">
        <v>11</v>
      </c>
      <c r="E4040" s="21" t="s">
        <v>11</v>
      </c>
    </row>
    <row r="4041" spans="1:5" s="21" customFormat="1" ht="15.75" hidden="1" customHeight="1">
      <c r="A4041" s="21">
        <v>843360</v>
      </c>
      <c r="B4041" s="21" t="s">
        <v>4032</v>
      </c>
      <c r="C4041" s="21" t="s">
        <v>5937</v>
      </c>
      <c r="D4041" s="21" t="s">
        <v>11</v>
      </c>
      <c r="E4041" s="21" t="s">
        <v>11</v>
      </c>
    </row>
    <row r="4042" spans="1:5" s="21" customFormat="1" ht="15.75" hidden="1" customHeight="1">
      <c r="A4042" s="21">
        <v>843390</v>
      </c>
      <c r="B4042" s="21" t="s">
        <v>4033</v>
      </c>
      <c r="C4042" s="21" t="s">
        <v>5968</v>
      </c>
      <c r="D4042" s="21" t="s">
        <v>11</v>
      </c>
      <c r="E4042" s="21" t="s">
        <v>11</v>
      </c>
    </row>
    <row r="4043" spans="1:5" s="21" customFormat="1" ht="15.75" hidden="1" customHeight="1">
      <c r="A4043" s="21">
        <v>843410</v>
      </c>
      <c r="B4043" s="21" t="s">
        <v>4034</v>
      </c>
      <c r="C4043" s="21" t="s">
        <v>4034</v>
      </c>
      <c r="D4043" s="21" t="s">
        <v>11</v>
      </c>
      <c r="E4043" s="21" t="s">
        <v>11</v>
      </c>
    </row>
    <row r="4044" spans="1:5" s="21" customFormat="1" ht="15.75" hidden="1" customHeight="1">
      <c r="A4044" s="21">
        <v>843420</v>
      </c>
      <c r="B4044" s="21" t="s">
        <v>4035</v>
      </c>
      <c r="C4044" s="21" t="s">
        <v>4035</v>
      </c>
      <c r="D4044" s="21" t="s">
        <v>11</v>
      </c>
      <c r="E4044" s="21" t="s">
        <v>11</v>
      </c>
    </row>
    <row r="4045" spans="1:5" s="21" customFormat="1" ht="15.75" hidden="1" customHeight="1">
      <c r="A4045" s="21">
        <v>843490</v>
      </c>
      <c r="B4045" s="21" t="s">
        <v>4036</v>
      </c>
      <c r="C4045" s="21" t="s">
        <v>5969</v>
      </c>
      <c r="D4045" s="21" t="s">
        <v>11</v>
      </c>
      <c r="E4045" s="21" t="s">
        <v>11</v>
      </c>
    </row>
    <row r="4046" spans="1:5" s="21" customFormat="1" ht="15.75" hidden="1" customHeight="1">
      <c r="A4046" s="21">
        <v>843510</v>
      </c>
      <c r="B4046" s="21" t="s">
        <v>4037</v>
      </c>
      <c r="C4046" s="21" t="s">
        <v>5970</v>
      </c>
      <c r="D4046" s="21" t="s">
        <v>11</v>
      </c>
      <c r="E4046" s="21" t="s">
        <v>11</v>
      </c>
    </row>
    <row r="4047" spans="1:5" s="21" customFormat="1" ht="15.75" hidden="1" customHeight="1">
      <c r="A4047" s="21">
        <v>843590</v>
      </c>
      <c r="B4047" s="21" t="s">
        <v>4038</v>
      </c>
      <c r="C4047" s="21" t="s">
        <v>5970</v>
      </c>
      <c r="D4047" s="21" t="s">
        <v>11</v>
      </c>
      <c r="E4047" s="21" t="s">
        <v>11</v>
      </c>
    </row>
    <row r="4048" spans="1:5" s="21" customFormat="1" ht="15.75" hidden="1" customHeight="1">
      <c r="A4048" s="21">
        <v>843610</v>
      </c>
      <c r="B4048" s="21" t="s">
        <v>4039</v>
      </c>
      <c r="C4048" s="21" t="s">
        <v>5934</v>
      </c>
      <c r="D4048" s="21" t="s">
        <v>11</v>
      </c>
      <c r="E4048" s="21" t="s">
        <v>11</v>
      </c>
    </row>
    <row r="4049" spans="1:5" s="21" customFormat="1" ht="15.75" hidden="1" customHeight="1">
      <c r="A4049" s="21">
        <v>843621</v>
      </c>
      <c r="B4049" s="21" t="s">
        <v>4040</v>
      </c>
      <c r="C4049" s="21" t="s">
        <v>4040</v>
      </c>
      <c r="D4049" s="21" t="s">
        <v>11</v>
      </c>
      <c r="E4049" s="21" t="s">
        <v>11</v>
      </c>
    </row>
    <row r="4050" spans="1:5" s="21" customFormat="1" ht="15.75" hidden="1" customHeight="1">
      <c r="A4050" s="21">
        <v>843629</v>
      </c>
      <c r="B4050" s="21" t="s">
        <v>4041</v>
      </c>
      <c r="C4050" s="21" t="s">
        <v>5971</v>
      </c>
      <c r="D4050" s="21" t="s">
        <v>11</v>
      </c>
      <c r="E4050" s="21" t="s">
        <v>11</v>
      </c>
    </row>
    <row r="4051" spans="1:5" s="21" customFormat="1" ht="15.75" hidden="1" customHeight="1">
      <c r="A4051" s="21">
        <v>843680</v>
      </c>
      <c r="B4051" s="21" t="s">
        <v>4042</v>
      </c>
      <c r="C4051" s="21" t="s">
        <v>5934</v>
      </c>
      <c r="D4051" s="21" t="s">
        <v>11</v>
      </c>
      <c r="E4051" s="21" t="s">
        <v>11</v>
      </c>
    </row>
    <row r="4052" spans="1:5" s="21" customFormat="1" ht="15.75" hidden="1" customHeight="1">
      <c r="A4052" s="21">
        <v>843691</v>
      </c>
      <c r="B4052" s="21" t="s">
        <v>4043</v>
      </c>
      <c r="C4052" s="21" t="s">
        <v>5934</v>
      </c>
      <c r="D4052" s="21" t="s">
        <v>11</v>
      </c>
      <c r="E4052" s="21" t="s">
        <v>11</v>
      </c>
    </row>
    <row r="4053" spans="1:5" s="21" customFormat="1" ht="15.75" hidden="1" customHeight="1">
      <c r="A4053" s="21">
        <v>843699</v>
      </c>
      <c r="B4053" s="21" t="s">
        <v>4044</v>
      </c>
      <c r="C4053" s="21" t="s">
        <v>5934</v>
      </c>
      <c r="D4053" s="21" t="s">
        <v>11</v>
      </c>
      <c r="E4053" s="21" t="s">
        <v>11</v>
      </c>
    </row>
    <row r="4054" spans="1:5" s="21" customFormat="1" ht="15.75" hidden="1" customHeight="1">
      <c r="A4054" s="21">
        <v>843710</v>
      </c>
      <c r="B4054" s="21" t="s">
        <v>4045</v>
      </c>
      <c r="C4054" s="21" t="s">
        <v>5937</v>
      </c>
      <c r="D4054" s="21" t="s">
        <v>11</v>
      </c>
      <c r="E4054" s="21" t="s">
        <v>11</v>
      </c>
    </row>
    <row r="4055" spans="1:5" s="21" customFormat="1" ht="15.75" hidden="1" customHeight="1">
      <c r="A4055" s="21">
        <v>843780</v>
      </c>
      <c r="B4055" s="21" t="s">
        <v>4046</v>
      </c>
      <c r="C4055" s="21" t="s">
        <v>5934</v>
      </c>
      <c r="D4055" s="21" t="s">
        <v>11</v>
      </c>
      <c r="E4055" s="21" t="s">
        <v>11</v>
      </c>
    </row>
    <row r="4056" spans="1:5" s="21" customFormat="1" ht="15.75" hidden="1" customHeight="1">
      <c r="A4056" s="21">
        <v>843790</v>
      </c>
      <c r="B4056" s="21" t="s">
        <v>4047</v>
      </c>
      <c r="C4056" s="21" t="s">
        <v>5937</v>
      </c>
      <c r="D4056" s="21" t="s">
        <v>11</v>
      </c>
      <c r="E4056" s="21" t="s">
        <v>11</v>
      </c>
    </row>
    <row r="4057" spans="1:5" s="21" customFormat="1" ht="15.75" hidden="1" customHeight="1">
      <c r="A4057" s="21">
        <v>843810</v>
      </c>
      <c r="B4057" s="21" t="s">
        <v>4048</v>
      </c>
      <c r="C4057" s="21" t="s">
        <v>5934</v>
      </c>
      <c r="D4057" s="21" t="s">
        <v>11</v>
      </c>
      <c r="E4057" s="21" t="s">
        <v>11</v>
      </c>
    </row>
    <row r="4058" spans="1:5" s="21" customFormat="1" ht="15.75" hidden="1" customHeight="1">
      <c r="A4058" s="21">
        <v>843820</v>
      </c>
      <c r="B4058" s="21" t="s">
        <v>4049</v>
      </c>
      <c r="C4058" s="21" t="s">
        <v>5934</v>
      </c>
      <c r="D4058" s="21" t="s">
        <v>11</v>
      </c>
      <c r="E4058" s="21" t="s">
        <v>11</v>
      </c>
    </row>
    <row r="4059" spans="1:5" s="21" customFormat="1" ht="15.75" hidden="1" customHeight="1">
      <c r="A4059" s="21">
        <v>843830</v>
      </c>
      <c r="B4059" s="21" t="s">
        <v>4050</v>
      </c>
      <c r="C4059" s="21" t="s">
        <v>5934</v>
      </c>
      <c r="D4059" s="21" t="s">
        <v>11</v>
      </c>
      <c r="E4059" s="21" t="s">
        <v>11</v>
      </c>
    </row>
    <row r="4060" spans="1:5" s="21" customFormat="1" ht="15.75" hidden="1" customHeight="1">
      <c r="A4060" s="21">
        <v>843840</v>
      </c>
      <c r="B4060" s="21" t="s">
        <v>4051</v>
      </c>
      <c r="C4060" s="21" t="s">
        <v>5934</v>
      </c>
      <c r="D4060" s="21" t="s">
        <v>11</v>
      </c>
      <c r="E4060" s="21" t="s">
        <v>11</v>
      </c>
    </row>
    <row r="4061" spans="1:5" s="21" customFormat="1" ht="15.75" hidden="1" customHeight="1">
      <c r="A4061" s="21">
        <v>843850</v>
      </c>
      <c r="B4061" s="21" t="s">
        <v>4052</v>
      </c>
      <c r="C4061" s="21" t="s">
        <v>5934</v>
      </c>
      <c r="D4061" s="21" t="s">
        <v>11</v>
      </c>
      <c r="E4061" s="21" t="s">
        <v>11</v>
      </c>
    </row>
    <row r="4062" spans="1:5" s="21" customFormat="1" ht="15.75" hidden="1" customHeight="1">
      <c r="A4062" s="21">
        <v>843860</v>
      </c>
      <c r="B4062" s="21" t="s">
        <v>4053</v>
      </c>
      <c r="C4062" s="21" t="s">
        <v>5934</v>
      </c>
      <c r="D4062" s="21" t="s">
        <v>11</v>
      </c>
      <c r="E4062" s="21" t="s">
        <v>11</v>
      </c>
    </row>
    <row r="4063" spans="1:5" s="21" customFormat="1" ht="15.75" hidden="1" customHeight="1">
      <c r="A4063" s="21">
        <v>843880</v>
      </c>
      <c r="B4063" s="21" t="s">
        <v>4054</v>
      </c>
      <c r="C4063" s="21" t="s">
        <v>5934</v>
      </c>
      <c r="D4063" s="21" t="s">
        <v>11</v>
      </c>
      <c r="E4063" s="21" t="s">
        <v>11</v>
      </c>
    </row>
    <row r="4064" spans="1:5" s="21" customFormat="1" ht="15.75" hidden="1" customHeight="1">
      <c r="A4064" s="21">
        <v>843890</v>
      </c>
      <c r="B4064" s="21" t="s">
        <v>4055</v>
      </c>
      <c r="C4064" s="21" t="s">
        <v>5934</v>
      </c>
      <c r="D4064" s="21" t="s">
        <v>11</v>
      </c>
      <c r="E4064" s="21" t="s">
        <v>11</v>
      </c>
    </row>
    <row r="4065" spans="1:5" s="21" customFormat="1" ht="15.75" hidden="1" customHeight="1">
      <c r="A4065" s="21">
        <v>843910</v>
      </c>
      <c r="B4065" s="21" t="s">
        <v>4056</v>
      </c>
      <c r="C4065" s="21" t="s">
        <v>5934</v>
      </c>
      <c r="D4065" s="21" t="s">
        <v>11</v>
      </c>
      <c r="E4065" s="21" t="s">
        <v>11</v>
      </c>
    </row>
    <row r="4066" spans="1:5" s="21" customFormat="1" ht="15.75" hidden="1" customHeight="1">
      <c r="A4066" s="21">
        <v>843920</v>
      </c>
      <c r="B4066" s="21" t="s">
        <v>4057</v>
      </c>
      <c r="C4066" s="21" t="s">
        <v>5934</v>
      </c>
      <c r="D4066" s="21" t="s">
        <v>11</v>
      </c>
      <c r="E4066" s="21" t="s">
        <v>11</v>
      </c>
    </row>
    <row r="4067" spans="1:5" s="21" customFormat="1" ht="15.75" hidden="1" customHeight="1">
      <c r="A4067" s="21">
        <v>843930</v>
      </c>
      <c r="B4067" s="21" t="s">
        <v>4058</v>
      </c>
      <c r="C4067" s="21" t="s">
        <v>5934</v>
      </c>
      <c r="D4067" s="21" t="s">
        <v>11</v>
      </c>
      <c r="E4067" s="21" t="s">
        <v>11</v>
      </c>
    </row>
    <row r="4068" spans="1:5" s="21" customFormat="1" ht="15.75" hidden="1" customHeight="1">
      <c r="A4068" s="21">
        <v>843991</v>
      </c>
      <c r="B4068" s="21" t="s">
        <v>4059</v>
      </c>
      <c r="C4068" s="21" t="s">
        <v>5934</v>
      </c>
      <c r="D4068" s="21" t="s">
        <v>11</v>
      </c>
      <c r="E4068" s="21" t="s">
        <v>11</v>
      </c>
    </row>
    <row r="4069" spans="1:5" s="21" customFormat="1" ht="15.75" hidden="1" customHeight="1">
      <c r="A4069" s="21">
        <v>843999</v>
      </c>
      <c r="B4069" s="21" t="s">
        <v>4060</v>
      </c>
      <c r="C4069" s="21" t="s">
        <v>5934</v>
      </c>
      <c r="D4069" s="21" t="s">
        <v>11</v>
      </c>
      <c r="E4069" s="21" t="s">
        <v>11</v>
      </c>
    </row>
    <row r="4070" spans="1:5" s="21" customFormat="1" ht="15.75" hidden="1" customHeight="1">
      <c r="A4070" s="21">
        <v>844010</v>
      </c>
      <c r="B4070" s="21" t="s">
        <v>4061</v>
      </c>
      <c r="C4070" s="21" t="s">
        <v>5972</v>
      </c>
      <c r="D4070" s="21" t="s">
        <v>11</v>
      </c>
      <c r="E4070" s="21" t="s">
        <v>11</v>
      </c>
    </row>
    <row r="4071" spans="1:5" s="21" customFormat="1" ht="15.75" hidden="1" customHeight="1">
      <c r="A4071" s="21">
        <v>844090</v>
      </c>
      <c r="B4071" s="21" t="s">
        <v>4062</v>
      </c>
      <c r="C4071" s="21" t="s">
        <v>5972</v>
      </c>
      <c r="D4071" s="21" t="s">
        <v>11</v>
      </c>
      <c r="E4071" s="21" t="s">
        <v>11</v>
      </c>
    </row>
    <row r="4072" spans="1:5" s="21" customFormat="1" ht="15.75" hidden="1" customHeight="1">
      <c r="A4072" s="21">
        <v>844110</v>
      </c>
      <c r="B4072" s="21" t="s">
        <v>4063</v>
      </c>
      <c r="C4072" s="21" t="s">
        <v>5937</v>
      </c>
      <c r="D4072" s="21" t="s">
        <v>11</v>
      </c>
      <c r="E4072" s="21" t="s">
        <v>11</v>
      </c>
    </row>
    <row r="4073" spans="1:5" s="21" customFormat="1" ht="15.75" hidden="1" customHeight="1">
      <c r="A4073" s="21">
        <v>844120</v>
      </c>
      <c r="B4073" s="21" t="s">
        <v>4064</v>
      </c>
      <c r="C4073" s="21" t="s">
        <v>5937</v>
      </c>
      <c r="D4073" s="21" t="s">
        <v>11</v>
      </c>
      <c r="E4073" s="21" t="s">
        <v>11</v>
      </c>
    </row>
    <row r="4074" spans="1:5" s="21" customFormat="1" ht="15.75" hidden="1" customHeight="1">
      <c r="A4074" s="21">
        <v>844130</v>
      </c>
      <c r="B4074" s="21" t="s">
        <v>4065</v>
      </c>
      <c r="C4074" s="21" t="s">
        <v>5937</v>
      </c>
      <c r="D4074" s="21" t="s">
        <v>11</v>
      </c>
      <c r="E4074" s="21" t="s">
        <v>11</v>
      </c>
    </row>
    <row r="4075" spans="1:5" s="21" customFormat="1" ht="15.75" hidden="1" customHeight="1">
      <c r="A4075" s="21">
        <v>844140</v>
      </c>
      <c r="B4075" s="21" t="s">
        <v>4066</v>
      </c>
      <c r="C4075" s="21" t="s">
        <v>5937</v>
      </c>
      <c r="D4075" s="21" t="s">
        <v>11</v>
      </c>
      <c r="E4075" s="21" t="s">
        <v>11</v>
      </c>
    </row>
    <row r="4076" spans="1:5" s="21" customFormat="1" ht="15.75" hidden="1" customHeight="1">
      <c r="A4076" s="21">
        <v>844180</v>
      </c>
      <c r="B4076" s="21" t="s">
        <v>4067</v>
      </c>
      <c r="C4076" s="21" t="s">
        <v>5934</v>
      </c>
      <c r="D4076" s="21" t="s">
        <v>11</v>
      </c>
      <c r="E4076" s="21" t="s">
        <v>11</v>
      </c>
    </row>
    <row r="4077" spans="1:5" s="21" customFormat="1" ht="15.75" hidden="1" customHeight="1">
      <c r="A4077" s="21">
        <v>844190</v>
      </c>
      <c r="B4077" s="21" t="s">
        <v>4068</v>
      </c>
      <c r="C4077" s="21" t="s">
        <v>5934</v>
      </c>
      <c r="D4077" s="21" t="s">
        <v>11</v>
      </c>
      <c r="E4077" s="21" t="s">
        <v>11</v>
      </c>
    </row>
    <row r="4078" spans="1:5" s="21" customFormat="1" ht="15.75" hidden="1" customHeight="1">
      <c r="A4078" s="21">
        <v>844230</v>
      </c>
      <c r="B4078" s="21" t="s">
        <v>4069</v>
      </c>
      <c r="C4078" s="21" t="s">
        <v>4069</v>
      </c>
      <c r="D4078" s="21" t="s">
        <v>11</v>
      </c>
      <c r="E4078" s="21" t="s">
        <v>11</v>
      </c>
    </row>
    <row r="4079" spans="1:5" s="21" customFormat="1" ht="15.75" hidden="1" customHeight="1">
      <c r="A4079" s="21">
        <v>844240</v>
      </c>
      <c r="B4079" s="21" t="s">
        <v>4070</v>
      </c>
      <c r="C4079" s="21" t="s">
        <v>4069</v>
      </c>
      <c r="D4079" s="21" t="s">
        <v>11</v>
      </c>
      <c r="E4079" s="21" t="s">
        <v>11</v>
      </c>
    </row>
    <row r="4080" spans="1:5" s="21" customFormat="1" ht="15.75" hidden="1" customHeight="1">
      <c r="A4080" s="21">
        <v>844250</v>
      </c>
      <c r="B4080" s="21" t="s">
        <v>4071</v>
      </c>
      <c r="C4080" s="21" t="s">
        <v>5973</v>
      </c>
      <c r="D4080" s="21" t="s">
        <v>11</v>
      </c>
      <c r="E4080" s="21" t="s">
        <v>11</v>
      </c>
    </row>
    <row r="4081" spans="1:5" s="21" customFormat="1" ht="15.75" hidden="1" customHeight="1">
      <c r="A4081" s="21">
        <v>844311</v>
      </c>
      <c r="B4081" s="21" t="s">
        <v>4072</v>
      </c>
      <c r="C4081" s="21" t="s">
        <v>5974</v>
      </c>
      <c r="D4081" s="21" t="s">
        <v>11</v>
      </c>
      <c r="E4081" s="21" t="s">
        <v>11</v>
      </c>
    </row>
    <row r="4082" spans="1:5" s="21" customFormat="1" ht="15.75" hidden="1" customHeight="1">
      <c r="A4082" s="21">
        <v>844312</v>
      </c>
      <c r="B4082" s="21" t="s">
        <v>4073</v>
      </c>
      <c r="C4082" s="21" t="s">
        <v>5974</v>
      </c>
      <c r="D4082" s="21" t="s">
        <v>11</v>
      </c>
      <c r="E4082" s="21" t="s">
        <v>11</v>
      </c>
    </row>
    <row r="4083" spans="1:5" s="21" customFormat="1" ht="15.75" hidden="1" customHeight="1">
      <c r="A4083" s="21">
        <v>844313</v>
      </c>
      <c r="B4083" s="21" t="s">
        <v>4074</v>
      </c>
      <c r="C4083" s="21" t="s">
        <v>5974</v>
      </c>
      <c r="D4083" s="21" t="s">
        <v>11</v>
      </c>
      <c r="E4083" s="21" t="s">
        <v>11</v>
      </c>
    </row>
    <row r="4084" spans="1:5" s="21" customFormat="1" ht="15.75" hidden="1" customHeight="1">
      <c r="A4084" s="21">
        <v>844314</v>
      </c>
      <c r="B4084" s="21" t="s">
        <v>4075</v>
      </c>
      <c r="C4084" s="21" t="s">
        <v>5974</v>
      </c>
      <c r="D4084" s="21" t="s">
        <v>11</v>
      </c>
      <c r="E4084" s="21" t="s">
        <v>11</v>
      </c>
    </row>
    <row r="4085" spans="1:5" s="21" customFormat="1" ht="15.75" hidden="1" customHeight="1">
      <c r="A4085" s="21">
        <v>844315</v>
      </c>
      <c r="B4085" s="21" t="s">
        <v>4076</v>
      </c>
      <c r="C4085" s="21" t="s">
        <v>5974</v>
      </c>
      <c r="D4085" s="21" t="s">
        <v>11</v>
      </c>
      <c r="E4085" s="21" t="s">
        <v>11</v>
      </c>
    </row>
    <row r="4086" spans="1:5" s="21" customFormat="1" ht="15.75" hidden="1" customHeight="1">
      <c r="A4086" s="21">
        <v>844316</v>
      </c>
      <c r="B4086" s="21" t="s">
        <v>4077</v>
      </c>
      <c r="C4086" s="21" t="s">
        <v>5974</v>
      </c>
      <c r="D4086" s="21" t="s">
        <v>11</v>
      </c>
      <c r="E4086" s="21" t="s">
        <v>11</v>
      </c>
    </row>
    <row r="4087" spans="1:5" s="21" customFormat="1" ht="15.75" hidden="1" customHeight="1">
      <c r="A4087" s="21">
        <v>844317</v>
      </c>
      <c r="B4087" s="21" t="s">
        <v>4078</v>
      </c>
      <c r="C4087" s="21" t="s">
        <v>5974</v>
      </c>
      <c r="D4087" s="21" t="s">
        <v>11</v>
      </c>
      <c r="E4087" s="21" t="s">
        <v>11</v>
      </c>
    </row>
    <row r="4088" spans="1:5" s="21" customFormat="1" ht="15.75" hidden="1" customHeight="1">
      <c r="A4088" s="21">
        <v>844319</v>
      </c>
      <c r="B4088" s="21" t="s">
        <v>4079</v>
      </c>
      <c r="C4088" s="21" t="s">
        <v>5974</v>
      </c>
      <c r="D4088" s="21" t="s">
        <v>11</v>
      </c>
      <c r="E4088" s="21" t="s">
        <v>11</v>
      </c>
    </row>
    <row r="4089" spans="1:5" s="21" customFormat="1" ht="15.75" hidden="1" customHeight="1">
      <c r="A4089" s="21">
        <v>844331</v>
      </c>
      <c r="B4089" s="21" t="s">
        <v>4080</v>
      </c>
      <c r="C4089" s="21" t="s">
        <v>5975</v>
      </c>
      <c r="D4089" s="21" t="s">
        <v>11</v>
      </c>
      <c r="E4089" s="21" t="s">
        <v>11</v>
      </c>
    </row>
    <row r="4090" spans="1:5" s="21" customFormat="1" ht="15.75" hidden="1" customHeight="1">
      <c r="A4090" s="21">
        <v>844332</v>
      </c>
      <c r="B4090" s="21" t="s">
        <v>4081</v>
      </c>
      <c r="C4090" s="21" t="s">
        <v>5975</v>
      </c>
      <c r="D4090" s="21" t="s">
        <v>11</v>
      </c>
      <c r="E4090" s="21" t="s">
        <v>11</v>
      </c>
    </row>
    <row r="4091" spans="1:5" s="21" customFormat="1" ht="15.75" hidden="1" customHeight="1">
      <c r="A4091" s="21">
        <v>844339</v>
      </c>
      <c r="B4091" s="21" t="s">
        <v>4082</v>
      </c>
      <c r="C4091" s="21" t="s">
        <v>5975</v>
      </c>
      <c r="D4091" s="21" t="s">
        <v>11</v>
      </c>
      <c r="E4091" s="21" t="s">
        <v>11</v>
      </c>
    </row>
    <row r="4092" spans="1:5" s="21" customFormat="1" ht="15.75" hidden="1" customHeight="1">
      <c r="A4092" s="21">
        <v>844391</v>
      </c>
      <c r="B4092" s="21" t="s">
        <v>4083</v>
      </c>
      <c r="C4092" s="21" t="s">
        <v>5976</v>
      </c>
      <c r="D4092" s="21" t="s">
        <v>11</v>
      </c>
      <c r="E4092" s="21" t="s">
        <v>11</v>
      </c>
    </row>
    <row r="4093" spans="1:5" s="21" customFormat="1" ht="15.75" hidden="1" customHeight="1">
      <c r="A4093" s="21">
        <v>844399</v>
      </c>
      <c r="B4093" s="21" t="s">
        <v>4084</v>
      </c>
      <c r="C4093" s="21" t="s">
        <v>5974</v>
      </c>
      <c r="D4093" s="21" t="s">
        <v>11</v>
      </c>
      <c r="E4093" s="21" t="s">
        <v>11</v>
      </c>
    </row>
    <row r="4094" spans="1:5" s="21" customFormat="1" ht="15.75" hidden="1" customHeight="1">
      <c r="A4094" s="21">
        <v>844400</v>
      </c>
      <c r="B4094" s="21" t="s">
        <v>4085</v>
      </c>
      <c r="C4094" s="21" t="s">
        <v>5977</v>
      </c>
      <c r="D4094" s="21" t="s">
        <v>11</v>
      </c>
      <c r="E4094" s="21" t="s">
        <v>11</v>
      </c>
    </row>
    <row r="4095" spans="1:5" s="21" customFormat="1" ht="15.75" hidden="1" customHeight="1">
      <c r="A4095" s="21">
        <v>844511</v>
      </c>
      <c r="B4095" s="21" t="s">
        <v>4086</v>
      </c>
      <c r="C4095" s="21" t="s">
        <v>5977</v>
      </c>
      <c r="D4095" s="21" t="s">
        <v>11</v>
      </c>
      <c r="E4095" s="21" t="s">
        <v>11</v>
      </c>
    </row>
    <row r="4096" spans="1:5" s="21" customFormat="1" ht="15.75" hidden="1" customHeight="1">
      <c r="A4096" s="21">
        <v>844512</v>
      </c>
      <c r="B4096" s="21" t="s">
        <v>4087</v>
      </c>
      <c r="C4096" s="21" t="s">
        <v>5977</v>
      </c>
      <c r="D4096" s="21" t="s">
        <v>11</v>
      </c>
      <c r="E4096" s="21" t="s">
        <v>11</v>
      </c>
    </row>
    <row r="4097" spans="1:5" s="21" customFormat="1" ht="15.75" hidden="1" customHeight="1">
      <c r="A4097" s="21">
        <v>844513</v>
      </c>
      <c r="B4097" s="21" t="s">
        <v>4088</v>
      </c>
      <c r="C4097" s="21" t="s">
        <v>5977</v>
      </c>
      <c r="D4097" s="21" t="s">
        <v>11</v>
      </c>
      <c r="E4097" s="21" t="s">
        <v>11</v>
      </c>
    </row>
    <row r="4098" spans="1:5" s="21" customFormat="1" ht="15.75" hidden="1" customHeight="1">
      <c r="A4098" s="21">
        <v>844519</v>
      </c>
      <c r="B4098" s="21" t="s">
        <v>4089</v>
      </c>
      <c r="C4098" s="21" t="s">
        <v>5977</v>
      </c>
      <c r="D4098" s="21" t="s">
        <v>11</v>
      </c>
      <c r="E4098" s="21" t="s">
        <v>11</v>
      </c>
    </row>
    <row r="4099" spans="1:5" s="21" customFormat="1" ht="15.75" hidden="1" customHeight="1">
      <c r="A4099" s="21">
        <v>844520</v>
      </c>
      <c r="B4099" s="21" t="s">
        <v>4090</v>
      </c>
      <c r="C4099" s="21" t="s">
        <v>5977</v>
      </c>
      <c r="D4099" s="21" t="s">
        <v>11</v>
      </c>
      <c r="E4099" s="21" t="s">
        <v>11</v>
      </c>
    </row>
    <row r="4100" spans="1:5" s="21" customFormat="1" ht="15.75" hidden="1" customHeight="1">
      <c r="A4100" s="21">
        <v>844530</v>
      </c>
      <c r="B4100" s="21" t="s">
        <v>4091</v>
      </c>
      <c r="C4100" s="21" t="s">
        <v>5977</v>
      </c>
      <c r="D4100" s="21" t="s">
        <v>11</v>
      </c>
      <c r="E4100" s="21" t="s">
        <v>11</v>
      </c>
    </row>
    <row r="4101" spans="1:5" s="21" customFormat="1" ht="15.75" hidden="1" customHeight="1">
      <c r="A4101" s="21">
        <v>844540</v>
      </c>
      <c r="B4101" s="21" t="s">
        <v>4092</v>
      </c>
      <c r="C4101" s="21" t="s">
        <v>5977</v>
      </c>
      <c r="D4101" s="21" t="s">
        <v>11</v>
      </c>
      <c r="E4101" s="21" t="s">
        <v>11</v>
      </c>
    </row>
    <row r="4102" spans="1:5" s="21" customFormat="1" ht="15.75" hidden="1" customHeight="1">
      <c r="A4102" s="21">
        <v>844590</v>
      </c>
      <c r="B4102" s="21" t="s">
        <v>4093</v>
      </c>
      <c r="C4102" s="21" t="s">
        <v>5977</v>
      </c>
      <c r="D4102" s="21" t="s">
        <v>11</v>
      </c>
      <c r="E4102" s="21" t="s">
        <v>11</v>
      </c>
    </row>
    <row r="4103" spans="1:5" s="21" customFormat="1" ht="15.75" hidden="1" customHeight="1">
      <c r="A4103" s="21">
        <v>844610</v>
      </c>
      <c r="B4103" s="21" t="s">
        <v>4094</v>
      </c>
      <c r="C4103" s="21" t="s">
        <v>5978</v>
      </c>
      <c r="D4103" s="21" t="s">
        <v>11</v>
      </c>
      <c r="E4103" s="21" t="s">
        <v>11</v>
      </c>
    </row>
    <row r="4104" spans="1:5" s="21" customFormat="1" ht="15.75" hidden="1" customHeight="1">
      <c r="A4104" s="21">
        <v>844621</v>
      </c>
      <c r="B4104" s="21" t="s">
        <v>4095</v>
      </c>
      <c r="C4104" s="21" t="s">
        <v>5978</v>
      </c>
      <c r="D4104" s="21" t="s">
        <v>11</v>
      </c>
      <c r="E4104" s="21" t="s">
        <v>11</v>
      </c>
    </row>
    <row r="4105" spans="1:5" s="21" customFormat="1" ht="15.75" hidden="1" customHeight="1">
      <c r="A4105" s="21">
        <v>844629</v>
      </c>
      <c r="B4105" s="21" t="s">
        <v>4096</v>
      </c>
      <c r="C4105" s="21" t="s">
        <v>5978</v>
      </c>
      <c r="D4105" s="21" t="s">
        <v>11</v>
      </c>
      <c r="E4105" s="21" t="s">
        <v>11</v>
      </c>
    </row>
    <row r="4106" spans="1:5" s="21" customFormat="1" ht="15.75" hidden="1" customHeight="1">
      <c r="A4106" s="21">
        <v>844630</v>
      </c>
      <c r="B4106" s="21" t="s">
        <v>4097</v>
      </c>
      <c r="C4106" s="21" t="s">
        <v>5978</v>
      </c>
      <c r="D4106" s="21" t="s">
        <v>11</v>
      </c>
      <c r="E4106" s="21" t="s">
        <v>11</v>
      </c>
    </row>
    <row r="4107" spans="1:5" s="21" customFormat="1" ht="15.75" hidden="1" customHeight="1">
      <c r="A4107" s="21">
        <v>844711</v>
      </c>
      <c r="B4107" s="21" t="s">
        <v>4098</v>
      </c>
      <c r="C4107" s="21" t="s">
        <v>5979</v>
      </c>
      <c r="D4107" s="21" t="s">
        <v>11</v>
      </c>
      <c r="E4107" s="21" t="s">
        <v>11</v>
      </c>
    </row>
    <row r="4108" spans="1:5" s="21" customFormat="1" ht="15.75" hidden="1" customHeight="1">
      <c r="A4108" s="21">
        <v>844712</v>
      </c>
      <c r="B4108" s="21" t="s">
        <v>4099</v>
      </c>
      <c r="C4108" s="21" t="s">
        <v>5979</v>
      </c>
      <c r="D4108" s="21" t="s">
        <v>11</v>
      </c>
      <c r="E4108" s="21" t="s">
        <v>11</v>
      </c>
    </row>
    <row r="4109" spans="1:5" s="21" customFormat="1" ht="15.75" hidden="1" customHeight="1">
      <c r="A4109" s="21">
        <v>844720</v>
      </c>
      <c r="B4109" s="21" t="s">
        <v>4100</v>
      </c>
      <c r="C4109" s="21" t="s">
        <v>5979</v>
      </c>
      <c r="D4109" s="21" t="s">
        <v>11</v>
      </c>
      <c r="E4109" s="21" t="s">
        <v>11</v>
      </c>
    </row>
    <row r="4110" spans="1:5" s="21" customFormat="1" ht="15.75" hidden="1" customHeight="1">
      <c r="A4110" s="21">
        <v>844790</v>
      </c>
      <c r="B4110" s="21" t="s">
        <v>4101</v>
      </c>
      <c r="C4110" s="21" t="s">
        <v>5937</v>
      </c>
      <c r="D4110" s="21" t="s">
        <v>11</v>
      </c>
      <c r="E4110" s="21" t="s">
        <v>11</v>
      </c>
    </row>
    <row r="4111" spans="1:5" s="21" customFormat="1" ht="15.75" hidden="1" customHeight="1">
      <c r="A4111" s="21">
        <v>844811</v>
      </c>
      <c r="B4111" s="21" t="s">
        <v>4102</v>
      </c>
      <c r="C4111" s="21" t="s">
        <v>5980</v>
      </c>
      <c r="D4111" s="21" t="s">
        <v>11</v>
      </c>
      <c r="E4111" s="21" t="s">
        <v>11</v>
      </c>
    </row>
    <row r="4112" spans="1:5" s="21" customFormat="1" ht="15.75" hidden="1" customHeight="1">
      <c r="A4112" s="21">
        <v>844819</v>
      </c>
      <c r="B4112" s="21" t="s">
        <v>4103</v>
      </c>
      <c r="C4112" s="21" t="s">
        <v>5980</v>
      </c>
      <c r="D4112" s="21" t="s">
        <v>11</v>
      </c>
      <c r="E4112" s="21" t="s">
        <v>11</v>
      </c>
    </row>
    <row r="4113" spans="1:5" s="21" customFormat="1" ht="15.75" hidden="1" customHeight="1">
      <c r="A4113" s="21">
        <v>844820</v>
      </c>
      <c r="B4113" s="21" t="s">
        <v>4104</v>
      </c>
      <c r="C4113" s="21" t="s">
        <v>5937</v>
      </c>
      <c r="D4113" s="21" t="s">
        <v>11</v>
      </c>
      <c r="E4113" s="21" t="s">
        <v>11</v>
      </c>
    </row>
    <row r="4114" spans="1:5" s="21" customFormat="1" ht="15.75" hidden="1" customHeight="1">
      <c r="A4114" s="21">
        <v>844831</v>
      </c>
      <c r="B4114" s="21" t="s">
        <v>4105</v>
      </c>
      <c r="C4114" s="21" t="s">
        <v>5981</v>
      </c>
      <c r="D4114" s="21" t="s">
        <v>11</v>
      </c>
      <c r="E4114" s="21" t="s">
        <v>11</v>
      </c>
    </row>
    <row r="4115" spans="1:5" s="21" customFormat="1" ht="15.75" hidden="1" customHeight="1">
      <c r="A4115" s="21">
        <v>844832</v>
      </c>
      <c r="B4115" s="21" t="s">
        <v>4106</v>
      </c>
      <c r="C4115" s="21" t="s">
        <v>5937</v>
      </c>
      <c r="D4115" s="21" t="s">
        <v>11</v>
      </c>
      <c r="E4115" s="21" t="s">
        <v>11</v>
      </c>
    </row>
    <row r="4116" spans="1:5" s="21" customFormat="1" ht="15.75" hidden="1" customHeight="1">
      <c r="A4116" s="21">
        <v>844833</v>
      </c>
      <c r="B4116" s="21" t="s">
        <v>4107</v>
      </c>
      <c r="C4116" s="21" t="s">
        <v>5937</v>
      </c>
      <c r="D4116" s="21" t="s">
        <v>11</v>
      </c>
      <c r="E4116" s="21" t="s">
        <v>11</v>
      </c>
    </row>
    <row r="4117" spans="1:5" s="21" customFormat="1" ht="15.75" hidden="1" customHeight="1">
      <c r="A4117" s="21">
        <v>844839</v>
      </c>
      <c r="B4117" s="21" t="s">
        <v>4108</v>
      </c>
      <c r="C4117" s="21" t="s">
        <v>5937</v>
      </c>
      <c r="D4117" s="21" t="s">
        <v>11</v>
      </c>
      <c r="E4117" s="21" t="s">
        <v>11</v>
      </c>
    </row>
    <row r="4118" spans="1:5" s="21" customFormat="1" ht="15.75" hidden="1" customHeight="1">
      <c r="A4118" s="21">
        <v>844842</v>
      </c>
      <c r="B4118" s="21" t="s">
        <v>4109</v>
      </c>
      <c r="C4118" s="21" t="s">
        <v>5978</v>
      </c>
      <c r="D4118" s="21" t="s">
        <v>11</v>
      </c>
      <c r="E4118" s="21" t="s">
        <v>11</v>
      </c>
    </row>
    <row r="4119" spans="1:5" s="21" customFormat="1" ht="15.75" hidden="1" customHeight="1">
      <c r="A4119" s="21">
        <v>844849</v>
      </c>
      <c r="B4119" s="21" t="s">
        <v>4110</v>
      </c>
      <c r="C4119" s="21" t="s">
        <v>5978</v>
      </c>
      <c r="D4119" s="21" t="s">
        <v>11</v>
      </c>
      <c r="E4119" s="21" t="s">
        <v>11</v>
      </c>
    </row>
    <row r="4120" spans="1:5" s="21" customFormat="1" ht="15.75" hidden="1" customHeight="1">
      <c r="A4120" s="21">
        <v>844851</v>
      </c>
      <c r="B4120" s="21" t="s">
        <v>4111</v>
      </c>
      <c r="C4120" s="21" t="s">
        <v>5937</v>
      </c>
      <c r="D4120" s="21" t="s">
        <v>11</v>
      </c>
      <c r="E4120" s="21" t="s">
        <v>11</v>
      </c>
    </row>
    <row r="4121" spans="1:5" s="21" customFormat="1" ht="15.75" hidden="1" customHeight="1">
      <c r="A4121" s="21">
        <v>844859</v>
      </c>
      <c r="B4121" s="21" t="s">
        <v>4112</v>
      </c>
      <c r="C4121" s="21" t="s">
        <v>5937</v>
      </c>
      <c r="D4121" s="21" t="s">
        <v>11</v>
      </c>
      <c r="E4121" s="21" t="s">
        <v>11</v>
      </c>
    </row>
    <row r="4122" spans="1:5" s="21" customFormat="1" ht="15.75" hidden="1" customHeight="1">
      <c r="A4122" s="21">
        <v>844900</v>
      </c>
      <c r="B4122" s="21" t="s">
        <v>4113</v>
      </c>
      <c r="C4122" s="21" t="s">
        <v>5934</v>
      </c>
      <c r="D4122" s="21" t="s">
        <v>11</v>
      </c>
      <c r="E4122" s="21" t="s">
        <v>11</v>
      </c>
    </row>
    <row r="4123" spans="1:5" s="21" customFormat="1" ht="15.75" hidden="1" customHeight="1">
      <c r="A4123" s="21">
        <v>845011</v>
      </c>
      <c r="B4123" s="21" t="s">
        <v>4114</v>
      </c>
      <c r="C4123" s="21" t="s">
        <v>5982</v>
      </c>
      <c r="D4123" s="21" t="s">
        <v>11</v>
      </c>
      <c r="E4123" s="21" t="s">
        <v>11</v>
      </c>
    </row>
    <row r="4124" spans="1:5" s="21" customFormat="1" ht="15.75" hidden="1" customHeight="1">
      <c r="A4124" s="21">
        <v>845012</v>
      </c>
      <c r="B4124" s="21" t="s">
        <v>4115</v>
      </c>
      <c r="C4124" s="21" t="s">
        <v>5982</v>
      </c>
      <c r="D4124" s="21" t="s">
        <v>11</v>
      </c>
      <c r="E4124" s="21" t="s">
        <v>11</v>
      </c>
    </row>
    <row r="4125" spans="1:5" s="21" customFormat="1" ht="15.75" hidden="1" customHeight="1">
      <c r="A4125" s="21">
        <v>845019</v>
      </c>
      <c r="B4125" s="21" t="s">
        <v>4116</v>
      </c>
      <c r="C4125" s="21" t="s">
        <v>5982</v>
      </c>
      <c r="D4125" s="21" t="s">
        <v>11</v>
      </c>
      <c r="E4125" s="21" t="s">
        <v>11</v>
      </c>
    </row>
    <row r="4126" spans="1:5" s="21" customFormat="1" ht="15.75" hidden="1" customHeight="1">
      <c r="A4126" s="21">
        <v>845020</v>
      </c>
      <c r="B4126" s="21" t="s">
        <v>4117</v>
      </c>
      <c r="C4126" s="21" t="s">
        <v>5982</v>
      </c>
      <c r="D4126" s="21" t="s">
        <v>11</v>
      </c>
      <c r="E4126" s="21" t="s">
        <v>11</v>
      </c>
    </row>
    <row r="4127" spans="1:5" s="21" customFormat="1" ht="15.75" hidden="1" customHeight="1">
      <c r="A4127" s="21">
        <v>845090</v>
      </c>
      <c r="B4127" s="21" t="s">
        <v>4118</v>
      </c>
      <c r="C4127" s="21" t="s">
        <v>5982</v>
      </c>
      <c r="D4127" s="21" t="s">
        <v>11</v>
      </c>
      <c r="E4127" s="21" t="s">
        <v>11</v>
      </c>
    </row>
    <row r="4128" spans="1:5" s="21" customFormat="1" ht="15.75" hidden="1" customHeight="1">
      <c r="A4128" s="21">
        <v>845110</v>
      </c>
      <c r="B4128" s="21" t="s">
        <v>4119</v>
      </c>
      <c r="C4128" s="21" t="s">
        <v>4119</v>
      </c>
      <c r="D4128" s="21" t="s">
        <v>11</v>
      </c>
      <c r="E4128" s="21" t="s">
        <v>11</v>
      </c>
    </row>
    <row r="4129" spans="1:5" s="21" customFormat="1" ht="15.75" hidden="1" customHeight="1">
      <c r="A4129" s="21">
        <v>845121</v>
      </c>
      <c r="B4129" s="21" t="s">
        <v>4120</v>
      </c>
      <c r="C4129" s="21" t="s">
        <v>5983</v>
      </c>
      <c r="D4129" s="21" t="s">
        <v>11</v>
      </c>
      <c r="E4129" s="21" t="s">
        <v>11</v>
      </c>
    </row>
    <row r="4130" spans="1:5" s="21" customFormat="1" ht="15.75" hidden="1" customHeight="1">
      <c r="A4130" s="21">
        <v>845129</v>
      </c>
      <c r="B4130" s="21" t="s">
        <v>4121</v>
      </c>
      <c r="C4130" s="21" t="s">
        <v>5983</v>
      </c>
      <c r="D4130" s="21" t="s">
        <v>11</v>
      </c>
      <c r="E4130" s="21" t="s">
        <v>11</v>
      </c>
    </row>
    <row r="4131" spans="1:5" s="21" customFormat="1" ht="15.75" hidden="1" customHeight="1">
      <c r="A4131" s="21">
        <v>845130</v>
      </c>
      <c r="B4131" s="21" t="s">
        <v>4122</v>
      </c>
      <c r="C4131" s="21" t="s">
        <v>4122</v>
      </c>
      <c r="D4131" s="21" t="s">
        <v>11</v>
      </c>
      <c r="E4131" s="21" t="s">
        <v>11</v>
      </c>
    </row>
    <row r="4132" spans="1:5" s="21" customFormat="1" ht="15.75" hidden="1" customHeight="1">
      <c r="A4132" s="21">
        <v>845140</v>
      </c>
      <c r="B4132" s="21" t="s">
        <v>4123</v>
      </c>
      <c r="C4132" s="21" t="s">
        <v>5937</v>
      </c>
      <c r="D4132" s="21" t="s">
        <v>11</v>
      </c>
      <c r="E4132" s="21" t="s">
        <v>11</v>
      </c>
    </row>
    <row r="4133" spans="1:5" s="21" customFormat="1" ht="15.75" hidden="1" customHeight="1">
      <c r="A4133" s="21">
        <v>845150</v>
      </c>
      <c r="B4133" s="21" t="s">
        <v>4124</v>
      </c>
      <c r="C4133" s="21" t="s">
        <v>5937</v>
      </c>
      <c r="D4133" s="21" t="s">
        <v>11</v>
      </c>
      <c r="E4133" s="21" t="s">
        <v>11</v>
      </c>
    </row>
    <row r="4134" spans="1:5" s="21" customFormat="1" ht="15.75" hidden="1" customHeight="1">
      <c r="A4134" s="21">
        <v>845180</v>
      </c>
      <c r="B4134" s="21" t="s">
        <v>4125</v>
      </c>
      <c r="C4134" s="21" t="s">
        <v>5934</v>
      </c>
      <c r="D4134" s="21" t="s">
        <v>11</v>
      </c>
      <c r="E4134" s="21" t="s">
        <v>11</v>
      </c>
    </row>
    <row r="4135" spans="1:5" s="21" customFormat="1" ht="15.75" hidden="1" customHeight="1">
      <c r="A4135" s="21">
        <v>845190</v>
      </c>
      <c r="B4135" s="21" t="s">
        <v>4126</v>
      </c>
      <c r="C4135" s="21" t="s">
        <v>5934</v>
      </c>
      <c r="D4135" s="21" t="s">
        <v>11</v>
      </c>
      <c r="E4135" s="21" t="s">
        <v>11</v>
      </c>
    </row>
    <row r="4136" spans="1:5" s="21" customFormat="1" ht="15.75" hidden="1" customHeight="1">
      <c r="A4136" s="21">
        <v>845210</v>
      </c>
      <c r="B4136" s="21" t="s">
        <v>4127</v>
      </c>
      <c r="C4136" s="21" t="s">
        <v>5984</v>
      </c>
      <c r="D4136" s="21" t="s">
        <v>11</v>
      </c>
      <c r="E4136" s="21" t="s">
        <v>11</v>
      </c>
    </row>
    <row r="4137" spans="1:5" s="21" customFormat="1" ht="15.75" hidden="1" customHeight="1">
      <c r="A4137" s="21">
        <v>845221</v>
      </c>
      <c r="B4137" s="21" t="s">
        <v>4128</v>
      </c>
      <c r="C4137" s="21" t="s">
        <v>5984</v>
      </c>
      <c r="D4137" s="21" t="s">
        <v>11</v>
      </c>
      <c r="E4137" s="21" t="s">
        <v>11</v>
      </c>
    </row>
    <row r="4138" spans="1:5" s="21" customFormat="1" ht="15.75" hidden="1" customHeight="1">
      <c r="A4138" s="21">
        <v>845229</v>
      </c>
      <c r="B4138" s="21" t="s">
        <v>4129</v>
      </c>
      <c r="C4138" s="21" t="s">
        <v>5984</v>
      </c>
      <c r="D4138" s="21" t="s">
        <v>11</v>
      </c>
      <c r="E4138" s="21" t="s">
        <v>11</v>
      </c>
    </row>
    <row r="4139" spans="1:5" s="21" customFormat="1" ht="15.75" hidden="1" customHeight="1">
      <c r="A4139" s="21">
        <v>845230</v>
      </c>
      <c r="B4139" s="21" t="s">
        <v>4130</v>
      </c>
      <c r="C4139" s="21" t="s">
        <v>4130</v>
      </c>
      <c r="D4139" s="21" t="s">
        <v>11</v>
      </c>
      <c r="E4139" s="21" t="s">
        <v>11</v>
      </c>
    </row>
    <row r="4140" spans="1:5" s="21" customFormat="1" ht="15.75" hidden="1" customHeight="1">
      <c r="A4140" s="21">
        <v>845240</v>
      </c>
      <c r="B4140" s="21" t="s">
        <v>4131</v>
      </c>
      <c r="C4140" s="21" t="s">
        <v>5985</v>
      </c>
      <c r="D4140" s="21" t="s">
        <v>11</v>
      </c>
      <c r="E4140" s="21" t="s">
        <v>11</v>
      </c>
    </row>
    <row r="4141" spans="1:5" s="21" customFormat="1" ht="15.75" hidden="1" customHeight="1">
      <c r="A4141" s="21">
        <v>845290</v>
      </c>
      <c r="B4141" s="21" t="s">
        <v>4132</v>
      </c>
      <c r="C4141" s="21" t="s">
        <v>5984</v>
      </c>
      <c r="D4141" s="21" t="s">
        <v>11</v>
      </c>
      <c r="E4141" s="21" t="s">
        <v>11</v>
      </c>
    </row>
    <row r="4142" spans="1:5" s="21" customFormat="1" ht="15.75" hidden="1" customHeight="1">
      <c r="A4142" s="21">
        <v>845310</v>
      </c>
      <c r="B4142" s="21" t="s">
        <v>4133</v>
      </c>
      <c r="C4142" s="21" t="s">
        <v>5934</v>
      </c>
      <c r="D4142" s="21" t="s">
        <v>11</v>
      </c>
      <c r="E4142" s="21" t="s">
        <v>11</v>
      </c>
    </row>
    <row r="4143" spans="1:5" s="21" customFormat="1" ht="15.75" hidden="1" customHeight="1">
      <c r="A4143" s="21">
        <v>845320</v>
      </c>
      <c r="B4143" s="21" t="s">
        <v>4134</v>
      </c>
      <c r="C4143" s="21" t="s">
        <v>5934</v>
      </c>
      <c r="D4143" s="21" t="s">
        <v>11</v>
      </c>
      <c r="E4143" s="21" t="s">
        <v>11</v>
      </c>
    </row>
    <row r="4144" spans="1:5" s="21" customFormat="1" ht="15.75" hidden="1" customHeight="1">
      <c r="A4144" s="21">
        <v>845380</v>
      </c>
      <c r="B4144" s="21" t="s">
        <v>4135</v>
      </c>
      <c r="C4144" s="21" t="s">
        <v>5934</v>
      </c>
      <c r="D4144" s="21" t="s">
        <v>11</v>
      </c>
      <c r="E4144" s="21" t="s">
        <v>11</v>
      </c>
    </row>
    <row r="4145" spans="1:5" s="21" customFormat="1" ht="15.75" hidden="1" customHeight="1">
      <c r="A4145" s="21">
        <v>845390</v>
      </c>
      <c r="B4145" s="21" t="s">
        <v>4136</v>
      </c>
      <c r="C4145" s="21" t="s">
        <v>5934</v>
      </c>
      <c r="D4145" s="21" t="s">
        <v>11</v>
      </c>
      <c r="E4145" s="21" t="s">
        <v>11</v>
      </c>
    </row>
    <row r="4146" spans="1:5" s="21" customFormat="1" ht="15.75" hidden="1" customHeight="1">
      <c r="A4146" s="21">
        <v>845410</v>
      </c>
      <c r="B4146" s="21" t="s">
        <v>4137</v>
      </c>
      <c r="C4146" s="21" t="s">
        <v>5986</v>
      </c>
      <c r="D4146" s="21" t="s">
        <v>11</v>
      </c>
      <c r="E4146" s="21" t="s">
        <v>11</v>
      </c>
    </row>
    <row r="4147" spans="1:5" s="21" customFormat="1" ht="15.75" hidden="1" customHeight="1">
      <c r="A4147" s="21">
        <v>845420</v>
      </c>
      <c r="B4147" s="21" t="s">
        <v>4138</v>
      </c>
      <c r="C4147" s="21" t="s">
        <v>5987</v>
      </c>
      <c r="D4147" s="21" t="s">
        <v>11</v>
      </c>
      <c r="E4147" s="21" t="s">
        <v>11</v>
      </c>
    </row>
    <row r="4148" spans="1:5" s="21" customFormat="1" ht="15.75" hidden="1" customHeight="1">
      <c r="A4148" s="21">
        <v>845430</v>
      </c>
      <c r="B4148" s="21" t="s">
        <v>4139</v>
      </c>
      <c r="C4148" s="21" t="s">
        <v>5988</v>
      </c>
      <c r="D4148" s="21" t="s">
        <v>11</v>
      </c>
      <c r="E4148" s="21" t="s">
        <v>11</v>
      </c>
    </row>
    <row r="4149" spans="1:5" s="21" customFormat="1" ht="15.75" hidden="1" customHeight="1">
      <c r="A4149" s="21">
        <v>845490</v>
      </c>
      <c r="B4149" s="21" t="s">
        <v>4140</v>
      </c>
      <c r="C4149" s="21" t="s">
        <v>5937</v>
      </c>
      <c r="D4149" s="21" t="s">
        <v>11</v>
      </c>
      <c r="E4149" s="21" t="s">
        <v>11</v>
      </c>
    </row>
    <row r="4150" spans="1:5" s="21" customFormat="1" ht="15.75" hidden="1" customHeight="1">
      <c r="A4150" s="21">
        <v>845510</v>
      </c>
      <c r="B4150" s="21" t="s">
        <v>4141</v>
      </c>
      <c r="C4150" s="21" t="s">
        <v>5989</v>
      </c>
      <c r="D4150" s="21" t="s">
        <v>11</v>
      </c>
      <c r="E4150" s="21" t="s">
        <v>11</v>
      </c>
    </row>
    <row r="4151" spans="1:5" s="21" customFormat="1" ht="15.75" hidden="1" customHeight="1">
      <c r="A4151" s="21">
        <v>845521</v>
      </c>
      <c r="B4151" s="21" t="s">
        <v>4142</v>
      </c>
      <c r="C4151" s="21" t="s">
        <v>5989</v>
      </c>
      <c r="D4151" s="21" t="s">
        <v>11</v>
      </c>
      <c r="E4151" s="21" t="s">
        <v>11</v>
      </c>
    </row>
    <row r="4152" spans="1:5" s="21" customFormat="1" ht="15.75" hidden="1" customHeight="1">
      <c r="A4152" s="21">
        <v>845522</v>
      </c>
      <c r="B4152" s="21" t="s">
        <v>4143</v>
      </c>
      <c r="C4152" s="21" t="s">
        <v>5989</v>
      </c>
      <c r="D4152" s="21" t="s">
        <v>11</v>
      </c>
      <c r="E4152" s="21" t="s">
        <v>11</v>
      </c>
    </row>
    <row r="4153" spans="1:5" s="21" customFormat="1" ht="15.75" hidden="1" customHeight="1">
      <c r="A4153" s="21">
        <v>845530</v>
      </c>
      <c r="B4153" s="21" t="s">
        <v>4144</v>
      </c>
      <c r="C4153" s="21" t="s">
        <v>5989</v>
      </c>
      <c r="D4153" s="21" t="s">
        <v>11</v>
      </c>
      <c r="E4153" s="21" t="s">
        <v>11</v>
      </c>
    </row>
    <row r="4154" spans="1:5" s="21" customFormat="1" ht="15.75" hidden="1" customHeight="1">
      <c r="A4154" s="21">
        <v>845590</v>
      </c>
      <c r="B4154" s="21" t="s">
        <v>4145</v>
      </c>
      <c r="C4154" s="21" t="s">
        <v>5989</v>
      </c>
      <c r="D4154" s="21" t="s">
        <v>11</v>
      </c>
      <c r="E4154" s="21" t="s">
        <v>11</v>
      </c>
    </row>
    <row r="4155" spans="1:5" s="21" customFormat="1" ht="15.75" hidden="1" customHeight="1">
      <c r="A4155" s="21">
        <v>845610</v>
      </c>
      <c r="B4155" s="21" t="s">
        <v>4146</v>
      </c>
      <c r="C4155" s="21" t="s">
        <v>5990</v>
      </c>
      <c r="D4155" s="21" t="s">
        <v>11</v>
      </c>
      <c r="E4155" s="21" t="s">
        <v>11</v>
      </c>
    </row>
    <row r="4156" spans="1:5" s="21" customFormat="1" ht="15.75" hidden="1" customHeight="1">
      <c r="A4156" s="21">
        <v>845620</v>
      </c>
      <c r="B4156" s="21" t="s">
        <v>4147</v>
      </c>
      <c r="C4156" s="21" t="s">
        <v>5990</v>
      </c>
      <c r="D4156" s="21" t="s">
        <v>11</v>
      </c>
      <c r="E4156" s="21" t="s">
        <v>11</v>
      </c>
    </row>
    <row r="4157" spans="1:5" s="21" customFormat="1" ht="15.75" hidden="1" customHeight="1">
      <c r="A4157" s="21">
        <v>845630</v>
      </c>
      <c r="B4157" s="21" t="s">
        <v>4148</v>
      </c>
      <c r="C4157" s="21" t="s">
        <v>5990</v>
      </c>
      <c r="D4157" s="21" t="s">
        <v>11</v>
      </c>
      <c r="E4157" s="21" t="s">
        <v>11</v>
      </c>
    </row>
    <row r="4158" spans="1:5" s="21" customFormat="1" ht="15.75" hidden="1" customHeight="1">
      <c r="A4158" s="21">
        <v>845690</v>
      </c>
      <c r="B4158" s="21" t="s">
        <v>4149</v>
      </c>
      <c r="C4158" s="21" t="s">
        <v>5991</v>
      </c>
      <c r="D4158" s="21" t="s">
        <v>11</v>
      </c>
      <c r="E4158" s="21" t="s">
        <v>11</v>
      </c>
    </row>
    <row r="4159" spans="1:5" s="21" customFormat="1" ht="15.75" hidden="1" customHeight="1">
      <c r="A4159" s="21">
        <v>845710</v>
      </c>
      <c r="B4159" s="21" t="s">
        <v>4150</v>
      </c>
      <c r="C4159" s="21" t="s">
        <v>5992</v>
      </c>
      <c r="D4159" s="21" t="s">
        <v>11</v>
      </c>
      <c r="E4159" s="21" t="s">
        <v>11</v>
      </c>
    </row>
    <row r="4160" spans="1:5" s="21" customFormat="1" ht="15.75" hidden="1" customHeight="1">
      <c r="A4160" s="21">
        <v>845720</v>
      </c>
      <c r="B4160" s="21" t="s">
        <v>4151</v>
      </c>
      <c r="C4160" s="21" t="s">
        <v>5937</v>
      </c>
      <c r="D4160" s="21" t="s">
        <v>11</v>
      </c>
      <c r="E4160" s="21" t="s">
        <v>11</v>
      </c>
    </row>
    <row r="4161" spans="1:5" s="21" customFormat="1" ht="15.75" hidden="1" customHeight="1">
      <c r="A4161" s="21">
        <v>845730</v>
      </c>
      <c r="B4161" s="21" t="s">
        <v>4152</v>
      </c>
      <c r="C4161" s="21" t="s">
        <v>5993</v>
      </c>
      <c r="D4161" s="21" t="s">
        <v>11</v>
      </c>
      <c r="E4161" s="21" t="s">
        <v>11</v>
      </c>
    </row>
    <row r="4162" spans="1:5" s="21" customFormat="1" ht="15.75" hidden="1" customHeight="1">
      <c r="A4162" s="21">
        <v>845811</v>
      </c>
      <c r="B4162" s="21" t="s">
        <v>4153</v>
      </c>
      <c r="C4162" s="21" t="s">
        <v>5994</v>
      </c>
      <c r="D4162" s="21" t="s">
        <v>11</v>
      </c>
      <c r="E4162" s="21" t="s">
        <v>11</v>
      </c>
    </row>
    <row r="4163" spans="1:5" s="21" customFormat="1" ht="15.75" hidden="1" customHeight="1">
      <c r="A4163" s="21">
        <v>845819</v>
      </c>
      <c r="B4163" s="21" t="s">
        <v>4154</v>
      </c>
      <c r="C4163" s="21" t="s">
        <v>5994</v>
      </c>
      <c r="D4163" s="21" t="s">
        <v>11</v>
      </c>
      <c r="E4163" s="21" t="s">
        <v>11</v>
      </c>
    </row>
    <row r="4164" spans="1:5" s="21" customFormat="1" ht="15.75" hidden="1" customHeight="1">
      <c r="A4164" s="21">
        <v>845891</v>
      </c>
      <c r="B4164" s="21" t="s">
        <v>4155</v>
      </c>
      <c r="C4164" s="21" t="s">
        <v>5994</v>
      </c>
      <c r="D4164" s="21" t="s">
        <v>11</v>
      </c>
      <c r="E4164" s="21" t="s">
        <v>11</v>
      </c>
    </row>
    <row r="4165" spans="1:5" s="21" customFormat="1" ht="15.75" hidden="1" customHeight="1">
      <c r="A4165" s="21">
        <v>845899</v>
      </c>
      <c r="B4165" s="21" t="s">
        <v>4156</v>
      </c>
      <c r="C4165" s="21" t="s">
        <v>5994</v>
      </c>
      <c r="D4165" s="21" t="s">
        <v>11</v>
      </c>
      <c r="E4165" s="21" t="s">
        <v>11</v>
      </c>
    </row>
    <row r="4166" spans="1:5" s="21" customFormat="1" ht="15.75" hidden="1" customHeight="1">
      <c r="A4166" s="21">
        <v>845910</v>
      </c>
      <c r="B4166" s="21" t="s">
        <v>4157</v>
      </c>
      <c r="C4166" s="21" t="s">
        <v>5990</v>
      </c>
      <c r="D4166" s="21" t="s">
        <v>11</v>
      </c>
      <c r="E4166" s="21" t="s">
        <v>11</v>
      </c>
    </row>
    <row r="4167" spans="1:5" s="21" customFormat="1" ht="15.75" hidden="1" customHeight="1">
      <c r="A4167" s="21">
        <v>845921</v>
      </c>
      <c r="B4167" s="21" t="s">
        <v>4158</v>
      </c>
      <c r="C4167" s="21" t="s">
        <v>5990</v>
      </c>
      <c r="D4167" s="21" t="s">
        <v>11</v>
      </c>
      <c r="E4167" s="21" t="s">
        <v>11</v>
      </c>
    </row>
    <row r="4168" spans="1:5" s="21" customFormat="1" ht="15.75" hidden="1" customHeight="1">
      <c r="A4168" s="21">
        <v>845929</v>
      </c>
      <c r="B4168" s="21" t="s">
        <v>4159</v>
      </c>
      <c r="C4168" s="21" t="s">
        <v>5990</v>
      </c>
      <c r="D4168" s="21" t="s">
        <v>11</v>
      </c>
      <c r="E4168" s="21" t="s">
        <v>11</v>
      </c>
    </row>
    <row r="4169" spans="1:5" s="21" customFormat="1" ht="15.75" hidden="1" customHeight="1">
      <c r="A4169" s="21">
        <v>845931</v>
      </c>
      <c r="B4169" s="21" t="s">
        <v>4160</v>
      </c>
      <c r="C4169" s="21" t="s">
        <v>5990</v>
      </c>
      <c r="D4169" s="21" t="s">
        <v>11</v>
      </c>
      <c r="E4169" s="21" t="s">
        <v>11</v>
      </c>
    </row>
    <row r="4170" spans="1:5" s="21" customFormat="1" ht="15.75" hidden="1" customHeight="1">
      <c r="A4170" s="21">
        <v>845939</v>
      </c>
      <c r="B4170" s="21" t="s">
        <v>4161</v>
      </c>
      <c r="C4170" s="21" t="s">
        <v>5990</v>
      </c>
      <c r="D4170" s="21" t="s">
        <v>11</v>
      </c>
      <c r="E4170" s="21" t="s">
        <v>11</v>
      </c>
    </row>
    <row r="4171" spans="1:5" s="21" customFormat="1" ht="15.75" hidden="1" customHeight="1">
      <c r="A4171" s="21">
        <v>845940</v>
      </c>
      <c r="B4171" s="21" t="s">
        <v>4162</v>
      </c>
      <c r="C4171" s="21" t="s">
        <v>5990</v>
      </c>
      <c r="D4171" s="21" t="s">
        <v>11</v>
      </c>
      <c r="E4171" s="21" t="s">
        <v>11</v>
      </c>
    </row>
    <row r="4172" spans="1:5" s="21" customFormat="1" ht="15.75" hidden="1" customHeight="1">
      <c r="A4172" s="21">
        <v>845951</v>
      </c>
      <c r="B4172" s="21" t="s">
        <v>4163</v>
      </c>
      <c r="C4172" s="21" t="s">
        <v>5990</v>
      </c>
      <c r="D4172" s="21" t="s">
        <v>11</v>
      </c>
      <c r="E4172" s="21" t="s">
        <v>11</v>
      </c>
    </row>
    <row r="4173" spans="1:5" s="21" customFormat="1" ht="15.75" hidden="1" customHeight="1">
      <c r="A4173" s="21">
        <v>845959</v>
      </c>
      <c r="B4173" s="21" t="s">
        <v>4164</v>
      </c>
      <c r="C4173" s="21" t="s">
        <v>5990</v>
      </c>
      <c r="D4173" s="21" t="s">
        <v>11</v>
      </c>
      <c r="E4173" s="21" t="s">
        <v>11</v>
      </c>
    </row>
    <row r="4174" spans="1:5" s="21" customFormat="1" ht="15.75" hidden="1" customHeight="1">
      <c r="A4174" s="21">
        <v>845961</v>
      </c>
      <c r="B4174" s="21" t="s">
        <v>4165</v>
      </c>
      <c r="C4174" s="21" t="s">
        <v>5990</v>
      </c>
      <c r="D4174" s="21" t="s">
        <v>11</v>
      </c>
      <c r="E4174" s="21" t="s">
        <v>11</v>
      </c>
    </row>
    <row r="4175" spans="1:5" s="21" customFormat="1" ht="15.75" hidden="1" customHeight="1">
      <c r="A4175" s="21">
        <v>845969</v>
      </c>
      <c r="B4175" s="21" t="s">
        <v>4166</v>
      </c>
      <c r="C4175" s="21" t="s">
        <v>5990</v>
      </c>
      <c r="D4175" s="21" t="s">
        <v>11</v>
      </c>
      <c r="E4175" s="21" t="s">
        <v>11</v>
      </c>
    </row>
    <row r="4176" spans="1:5" s="21" customFormat="1" ht="15.75" hidden="1" customHeight="1">
      <c r="A4176" s="21">
        <v>845970</v>
      </c>
      <c r="B4176" s="21" t="s">
        <v>4167</v>
      </c>
      <c r="C4176" s="21" t="s">
        <v>5990</v>
      </c>
      <c r="D4176" s="21" t="s">
        <v>11</v>
      </c>
      <c r="E4176" s="21" t="s">
        <v>11</v>
      </c>
    </row>
    <row r="4177" spans="1:5" s="21" customFormat="1" ht="15.75" hidden="1" customHeight="1">
      <c r="A4177" s="21">
        <v>846011</v>
      </c>
      <c r="B4177" s="21" t="s">
        <v>4168</v>
      </c>
      <c r="C4177" s="21" t="s">
        <v>5990</v>
      </c>
      <c r="D4177" s="21" t="s">
        <v>11</v>
      </c>
      <c r="E4177" s="21" t="s">
        <v>11</v>
      </c>
    </row>
    <row r="4178" spans="1:5" s="21" customFormat="1" ht="15.75" hidden="1" customHeight="1">
      <c r="A4178" s="21">
        <v>846019</v>
      </c>
      <c r="B4178" s="21" t="s">
        <v>4169</v>
      </c>
      <c r="C4178" s="21" t="s">
        <v>5990</v>
      </c>
      <c r="D4178" s="21" t="s">
        <v>11</v>
      </c>
      <c r="E4178" s="21" t="s">
        <v>11</v>
      </c>
    </row>
    <row r="4179" spans="1:5" s="21" customFormat="1" ht="15.75" hidden="1" customHeight="1">
      <c r="A4179" s="21">
        <v>846021</v>
      </c>
      <c r="B4179" s="21" t="s">
        <v>4170</v>
      </c>
      <c r="C4179" s="21" t="s">
        <v>5990</v>
      </c>
      <c r="D4179" s="21" t="s">
        <v>11</v>
      </c>
      <c r="E4179" s="21" t="s">
        <v>11</v>
      </c>
    </row>
    <row r="4180" spans="1:5" s="21" customFormat="1" ht="15.75" hidden="1" customHeight="1">
      <c r="A4180" s="21">
        <v>846029</v>
      </c>
      <c r="B4180" s="21" t="s">
        <v>4171</v>
      </c>
      <c r="C4180" s="21" t="s">
        <v>5990</v>
      </c>
      <c r="D4180" s="21" t="s">
        <v>11</v>
      </c>
      <c r="E4180" s="21" t="s">
        <v>11</v>
      </c>
    </row>
    <row r="4181" spans="1:5" s="21" customFormat="1" ht="15.75" hidden="1" customHeight="1">
      <c r="A4181" s="21">
        <v>846031</v>
      </c>
      <c r="B4181" s="21" t="s">
        <v>4172</v>
      </c>
      <c r="C4181" s="21" t="s">
        <v>5990</v>
      </c>
      <c r="D4181" s="21" t="s">
        <v>11</v>
      </c>
      <c r="E4181" s="21" t="s">
        <v>11</v>
      </c>
    </row>
    <row r="4182" spans="1:5" s="21" customFormat="1" ht="15.75" hidden="1" customHeight="1">
      <c r="A4182" s="21">
        <v>846039</v>
      </c>
      <c r="B4182" s="21" t="s">
        <v>4173</v>
      </c>
      <c r="C4182" s="21" t="s">
        <v>5990</v>
      </c>
      <c r="D4182" s="21" t="s">
        <v>11</v>
      </c>
      <c r="E4182" s="21" t="s">
        <v>11</v>
      </c>
    </row>
    <row r="4183" spans="1:5" s="21" customFormat="1" ht="15.75" hidden="1" customHeight="1">
      <c r="A4183" s="21">
        <v>846040</v>
      </c>
      <c r="B4183" s="21" t="s">
        <v>4174</v>
      </c>
      <c r="C4183" s="21" t="s">
        <v>5990</v>
      </c>
      <c r="D4183" s="21" t="s">
        <v>11</v>
      </c>
      <c r="E4183" s="21" t="s">
        <v>11</v>
      </c>
    </row>
    <row r="4184" spans="1:5" s="21" customFormat="1" ht="15.75" hidden="1" customHeight="1">
      <c r="A4184" s="21">
        <v>846090</v>
      </c>
      <c r="B4184" s="21" t="s">
        <v>4175</v>
      </c>
      <c r="C4184" s="21" t="s">
        <v>5990</v>
      </c>
      <c r="D4184" s="21" t="s">
        <v>11</v>
      </c>
      <c r="E4184" s="21" t="s">
        <v>11</v>
      </c>
    </row>
    <row r="4185" spans="1:5" s="21" customFormat="1" ht="15.75" hidden="1" customHeight="1">
      <c r="A4185" s="21">
        <v>846120</v>
      </c>
      <c r="B4185" s="21" t="s">
        <v>4176</v>
      </c>
      <c r="C4185" s="21" t="s">
        <v>5990</v>
      </c>
      <c r="D4185" s="21" t="s">
        <v>11</v>
      </c>
      <c r="E4185" s="21" t="s">
        <v>11</v>
      </c>
    </row>
    <row r="4186" spans="1:5" s="21" customFormat="1" ht="15.75" hidden="1" customHeight="1">
      <c r="A4186" s="21">
        <v>846130</v>
      </c>
      <c r="B4186" s="21" t="s">
        <v>4177</v>
      </c>
      <c r="C4186" s="21" t="s">
        <v>5990</v>
      </c>
      <c r="D4186" s="21" t="s">
        <v>11</v>
      </c>
      <c r="E4186" s="21" t="s">
        <v>11</v>
      </c>
    </row>
    <row r="4187" spans="1:5" s="21" customFormat="1" ht="15.75" hidden="1" customHeight="1">
      <c r="A4187" s="21">
        <v>846140</v>
      </c>
      <c r="B4187" s="21" t="s">
        <v>4178</v>
      </c>
      <c r="C4187" s="21" t="s">
        <v>5990</v>
      </c>
      <c r="D4187" s="21" t="s">
        <v>11</v>
      </c>
      <c r="E4187" s="21" t="s">
        <v>11</v>
      </c>
    </row>
    <row r="4188" spans="1:5" s="21" customFormat="1" ht="15.75" hidden="1" customHeight="1">
      <c r="A4188" s="21">
        <v>846150</v>
      </c>
      <c r="B4188" s="21" t="s">
        <v>4179</v>
      </c>
      <c r="C4188" s="21" t="s">
        <v>5990</v>
      </c>
      <c r="D4188" s="21" t="s">
        <v>11</v>
      </c>
      <c r="E4188" s="21" t="s">
        <v>11</v>
      </c>
    </row>
    <row r="4189" spans="1:5" s="21" customFormat="1" ht="15.75" hidden="1" customHeight="1">
      <c r="A4189" s="21">
        <v>846190</v>
      </c>
      <c r="B4189" s="21" t="s">
        <v>4180</v>
      </c>
      <c r="C4189" s="21" t="s">
        <v>5990</v>
      </c>
      <c r="D4189" s="21" t="s">
        <v>11</v>
      </c>
      <c r="E4189" s="21" t="s">
        <v>11</v>
      </c>
    </row>
    <row r="4190" spans="1:5" s="21" customFormat="1" ht="15.75" hidden="1" customHeight="1">
      <c r="A4190" s="21">
        <v>846210</v>
      </c>
      <c r="B4190" s="21" t="s">
        <v>4181</v>
      </c>
      <c r="C4190" s="21" t="s">
        <v>5990</v>
      </c>
      <c r="D4190" s="21" t="s">
        <v>11</v>
      </c>
      <c r="E4190" s="21" t="s">
        <v>11</v>
      </c>
    </row>
    <row r="4191" spans="1:5" s="21" customFormat="1" ht="15.75" hidden="1" customHeight="1">
      <c r="A4191" s="21">
        <v>846221</v>
      </c>
      <c r="B4191" s="21" t="s">
        <v>4182</v>
      </c>
      <c r="C4191" s="21" t="s">
        <v>5990</v>
      </c>
      <c r="D4191" s="21" t="s">
        <v>11</v>
      </c>
      <c r="E4191" s="21" t="s">
        <v>11</v>
      </c>
    </row>
    <row r="4192" spans="1:5" s="21" customFormat="1" ht="15.75" hidden="1" customHeight="1">
      <c r="A4192" s="21">
        <v>846229</v>
      </c>
      <c r="B4192" s="21" t="s">
        <v>4183</v>
      </c>
      <c r="C4192" s="21" t="s">
        <v>5990</v>
      </c>
      <c r="D4192" s="21" t="s">
        <v>11</v>
      </c>
      <c r="E4192" s="21" t="s">
        <v>11</v>
      </c>
    </row>
    <row r="4193" spans="1:5" s="21" customFormat="1" ht="15.75" hidden="1" customHeight="1">
      <c r="A4193" s="21">
        <v>846231</v>
      </c>
      <c r="B4193" s="21" t="s">
        <v>4184</v>
      </c>
      <c r="C4193" s="21" t="s">
        <v>5990</v>
      </c>
      <c r="D4193" s="21" t="s">
        <v>11</v>
      </c>
      <c r="E4193" s="21" t="s">
        <v>11</v>
      </c>
    </row>
    <row r="4194" spans="1:5" s="21" customFormat="1" ht="15.75" hidden="1" customHeight="1">
      <c r="A4194" s="21">
        <v>846239</v>
      </c>
      <c r="B4194" s="21" t="s">
        <v>4185</v>
      </c>
      <c r="C4194" s="21" t="s">
        <v>5990</v>
      </c>
      <c r="D4194" s="21" t="s">
        <v>11</v>
      </c>
      <c r="E4194" s="21" t="s">
        <v>11</v>
      </c>
    </row>
    <row r="4195" spans="1:5" s="21" customFormat="1" ht="15.75" hidden="1" customHeight="1">
      <c r="A4195" s="21">
        <v>846241</v>
      </c>
      <c r="B4195" s="21" t="s">
        <v>4186</v>
      </c>
      <c r="C4195" s="21" t="s">
        <v>5990</v>
      </c>
      <c r="D4195" s="21" t="s">
        <v>11</v>
      </c>
      <c r="E4195" s="21" t="s">
        <v>11</v>
      </c>
    </row>
    <row r="4196" spans="1:5" s="21" customFormat="1" ht="15.75" hidden="1" customHeight="1">
      <c r="A4196" s="21">
        <v>846249</v>
      </c>
      <c r="B4196" s="21" t="s">
        <v>4187</v>
      </c>
      <c r="C4196" s="21" t="s">
        <v>5990</v>
      </c>
      <c r="D4196" s="21" t="s">
        <v>11</v>
      </c>
      <c r="E4196" s="21" t="s">
        <v>11</v>
      </c>
    </row>
    <row r="4197" spans="1:5" s="21" customFormat="1" ht="15.75" hidden="1" customHeight="1">
      <c r="A4197" s="21">
        <v>846291</v>
      </c>
      <c r="B4197" s="21" t="s">
        <v>4188</v>
      </c>
      <c r="C4197" s="21" t="s">
        <v>5990</v>
      </c>
      <c r="D4197" s="21" t="s">
        <v>11</v>
      </c>
      <c r="E4197" s="21" t="s">
        <v>11</v>
      </c>
    </row>
    <row r="4198" spans="1:5" s="21" customFormat="1" ht="15.75" hidden="1" customHeight="1">
      <c r="A4198" s="21">
        <v>846299</v>
      </c>
      <c r="B4198" s="21" t="s">
        <v>4189</v>
      </c>
      <c r="C4198" s="21" t="s">
        <v>5990</v>
      </c>
      <c r="D4198" s="21" t="s">
        <v>11</v>
      </c>
      <c r="E4198" s="21" t="s">
        <v>11</v>
      </c>
    </row>
    <row r="4199" spans="1:5" s="21" customFormat="1" ht="15.75" hidden="1" customHeight="1">
      <c r="A4199" s="21">
        <v>846310</v>
      </c>
      <c r="B4199" s="21" t="s">
        <v>4190</v>
      </c>
      <c r="C4199" s="21" t="s">
        <v>5990</v>
      </c>
      <c r="D4199" s="21" t="s">
        <v>11</v>
      </c>
      <c r="E4199" s="21" t="s">
        <v>11</v>
      </c>
    </row>
    <row r="4200" spans="1:5" s="21" customFormat="1" ht="15.75" hidden="1" customHeight="1">
      <c r="A4200" s="21">
        <v>846320</v>
      </c>
      <c r="B4200" s="21" t="s">
        <v>4191</v>
      </c>
      <c r="C4200" s="21" t="s">
        <v>5990</v>
      </c>
      <c r="D4200" s="21" t="s">
        <v>11</v>
      </c>
      <c r="E4200" s="21" t="s">
        <v>11</v>
      </c>
    </row>
    <row r="4201" spans="1:5" s="21" customFormat="1" ht="15.75" hidden="1" customHeight="1">
      <c r="A4201" s="21">
        <v>846330</v>
      </c>
      <c r="B4201" s="21" t="s">
        <v>4192</v>
      </c>
      <c r="C4201" s="21" t="s">
        <v>5990</v>
      </c>
      <c r="D4201" s="21" t="s">
        <v>11</v>
      </c>
      <c r="E4201" s="21" t="s">
        <v>11</v>
      </c>
    </row>
    <row r="4202" spans="1:5" s="21" customFormat="1" ht="15.75" hidden="1" customHeight="1">
      <c r="A4202" s="21">
        <v>846390</v>
      </c>
      <c r="B4202" s="21" t="s">
        <v>4193</v>
      </c>
      <c r="C4202" s="21" t="s">
        <v>5990</v>
      </c>
      <c r="D4202" s="21" t="s">
        <v>11</v>
      </c>
      <c r="E4202" s="21" t="s">
        <v>11</v>
      </c>
    </row>
    <row r="4203" spans="1:5" s="21" customFormat="1" ht="15.75" hidden="1" customHeight="1">
      <c r="A4203" s="21">
        <v>846410</v>
      </c>
      <c r="B4203" s="21" t="s">
        <v>4194</v>
      </c>
      <c r="C4203" s="21" t="s">
        <v>5990</v>
      </c>
      <c r="D4203" s="21" t="s">
        <v>11</v>
      </c>
      <c r="E4203" s="21" t="s">
        <v>11</v>
      </c>
    </row>
    <row r="4204" spans="1:5" s="21" customFormat="1" ht="15.75" hidden="1" customHeight="1">
      <c r="A4204" s="21">
        <v>846420</v>
      </c>
      <c r="B4204" s="21" t="s">
        <v>4195</v>
      </c>
      <c r="C4204" s="21" t="s">
        <v>5990</v>
      </c>
      <c r="D4204" s="21" t="s">
        <v>11</v>
      </c>
      <c r="E4204" s="21" t="s">
        <v>11</v>
      </c>
    </row>
    <row r="4205" spans="1:5" s="21" customFormat="1" ht="15.75" hidden="1" customHeight="1">
      <c r="A4205" s="21">
        <v>846490</v>
      </c>
      <c r="B4205" s="21" t="s">
        <v>4196</v>
      </c>
      <c r="C4205" s="21" t="s">
        <v>5990</v>
      </c>
      <c r="D4205" s="21" t="s">
        <v>11</v>
      </c>
      <c r="E4205" s="21" t="s">
        <v>11</v>
      </c>
    </row>
    <row r="4206" spans="1:5" s="21" customFormat="1" ht="15.75" hidden="1" customHeight="1">
      <c r="A4206" s="21">
        <v>846510</v>
      </c>
      <c r="B4206" s="21" t="s">
        <v>4197</v>
      </c>
      <c r="C4206" s="21" t="s">
        <v>5990</v>
      </c>
      <c r="D4206" s="21" t="s">
        <v>11</v>
      </c>
      <c r="E4206" s="21" t="s">
        <v>11</v>
      </c>
    </row>
    <row r="4207" spans="1:5" s="21" customFormat="1" ht="15.75" hidden="1" customHeight="1">
      <c r="A4207" s="21">
        <v>846591</v>
      </c>
      <c r="B4207" s="21" t="s">
        <v>4198</v>
      </c>
      <c r="C4207" s="21" t="s">
        <v>5990</v>
      </c>
      <c r="D4207" s="21" t="s">
        <v>11</v>
      </c>
      <c r="E4207" s="21" t="s">
        <v>11</v>
      </c>
    </row>
    <row r="4208" spans="1:5" s="21" customFormat="1" ht="15.75" hidden="1" customHeight="1">
      <c r="A4208" s="21">
        <v>846592</v>
      </c>
      <c r="B4208" s="21" t="s">
        <v>4199</v>
      </c>
      <c r="C4208" s="21" t="s">
        <v>5990</v>
      </c>
      <c r="D4208" s="21" t="s">
        <v>11</v>
      </c>
      <c r="E4208" s="21" t="s">
        <v>11</v>
      </c>
    </row>
    <row r="4209" spans="1:5" s="21" customFormat="1" ht="15.75" hidden="1" customHeight="1">
      <c r="A4209" s="21">
        <v>846593</v>
      </c>
      <c r="B4209" s="21" t="s">
        <v>4200</v>
      </c>
      <c r="C4209" s="21" t="s">
        <v>5990</v>
      </c>
      <c r="D4209" s="21" t="s">
        <v>11</v>
      </c>
      <c r="E4209" s="21" t="s">
        <v>11</v>
      </c>
    </row>
    <row r="4210" spans="1:5" s="21" customFormat="1" ht="15.75" hidden="1" customHeight="1">
      <c r="A4210" s="21">
        <v>846594</v>
      </c>
      <c r="B4210" s="21" t="s">
        <v>4201</v>
      </c>
      <c r="C4210" s="21" t="s">
        <v>5990</v>
      </c>
      <c r="D4210" s="21" t="s">
        <v>11</v>
      </c>
      <c r="E4210" s="21" t="s">
        <v>11</v>
      </c>
    </row>
    <row r="4211" spans="1:5" s="21" customFormat="1" ht="15.75" hidden="1" customHeight="1">
      <c r="A4211" s="21">
        <v>846595</v>
      </c>
      <c r="B4211" s="21" t="s">
        <v>4202</v>
      </c>
      <c r="C4211" s="21" t="s">
        <v>5990</v>
      </c>
      <c r="D4211" s="21" t="s">
        <v>11</v>
      </c>
      <c r="E4211" s="21" t="s">
        <v>11</v>
      </c>
    </row>
    <row r="4212" spans="1:5" s="21" customFormat="1" ht="15.75" hidden="1" customHeight="1">
      <c r="A4212" s="21">
        <v>846596</v>
      </c>
      <c r="B4212" s="21" t="s">
        <v>4203</v>
      </c>
      <c r="C4212" s="21" t="s">
        <v>5990</v>
      </c>
      <c r="D4212" s="21" t="s">
        <v>11</v>
      </c>
      <c r="E4212" s="21" t="s">
        <v>11</v>
      </c>
    </row>
    <row r="4213" spans="1:5" s="21" customFormat="1" ht="15.75" hidden="1" customHeight="1">
      <c r="A4213" s="21">
        <v>846599</v>
      </c>
      <c r="B4213" s="21" t="s">
        <v>4204</v>
      </c>
      <c r="C4213" s="21" t="s">
        <v>5990</v>
      </c>
      <c r="D4213" s="21" t="s">
        <v>11</v>
      </c>
      <c r="E4213" s="21" t="s">
        <v>11</v>
      </c>
    </row>
    <row r="4214" spans="1:5" s="21" customFormat="1" ht="15.75" hidden="1" customHeight="1">
      <c r="A4214" s="21">
        <v>846610</v>
      </c>
      <c r="B4214" s="21" t="s">
        <v>4205</v>
      </c>
      <c r="C4214" s="21" t="s">
        <v>5990</v>
      </c>
      <c r="D4214" s="21" t="s">
        <v>11</v>
      </c>
      <c r="E4214" s="21" t="s">
        <v>11</v>
      </c>
    </row>
    <row r="4215" spans="1:5" s="21" customFormat="1" ht="15.75" hidden="1" customHeight="1">
      <c r="A4215" s="21">
        <v>846620</v>
      </c>
      <c r="B4215" s="21" t="s">
        <v>4206</v>
      </c>
      <c r="C4215" s="21" t="s">
        <v>5990</v>
      </c>
      <c r="D4215" s="21" t="s">
        <v>11</v>
      </c>
      <c r="E4215" s="21" t="s">
        <v>11</v>
      </c>
    </row>
    <row r="4216" spans="1:5" s="21" customFormat="1" ht="15.75" hidden="1" customHeight="1">
      <c r="A4216" s="21">
        <v>846630</v>
      </c>
      <c r="B4216" s="21" t="s">
        <v>4207</v>
      </c>
      <c r="C4216" s="21" t="s">
        <v>5990</v>
      </c>
      <c r="D4216" s="21" t="s">
        <v>11</v>
      </c>
      <c r="E4216" s="21" t="s">
        <v>11</v>
      </c>
    </row>
    <row r="4217" spans="1:5" s="21" customFormat="1" ht="15.75" hidden="1" customHeight="1">
      <c r="A4217" s="21">
        <v>846691</v>
      </c>
      <c r="B4217" s="21" t="s">
        <v>4208</v>
      </c>
      <c r="C4217" s="21" t="s">
        <v>5990</v>
      </c>
      <c r="D4217" s="21" t="s">
        <v>11</v>
      </c>
      <c r="E4217" s="21" t="s">
        <v>11</v>
      </c>
    </row>
    <row r="4218" spans="1:5" s="21" customFormat="1" ht="15.75" hidden="1" customHeight="1">
      <c r="A4218" s="21">
        <v>846692</v>
      </c>
      <c r="B4218" s="21" t="s">
        <v>4209</v>
      </c>
      <c r="C4218" s="21" t="s">
        <v>5990</v>
      </c>
      <c r="D4218" s="21" t="s">
        <v>11</v>
      </c>
      <c r="E4218" s="21" t="s">
        <v>11</v>
      </c>
    </row>
    <row r="4219" spans="1:5" s="21" customFormat="1" ht="15.75" hidden="1" customHeight="1">
      <c r="A4219" s="21">
        <v>846693</v>
      </c>
      <c r="B4219" s="21" t="s">
        <v>4210</v>
      </c>
      <c r="C4219" s="21" t="s">
        <v>5990</v>
      </c>
      <c r="D4219" s="21" t="s">
        <v>11</v>
      </c>
      <c r="E4219" s="21" t="s">
        <v>11</v>
      </c>
    </row>
    <row r="4220" spans="1:5" s="21" customFormat="1" ht="15.75" hidden="1" customHeight="1">
      <c r="A4220" s="21">
        <v>846694</v>
      </c>
      <c r="B4220" s="21" t="s">
        <v>4211</v>
      </c>
      <c r="C4220" s="21" t="s">
        <v>5990</v>
      </c>
      <c r="D4220" s="21" t="s">
        <v>11</v>
      </c>
      <c r="E4220" s="21" t="s">
        <v>11</v>
      </c>
    </row>
    <row r="4221" spans="1:5" s="21" customFormat="1" ht="15.75" hidden="1" customHeight="1">
      <c r="A4221" s="21">
        <v>846711</v>
      </c>
      <c r="B4221" s="21" t="s">
        <v>4212</v>
      </c>
      <c r="C4221" s="21" t="s">
        <v>5875</v>
      </c>
      <c r="D4221" s="21" t="s">
        <v>11</v>
      </c>
      <c r="E4221" s="21" t="s">
        <v>11</v>
      </c>
    </row>
    <row r="4222" spans="1:5" s="21" customFormat="1" ht="15.75" hidden="1" customHeight="1">
      <c r="A4222" s="21">
        <v>846719</v>
      </c>
      <c r="B4222" s="21" t="s">
        <v>4213</v>
      </c>
      <c r="C4222" s="21" t="s">
        <v>5875</v>
      </c>
      <c r="D4222" s="21" t="s">
        <v>11</v>
      </c>
      <c r="E4222" s="21" t="s">
        <v>11</v>
      </c>
    </row>
    <row r="4223" spans="1:5" s="21" customFormat="1" ht="15.75" hidden="1" customHeight="1">
      <c r="A4223" s="21">
        <v>846721</v>
      </c>
      <c r="B4223" s="21" t="s">
        <v>4214</v>
      </c>
      <c r="C4223" s="21" t="s">
        <v>5875</v>
      </c>
      <c r="D4223" s="21" t="s">
        <v>11</v>
      </c>
      <c r="E4223" s="21" t="s">
        <v>11</v>
      </c>
    </row>
    <row r="4224" spans="1:5" s="21" customFormat="1" ht="15.75" hidden="1" customHeight="1">
      <c r="A4224" s="21">
        <v>846722</v>
      </c>
      <c r="B4224" s="21" t="s">
        <v>4215</v>
      </c>
      <c r="C4224" s="21" t="s">
        <v>5875</v>
      </c>
      <c r="D4224" s="21" t="s">
        <v>11</v>
      </c>
      <c r="E4224" s="21" t="s">
        <v>11</v>
      </c>
    </row>
    <row r="4225" spans="1:5" s="21" customFormat="1" ht="15.75" hidden="1" customHeight="1">
      <c r="A4225" s="21">
        <v>846729</v>
      </c>
      <c r="B4225" s="21" t="s">
        <v>4216</v>
      </c>
      <c r="C4225" s="21" t="s">
        <v>5875</v>
      </c>
      <c r="D4225" s="21" t="s">
        <v>11</v>
      </c>
      <c r="E4225" s="21" t="s">
        <v>11</v>
      </c>
    </row>
    <row r="4226" spans="1:5" s="21" customFormat="1" ht="15.75" hidden="1" customHeight="1">
      <c r="A4226" s="21">
        <v>846781</v>
      </c>
      <c r="B4226" s="21" t="s">
        <v>4217</v>
      </c>
      <c r="C4226" s="21" t="s">
        <v>5875</v>
      </c>
      <c r="D4226" s="21" t="s">
        <v>11</v>
      </c>
      <c r="E4226" s="21" t="s">
        <v>11</v>
      </c>
    </row>
    <row r="4227" spans="1:5" s="21" customFormat="1" ht="15.75" hidden="1" customHeight="1">
      <c r="A4227" s="21">
        <v>846789</v>
      </c>
      <c r="B4227" s="21" t="s">
        <v>4218</v>
      </c>
      <c r="C4227" s="21" t="s">
        <v>5875</v>
      </c>
      <c r="D4227" s="21" t="s">
        <v>11</v>
      </c>
      <c r="E4227" s="21" t="s">
        <v>11</v>
      </c>
    </row>
    <row r="4228" spans="1:5" s="21" customFormat="1" ht="15.75" hidden="1" customHeight="1">
      <c r="A4228" s="21">
        <v>846791</v>
      </c>
      <c r="B4228" s="21" t="s">
        <v>4219</v>
      </c>
      <c r="C4228" s="21" t="s">
        <v>5875</v>
      </c>
      <c r="D4228" s="21" t="s">
        <v>11</v>
      </c>
      <c r="E4228" s="21" t="s">
        <v>11</v>
      </c>
    </row>
    <row r="4229" spans="1:5" s="21" customFormat="1" ht="15.75" hidden="1" customHeight="1">
      <c r="A4229" s="21">
        <v>846792</v>
      </c>
      <c r="B4229" s="21" t="s">
        <v>4220</v>
      </c>
      <c r="C4229" s="21" t="s">
        <v>5875</v>
      </c>
      <c r="D4229" s="21" t="s">
        <v>11</v>
      </c>
      <c r="E4229" s="21" t="s">
        <v>11</v>
      </c>
    </row>
    <row r="4230" spans="1:5" s="21" customFormat="1" ht="15.75" hidden="1" customHeight="1">
      <c r="A4230" s="21">
        <v>846799</v>
      </c>
      <c r="B4230" s="21" t="s">
        <v>4221</v>
      </c>
      <c r="C4230" s="21" t="s">
        <v>5875</v>
      </c>
      <c r="D4230" s="21" t="s">
        <v>11</v>
      </c>
      <c r="E4230" s="21" t="s">
        <v>11</v>
      </c>
    </row>
    <row r="4231" spans="1:5" s="21" customFormat="1" ht="15.75" hidden="1" customHeight="1">
      <c r="A4231" s="21">
        <v>846810</v>
      </c>
      <c r="B4231" s="21" t="s">
        <v>4222</v>
      </c>
      <c r="C4231" s="21" t="s">
        <v>5905</v>
      </c>
      <c r="D4231" s="21" t="s">
        <v>11</v>
      </c>
      <c r="E4231" s="21" t="s">
        <v>11</v>
      </c>
    </row>
    <row r="4232" spans="1:5" s="21" customFormat="1" ht="15.75" hidden="1" customHeight="1">
      <c r="A4232" s="21">
        <v>846820</v>
      </c>
      <c r="B4232" s="21" t="s">
        <v>4223</v>
      </c>
      <c r="C4232" s="21" t="s">
        <v>5905</v>
      </c>
      <c r="D4232" s="21" t="s">
        <v>11</v>
      </c>
      <c r="E4232" s="21" t="s">
        <v>11</v>
      </c>
    </row>
    <row r="4233" spans="1:5" s="21" customFormat="1" ht="15.75" hidden="1" customHeight="1">
      <c r="A4233" s="21">
        <v>846880</v>
      </c>
      <c r="B4233" s="21" t="s">
        <v>4224</v>
      </c>
      <c r="C4233" s="21" t="s">
        <v>5905</v>
      </c>
      <c r="D4233" s="21" t="s">
        <v>11</v>
      </c>
      <c r="E4233" s="21" t="s">
        <v>11</v>
      </c>
    </row>
    <row r="4234" spans="1:5" s="21" customFormat="1" ht="15.75" hidden="1" customHeight="1">
      <c r="A4234" s="21">
        <v>846890</v>
      </c>
      <c r="B4234" s="21" t="s">
        <v>4225</v>
      </c>
      <c r="C4234" s="21" t="s">
        <v>5905</v>
      </c>
      <c r="D4234" s="21" t="s">
        <v>11</v>
      </c>
      <c r="E4234" s="21" t="s">
        <v>11</v>
      </c>
    </row>
    <row r="4235" spans="1:5" s="21" customFormat="1" ht="15.75" hidden="1" customHeight="1">
      <c r="A4235" s="21">
        <v>846900</v>
      </c>
      <c r="B4235" s="21" t="s">
        <v>4226</v>
      </c>
      <c r="C4235" s="21" t="s">
        <v>4226</v>
      </c>
      <c r="D4235" s="21" t="s">
        <v>11</v>
      </c>
      <c r="E4235" s="21" t="s">
        <v>11</v>
      </c>
    </row>
    <row r="4236" spans="1:5" s="21" customFormat="1" ht="15.75" hidden="1" customHeight="1">
      <c r="A4236" s="21">
        <v>847010</v>
      </c>
      <c r="B4236" s="21" t="s">
        <v>4227</v>
      </c>
      <c r="C4236" s="21" t="s">
        <v>5995</v>
      </c>
      <c r="D4236" s="21" t="s">
        <v>11</v>
      </c>
      <c r="E4236" s="21" t="s">
        <v>11</v>
      </c>
    </row>
    <row r="4237" spans="1:5" s="21" customFormat="1" ht="15.75" hidden="1" customHeight="1">
      <c r="A4237" s="21">
        <v>847021</v>
      </c>
      <c r="B4237" s="21" t="s">
        <v>4228</v>
      </c>
      <c r="C4237" s="21" t="s">
        <v>5995</v>
      </c>
      <c r="D4237" s="21" t="s">
        <v>11</v>
      </c>
      <c r="E4237" s="21" t="s">
        <v>11</v>
      </c>
    </row>
    <row r="4238" spans="1:5" s="21" customFormat="1" ht="15.75" hidden="1" customHeight="1">
      <c r="A4238" s="21">
        <v>847029</v>
      </c>
      <c r="B4238" s="21" t="s">
        <v>4229</v>
      </c>
      <c r="C4238" s="21" t="s">
        <v>5995</v>
      </c>
      <c r="D4238" s="21" t="s">
        <v>11</v>
      </c>
      <c r="E4238" s="21" t="s">
        <v>11</v>
      </c>
    </row>
    <row r="4239" spans="1:5" s="21" customFormat="1" ht="15.75" hidden="1" customHeight="1">
      <c r="A4239" s="21">
        <v>847030</v>
      </c>
      <c r="B4239" s="21" t="s">
        <v>4230</v>
      </c>
      <c r="C4239" s="21" t="s">
        <v>5995</v>
      </c>
      <c r="D4239" s="21" t="s">
        <v>11</v>
      </c>
      <c r="E4239" s="21" t="s">
        <v>11</v>
      </c>
    </row>
    <row r="4240" spans="1:5" s="21" customFormat="1" ht="15.75" hidden="1" customHeight="1">
      <c r="A4240" s="21">
        <v>847050</v>
      </c>
      <c r="B4240" s="21" t="s">
        <v>4231</v>
      </c>
      <c r="C4240" s="21" t="s">
        <v>4231</v>
      </c>
      <c r="D4240" s="21" t="s">
        <v>11</v>
      </c>
      <c r="E4240" s="21" t="s">
        <v>11</v>
      </c>
    </row>
    <row r="4241" spans="1:5" s="21" customFormat="1" ht="15.75" hidden="1" customHeight="1">
      <c r="A4241" s="21">
        <v>847090</v>
      </c>
      <c r="B4241" s="21" t="s">
        <v>4232</v>
      </c>
      <c r="C4241" s="21" t="s">
        <v>5996</v>
      </c>
      <c r="D4241" s="21" t="s">
        <v>11</v>
      </c>
      <c r="E4241" s="21" t="s">
        <v>11</v>
      </c>
    </row>
    <row r="4242" spans="1:5" s="21" customFormat="1" ht="15.75" hidden="1" customHeight="1">
      <c r="A4242" s="21">
        <v>847130</v>
      </c>
      <c r="B4242" s="21" t="s">
        <v>4233</v>
      </c>
      <c r="C4242" s="21" t="s">
        <v>5997</v>
      </c>
      <c r="D4242" s="21" t="s">
        <v>11</v>
      </c>
      <c r="E4242" s="21" t="s">
        <v>11</v>
      </c>
    </row>
    <row r="4243" spans="1:5" s="21" customFormat="1" ht="15.75" hidden="1" customHeight="1">
      <c r="A4243" s="21">
        <v>847141</v>
      </c>
      <c r="B4243" s="21" t="s">
        <v>4234</v>
      </c>
      <c r="C4243" s="21" t="s">
        <v>5997</v>
      </c>
      <c r="D4243" s="21" t="s">
        <v>11</v>
      </c>
      <c r="E4243" s="21" t="s">
        <v>11</v>
      </c>
    </row>
    <row r="4244" spans="1:5" s="21" customFormat="1" ht="15.75" hidden="1" customHeight="1">
      <c r="A4244" s="21">
        <v>847149</v>
      </c>
      <c r="B4244" s="21" t="s">
        <v>4235</v>
      </c>
      <c r="C4244" s="21" t="s">
        <v>5997</v>
      </c>
      <c r="D4244" s="21" t="s">
        <v>11</v>
      </c>
      <c r="E4244" s="21" t="s">
        <v>11</v>
      </c>
    </row>
    <row r="4245" spans="1:5" s="21" customFormat="1" ht="15.75" hidden="1" customHeight="1">
      <c r="A4245" s="21">
        <v>847150</v>
      </c>
      <c r="B4245" s="21" t="s">
        <v>4236</v>
      </c>
      <c r="C4245" s="21" t="s">
        <v>5998</v>
      </c>
      <c r="D4245" s="21" t="s">
        <v>11</v>
      </c>
      <c r="E4245" s="21" t="s">
        <v>11</v>
      </c>
    </row>
    <row r="4246" spans="1:5" s="21" customFormat="1" ht="15.75" hidden="1" customHeight="1">
      <c r="A4246" s="21">
        <v>847160</v>
      </c>
      <c r="B4246" s="21" t="s">
        <v>4237</v>
      </c>
      <c r="C4246" s="21" t="s">
        <v>5998</v>
      </c>
      <c r="D4246" s="21" t="s">
        <v>11</v>
      </c>
      <c r="E4246" s="21" t="s">
        <v>11</v>
      </c>
    </row>
    <row r="4247" spans="1:5" s="21" customFormat="1" ht="15.75" hidden="1" customHeight="1">
      <c r="A4247" s="21">
        <v>847170</v>
      </c>
      <c r="B4247" s="21" t="s">
        <v>4238</v>
      </c>
      <c r="C4247" s="21" t="s">
        <v>5998</v>
      </c>
      <c r="D4247" s="21" t="s">
        <v>11</v>
      </c>
      <c r="E4247" s="21" t="s">
        <v>11</v>
      </c>
    </row>
    <row r="4248" spans="1:5" s="21" customFormat="1" ht="15.75" hidden="1" customHeight="1">
      <c r="A4248" s="21">
        <v>847180</v>
      </c>
      <c r="B4248" s="21" t="s">
        <v>4239</v>
      </c>
      <c r="C4248" s="21" t="s">
        <v>5998</v>
      </c>
      <c r="D4248" s="21" t="s">
        <v>11</v>
      </c>
      <c r="E4248" s="21" t="s">
        <v>11</v>
      </c>
    </row>
    <row r="4249" spans="1:5" s="21" customFormat="1" ht="15.75" hidden="1" customHeight="1">
      <c r="A4249" s="21">
        <v>847190</v>
      </c>
      <c r="B4249" s="21" t="s">
        <v>4240</v>
      </c>
      <c r="C4249" s="21" t="s">
        <v>4240</v>
      </c>
      <c r="D4249" s="21" t="s">
        <v>11</v>
      </c>
      <c r="E4249" s="21" t="s">
        <v>11</v>
      </c>
    </row>
    <row r="4250" spans="1:5" s="21" customFormat="1" ht="15.75" hidden="1" customHeight="1">
      <c r="A4250" s="21">
        <v>847210</v>
      </c>
      <c r="B4250" s="21" t="s">
        <v>4241</v>
      </c>
      <c r="C4250" s="21" t="s">
        <v>5999</v>
      </c>
      <c r="D4250" s="21" t="s">
        <v>11</v>
      </c>
      <c r="E4250" s="21" t="s">
        <v>11</v>
      </c>
    </row>
    <row r="4251" spans="1:5" s="21" customFormat="1" ht="15.75" hidden="1" customHeight="1">
      <c r="A4251" s="21">
        <v>847230</v>
      </c>
      <c r="B4251" s="21" t="s">
        <v>4242</v>
      </c>
      <c r="C4251" s="21" t="s">
        <v>5999</v>
      </c>
      <c r="D4251" s="21" t="s">
        <v>11</v>
      </c>
      <c r="E4251" s="21" t="s">
        <v>11</v>
      </c>
    </row>
    <row r="4252" spans="1:5" s="21" customFormat="1" ht="15.75" hidden="1" customHeight="1">
      <c r="A4252" s="21">
        <v>847290</v>
      </c>
      <c r="B4252" s="21" t="s">
        <v>4243</v>
      </c>
      <c r="C4252" s="21" t="s">
        <v>5999</v>
      </c>
      <c r="D4252" s="21" t="s">
        <v>11</v>
      </c>
      <c r="E4252" s="21" t="s">
        <v>11</v>
      </c>
    </row>
    <row r="4253" spans="1:5" s="21" customFormat="1" ht="15.75" hidden="1" customHeight="1">
      <c r="A4253" s="21">
        <v>847310</v>
      </c>
      <c r="B4253" s="21" t="s">
        <v>4244</v>
      </c>
      <c r="C4253" s="21" t="s">
        <v>6000</v>
      </c>
      <c r="D4253" s="21" t="s">
        <v>11</v>
      </c>
      <c r="E4253" s="21" t="s">
        <v>11</v>
      </c>
    </row>
    <row r="4254" spans="1:5" s="21" customFormat="1" ht="15.75" hidden="1" customHeight="1">
      <c r="A4254" s="21">
        <v>847321</v>
      </c>
      <c r="B4254" s="21" t="s">
        <v>4245</v>
      </c>
      <c r="C4254" s="21" t="s">
        <v>5995</v>
      </c>
      <c r="D4254" s="21" t="s">
        <v>11</v>
      </c>
      <c r="E4254" s="21" t="s">
        <v>11</v>
      </c>
    </row>
    <row r="4255" spans="1:5" s="21" customFormat="1" ht="15.75" hidden="1" customHeight="1">
      <c r="A4255" s="21">
        <v>847329</v>
      </c>
      <c r="B4255" s="21" t="s">
        <v>4246</v>
      </c>
      <c r="C4255" s="21" t="s">
        <v>5934</v>
      </c>
      <c r="D4255" s="21" t="s">
        <v>11</v>
      </c>
      <c r="E4255" s="21" t="s">
        <v>11</v>
      </c>
    </row>
    <row r="4256" spans="1:5" s="21" customFormat="1" ht="15.75" hidden="1" customHeight="1">
      <c r="A4256" s="21">
        <v>847330</v>
      </c>
      <c r="B4256" s="21" t="s">
        <v>4247</v>
      </c>
      <c r="C4256" s="21" t="s">
        <v>5934</v>
      </c>
      <c r="D4256" s="21" t="s">
        <v>11</v>
      </c>
      <c r="E4256" s="21" t="s">
        <v>11</v>
      </c>
    </row>
    <row r="4257" spans="1:5" s="21" customFormat="1" ht="15.75" hidden="1" customHeight="1">
      <c r="A4257" s="21">
        <v>847340</v>
      </c>
      <c r="B4257" s="21" t="s">
        <v>4248</v>
      </c>
      <c r="C4257" s="21" t="s">
        <v>5934</v>
      </c>
      <c r="D4257" s="21" t="s">
        <v>11</v>
      </c>
      <c r="E4257" s="21" t="s">
        <v>11</v>
      </c>
    </row>
    <row r="4258" spans="1:5" s="21" customFormat="1" ht="15.75" hidden="1" customHeight="1">
      <c r="A4258" s="21">
        <v>847350</v>
      </c>
      <c r="B4258" s="21" t="s">
        <v>4249</v>
      </c>
      <c r="C4258" s="21" t="s">
        <v>5937</v>
      </c>
      <c r="D4258" s="21" t="s">
        <v>11</v>
      </c>
      <c r="E4258" s="21" t="s">
        <v>11</v>
      </c>
    </row>
    <row r="4259" spans="1:5" s="21" customFormat="1" ht="15.75" hidden="1" customHeight="1">
      <c r="A4259" s="21">
        <v>847410</v>
      </c>
      <c r="B4259" s="21" t="s">
        <v>4250</v>
      </c>
      <c r="C4259" s="21" t="s">
        <v>5937</v>
      </c>
      <c r="D4259" s="21" t="s">
        <v>11</v>
      </c>
      <c r="E4259" s="21" t="s">
        <v>11</v>
      </c>
    </row>
    <row r="4260" spans="1:5" s="21" customFormat="1" ht="15.75" hidden="1" customHeight="1">
      <c r="A4260" s="21">
        <v>847420</v>
      </c>
      <c r="B4260" s="21" t="s">
        <v>4251</v>
      </c>
      <c r="C4260" s="21" t="s">
        <v>5937</v>
      </c>
      <c r="D4260" s="21" t="s">
        <v>11</v>
      </c>
      <c r="E4260" s="21" t="s">
        <v>11</v>
      </c>
    </row>
    <row r="4261" spans="1:5" s="21" customFormat="1" ht="15.75" hidden="1" customHeight="1">
      <c r="A4261" s="21">
        <v>847431</v>
      </c>
      <c r="B4261" s="21" t="s">
        <v>4252</v>
      </c>
      <c r="C4261" s="21" t="s">
        <v>5937</v>
      </c>
      <c r="D4261" s="21" t="s">
        <v>11</v>
      </c>
      <c r="E4261" s="21" t="s">
        <v>11</v>
      </c>
    </row>
    <row r="4262" spans="1:5" s="21" customFormat="1" ht="15.75" hidden="1" customHeight="1">
      <c r="A4262" s="21">
        <v>847432</v>
      </c>
      <c r="B4262" s="21" t="s">
        <v>4253</v>
      </c>
      <c r="C4262" s="21" t="s">
        <v>5937</v>
      </c>
      <c r="D4262" s="21" t="s">
        <v>11</v>
      </c>
      <c r="E4262" s="21" t="s">
        <v>11</v>
      </c>
    </row>
    <row r="4263" spans="1:5" s="21" customFormat="1" ht="15.75" hidden="1" customHeight="1">
      <c r="A4263" s="21">
        <v>847439</v>
      </c>
      <c r="B4263" s="21" t="s">
        <v>4254</v>
      </c>
      <c r="C4263" s="21" t="s">
        <v>5937</v>
      </c>
      <c r="D4263" s="21" t="s">
        <v>11</v>
      </c>
      <c r="E4263" s="21" t="s">
        <v>11</v>
      </c>
    </row>
    <row r="4264" spans="1:5" s="21" customFormat="1" ht="15.75" hidden="1" customHeight="1">
      <c r="A4264" s="21">
        <v>847480</v>
      </c>
      <c r="B4264" s="21" t="s">
        <v>4255</v>
      </c>
      <c r="C4264" s="21" t="s">
        <v>5937</v>
      </c>
      <c r="D4264" s="21" t="s">
        <v>11</v>
      </c>
      <c r="E4264" s="21" t="s">
        <v>11</v>
      </c>
    </row>
    <row r="4265" spans="1:5" s="21" customFormat="1" ht="15.75" hidden="1" customHeight="1">
      <c r="A4265" s="21">
        <v>847490</v>
      </c>
      <c r="B4265" s="21" t="s">
        <v>4256</v>
      </c>
      <c r="C4265" s="21" t="s">
        <v>6001</v>
      </c>
      <c r="D4265" s="21" t="s">
        <v>11</v>
      </c>
      <c r="E4265" s="21" t="s">
        <v>11</v>
      </c>
    </row>
    <row r="4266" spans="1:5" s="21" customFormat="1" ht="15.75" hidden="1" customHeight="1">
      <c r="A4266" s="21">
        <v>847510</v>
      </c>
      <c r="B4266" s="21" t="s">
        <v>4257</v>
      </c>
      <c r="C4266" s="21" t="s">
        <v>5937</v>
      </c>
      <c r="D4266" s="21" t="s">
        <v>11</v>
      </c>
      <c r="E4266" s="21" t="s">
        <v>11</v>
      </c>
    </row>
    <row r="4267" spans="1:5" s="21" customFormat="1" ht="15.75" hidden="1" customHeight="1">
      <c r="A4267" s="21">
        <v>847521</v>
      </c>
      <c r="B4267" s="21" t="s">
        <v>4258</v>
      </c>
      <c r="C4267" s="21" t="s">
        <v>5937</v>
      </c>
      <c r="D4267" s="21" t="s">
        <v>11</v>
      </c>
      <c r="E4267" s="21" t="s">
        <v>11</v>
      </c>
    </row>
    <row r="4268" spans="1:5" s="21" customFormat="1" ht="15.75" hidden="1" customHeight="1">
      <c r="A4268" s="21">
        <v>847529</v>
      </c>
      <c r="B4268" s="21" t="s">
        <v>4259</v>
      </c>
      <c r="C4268" s="21" t="s">
        <v>5937</v>
      </c>
      <c r="D4268" s="21" t="s">
        <v>11</v>
      </c>
      <c r="E4268" s="21" t="s">
        <v>11</v>
      </c>
    </row>
    <row r="4269" spans="1:5" s="21" customFormat="1" ht="15.75" hidden="1" customHeight="1">
      <c r="A4269" s="21">
        <v>847590</v>
      </c>
      <c r="B4269" s="21" t="s">
        <v>4260</v>
      </c>
      <c r="C4269" s="21" t="s">
        <v>5937</v>
      </c>
      <c r="D4269" s="21" t="s">
        <v>11</v>
      </c>
      <c r="E4269" s="21" t="s">
        <v>11</v>
      </c>
    </row>
    <row r="4270" spans="1:5" s="21" customFormat="1" ht="15.75" hidden="1" customHeight="1">
      <c r="A4270" s="21">
        <v>847621</v>
      </c>
      <c r="B4270" s="21" t="s">
        <v>4261</v>
      </c>
      <c r="C4270" s="21" t="s">
        <v>5937</v>
      </c>
      <c r="D4270" s="21" t="s">
        <v>11</v>
      </c>
      <c r="E4270" s="21" t="s">
        <v>11</v>
      </c>
    </row>
    <row r="4271" spans="1:5" s="21" customFormat="1" ht="15.75" hidden="1" customHeight="1">
      <c r="A4271" s="21">
        <v>847629</v>
      </c>
      <c r="B4271" s="21" t="s">
        <v>4262</v>
      </c>
      <c r="C4271" s="21" t="s">
        <v>5937</v>
      </c>
      <c r="D4271" s="21" t="s">
        <v>11</v>
      </c>
      <c r="E4271" s="21" t="s">
        <v>11</v>
      </c>
    </row>
    <row r="4272" spans="1:5" s="21" customFormat="1" ht="15.75" hidden="1" customHeight="1">
      <c r="A4272" s="21">
        <v>847681</v>
      </c>
      <c r="B4272" s="21" t="s">
        <v>4263</v>
      </c>
      <c r="C4272" s="21" t="s">
        <v>5937</v>
      </c>
      <c r="D4272" s="21" t="s">
        <v>11</v>
      </c>
      <c r="E4272" s="21" t="s">
        <v>11</v>
      </c>
    </row>
    <row r="4273" spans="1:5" s="21" customFormat="1" ht="15.75" hidden="1" customHeight="1">
      <c r="A4273" s="21">
        <v>847689</v>
      </c>
      <c r="B4273" s="21" t="s">
        <v>4264</v>
      </c>
      <c r="C4273" s="21" t="s">
        <v>5937</v>
      </c>
      <c r="D4273" s="21" t="s">
        <v>11</v>
      </c>
      <c r="E4273" s="21" t="s">
        <v>11</v>
      </c>
    </row>
    <row r="4274" spans="1:5" s="21" customFormat="1" ht="15.75" hidden="1" customHeight="1">
      <c r="A4274" s="21">
        <v>847690</v>
      </c>
      <c r="B4274" s="21" t="s">
        <v>4265</v>
      </c>
      <c r="C4274" s="21" t="s">
        <v>5937</v>
      </c>
      <c r="D4274" s="21" t="s">
        <v>11</v>
      </c>
      <c r="E4274" s="21" t="s">
        <v>11</v>
      </c>
    </row>
    <row r="4275" spans="1:5" s="21" customFormat="1" ht="15.75" hidden="1" customHeight="1">
      <c r="A4275" s="21">
        <v>847710</v>
      </c>
      <c r="B4275" s="21" t="s">
        <v>4266</v>
      </c>
      <c r="C4275" s="21" t="s">
        <v>5934</v>
      </c>
      <c r="D4275" s="21" t="s">
        <v>11</v>
      </c>
      <c r="E4275" s="21" t="s">
        <v>11</v>
      </c>
    </row>
    <row r="4276" spans="1:5" s="21" customFormat="1" ht="15.75" hidden="1" customHeight="1">
      <c r="A4276" s="21">
        <v>847720</v>
      </c>
      <c r="B4276" s="21" t="s">
        <v>4267</v>
      </c>
      <c r="C4276" s="21" t="s">
        <v>5934</v>
      </c>
      <c r="D4276" s="21" t="s">
        <v>11</v>
      </c>
      <c r="E4276" s="21" t="s">
        <v>11</v>
      </c>
    </row>
    <row r="4277" spans="1:5" s="21" customFormat="1" ht="15.75" hidden="1" customHeight="1">
      <c r="A4277" s="21">
        <v>847730</v>
      </c>
      <c r="B4277" s="21" t="s">
        <v>4268</v>
      </c>
      <c r="C4277" s="21" t="s">
        <v>5934</v>
      </c>
      <c r="D4277" s="21" t="s">
        <v>11</v>
      </c>
      <c r="E4277" s="21" t="s">
        <v>11</v>
      </c>
    </row>
    <row r="4278" spans="1:5" s="21" customFormat="1" ht="15.75" hidden="1" customHeight="1">
      <c r="A4278" s="21">
        <v>847740</v>
      </c>
      <c r="B4278" s="21" t="s">
        <v>4269</v>
      </c>
      <c r="C4278" s="21" t="s">
        <v>5934</v>
      </c>
      <c r="D4278" s="21" t="s">
        <v>11</v>
      </c>
      <c r="E4278" s="21" t="s">
        <v>11</v>
      </c>
    </row>
    <row r="4279" spans="1:5" s="21" customFormat="1" ht="15.75" hidden="1" customHeight="1">
      <c r="A4279" s="21">
        <v>847751</v>
      </c>
      <c r="B4279" s="21" t="s">
        <v>4270</v>
      </c>
      <c r="C4279" s="21" t="s">
        <v>5934</v>
      </c>
      <c r="D4279" s="21" t="s">
        <v>11</v>
      </c>
      <c r="E4279" s="21" t="s">
        <v>11</v>
      </c>
    </row>
    <row r="4280" spans="1:5" s="21" customFormat="1" ht="15.75" hidden="1" customHeight="1">
      <c r="A4280" s="21">
        <v>847759</v>
      </c>
      <c r="B4280" s="21" t="s">
        <v>4271</v>
      </c>
      <c r="C4280" s="21" t="s">
        <v>5934</v>
      </c>
      <c r="D4280" s="21" t="s">
        <v>11</v>
      </c>
      <c r="E4280" s="21" t="s">
        <v>11</v>
      </c>
    </row>
    <row r="4281" spans="1:5" s="21" customFormat="1" ht="15.75" hidden="1" customHeight="1">
      <c r="A4281" s="21">
        <v>847780</v>
      </c>
      <c r="B4281" s="21" t="s">
        <v>4272</v>
      </c>
      <c r="C4281" s="21" t="s">
        <v>5934</v>
      </c>
      <c r="D4281" s="21" t="s">
        <v>11</v>
      </c>
      <c r="E4281" s="21" t="s">
        <v>11</v>
      </c>
    </row>
    <row r="4282" spans="1:5" s="21" customFormat="1" ht="15.75" hidden="1" customHeight="1">
      <c r="A4282" s="21">
        <v>847790</v>
      </c>
      <c r="B4282" s="21" t="s">
        <v>4273</v>
      </c>
      <c r="C4282" s="21" t="s">
        <v>5934</v>
      </c>
      <c r="D4282" s="21" t="s">
        <v>11</v>
      </c>
      <c r="E4282" s="21" t="s">
        <v>11</v>
      </c>
    </row>
    <row r="4283" spans="1:5" s="21" customFormat="1" ht="15.75" hidden="1" customHeight="1">
      <c r="A4283" s="21">
        <v>847810</v>
      </c>
      <c r="B4283" s="21" t="s">
        <v>4274</v>
      </c>
      <c r="C4283" s="21" t="s">
        <v>5934</v>
      </c>
      <c r="D4283" s="21" t="s">
        <v>11</v>
      </c>
      <c r="E4283" s="21" t="s">
        <v>11</v>
      </c>
    </row>
    <row r="4284" spans="1:5" s="21" customFormat="1" ht="15.75" hidden="1" customHeight="1">
      <c r="A4284" s="21">
        <v>847890</v>
      </c>
      <c r="B4284" s="21" t="s">
        <v>4275</v>
      </c>
      <c r="C4284" s="21" t="s">
        <v>5934</v>
      </c>
      <c r="D4284" s="21" t="s">
        <v>11</v>
      </c>
      <c r="E4284" s="21" t="s">
        <v>11</v>
      </c>
    </row>
    <row r="4285" spans="1:5" s="21" customFormat="1" ht="15.75" hidden="1" customHeight="1">
      <c r="A4285" s="21">
        <v>847910</v>
      </c>
      <c r="B4285" s="21" t="s">
        <v>4276</v>
      </c>
      <c r="C4285" s="21" t="s">
        <v>6002</v>
      </c>
      <c r="D4285" s="21" t="s">
        <v>11</v>
      </c>
      <c r="E4285" s="21" t="s">
        <v>11</v>
      </c>
    </row>
    <row r="4286" spans="1:5" s="21" customFormat="1" ht="15.75" hidden="1" customHeight="1">
      <c r="A4286" s="21">
        <v>847920</v>
      </c>
      <c r="B4286" s="21" t="s">
        <v>4277</v>
      </c>
      <c r="C4286" s="21" t="s">
        <v>5934</v>
      </c>
      <c r="D4286" s="21" t="s">
        <v>11</v>
      </c>
      <c r="E4286" s="21" t="s">
        <v>11</v>
      </c>
    </row>
    <row r="4287" spans="1:5" s="21" customFormat="1" ht="15.75" hidden="1" customHeight="1">
      <c r="A4287" s="21">
        <v>847930</v>
      </c>
      <c r="B4287" s="21" t="s">
        <v>4278</v>
      </c>
      <c r="C4287" s="21" t="s">
        <v>6002</v>
      </c>
      <c r="D4287" s="21" t="s">
        <v>11</v>
      </c>
      <c r="E4287" s="21" t="s">
        <v>11</v>
      </c>
    </row>
    <row r="4288" spans="1:5" s="21" customFormat="1" ht="15.75" hidden="1" customHeight="1">
      <c r="A4288" s="21">
        <v>847940</v>
      </c>
      <c r="B4288" s="21" t="s">
        <v>4279</v>
      </c>
      <c r="C4288" s="21" t="s">
        <v>5937</v>
      </c>
      <c r="D4288" s="21" t="s">
        <v>11</v>
      </c>
      <c r="E4288" s="21" t="s">
        <v>11</v>
      </c>
    </row>
    <row r="4289" spans="1:5" s="21" customFormat="1" ht="15.75" hidden="1" customHeight="1">
      <c r="A4289" s="21">
        <v>847950</v>
      </c>
      <c r="B4289" s="21" t="s">
        <v>4280</v>
      </c>
      <c r="C4289" s="21" t="s">
        <v>6002</v>
      </c>
      <c r="D4289" s="21" t="s">
        <v>11</v>
      </c>
      <c r="E4289" s="21" t="s">
        <v>11</v>
      </c>
    </row>
    <row r="4290" spans="1:5" s="21" customFormat="1" ht="15.75" hidden="1" customHeight="1">
      <c r="A4290" s="21">
        <v>847960</v>
      </c>
      <c r="B4290" s="21" t="s">
        <v>4281</v>
      </c>
      <c r="C4290" s="21" t="s">
        <v>6002</v>
      </c>
      <c r="D4290" s="21" t="s">
        <v>11</v>
      </c>
      <c r="E4290" s="21" t="s">
        <v>11</v>
      </c>
    </row>
    <row r="4291" spans="1:5" s="21" customFormat="1" ht="15.75" hidden="1" customHeight="1">
      <c r="A4291" s="21">
        <v>847981</v>
      </c>
      <c r="B4291" s="21" t="s">
        <v>4282</v>
      </c>
      <c r="C4291" s="21" t="s">
        <v>6003</v>
      </c>
      <c r="D4291" s="21" t="s">
        <v>11</v>
      </c>
      <c r="E4291" s="21" t="s">
        <v>11</v>
      </c>
    </row>
    <row r="4292" spans="1:5" s="21" customFormat="1" ht="15.75" hidden="1" customHeight="1">
      <c r="A4292" s="21">
        <v>847982</v>
      </c>
      <c r="B4292" s="21" t="s">
        <v>4283</v>
      </c>
      <c r="C4292" s="21" t="s">
        <v>5937</v>
      </c>
      <c r="D4292" s="21" t="s">
        <v>11</v>
      </c>
      <c r="E4292" s="21" t="s">
        <v>11</v>
      </c>
    </row>
    <row r="4293" spans="1:5" s="21" customFormat="1" ht="15.75" hidden="1" customHeight="1">
      <c r="A4293" s="21">
        <v>847989</v>
      </c>
      <c r="B4293" s="21" t="s">
        <v>4284</v>
      </c>
      <c r="C4293" s="21" t="s">
        <v>6003</v>
      </c>
      <c r="D4293" s="21" t="s">
        <v>11</v>
      </c>
      <c r="E4293" s="21" t="s">
        <v>11</v>
      </c>
    </row>
    <row r="4294" spans="1:5" s="21" customFormat="1" ht="15.75" hidden="1" customHeight="1">
      <c r="A4294" s="21">
        <v>847990</v>
      </c>
      <c r="B4294" s="21" t="s">
        <v>4285</v>
      </c>
      <c r="C4294" s="21" t="s">
        <v>6003</v>
      </c>
      <c r="D4294" s="21" t="s">
        <v>11</v>
      </c>
      <c r="E4294" s="21" t="s">
        <v>11</v>
      </c>
    </row>
    <row r="4295" spans="1:5" s="21" customFormat="1" ht="15.75" hidden="1" customHeight="1">
      <c r="A4295" s="21">
        <v>848010</v>
      </c>
      <c r="B4295" s="21" t="s">
        <v>4286</v>
      </c>
      <c r="C4295" s="21" t="s">
        <v>6004</v>
      </c>
      <c r="D4295" s="21" t="s">
        <v>11</v>
      </c>
      <c r="E4295" s="21" t="s">
        <v>11</v>
      </c>
    </row>
    <row r="4296" spans="1:5" s="21" customFormat="1" ht="15.75" hidden="1" customHeight="1">
      <c r="A4296" s="21">
        <v>848020</v>
      </c>
      <c r="B4296" s="21" t="s">
        <v>4287</v>
      </c>
      <c r="C4296" s="21" t="s">
        <v>6005</v>
      </c>
      <c r="D4296" s="21" t="s">
        <v>11</v>
      </c>
      <c r="E4296" s="21" t="s">
        <v>11</v>
      </c>
    </row>
    <row r="4297" spans="1:5" s="21" customFormat="1" ht="15.75" hidden="1" customHeight="1">
      <c r="A4297" s="21">
        <v>848030</v>
      </c>
      <c r="B4297" s="21" t="s">
        <v>4288</v>
      </c>
      <c r="C4297" s="21" t="s">
        <v>6006</v>
      </c>
      <c r="D4297" s="21" t="s">
        <v>11</v>
      </c>
      <c r="E4297" s="21" t="s">
        <v>11</v>
      </c>
    </row>
    <row r="4298" spans="1:5" s="21" customFormat="1" ht="15.75" hidden="1" customHeight="1">
      <c r="A4298" s="21">
        <v>848041</v>
      </c>
      <c r="B4298" s="21" t="s">
        <v>4289</v>
      </c>
      <c r="C4298" s="21" t="s">
        <v>6007</v>
      </c>
      <c r="D4298" s="21" t="s">
        <v>11</v>
      </c>
      <c r="E4298" s="21" t="s">
        <v>11</v>
      </c>
    </row>
    <row r="4299" spans="1:5" s="21" customFormat="1" ht="15.75" hidden="1" customHeight="1">
      <c r="A4299" s="21">
        <v>848049</v>
      </c>
      <c r="B4299" s="21" t="s">
        <v>4290</v>
      </c>
      <c r="C4299" s="21" t="s">
        <v>6007</v>
      </c>
      <c r="D4299" s="21" t="s">
        <v>11</v>
      </c>
      <c r="E4299" s="21" t="s">
        <v>11</v>
      </c>
    </row>
    <row r="4300" spans="1:5" s="21" customFormat="1" ht="15.75" hidden="1" customHeight="1">
      <c r="A4300" s="21">
        <v>848050</v>
      </c>
      <c r="B4300" s="21" t="s">
        <v>4291</v>
      </c>
      <c r="C4300" s="21" t="s">
        <v>6007</v>
      </c>
      <c r="D4300" s="21" t="s">
        <v>11</v>
      </c>
      <c r="E4300" s="21" t="s">
        <v>11</v>
      </c>
    </row>
    <row r="4301" spans="1:5" s="21" customFormat="1" ht="15.75" hidden="1" customHeight="1">
      <c r="A4301" s="21">
        <v>848060</v>
      </c>
      <c r="B4301" s="21" t="s">
        <v>4292</v>
      </c>
      <c r="C4301" s="21" t="s">
        <v>6007</v>
      </c>
      <c r="D4301" s="21" t="s">
        <v>11</v>
      </c>
      <c r="E4301" s="21" t="s">
        <v>11</v>
      </c>
    </row>
    <row r="4302" spans="1:5" s="21" customFormat="1" ht="15.75" hidden="1" customHeight="1">
      <c r="A4302" s="21">
        <v>848071</v>
      </c>
      <c r="B4302" s="21" t="s">
        <v>4293</v>
      </c>
      <c r="C4302" s="21" t="s">
        <v>6007</v>
      </c>
      <c r="D4302" s="21" t="s">
        <v>11</v>
      </c>
      <c r="E4302" s="21" t="s">
        <v>11</v>
      </c>
    </row>
    <row r="4303" spans="1:5" s="21" customFormat="1" ht="15.75" hidden="1" customHeight="1">
      <c r="A4303" s="21">
        <v>848079</v>
      </c>
      <c r="B4303" s="21" t="s">
        <v>4294</v>
      </c>
      <c r="C4303" s="21" t="s">
        <v>6007</v>
      </c>
      <c r="D4303" s="21" t="s">
        <v>11</v>
      </c>
      <c r="E4303" s="21" t="s">
        <v>11</v>
      </c>
    </row>
    <row r="4304" spans="1:5" s="21" customFormat="1" ht="15.75" hidden="1" customHeight="1">
      <c r="A4304" s="21">
        <v>848110</v>
      </c>
      <c r="B4304" s="21" t="s">
        <v>4295</v>
      </c>
      <c r="C4304" s="21" t="s">
        <v>6008</v>
      </c>
      <c r="D4304" s="21" t="s">
        <v>11</v>
      </c>
      <c r="E4304" s="21" t="s">
        <v>11</v>
      </c>
    </row>
    <row r="4305" spans="1:5" s="21" customFormat="1" ht="15.75" hidden="1" customHeight="1">
      <c r="A4305" s="21">
        <v>848120</v>
      </c>
      <c r="B4305" s="21" t="s">
        <v>4296</v>
      </c>
      <c r="C4305" s="21" t="s">
        <v>6008</v>
      </c>
      <c r="D4305" s="21" t="s">
        <v>11</v>
      </c>
      <c r="E4305" s="21" t="s">
        <v>11</v>
      </c>
    </row>
    <row r="4306" spans="1:5" s="21" customFormat="1" ht="15.75" hidden="1" customHeight="1">
      <c r="A4306" s="21">
        <v>848130</v>
      </c>
      <c r="B4306" s="21" t="s">
        <v>4297</v>
      </c>
      <c r="C4306" s="21" t="s">
        <v>6008</v>
      </c>
      <c r="D4306" s="21" t="s">
        <v>11</v>
      </c>
      <c r="E4306" s="21" t="s">
        <v>11</v>
      </c>
    </row>
    <row r="4307" spans="1:5" s="21" customFormat="1" ht="15.75" hidden="1" customHeight="1">
      <c r="A4307" s="21">
        <v>848140</v>
      </c>
      <c r="B4307" s="21" t="s">
        <v>4298</v>
      </c>
      <c r="C4307" s="21" t="s">
        <v>6008</v>
      </c>
      <c r="D4307" s="21" t="s">
        <v>11</v>
      </c>
      <c r="E4307" s="21" t="s">
        <v>11</v>
      </c>
    </row>
    <row r="4308" spans="1:5" s="21" customFormat="1" ht="15.75" hidden="1" customHeight="1">
      <c r="A4308" s="21">
        <v>848180</v>
      </c>
      <c r="B4308" s="21" t="s">
        <v>4299</v>
      </c>
      <c r="C4308" s="21" t="s">
        <v>6009</v>
      </c>
      <c r="D4308" s="21" t="s">
        <v>11</v>
      </c>
      <c r="E4308" s="21" t="s">
        <v>11</v>
      </c>
    </row>
    <row r="4309" spans="1:5" s="21" customFormat="1" ht="15.75" hidden="1" customHeight="1">
      <c r="A4309" s="21">
        <v>848190</v>
      </c>
      <c r="B4309" s="21" t="s">
        <v>4300</v>
      </c>
      <c r="C4309" s="21" t="s">
        <v>6009</v>
      </c>
      <c r="D4309" s="21" t="s">
        <v>11</v>
      </c>
      <c r="E4309" s="21" t="s">
        <v>11</v>
      </c>
    </row>
    <row r="4310" spans="1:5" s="21" customFormat="1" ht="15.75" hidden="1" customHeight="1">
      <c r="A4310" s="21">
        <v>848210</v>
      </c>
      <c r="B4310" s="21" t="s">
        <v>4301</v>
      </c>
      <c r="C4310" s="21" t="s">
        <v>4301</v>
      </c>
      <c r="D4310" s="21" t="s">
        <v>11</v>
      </c>
      <c r="E4310" s="21" t="s">
        <v>11</v>
      </c>
    </row>
    <row r="4311" spans="1:5" s="21" customFormat="1" ht="15.75" hidden="1" customHeight="1">
      <c r="A4311" s="21">
        <v>848220</v>
      </c>
      <c r="B4311" s="21" t="s">
        <v>4302</v>
      </c>
      <c r="C4311" s="21" t="s">
        <v>6010</v>
      </c>
      <c r="D4311" s="21" t="s">
        <v>11</v>
      </c>
      <c r="E4311" s="21" t="s">
        <v>11</v>
      </c>
    </row>
    <row r="4312" spans="1:5" s="21" customFormat="1" ht="15.75" hidden="1" customHeight="1">
      <c r="A4312" s="21">
        <v>848230</v>
      </c>
      <c r="B4312" s="21" t="s">
        <v>4303</v>
      </c>
      <c r="C4312" s="21" t="s">
        <v>6010</v>
      </c>
      <c r="D4312" s="21" t="s">
        <v>11</v>
      </c>
      <c r="E4312" s="21" t="s">
        <v>11</v>
      </c>
    </row>
    <row r="4313" spans="1:5" s="21" customFormat="1" ht="15.75" hidden="1" customHeight="1">
      <c r="A4313" s="21">
        <v>848240</v>
      </c>
      <c r="B4313" s="21" t="s">
        <v>4304</v>
      </c>
      <c r="C4313" s="21" t="s">
        <v>6010</v>
      </c>
      <c r="D4313" s="21" t="s">
        <v>11</v>
      </c>
      <c r="E4313" s="21" t="s">
        <v>11</v>
      </c>
    </row>
    <row r="4314" spans="1:5" s="21" customFormat="1" ht="15.75" hidden="1" customHeight="1">
      <c r="A4314" s="21">
        <v>848250</v>
      </c>
      <c r="B4314" s="21" t="s">
        <v>4305</v>
      </c>
      <c r="C4314" s="21" t="s">
        <v>6010</v>
      </c>
      <c r="D4314" s="21" t="s">
        <v>11</v>
      </c>
      <c r="E4314" s="21" t="s">
        <v>11</v>
      </c>
    </row>
    <row r="4315" spans="1:5" s="21" customFormat="1" ht="15.75" hidden="1" customHeight="1">
      <c r="A4315" s="21">
        <v>848280</v>
      </c>
      <c r="B4315" s="21" t="s">
        <v>4306</v>
      </c>
      <c r="C4315" s="21" t="s">
        <v>6010</v>
      </c>
      <c r="D4315" s="21" t="s">
        <v>11</v>
      </c>
      <c r="E4315" s="21" t="s">
        <v>11</v>
      </c>
    </row>
    <row r="4316" spans="1:5" s="21" customFormat="1" ht="15.75" hidden="1" customHeight="1">
      <c r="A4316" s="21">
        <v>848291</v>
      </c>
      <c r="B4316" s="21" t="s">
        <v>4307</v>
      </c>
      <c r="C4316" s="21" t="s">
        <v>6010</v>
      </c>
      <c r="D4316" s="21" t="s">
        <v>11</v>
      </c>
      <c r="E4316" s="21" t="s">
        <v>11</v>
      </c>
    </row>
    <row r="4317" spans="1:5" s="21" customFormat="1" ht="15.75" hidden="1" customHeight="1">
      <c r="A4317" s="21">
        <v>848299</v>
      </c>
      <c r="B4317" s="21" t="s">
        <v>4308</v>
      </c>
      <c r="C4317" s="21" t="s">
        <v>6010</v>
      </c>
      <c r="D4317" s="21" t="s">
        <v>11</v>
      </c>
      <c r="E4317" s="21" t="s">
        <v>11</v>
      </c>
    </row>
    <row r="4318" spans="1:5" s="21" customFormat="1" ht="15.75" hidden="1" customHeight="1">
      <c r="A4318" s="21">
        <v>848310</v>
      </c>
      <c r="B4318" s="21" t="s">
        <v>4309</v>
      </c>
      <c r="C4318" s="21" t="s">
        <v>4309</v>
      </c>
      <c r="D4318" s="21" t="s">
        <v>11</v>
      </c>
      <c r="E4318" s="21" t="s">
        <v>11</v>
      </c>
    </row>
    <row r="4319" spans="1:5" s="21" customFormat="1" ht="15.75" hidden="1" customHeight="1">
      <c r="A4319" s="21">
        <v>848320</v>
      </c>
      <c r="B4319" s="21" t="s">
        <v>4310</v>
      </c>
      <c r="C4319" s="21" t="s">
        <v>4310</v>
      </c>
      <c r="D4319" s="21" t="s">
        <v>11</v>
      </c>
      <c r="E4319" s="21" t="s">
        <v>11</v>
      </c>
    </row>
    <row r="4320" spans="1:5" s="21" customFormat="1" ht="15.75" hidden="1" customHeight="1">
      <c r="A4320" s="21">
        <v>848330</v>
      </c>
      <c r="B4320" s="21" t="s">
        <v>4311</v>
      </c>
      <c r="C4320" s="21" t="s">
        <v>4311</v>
      </c>
      <c r="D4320" s="21" t="s">
        <v>11</v>
      </c>
      <c r="E4320" s="21" t="s">
        <v>11</v>
      </c>
    </row>
    <row r="4321" spans="1:5" s="21" customFormat="1" ht="15.75" hidden="1" customHeight="1">
      <c r="A4321" s="21">
        <v>848340</v>
      </c>
      <c r="B4321" s="21" t="s">
        <v>4312</v>
      </c>
      <c r="C4321" s="21" t="s">
        <v>6011</v>
      </c>
      <c r="D4321" s="21" t="s">
        <v>11</v>
      </c>
      <c r="E4321" s="21" t="s">
        <v>11</v>
      </c>
    </row>
    <row r="4322" spans="1:5" s="21" customFormat="1" ht="15.75" hidden="1" customHeight="1">
      <c r="A4322" s="21">
        <v>848350</v>
      </c>
      <c r="B4322" s="21" t="s">
        <v>4313</v>
      </c>
      <c r="C4322" s="21" t="s">
        <v>4313</v>
      </c>
      <c r="D4322" s="21" t="s">
        <v>11</v>
      </c>
      <c r="E4322" s="21" t="s">
        <v>11</v>
      </c>
    </row>
    <row r="4323" spans="1:5" s="21" customFormat="1" ht="15.75" hidden="1" customHeight="1">
      <c r="A4323" s="21">
        <v>848360</v>
      </c>
      <c r="B4323" s="21" t="s">
        <v>4314</v>
      </c>
      <c r="C4323" s="21" t="s">
        <v>4314</v>
      </c>
      <c r="D4323" s="21" t="s">
        <v>11</v>
      </c>
      <c r="E4323" s="21" t="s">
        <v>11</v>
      </c>
    </row>
    <row r="4324" spans="1:5" s="21" customFormat="1" ht="15.75" hidden="1" customHeight="1">
      <c r="A4324" s="21">
        <v>848390</v>
      </c>
      <c r="B4324" s="21" t="s">
        <v>4315</v>
      </c>
      <c r="C4324" s="21" t="s">
        <v>6012</v>
      </c>
      <c r="D4324" s="21" t="s">
        <v>11</v>
      </c>
      <c r="E4324" s="21" t="s">
        <v>11</v>
      </c>
    </row>
    <row r="4325" spans="1:5" s="21" customFormat="1" ht="15.75" hidden="1" customHeight="1">
      <c r="A4325" s="21">
        <v>848410</v>
      </c>
      <c r="B4325" s="21" t="s">
        <v>4316</v>
      </c>
      <c r="C4325" s="21" t="s">
        <v>6013</v>
      </c>
      <c r="D4325" s="21" t="s">
        <v>11</v>
      </c>
      <c r="E4325" s="21" t="s">
        <v>11</v>
      </c>
    </row>
    <row r="4326" spans="1:5" s="21" customFormat="1" ht="15.75" hidden="1" customHeight="1">
      <c r="A4326" s="21">
        <v>848420</v>
      </c>
      <c r="B4326" s="21" t="s">
        <v>4317</v>
      </c>
      <c r="C4326" s="21" t="s">
        <v>6014</v>
      </c>
      <c r="D4326" s="21" t="s">
        <v>11</v>
      </c>
      <c r="E4326" s="21" t="s">
        <v>11</v>
      </c>
    </row>
    <row r="4327" spans="1:5" s="21" customFormat="1" ht="15.75" hidden="1" customHeight="1">
      <c r="A4327" s="21">
        <v>848490</v>
      </c>
      <c r="B4327" s="21" t="s">
        <v>4318</v>
      </c>
      <c r="C4327" s="21" t="s">
        <v>6015</v>
      </c>
      <c r="D4327" s="21" t="s">
        <v>11</v>
      </c>
      <c r="E4327" s="21" t="s">
        <v>11</v>
      </c>
    </row>
    <row r="4328" spans="1:5" s="21" customFormat="1" ht="15.75" hidden="1" customHeight="1">
      <c r="A4328" s="21">
        <v>848610</v>
      </c>
      <c r="B4328" s="21" t="s">
        <v>4319</v>
      </c>
      <c r="C4328" s="21" t="s">
        <v>4319</v>
      </c>
      <c r="D4328" s="21" t="s">
        <v>11</v>
      </c>
      <c r="E4328" s="21" t="s">
        <v>11</v>
      </c>
    </row>
    <row r="4329" spans="1:5" s="21" customFormat="1" ht="15.75" hidden="1" customHeight="1">
      <c r="A4329" s="21">
        <v>848620</v>
      </c>
      <c r="B4329" s="21" t="s">
        <v>4320</v>
      </c>
      <c r="C4329" s="21" t="s">
        <v>4320</v>
      </c>
      <c r="D4329" s="21" t="s">
        <v>11</v>
      </c>
      <c r="E4329" s="21" t="s">
        <v>11</v>
      </c>
    </row>
    <row r="4330" spans="1:5" s="21" customFormat="1" ht="15.75" hidden="1" customHeight="1">
      <c r="A4330" s="21">
        <v>848630</v>
      </c>
      <c r="B4330" s="21" t="s">
        <v>4321</v>
      </c>
      <c r="C4330" s="21" t="s">
        <v>4321</v>
      </c>
      <c r="D4330" s="21" t="s">
        <v>11</v>
      </c>
      <c r="E4330" s="21" t="s">
        <v>11</v>
      </c>
    </row>
    <row r="4331" spans="1:5" s="21" customFormat="1" ht="15.75" hidden="1" customHeight="1">
      <c r="A4331" s="21">
        <v>848640</v>
      </c>
      <c r="B4331" s="21" t="s">
        <v>4322</v>
      </c>
      <c r="C4331" s="21" t="s">
        <v>4322</v>
      </c>
      <c r="D4331" s="21" t="s">
        <v>11</v>
      </c>
      <c r="E4331" s="21" t="s">
        <v>11</v>
      </c>
    </row>
    <row r="4332" spans="1:5" s="21" customFormat="1" ht="15.75" hidden="1" customHeight="1">
      <c r="A4332" s="21">
        <v>848690</v>
      </c>
      <c r="B4332" s="21" t="s">
        <v>4323</v>
      </c>
      <c r="C4332" s="21" t="s">
        <v>6016</v>
      </c>
      <c r="D4332" s="21" t="s">
        <v>11</v>
      </c>
      <c r="E4332" s="21" t="s">
        <v>11</v>
      </c>
    </row>
    <row r="4333" spans="1:5" s="21" customFormat="1" ht="15.75" hidden="1" customHeight="1">
      <c r="A4333" s="21">
        <v>848710</v>
      </c>
      <c r="B4333" s="21" t="s">
        <v>4324</v>
      </c>
      <c r="C4333" s="21" t="s">
        <v>4324</v>
      </c>
      <c r="D4333" s="21" t="s">
        <v>11</v>
      </c>
      <c r="E4333" s="21" t="s">
        <v>11</v>
      </c>
    </row>
    <row r="4334" spans="1:5" s="21" customFormat="1" ht="15.75" hidden="1" customHeight="1">
      <c r="A4334" s="21">
        <v>848790</v>
      </c>
      <c r="B4334" s="21" t="s">
        <v>4325</v>
      </c>
      <c r="C4334" s="21" t="s">
        <v>5960</v>
      </c>
      <c r="D4334" s="21" t="s">
        <v>11</v>
      </c>
      <c r="E4334" s="21" t="s">
        <v>11</v>
      </c>
    </row>
    <row r="4335" spans="1:5" s="21" customFormat="1" ht="15.75" hidden="1" customHeight="1">
      <c r="A4335" s="21">
        <v>850110</v>
      </c>
      <c r="B4335" s="21" t="s">
        <v>4326</v>
      </c>
      <c r="C4335" s="21" t="s">
        <v>6017</v>
      </c>
      <c r="D4335" s="21" t="s">
        <v>11</v>
      </c>
      <c r="E4335" s="21" t="s">
        <v>11</v>
      </c>
    </row>
    <row r="4336" spans="1:5" s="21" customFormat="1" ht="15.75" hidden="1" customHeight="1">
      <c r="A4336" s="21">
        <v>850120</v>
      </c>
      <c r="B4336" s="21" t="s">
        <v>4327</v>
      </c>
      <c r="C4336" s="21" t="s">
        <v>6017</v>
      </c>
      <c r="D4336" s="21" t="s">
        <v>11</v>
      </c>
      <c r="E4336" s="21" t="s">
        <v>11</v>
      </c>
    </row>
    <row r="4337" spans="1:5" s="21" customFormat="1" ht="15.75" hidden="1" customHeight="1">
      <c r="A4337" s="21">
        <v>850131</v>
      </c>
      <c r="B4337" s="21" t="s">
        <v>4328</v>
      </c>
      <c r="C4337" s="21" t="s">
        <v>6018</v>
      </c>
      <c r="D4337" s="21" t="s">
        <v>11</v>
      </c>
      <c r="E4337" s="21" t="s">
        <v>11</v>
      </c>
    </row>
    <row r="4338" spans="1:5" s="21" customFormat="1" ht="15.75" hidden="1" customHeight="1">
      <c r="A4338" s="21">
        <v>850132</v>
      </c>
      <c r="B4338" s="21" t="s">
        <v>4329</v>
      </c>
      <c r="C4338" s="21" t="s">
        <v>6018</v>
      </c>
      <c r="D4338" s="21" t="s">
        <v>11</v>
      </c>
      <c r="E4338" s="21" t="s">
        <v>11</v>
      </c>
    </row>
    <row r="4339" spans="1:5" s="21" customFormat="1" ht="15.75" hidden="1" customHeight="1">
      <c r="A4339" s="21">
        <v>850133</v>
      </c>
      <c r="B4339" s="21" t="s">
        <v>4330</v>
      </c>
      <c r="C4339" s="21" t="s">
        <v>6018</v>
      </c>
      <c r="D4339" s="21" t="s">
        <v>11</v>
      </c>
      <c r="E4339" s="21" t="s">
        <v>11</v>
      </c>
    </row>
    <row r="4340" spans="1:5" s="21" customFormat="1" ht="15.75" hidden="1" customHeight="1">
      <c r="A4340" s="21">
        <v>850134</v>
      </c>
      <c r="B4340" s="21" t="s">
        <v>4331</v>
      </c>
      <c r="C4340" s="21" t="s">
        <v>6018</v>
      </c>
      <c r="D4340" s="21" t="s">
        <v>11</v>
      </c>
      <c r="E4340" s="21" t="s">
        <v>11</v>
      </c>
    </row>
    <row r="4341" spans="1:5" s="21" customFormat="1" ht="15.75" hidden="1" customHeight="1">
      <c r="A4341" s="21">
        <v>850140</v>
      </c>
      <c r="B4341" s="21" t="s">
        <v>4332</v>
      </c>
      <c r="C4341" s="21" t="s">
        <v>6017</v>
      </c>
      <c r="D4341" s="21" t="s">
        <v>11</v>
      </c>
      <c r="E4341" s="21" t="s">
        <v>11</v>
      </c>
    </row>
    <row r="4342" spans="1:5" s="21" customFormat="1" ht="15.75" hidden="1" customHeight="1">
      <c r="A4342" s="21">
        <v>850151</v>
      </c>
      <c r="B4342" s="21" t="s">
        <v>4333</v>
      </c>
      <c r="C4342" s="21" t="s">
        <v>6017</v>
      </c>
      <c r="D4342" s="21" t="s">
        <v>11</v>
      </c>
      <c r="E4342" s="21" t="s">
        <v>11</v>
      </c>
    </row>
    <row r="4343" spans="1:5" s="21" customFormat="1" ht="15.75" hidden="1" customHeight="1">
      <c r="A4343" s="21">
        <v>850152</v>
      </c>
      <c r="B4343" s="21" t="s">
        <v>4334</v>
      </c>
      <c r="C4343" s="21" t="s">
        <v>6017</v>
      </c>
      <c r="D4343" s="21" t="s">
        <v>11</v>
      </c>
      <c r="E4343" s="21" t="s">
        <v>11</v>
      </c>
    </row>
    <row r="4344" spans="1:5" s="21" customFormat="1" ht="15.75" hidden="1" customHeight="1">
      <c r="A4344" s="21">
        <v>850153</v>
      </c>
      <c r="B4344" s="21" t="s">
        <v>4335</v>
      </c>
      <c r="C4344" s="21" t="s">
        <v>6017</v>
      </c>
      <c r="D4344" s="21" t="s">
        <v>11</v>
      </c>
      <c r="E4344" s="21" t="s">
        <v>11</v>
      </c>
    </row>
    <row r="4345" spans="1:5" s="21" customFormat="1" ht="15.75" hidden="1" customHeight="1">
      <c r="A4345" s="21">
        <v>850161</v>
      </c>
      <c r="B4345" s="21" t="s">
        <v>4336</v>
      </c>
      <c r="C4345" s="21" t="s">
        <v>5908</v>
      </c>
      <c r="D4345" s="21" t="s">
        <v>11</v>
      </c>
      <c r="E4345" s="21" t="s">
        <v>11</v>
      </c>
    </row>
    <row r="4346" spans="1:5" s="21" customFormat="1" ht="15.75" hidden="1" customHeight="1">
      <c r="A4346" s="21">
        <v>850162</v>
      </c>
      <c r="B4346" s="21" t="s">
        <v>4337</v>
      </c>
      <c r="C4346" s="21" t="s">
        <v>6019</v>
      </c>
      <c r="D4346" s="21" t="s">
        <v>11</v>
      </c>
      <c r="E4346" s="21" t="s">
        <v>11</v>
      </c>
    </row>
    <row r="4347" spans="1:5" s="21" customFormat="1" ht="15.75" hidden="1" customHeight="1">
      <c r="A4347" s="21">
        <v>850163</v>
      </c>
      <c r="B4347" s="21" t="s">
        <v>4338</v>
      </c>
      <c r="C4347" s="21" t="s">
        <v>6019</v>
      </c>
      <c r="D4347" s="21" t="s">
        <v>11</v>
      </c>
      <c r="E4347" s="21" t="s">
        <v>11</v>
      </c>
    </row>
    <row r="4348" spans="1:5" s="21" customFormat="1" ht="15.75" hidden="1" customHeight="1">
      <c r="A4348" s="21">
        <v>850164</v>
      </c>
      <c r="B4348" s="21" t="s">
        <v>4339</v>
      </c>
      <c r="C4348" s="21" t="s">
        <v>6019</v>
      </c>
      <c r="D4348" s="21" t="s">
        <v>11</v>
      </c>
      <c r="E4348" s="21" t="s">
        <v>11</v>
      </c>
    </row>
    <row r="4349" spans="1:5" s="21" customFormat="1" ht="15.75" hidden="1" customHeight="1">
      <c r="A4349" s="21">
        <v>850211</v>
      </c>
      <c r="B4349" s="21" t="s">
        <v>4340</v>
      </c>
      <c r="C4349" s="21" t="s">
        <v>6020</v>
      </c>
      <c r="D4349" s="21" t="s">
        <v>11</v>
      </c>
      <c r="E4349" s="21" t="s">
        <v>11</v>
      </c>
    </row>
    <row r="4350" spans="1:5" s="21" customFormat="1" ht="15.75" hidden="1" customHeight="1">
      <c r="A4350" s="21">
        <v>850212</v>
      </c>
      <c r="B4350" s="21" t="s">
        <v>4341</v>
      </c>
      <c r="C4350" s="21" t="s">
        <v>6020</v>
      </c>
      <c r="D4350" s="21" t="s">
        <v>11</v>
      </c>
      <c r="E4350" s="21" t="s">
        <v>11</v>
      </c>
    </row>
    <row r="4351" spans="1:5" s="21" customFormat="1" ht="15.75" hidden="1" customHeight="1">
      <c r="A4351" s="21">
        <v>850213</v>
      </c>
      <c r="B4351" s="21" t="s">
        <v>4342</v>
      </c>
      <c r="C4351" s="21" t="s">
        <v>6020</v>
      </c>
      <c r="D4351" s="21" t="s">
        <v>11</v>
      </c>
      <c r="E4351" s="21" t="s">
        <v>11</v>
      </c>
    </row>
    <row r="4352" spans="1:5" s="21" customFormat="1" ht="15.75" hidden="1" customHeight="1">
      <c r="A4352" s="21">
        <v>850220</v>
      </c>
      <c r="B4352" s="21" t="s">
        <v>4343</v>
      </c>
      <c r="C4352" s="21" t="s">
        <v>6020</v>
      </c>
      <c r="D4352" s="21" t="s">
        <v>11</v>
      </c>
      <c r="E4352" s="21" t="s">
        <v>11</v>
      </c>
    </row>
    <row r="4353" spans="1:5" s="21" customFormat="1" ht="15.75" hidden="1" customHeight="1">
      <c r="A4353" s="21">
        <v>850231</v>
      </c>
      <c r="B4353" s="21" t="s">
        <v>4344</v>
      </c>
      <c r="C4353" s="21" t="s">
        <v>6020</v>
      </c>
      <c r="D4353" s="21" t="s">
        <v>11</v>
      </c>
      <c r="E4353" s="21" t="s">
        <v>11</v>
      </c>
    </row>
    <row r="4354" spans="1:5" s="21" customFormat="1" ht="15.75" hidden="1" customHeight="1">
      <c r="A4354" s="21">
        <v>850239</v>
      </c>
      <c r="B4354" s="21" t="s">
        <v>4345</v>
      </c>
      <c r="C4354" s="21" t="s">
        <v>6020</v>
      </c>
      <c r="D4354" s="21" t="s">
        <v>11</v>
      </c>
      <c r="E4354" s="21" t="s">
        <v>11</v>
      </c>
    </row>
    <row r="4355" spans="1:5" s="21" customFormat="1" ht="15.75" hidden="1" customHeight="1">
      <c r="A4355" s="21">
        <v>850240</v>
      </c>
      <c r="B4355" s="21" t="s">
        <v>4346</v>
      </c>
      <c r="C4355" s="21" t="s">
        <v>4346</v>
      </c>
      <c r="D4355" s="21" t="s">
        <v>11</v>
      </c>
      <c r="E4355" s="21" t="s">
        <v>11</v>
      </c>
    </row>
    <row r="4356" spans="1:5" s="21" customFormat="1" ht="15.75" hidden="1" customHeight="1">
      <c r="A4356" s="21">
        <v>850300</v>
      </c>
      <c r="B4356" s="21" t="s">
        <v>4347</v>
      </c>
      <c r="C4356" s="21" t="s">
        <v>6018</v>
      </c>
      <c r="D4356" s="21" t="s">
        <v>11</v>
      </c>
      <c r="E4356" s="21" t="s">
        <v>11</v>
      </c>
    </row>
    <row r="4357" spans="1:5" s="21" customFormat="1" ht="15.75" hidden="1" customHeight="1">
      <c r="A4357" s="21">
        <v>850410</v>
      </c>
      <c r="B4357" s="21" t="s">
        <v>4348</v>
      </c>
      <c r="C4357" s="21" t="s">
        <v>6021</v>
      </c>
      <c r="D4357" s="21" t="s">
        <v>11</v>
      </c>
      <c r="E4357" s="21" t="s">
        <v>11</v>
      </c>
    </row>
    <row r="4358" spans="1:5" s="21" customFormat="1" ht="15.75" hidden="1" customHeight="1">
      <c r="A4358" s="21">
        <v>850421</v>
      </c>
      <c r="B4358" s="21" t="s">
        <v>4349</v>
      </c>
      <c r="C4358" s="21" t="s">
        <v>6022</v>
      </c>
      <c r="D4358" s="21" t="s">
        <v>11</v>
      </c>
      <c r="E4358" s="21" t="s">
        <v>11</v>
      </c>
    </row>
    <row r="4359" spans="1:5" s="21" customFormat="1" ht="15.75" hidden="1" customHeight="1">
      <c r="A4359" s="21">
        <v>850422</v>
      </c>
      <c r="B4359" s="21" t="s">
        <v>4350</v>
      </c>
      <c r="C4359" s="21" t="s">
        <v>6022</v>
      </c>
      <c r="D4359" s="21" t="s">
        <v>11</v>
      </c>
      <c r="E4359" s="21" t="s">
        <v>11</v>
      </c>
    </row>
    <row r="4360" spans="1:5" s="21" customFormat="1" ht="15.75" hidden="1" customHeight="1">
      <c r="A4360" s="21">
        <v>850423</v>
      </c>
      <c r="B4360" s="21" t="s">
        <v>4351</v>
      </c>
      <c r="C4360" s="21" t="s">
        <v>6022</v>
      </c>
      <c r="D4360" s="21" t="s">
        <v>11</v>
      </c>
      <c r="E4360" s="21" t="s">
        <v>11</v>
      </c>
    </row>
    <row r="4361" spans="1:5" s="21" customFormat="1" ht="15.75" hidden="1" customHeight="1">
      <c r="A4361" s="21">
        <v>850431</v>
      </c>
      <c r="B4361" s="21" t="s">
        <v>4352</v>
      </c>
      <c r="C4361" s="21" t="s">
        <v>6022</v>
      </c>
      <c r="D4361" s="21" t="s">
        <v>11</v>
      </c>
      <c r="E4361" s="21" t="s">
        <v>11</v>
      </c>
    </row>
    <row r="4362" spans="1:5" s="21" customFormat="1" ht="15.75" hidden="1" customHeight="1">
      <c r="A4362" s="21">
        <v>850432</v>
      </c>
      <c r="B4362" s="21" t="s">
        <v>4353</v>
      </c>
      <c r="C4362" s="21" t="s">
        <v>6023</v>
      </c>
      <c r="D4362" s="21" t="s">
        <v>11</v>
      </c>
      <c r="E4362" s="21" t="s">
        <v>11</v>
      </c>
    </row>
    <row r="4363" spans="1:5" s="21" customFormat="1" ht="15.75" hidden="1" customHeight="1">
      <c r="A4363" s="21">
        <v>850433</v>
      </c>
      <c r="B4363" s="21" t="s">
        <v>4354</v>
      </c>
      <c r="C4363" s="21" t="s">
        <v>6023</v>
      </c>
      <c r="D4363" s="21" t="s">
        <v>11</v>
      </c>
      <c r="E4363" s="21" t="s">
        <v>11</v>
      </c>
    </row>
    <row r="4364" spans="1:5" s="21" customFormat="1" ht="15.75" hidden="1" customHeight="1">
      <c r="A4364" s="21">
        <v>850434</v>
      </c>
      <c r="B4364" s="21" t="s">
        <v>4355</v>
      </c>
      <c r="C4364" s="21" t="s">
        <v>6023</v>
      </c>
      <c r="D4364" s="21" t="s">
        <v>11</v>
      </c>
      <c r="E4364" s="21" t="s">
        <v>11</v>
      </c>
    </row>
    <row r="4365" spans="1:5" s="21" customFormat="1" ht="15.75" hidden="1" customHeight="1">
      <c r="A4365" s="21">
        <v>850440</v>
      </c>
      <c r="B4365" s="21" t="s">
        <v>4356</v>
      </c>
      <c r="C4365" s="21" t="s">
        <v>4356</v>
      </c>
      <c r="D4365" s="21" t="s">
        <v>11</v>
      </c>
      <c r="E4365" s="21" t="s">
        <v>11</v>
      </c>
    </row>
    <row r="4366" spans="1:5" s="21" customFormat="1" ht="15.75" hidden="1" customHeight="1">
      <c r="A4366" s="21">
        <v>850450</v>
      </c>
      <c r="B4366" s="21" t="s">
        <v>4357</v>
      </c>
      <c r="C4366" s="21" t="s">
        <v>6024</v>
      </c>
      <c r="D4366" s="21" t="s">
        <v>11</v>
      </c>
      <c r="E4366" s="21" t="s">
        <v>11</v>
      </c>
    </row>
    <row r="4367" spans="1:5" s="21" customFormat="1" ht="15.75" hidden="1" customHeight="1">
      <c r="A4367" s="21">
        <v>850490</v>
      </c>
      <c r="B4367" s="21" t="s">
        <v>4358</v>
      </c>
      <c r="C4367" s="21" t="s">
        <v>6025</v>
      </c>
      <c r="D4367" s="21" t="s">
        <v>11</v>
      </c>
      <c r="E4367" s="21" t="s">
        <v>11</v>
      </c>
    </row>
    <row r="4368" spans="1:5" s="21" customFormat="1" ht="15.75" hidden="1" customHeight="1">
      <c r="A4368" s="21">
        <v>850511</v>
      </c>
      <c r="B4368" s="21" t="s">
        <v>4359</v>
      </c>
      <c r="C4368" s="21" t="s">
        <v>6026</v>
      </c>
      <c r="D4368" s="21" t="s">
        <v>11</v>
      </c>
      <c r="E4368" s="21" t="s">
        <v>11</v>
      </c>
    </row>
    <row r="4369" spans="1:5" s="21" customFormat="1" ht="15.75" hidden="1" customHeight="1">
      <c r="A4369" s="21">
        <v>850519</v>
      </c>
      <c r="B4369" s="21" t="s">
        <v>4360</v>
      </c>
      <c r="C4369" s="21" t="s">
        <v>6026</v>
      </c>
      <c r="D4369" s="21" t="s">
        <v>11</v>
      </c>
      <c r="E4369" s="21" t="s">
        <v>11</v>
      </c>
    </row>
    <row r="4370" spans="1:5" s="21" customFormat="1" ht="15.75" hidden="1" customHeight="1">
      <c r="A4370" s="21">
        <v>850520</v>
      </c>
      <c r="B4370" s="21" t="s">
        <v>4361</v>
      </c>
      <c r="C4370" s="21" t="s">
        <v>6026</v>
      </c>
      <c r="D4370" s="21" t="s">
        <v>11</v>
      </c>
      <c r="E4370" s="21" t="s">
        <v>11</v>
      </c>
    </row>
    <row r="4371" spans="1:5" s="21" customFormat="1" ht="15.75" hidden="1" customHeight="1">
      <c r="A4371" s="21">
        <v>850590</v>
      </c>
      <c r="B4371" s="21" t="s">
        <v>4362</v>
      </c>
      <c r="C4371" s="21" t="s">
        <v>6026</v>
      </c>
      <c r="D4371" s="21" t="s">
        <v>11</v>
      </c>
      <c r="E4371" s="21" t="s">
        <v>11</v>
      </c>
    </row>
    <row r="4372" spans="1:5" s="21" customFormat="1" ht="15.75" hidden="1" customHeight="1">
      <c r="A4372" s="21">
        <v>850610</v>
      </c>
      <c r="B4372" s="21" t="s">
        <v>4363</v>
      </c>
      <c r="C4372" s="21" t="s">
        <v>6027</v>
      </c>
      <c r="D4372" s="21" t="s">
        <v>11</v>
      </c>
      <c r="E4372" s="21" t="s">
        <v>11</v>
      </c>
    </row>
    <row r="4373" spans="1:5" s="21" customFormat="1" ht="15.75" hidden="1" customHeight="1">
      <c r="A4373" s="21">
        <v>850630</v>
      </c>
      <c r="B4373" s="21" t="s">
        <v>4364</v>
      </c>
      <c r="C4373" s="21" t="s">
        <v>6027</v>
      </c>
      <c r="D4373" s="21" t="s">
        <v>11</v>
      </c>
      <c r="E4373" s="21" t="s">
        <v>11</v>
      </c>
    </row>
    <row r="4374" spans="1:5" s="21" customFormat="1" ht="15.75" hidden="1" customHeight="1">
      <c r="A4374" s="21">
        <v>850640</v>
      </c>
      <c r="B4374" s="21" t="s">
        <v>4365</v>
      </c>
      <c r="C4374" s="21" t="s">
        <v>6027</v>
      </c>
      <c r="D4374" s="21" t="s">
        <v>11</v>
      </c>
      <c r="E4374" s="21" t="s">
        <v>11</v>
      </c>
    </row>
    <row r="4375" spans="1:5" s="21" customFormat="1" ht="15.75" hidden="1" customHeight="1">
      <c r="A4375" s="21">
        <v>850650</v>
      </c>
      <c r="B4375" s="21" t="s">
        <v>4366</v>
      </c>
      <c r="C4375" s="21" t="s">
        <v>6027</v>
      </c>
      <c r="D4375" s="21" t="s">
        <v>11</v>
      </c>
      <c r="E4375" s="21" t="s">
        <v>11</v>
      </c>
    </row>
    <row r="4376" spans="1:5" s="21" customFormat="1" ht="15.75" hidden="1" customHeight="1">
      <c r="A4376" s="21">
        <v>850660</v>
      </c>
      <c r="B4376" s="21" t="s">
        <v>4367</v>
      </c>
      <c r="C4376" s="21" t="s">
        <v>6027</v>
      </c>
      <c r="D4376" s="21" t="s">
        <v>11</v>
      </c>
      <c r="E4376" s="21" t="s">
        <v>11</v>
      </c>
    </row>
    <row r="4377" spans="1:5" s="21" customFormat="1" ht="15.75" hidden="1" customHeight="1">
      <c r="A4377" s="21">
        <v>850680</v>
      </c>
      <c r="B4377" s="21" t="s">
        <v>4368</v>
      </c>
      <c r="C4377" s="21" t="s">
        <v>6027</v>
      </c>
      <c r="D4377" s="21" t="s">
        <v>11</v>
      </c>
      <c r="E4377" s="21" t="s">
        <v>11</v>
      </c>
    </row>
    <row r="4378" spans="1:5" s="21" customFormat="1" ht="15.75" hidden="1" customHeight="1">
      <c r="A4378" s="21">
        <v>850690</v>
      </c>
      <c r="B4378" s="21" t="s">
        <v>4369</v>
      </c>
      <c r="C4378" s="21" t="s">
        <v>6027</v>
      </c>
      <c r="D4378" s="21" t="s">
        <v>11</v>
      </c>
      <c r="E4378" s="21" t="s">
        <v>11</v>
      </c>
    </row>
    <row r="4379" spans="1:5" s="21" customFormat="1" ht="15.75" hidden="1" customHeight="1">
      <c r="A4379" s="21">
        <v>850710</v>
      </c>
      <c r="B4379" s="21" t="s">
        <v>4370</v>
      </c>
      <c r="C4379" s="21" t="s">
        <v>6028</v>
      </c>
      <c r="D4379" s="21" t="s">
        <v>11</v>
      </c>
      <c r="E4379" s="21" t="s">
        <v>11</v>
      </c>
    </row>
    <row r="4380" spans="1:5" s="21" customFormat="1" ht="15.75" hidden="1" customHeight="1">
      <c r="A4380" s="21">
        <v>850720</v>
      </c>
      <c r="B4380" s="21" t="s">
        <v>4371</v>
      </c>
      <c r="C4380" s="21" t="s">
        <v>6028</v>
      </c>
      <c r="D4380" s="21" t="s">
        <v>11</v>
      </c>
      <c r="E4380" s="21" t="s">
        <v>11</v>
      </c>
    </row>
    <row r="4381" spans="1:5" s="21" customFormat="1" ht="15.75" hidden="1" customHeight="1">
      <c r="A4381" s="21">
        <v>850730</v>
      </c>
      <c r="B4381" s="21" t="s">
        <v>4372</v>
      </c>
      <c r="C4381" s="21" t="s">
        <v>6028</v>
      </c>
      <c r="D4381" s="21" t="s">
        <v>11</v>
      </c>
      <c r="E4381" s="21" t="s">
        <v>11</v>
      </c>
    </row>
    <row r="4382" spans="1:5" s="21" customFormat="1" ht="15.75" hidden="1" customHeight="1">
      <c r="A4382" s="21">
        <v>850740</v>
      </c>
      <c r="B4382" s="21" t="s">
        <v>4373</v>
      </c>
      <c r="C4382" s="21" t="s">
        <v>6028</v>
      </c>
      <c r="D4382" s="21" t="s">
        <v>11</v>
      </c>
      <c r="E4382" s="21" t="s">
        <v>11</v>
      </c>
    </row>
    <row r="4383" spans="1:5" s="21" customFormat="1" ht="15.75" hidden="1" customHeight="1">
      <c r="A4383" s="21">
        <v>850780</v>
      </c>
      <c r="B4383" s="21" t="s">
        <v>4374</v>
      </c>
      <c r="C4383" s="21" t="s">
        <v>6028</v>
      </c>
      <c r="D4383" s="21" t="s">
        <v>11</v>
      </c>
      <c r="E4383" s="21" t="s">
        <v>11</v>
      </c>
    </row>
    <row r="4384" spans="1:5" s="21" customFormat="1" ht="15.75" hidden="1" customHeight="1">
      <c r="A4384" s="21">
        <v>850790</v>
      </c>
      <c r="B4384" s="21" t="s">
        <v>4375</v>
      </c>
      <c r="C4384" s="21" t="s">
        <v>6028</v>
      </c>
      <c r="D4384" s="21" t="s">
        <v>11</v>
      </c>
      <c r="E4384" s="21" t="s">
        <v>11</v>
      </c>
    </row>
    <row r="4385" spans="1:5" s="21" customFormat="1" ht="15.75" hidden="1" customHeight="1">
      <c r="A4385" s="21">
        <v>850811</v>
      </c>
      <c r="B4385" s="21" t="s">
        <v>4376</v>
      </c>
      <c r="C4385" s="21" t="s">
        <v>4376</v>
      </c>
      <c r="D4385" s="21" t="s">
        <v>11</v>
      </c>
      <c r="E4385" s="21" t="s">
        <v>11</v>
      </c>
    </row>
    <row r="4386" spans="1:5" s="21" customFormat="1" ht="15.75" hidden="1" customHeight="1">
      <c r="A4386" s="21">
        <v>850819</v>
      </c>
      <c r="B4386" s="21" t="s">
        <v>4377</v>
      </c>
      <c r="C4386" s="21" t="s">
        <v>4377</v>
      </c>
      <c r="D4386" s="21" t="s">
        <v>11</v>
      </c>
      <c r="E4386" s="21" t="s">
        <v>11</v>
      </c>
    </row>
    <row r="4387" spans="1:5" s="21" customFormat="1" ht="15.75" hidden="1" customHeight="1">
      <c r="A4387" s="21">
        <v>850860</v>
      </c>
      <c r="B4387" s="21" t="s">
        <v>4378</v>
      </c>
      <c r="C4387" s="21" t="s">
        <v>4378</v>
      </c>
      <c r="D4387" s="21" t="s">
        <v>11</v>
      </c>
      <c r="E4387" s="21" t="s">
        <v>11</v>
      </c>
    </row>
    <row r="4388" spans="1:5" s="21" customFormat="1" ht="15.75" hidden="1" customHeight="1">
      <c r="A4388" s="21">
        <v>850870</v>
      </c>
      <c r="B4388" s="21" t="s">
        <v>4379</v>
      </c>
      <c r="C4388" s="21" t="s">
        <v>4379</v>
      </c>
      <c r="D4388" s="21" t="s">
        <v>11</v>
      </c>
      <c r="E4388" s="21" t="s">
        <v>11</v>
      </c>
    </row>
    <row r="4389" spans="1:5" s="21" customFormat="1" ht="15.75" hidden="1" customHeight="1">
      <c r="A4389" s="21">
        <v>850940</v>
      </c>
      <c r="B4389" s="21" t="s">
        <v>4380</v>
      </c>
      <c r="C4389" s="21" t="s">
        <v>6029</v>
      </c>
      <c r="D4389" s="21" t="s">
        <v>11</v>
      </c>
      <c r="E4389" s="21" t="s">
        <v>11</v>
      </c>
    </row>
    <row r="4390" spans="1:5" s="21" customFormat="1" ht="15.75" hidden="1" customHeight="1">
      <c r="A4390" s="21">
        <v>850980</v>
      </c>
      <c r="B4390" s="21" t="s">
        <v>4381</v>
      </c>
      <c r="C4390" s="21" t="s">
        <v>6029</v>
      </c>
      <c r="D4390" s="21" t="s">
        <v>11</v>
      </c>
      <c r="E4390" s="21" t="s">
        <v>11</v>
      </c>
    </row>
    <row r="4391" spans="1:5" s="21" customFormat="1" ht="15.75" hidden="1" customHeight="1">
      <c r="A4391" s="21">
        <v>850990</v>
      </c>
      <c r="B4391" s="21" t="s">
        <v>4382</v>
      </c>
      <c r="C4391" s="21" t="s">
        <v>6029</v>
      </c>
      <c r="D4391" s="21" t="s">
        <v>11</v>
      </c>
      <c r="E4391" s="21" t="s">
        <v>11</v>
      </c>
    </row>
    <row r="4392" spans="1:5" s="21" customFormat="1" ht="15.75" hidden="1" customHeight="1">
      <c r="A4392" s="21">
        <v>851010</v>
      </c>
      <c r="B4392" s="21" t="s">
        <v>4383</v>
      </c>
      <c r="C4392" s="21" t="s">
        <v>6030</v>
      </c>
      <c r="D4392" s="21" t="s">
        <v>11</v>
      </c>
      <c r="E4392" s="21" t="s">
        <v>11</v>
      </c>
    </row>
    <row r="4393" spans="1:5" s="21" customFormat="1" ht="15.75" hidden="1" customHeight="1">
      <c r="A4393" s="21">
        <v>851020</v>
      </c>
      <c r="B4393" s="21" t="s">
        <v>4384</v>
      </c>
      <c r="C4393" s="21" t="s">
        <v>6031</v>
      </c>
      <c r="D4393" s="21" t="s">
        <v>11</v>
      </c>
      <c r="E4393" s="21" t="s">
        <v>11</v>
      </c>
    </row>
    <row r="4394" spans="1:5" s="21" customFormat="1" ht="15.75" hidden="1" customHeight="1">
      <c r="A4394" s="21">
        <v>851030</v>
      </c>
      <c r="B4394" s="21" t="s">
        <v>4385</v>
      </c>
      <c r="C4394" s="21" t="s">
        <v>6032</v>
      </c>
      <c r="D4394" s="21" t="s">
        <v>11</v>
      </c>
      <c r="E4394" s="21" t="s">
        <v>11</v>
      </c>
    </row>
    <row r="4395" spans="1:5" s="21" customFormat="1" ht="15.75" hidden="1" customHeight="1">
      <c r="A4395" s="21">
        <v>851090</v>
      </c>
      <c r="B4395" s="21" t="s">
        <v>4386</v>
      </c>
      <c r="C4395" s="21" t="s">
        <v>6033</v>
      </c>
      <c r="D4395" s="21" t="s">
        <v>11</v>
      </c>
      <c r="E4395" s="21" t="s">
        <v>11</v>
      </c>
    </row>
    <row r="4396" spans="1:5" s="21" customFormat="1" ht="15.75" hidden="1" customHeight="1">
      <c r="A4396" s="21">
        <v>851110</v>
      </c>
      <c r="B4396" s="21" t="s">
        <v>4387</v>
      </c>
      <c r="C4396" s="21" t="s">
        <v>6034</v>
      </c>
      <c r="D4396" s="21" t="s">
        <v>11</v>
      </c>
      <c r="E4396" s="21" t="s">
        <v>11</v>
      </c>
    </row>
    <row r="4397" spans="1:5" s="21" customFormat="1" ht="15.75" hidden="1" customHeight="1">
      <c r="A4397" s="21">
        <v>851120</v>
      </c>
      <c r="B4397" s="21" t="s">
        <v>4388</v>
      </c>
      <c r="C4397" s="21" t="s">
        <v>6034</v>
      </c>
      <c r="D4397" s="21" t="s">
        <v>11</v>
      </c>
      <c r="E4397" s="21" t="s">
        <v>11</v>
      </c>
    </row>
    <row r="4398" spans="1:5" s="21" customFormat="1" ht="15.75" hidden="1" customHeight="1">
      <c r="A4398" s="21">
        <v>851130</v>
      </c>
      <c r="B4398" s="21" t="s">
        <v>4389</v>
      </c>
      <c r="C4398" s="21" t="s">
        <v>6034</v>
      </c>
      <c r="D4398" s="21" t="s">
        <v>11</v>
      </c>
      <c r="E4398" s="21" t="s">
        <v>11</v>
      </c>
    </row>
    <row r="4399" spans="1:5" s="21" customFormat="1" ht="15.75" hidden="1" customHeight="1">
      <c r="A4399" s="21">
        <v>851140</v>
      </c>
      <c r="B4399" s="21" t="s">
        <v>4390</v>
      </c>
      <c r="C4399" s="21" t="s">
        <v>6034</v>
      </c>
      <c r="D4399" s="21" t="s">
        <v>11</v>
      </c>
      <c r="E4399" s="21" t="s">
        <v>11</v>
      </c>
    </row>
    <row r="4400" spans="1:5" s="21" customFormat="1" ht="15.75" hidden="1" customHeight="1">
      <c r="A4400" s="21">
        <v>851150</v>
      </c>
      <c r="B4400" s="21" t="s">
        <v>4391</v>
      </c>
      <c r="C4400" s="21" t="s">
        <v>6034</v>
      </c>
      <c r="D4400" s="21" t="s">
        <v>11</v>
      </c>
      <c r="E4400" s="21" t="s">
        <v>11</v>
      </c>
    </row>
    <row r="4401" spans="1:5" s="21" customFormat="1" ht="15.75" hidden="1" customHeight="1">
      <c r="A4401" s="21">
        <v>851180</v>
      </c>
      <c r="B4401" s="21" t="s">
        <v>4392</v>
      </c>
      <c r="C4401" s="21" t="s">
        <v>6034</v>
      </c>
      <c r="D4401" s="21" t="s">
        <v>11</v>
      </c>
      <c r="E4401" s="21" t="s">
        <v>11</v>
      </c>
    </row>
    <row r="4402" spans="1:5" s="21" customFormat="1" ht="15.75" hidden="1" customHeight="1">
      <c r="A4402" s="21">
        <v>851190</v>
      </c>
      <c r="B4402" s="21" t="s">
        <v>4393</v>
      </c>
      <c r="C4402" s="21" t="s">
        <v>6034</v>
      </c>
      <c r="D4402" s="21" t="s">
        <v>11</v>
      </c>
      <c r="E4402" s="21" t="s">
        <v>11</v>
      </c>
    </row>
    <row r="4403" spans="1:5" s="21" customFormat="1" ht="15.75" hidden="1" customHeight="1">
      <c r="A4403" s="21">
        <v>851210</v>
      </c>
      <c r="B4403" s="21" t="s">
        <v>4394</v>
      </c>
      <c r="C4403" s="21" t="s">
        <v>6035</v>
      </c>
      <c r="D4403" s="21" t="s">
        <v>11</v>
      </c>
      <c r="E4403" s="21" t="s">
        <v>11</v>
      </c>
    </row>
    <row r="4404" spans="1:5" s="21" customFormat="1" ht="15.75" hidden="1" customHeight="1">
      <c r="A4404" s="21">
        <v>851220</v>
      </c>
      <c r="B4404" s="21" t="s">
        <v>4395</v>
      </c>
      <c r="C4404" s="21" t="s">
        <v>6035</v>
      </c>
      <c r="D4404" s="21" t="s">
        <v>11</v>
      </c>
      <c r="E4404" s="21" t="s">
        <v>11</v>
      </c>
    </row>
    <row r="4405" spans="1:5" s="21" customFormat="1" ht="15.75" hidden="1" customHeight="1">
      <c r="A4405" s="21">
        <v>851230</v>
      </c>
      <c r="B4405" s="21" t="s">
        <v>4396</v>
      </c>
      <c r="C4405" s="21" t="s">
        <v>6036</v>
      </c>
      <c r="D4405" s="21" t="s">
        <v>11</v>
      </c>
      <c r="E4405" s="21" t="s">
        <v>11</v>
      </c>
    </row>
    <row r="4406" spans="1:5" s="21" customFormat="1" ht="15.75" hidden="1" customHeight="1">
      <c r="A4406" s="21">
        <v>851240</v>
      </c>
      <c r="B4406" s="21" t="s">
        <v>4397</v>
      </c>
      <c r="C4406" s="21" t="s">
        <v>6037</v>
      </c>
      <c r="D4406" s="21" t="s">
        <v>11</v>
      </c>
      <c r="E4406" s="21" t="s">
        <v>11</v>
      </c>
    </row>
    <row r="4407" spans="1:5" s="21" customFormat="1" ht="15.75" hidden="1" customHeight="1">
      <c r="A4407" s="21">
        <v>851290</v>
      </c>
      <c r="B4407" s="21" t="s">
        <v>4398</v>
      </c>
      <c r="C4407" s="21" t="s">
        <v>6038</v>
      </c>
      <c r="D4407" s="21" t="s">
        <v>11</v>
      </c>
      <c r="E4407" s="21" t="s">
        <v>11</v>
      </c>
    </row>
    <row r="4408" spans="1:5" s="21" customFormat="1" ht="15.75" hidden="1" customHeight="1">
      <c r="A4408" s="21">
        <v>851310</v>
      </c>
      <c r="B4408" s="21" t="s">
        <v>4399</v>
      </c>
      <c r="C4408" s="21" t="s">
        <v>6039</v>
      </c>
      <c r="D4408" s="21" t="s">
        <v>11</v>
      </c>
      <c r="E4408" s="21" t="s">
        <v>11</v>
      </c>
    </row>
    <row r="4409" spans="1:5" s="21" customFormat="1" ht="15.75" hidden="1" customHeight="1">
      <c r="A4409" s="21">
        <v>851390</v>
      </c>
      <c r="B4409" s="21" t="s">
        <v>4400</v>
      </c>
      <c r="C4409" s="21" t="s">
        <v>6039</v>
      </c>
      <c r="D4409" s="21" t="s">
        <v>11</v>
      </c>
      <c r="E4409" s="21" t="s">
        <v>11</v>
      </c>
    </row>
    <row r="4410" spans="1:5" s="21" customFormat="1" ht="15.75" hidden="1" customHeight="1">
      <c r="A4410" s="21">
        <v>851410</v>
      </c>
      <c r="B4410" s="21" t="s">
        <v>4401</v>
      </c>
      <c r="C4410" s="21" t="s">
        <v>5922</v>
      </c>
      <c r="D4410" s="21" t="s">
        <v>11</v>
      </c>
      <c r="E4410" s="21" t="s">
        <v>11</v>
      </c>
    </row>
    <row r="4411" spans="1:5" s="21" customFormat="1" ht="15.75" hidden="1" customHeight="1">
      <c r="A4411" s="21">
        <v>851420</v>
      </c>
      <c r="B4411" s="21" t="s">
        <v>4402</v>
      </c>
      <c r="C4411" s="21" t="s">
        <v>5922</v>
      </c>
      <c r="D4411" s="21" t="s">
        <v>11</v>
      </c>
      <c r="E4411" s="21" t="s">
        <v>11</v>
      </c>
    </row>
    <row r="4412" spans="1:5" s="21" customFormat="1" ht="15.75" hidden="1" customHeight="1">
      <c r="A4412" s="21">
        <v>851430</v>
      </c>
      <c r="B4412" s="21" t="s">
        <v>4403</v>
      </c>
      <c r="C4412" s="21" t="s">
        <v>5922</v>
      </c>
      <c r="D4412" s="21" t="s">
        <v>11</v>
      </c>
      <c r="E4412" s="21" t="s">
        <v>11</v>
      </c>
    </row>
    <row r="4413" spans="1:5" s="21" customFormat="1" ht="15.75" hidden="1" customHeight="1">
      <c r="A4413" s="21">
        <v>851440</v>
      </c>
      <c r="B4413" s="21" t="s">
        <v>4404</v>
      </c>
      <c r="C4413" s="21" t="s">
        <v>6040</v>
      </c>
      <c r="D4413" s="21" t="s">
        <v>11</v>
      </c>
      <c r="E4413" s="21" t="s">
        <v>11</v>
      </c>
    </row>
    <row r="4414" spans="1:5" s="21" customFormat="1" ht="15.75" hidden="1" customHeight="1">
      <c r="A4414" s="21">
        <v>851490</v>
      </c>
      <c r="B4414" s="21" t="s">
        <v>4405</v>
      </c>
      <c r="C4414" s="21" t="s">
        <v>6041</v>
      </c>
      <c r="D4414" s="21" t="s">
        <v>11</v>
      </c>
      <c r="E4414" s="21" t="s">
        <v>11</v>
      </c>
    </row>
    <row r="4415" spans="1:5" s="21" customFormat="1" ht="15.75" hidden="1" customHeight="1">
      <c r="A4415" s="21">
        <v>851511</v>
      </c>
      <c r="B4415" s="21" t="s">
        <v>4406</v>
      </c>
      <c r="C4415" s="21" t="s">
        <v>6042</v>
      </c>
      <c r="D4415" s="21" t="s">
        <v>11</v>
      </c>
      <c r="E4415" s="21" t="s">
        <v>11</v>
      </c>
    </row>
    <row r="4416" spans="1:5" s="21" customFormat="1" ht="15.75" hidden="1" customHeight="1">
      <c r="A4416" s="21">
        <v>851519</v>
      </c>
      <c r="B4416" s="21" t="s">
        <v>4407</v>
      </c>
      <c r="C4416" s="21" t="s">
        <v>6042</v>
      </c>
      <c r="D4416" s="21" t="s">
        <v>11</v>
      </c>
      <c r="E4416" s="21" t="s">
        <v>11</v>
      </c>
    </row>
    <row r="4417" spans="1:5" s="21" customFormat="1" ht="15.75" hidden="1" customHeight="1">
      <c r="A4417" s="21">
        <v>851521</v>
      </c>
      <c r="B4417" s="21" t="s">
        <v>4408</v>
      </c>
      <c r="C4417" s="21" t="s">
        <v>6043</v>
      </c>
      <c r="D4417" s="21" t="s">
        <v>11</v>
      </c>
      <c r="E4417" s="21" t="s">
        <v>11</v>
      </c>
    </row>
    <row r="4418" spans="1:5" s="21" customFormat="1" ht="15.75" hidden="1" customHeight="1">
      <c r="A4418" s="21">
        <v>851529</v>
      </c>
      <c r="B4418" s="21" t="s">
        <v>4409</v>
      </c>
      <c r="C4418" s="21" t="s">
        <v>6043</v>
      </c>
      <c r="D4418" s="21" t="s">
        <v>11</v>
      </c>
      <c r="E4418" s="21" t="s">
        <v>11</v>
      </c>
    </row>
    <row r="4419" spans="1:5" s="21" customFormat="1" ht="15.75" hidden="1" customHeight="1">
      <c r="A4419" s="21">
        <v>851531</v>
      </c>
      <c r="B4419" s="21" t="s">
        <v>4410</v>
      </c>
      <c r="C4419" s="21" t="s">
        <v>6043</v>
      </c>
      <c r="D4419" s="21" t="s">
        <v>11</v>
      </c>
      <c r="E4419" s="21" t="s">
        <v>11</v>
      </c>
    </row>
    <row r="4420" spans="1:5" s="21" customFormat="1" ht="15.75" hidden="1" customHeight="1">
      <c r="A4420" s="21">
        <v>851539</v>
      </c>
      <c r="B4420" s="21" t="s">
        <v>4411</v>
      </c>
      <c r="C4420" s="21" t="s">
        <v>6043</v>
      </c>
      <c r="D4420" s="21" t="s">
        <v>11</v>
      </c>
      <c r="E4420" s="21" t="s">
        <v>11</v>
      </c>
    </row>
    <row r="4421" spans="1:5" s="21" customFormat="1" ht="15.75" hidden="1" customHeight="1">
      <c r="A4421" s="21">
        <v>851580</v>
      </c>
      <c r="B4421" s="21" t="s">
        <v>4412</v>
      </c>
      <c r="C4421" s="21" t="s">
        <v>6043</v>
      </c>
      <c r="D4421" s="21" t="s">
        <v>11</v>
      </c>
      <c r="E4421" s="21" t="s">
        <v>11</v>
      </c>
    </row>
    <row r="4422" spans="1:5" s="21" customFormat="1" ht="15.75" hidden="1" customHeight="1">
      <c r="A4422" s="21">
        <v>851590</v>
      </c>
      <c r="B4422" s="21" t="s">
        <v>4413</v>
      </c>
      <c r="C4422" s="21" t="s">
        <v>6044</v>
      </c>
      <c r="D4422" s="21" t="s">
        <v>11</v>
      </c>
      <c r="E4422" s="21" t="s">
        <v>11</v>
      </c>
    </row>
    <row r="4423" spans="1:5" s="21" customFormat="1" ht="15.75" hidden="1" customHeight="1">
      <c r="A4423" s="21">
        <v>851610</v>
      </c>
      <c r="B4423" s="21" t="s">
        <v>4414</v>
      </c>
      <c r="C4423" s="21" t="s">
        <v>5930</v>
      </c>
      <c r="D4423" s="21" t="s">
        <v>11</v>
      </c>
      <c r="E4423" s="21" t="s">
        <v>11</v>
      </c>
    </row>
    <row r="4424" spans="1:5" s="21" customFormat="1" ht="15.75" hidden="1" customHeight="1">
      <c r="A4424" s="21">
        <v>851621</v>
      </c>
      <c r="B4424" s="21" t="s">
        <v>4415</v>
      </c>
      <c r="C4424" s="21" t="s">
        <v>6045</v>
      </c>
      <c r="D4424" s="21" t="s">
        <v>11</v>
      </c>
      <c r="E4424" s="21" t="s">
        <v>11</v>
      </c>
    </row>
    <row r="4425" spans="1:5" s="21" customFormat="1" ht="15.75" hidden="1" customHeight="1">
      <c r="A4425" s="21">
        <v>851629</v>
      </c>
      <c r="B4425" s="21" t="s">
        <v>4416</v>
      </c>
      <c r="C4425" s="21" t="s">
        <v>6045</v>
      </c>
      <c r="D4425" s="21" t="s">
        <v>11</v>
      </c>
      <c r="E4425" s="21" t="s">
        <v>11</v>
      </c>
    </row>
    <row r="4426" spans="1:5" s="21" customFormat="1" ht="15.75" hidden="1" customHeight="1">
      <c r="A4426" s="21">
        <v>851631</v>
      </c>
      <c r="B4426" s="21" t="s">
        <v>4417</v>
      </c>
      <c r="C4426" s="21" t="s">
        <v>6046</v>
      </c>
      <c r="D4426" s="21" t="s">
        <v>11</v>
      </c>
      <c r="E4426" s="21" t="s">
        <v>11</v>
      </c>
    </row>
    <row r="4427" spans="1:5" s="21" customFormat="1" ht="15.75" hidden="1" customHeight="1">
      <c r="A4427" s="21">
        <v>851632</v>
      </c>
      <c r="B4427" s="21" t="s">
        <v>4418</v>
      </c>
      <c r="C4427" s="21" t="s">
        <v>6046</v>
      </c>
      <c r="D4427" s="21" t="s">
        <v>11</v>
      </c>
      <c r="E4427" s="21" t="s">
        <v>11</v>
      </c>
    </row>
    <row r="4428" spans="1:5" s="21" customFormat="1" ht="15.75" hidden="1" customHeight="1">
      <c r="A4428" s="21">
        <v>851633</v>
      </c>
      <c r="B4428" s="21" t="s">
        <v>4419</v>
      </c>
      <c r="C4428" s="21" t="s">
        <v>6047</v>
      </c>
      <c r="D4428" s="21" t="s">
        <v>11</v>
      </c>
      <c r="E4428" s="21" t="s">
        <v>11</v>
      </c>
    </row>
    <row r="4429" spans="1:5" s="21" customFormat="1" ht="15.75" hidden="1" customHeight="1">
      <c r="A4429" s="21">
        <v>851640</v>
      </c>
      <c r="B4429" s="21" t="s">
        <v>4420</v>
      </c>
      <c r="C4429" s="21" t="s">
        <v>6048</v>
      </c>
      <c r="D4429" s="21" t="s">
        <v>11</v>
      </c>
      <c r="E4429" s="21" t="s">
        <v>11</v>
      </c>
    </row>
    <row r="4430" spans="1:5" s="21" customFormat="1" ht="15.75" hidden="1" customHeight="1">
      <c r="A4430" s="21">
        <v>851650</v>
      </c>
      <c r="B4430" s="21" t="s">
        <v>4421</v>
      </c>
      <c r="C4430" s="21" t="s">
        <v>5923</v>
      </c>
      <c r="D4430" s="21" t="s">
        <v>11</v>
      </c>
      <c r="E4430" s="21" t="s">
        <v>11</v>
      </c>
    </row>
    <row r="4431" spans="1:5" s="21" customFormat="1" ht="15.75" hidden="1" customHeight="1">
      <c r="A4431" s="21">
        <v>851660</v>
      </c>
      <c r="B4431" s="21" t="s">
        <v>4422</v>
      </c>
      <c r="C4431" s="21" t="s">
        <v>6049</v>
      </c>
      <c r="D4431" s="21" t="s">
        <v>11</v>
      </c>
      <c r="E4431" s="21" t="s">
        <v>11</v>
      </c>
    </row>
    <row r="4432" spans="1:5" s="21" customFormat="1" ht="15.75" hidden="1" customHeight="1">
      <c r="A4432" s="21">
        <v>851671</v>
      </c>
      <c r="B4432" s="21" t="s">
        <v>4423</v>
      </c>
      <c r="C4432" s="21" t="s">
        <v>6050</v>
      </c>
      <c r="D4432" s="21" t="s">
        <v>11</v>
      </c>
      <c r="E4432" s="21" t="s">
        <v>11</v>
      </c>
    </row>
    <row r="4433" spans="1:5" s="21" customFormat="1" ht="15.75" hidden="1" customHeight="1">
      <c r="A4433" s="21">
        <v>851672</v>
      </c>
      <c r="B4433" s="21" t="s">
        <v>4424</v>
      </c>
      <c r="C4433" s="21" t="s">
        <v>6050</v>
      </c>
      <c r="D4433" s="21" t="s">
        <v>11</v>
      </c>
      <c r="E4433" s="21" t="s">
        <v>11</v>
      </c>
    </row>
    <row r="4434" spans="1:5" s="21" customFormat="1" ht="15.75" hidden="1" customHeight="1">
      <c r="A4434" s="21">
        <v>851679</v>
      </c>
      <c r="B4434" s="21" t="s">
        <v>4425</v>
      </c>
      <c r="C4434" s="21" t="s">
        <v>6050</v>
      </c>
      <c r="D4434" s="21" t="s">
        <v>11</v>
      </c>
      <c r="E4434" s="21" t="s">
        <v>11</v>
      </c>
    </row>
    <row r="4435" spans="1:5" s="21" customFormat="1" ht="15.75" hidden="1" customHeight="1">
      <c r="A4435" s="21">
        <v>851680</v>
      </c>
      <c r="B4435" s="21" t="s">
        <v>4426</v>
      </c>
      <c r="C4435" s="21" t="s">
        <v>6051</v>
      </c>
      <c r="D4435" s="21" t="s">
        <v>11</v>
      </c>
      <c r="E4435" s="21" t="s">
        <v>11</v>
      </c>
    </row>
    <row r="4436" spans="1:5" s="21" customFormat="1" ht="15.75" hidden="1" customHeight="1">
      <c r="A4436" s="21">
        <v>851690</v>
      </c>
      <c r="B4436" s="21" t="s">
        <v>4427</v>
      </c>
      <c r="C4436" s="21" t="s">
        <v>6050</v>
      </c>
      <c r="D4436" s="21" t="s">
        <v>11</v>
      </c>
      <c r="E4436" s="21" t="s">
        <v>11</v>
      </c>
    </row>
    <row r="4437" spans="1:5" s="21" customFormat="1" ht="15.75" hidden="1" customHeight="1">
      <c r="A4437" s="21">
        <v>851711</v>
      </c>
      <c r="B4437" s="21" t="s">
        <v>4428</v>
      </c>
      <c r="C4437" s="21" t="s">
        <v>4428</v>
      </c>
      <c r="D4437" s="21" t="s">
        <v>11</v>
      </c>
      <c r="E4437" s="21" t="s">
        <v>11</v>
      </c>
    </row>
    <row r="4438" spans="1:5" s="21" customFormat="1" ht="15.75" hidden="1" customHeight="1">
      <c r="A4438" s="21">
        <v>851712</v>
      </c>
      <c r="B4438" s="21" t="s">
        <v>4429</v>
      </c>
      <c r="C4438" s="21" t="s">
        <v>4429</v>
      </c>
      <c r="D4438" s="21" t="s">
        <v>11</v>
      </c>
      <c r="E4438" s="21" t="s">
        <v>11</v>
      </c>
    </row>
    <row r="4439" spans="1:5" s="21" customFormat="1" ht="15.75" hidden="1" customHeight="1">
      <c r="A4439" s="21">
        <v>851718</v>
      </c>
      <c r="B4439" s="21" t="s">
        <v>4430</v>
      </c>
      <c r="C4439" s="21" t="s">
        <v>4430</v>
      </c>
      <c r="D4439" s="21" t="s">
        <v>11</v>
      </c>
      <c r="E4439" s="21" t="s">
        <v>11</v>
      </c>
    </row>
    <row r="4440" spans="1:5" s="21" customFormat="1" ht="15.75" hidden="1" customHeight="1">
      <c r="A4440" s="21">
        <v>851761</v>
      </c>
      <c r="B4440" s="21" t="s">
        <v>4431</v>
      </c>
      <c r="C4440" s="21" t="s">
        <v>4431</v>
      </c>
      <c r="D4440" s="21" t="s">
        <v>11</v>
      </c>
      <c r="E4440" s="21" t="s">
        <v>11</v>
      </c>
    </row>
    <row r="4441" spans="1:5" s="21" customFormat="1" ht="15.75" hidden="1" customHeight="1">
      <c r="A4441" s="21">
        <v>851762</v>
      </c>
      <c r="B4441" s="21" t="s">
        <v>4432</v>
      </c>
      <c r="C4441" s="21" t="s">
        <v>6052</v>
      </c>
      <c r="D4441" s="21" t="s">
        <v>11</v>
      </c>
      <c r="E4441" s="21" t="s">
        <v>11</v>
      </c>
    </row>
    <row r="4442" spans="1:5" s="21" customFormat="1" ht="15.75" hidden="1" customHeight="1">
      <c r="A4442" s="21">
        <v>851769</v>
      </c>
      <c r="B4442" s="21" t="s">
        <v>4433</v>
      </c>
      <c r="C4442" s="21" t="s">
        <v>6052</v>
      </c>
      <c r="D4442" s="21" t="s">
        <v>11</v>
      </c>
      <c r="E4442" s="21" t="s">
        <v>11</v>
      </c>
    </row>
    <row r="4443" spans="1:5" s="21" customFormat="1" ht="15.75" hidden="1" customHeight="1">
      <c r="A4443" s="21">
        <v>851770</v>
      </c>
      <c r="B4443" s="21" t="s">
        <v>4434</v>
      </c>
      <c r="C4443" s="21" t="s">
        <v>6053</v>
      </c>
      <c r="D4443" s="21" t="s">
        <v>11</v>
      </c>
      <c r="E4443" s="21" t="s">
        <v>11</v>
      </c>
    </row>
    <row r="4444" spans="1:5" s="21" customFormat="1" ht="15.75" hidden="1" customHeight="1">
      <c r="A4444" s="21">
        <v>851810</v>
      </c>
      <c r="B4444" s="21" t="s">
        <v>4435</v>
      </c>
      <c r="C4444" s="21" t="s">
        <v>4435</v>
      </c>
      <c r="D4444" s="21" t="s">
        <v>11</v>
      </c>
      <c r="E4444" s="21" t="s">
        <v>11</v>
      </c>
    </row>
    <row r="4445" spans="1:5" s="21" customFormat="1" ht="15.75" hidden="1" customHeight="1">
      <c r="A4445" s="21">
        <v>851821</v>
      </c>
      <c r="B4445" s="21" t="s">
        <v>4436</v>
      </c>
      <c r="C4445" s="21" t="s">
        <v>6054</v>
      </c>
      <c r="D4445" s="21" t="s">
        <v>11</v>
      </c>
      <c r="E4445" s="21" t="s">
        <v>11</v>
      </c>
    </row>
    <row r="4446" spans="1:5" s="21" customFormat="1" ht="15.75" hidden="1" customHeight="1">
      <c r="A4446" s="21">
        <v>851822</v>
      </c>
      <c r="B4446" s="21" t="s">
        <v>4437</v>
      </c>
      <c r="C4446" s="21" t="s">
        <v>6054</v>
      </c>
      <c r="D4446" s="21" t="s">
        <v>11</v>
      </c>
      <c r="E4446" s="21" t="s">
        <v>11</v>
      </c>
    </row>
    <row r="4447" spans="1:5" s="21" customFormat="1" ht="15.75" hidden="1" customHeight="1">
      <c r="A4447" s="21">
        <v>851829</v>
      </c>
      <c r="B4447" s="21" t="s">
        <v>4438</v>
      </c>
      <c r="C4447" s="21" t="s">
        <v>6054</v>
      </c>
      <c r="D4447" s="21" t="s">
        <v>11</v>
      </c>
      <c r="E4447" s="21" t="s">
        <v>11</v>
      </c>
    </row>
    <row r="4448" spans="1:5" s="21" customFormat="1" ht="15.75" hidden="1" customHeight="1">
      <c r="A4448" s="21">
        <v>851830</v>
      </c>
      <c r="B4448" s="21" t="s">
        <v>4439</v>
      </c>
      <c r="C4448" s="21" t="s">
        <v>4439</v>
      </c>
      <c r="D4448" s="21" t="s">
        <v>11</v>
      </c>
      <c r="E4448" s="21" t="s">
        <v>11</v>
      </c>
    </row>
    <row r="4449" spans="1:5" s="21" customFormat="1" ht="15.75" hidden="1" customHeight="1">
      <c r="A4449" s="21">
        <v>851840</v>
      </c>
      <c r="B4449" s="21" t="s">
        <v>4440</v>
      </c>
      <c r="C4449" s="21" t="s">
        <v>6055</v>
      </c>
      <c r="D4449" s="21" t="s">
        <v>11</v>
      </c>
      <c r="E4449" s="21" t="s">
        <v>11</v>
      </c>
    </row>
    <row r="4450" spans="1:5" s="21" customFormat="1" ht="15.75" hidden="1" customHeight="1">
      <c r="A4450" s="21">
        <v>851850</v>
      </c>
      <c r="B4450" s="21" t="s">
        <v>4441</v>
      </c>
      <c r="C4450" s="21" t="s">
        <v>6056</v>
      </c>
      <c r="D4450" s="21" t="s">
        <v>11</v>
      </c>
      <c r="E4450" s="21" t="s">
        <v>11</v>
      </c>
    </row>
    <row r="4451" spans="1:5" s="21" customFormat="1" ht="15.75" hidden="1" customHeight="1">
      <c r="A4451" s="21">
        <v>851890</v>
      </c>
      <c r="B4451" s="21" t="s">
        <v>4442</v>
      </c>
      <c r="C4451" s="21" t="s">
        <v>6057</v>
      </c>
      <c r="D4451" s="21" t="s">
        <v>11</v>
      </c>
      <c r="E4451" s="21" t="s">
        <v>11</v>
      </c>
    </row>
    <row r="4452" spans="1:5" s="21" customFormat="1" ht="15.75" hidden="1" customHeight="1">
      <c r="A4452" s="21">
        <v>851920</v>
      </c>
      <c r="B4452" s="21" t="s">
        <v>4443</v>
      </c>
      <c r="C4452" s="21" t="s">
        <v>6058</v>
      </c>
      <c r="D4452" s="21" t="s">
        <v>11</v>
      </c>
      <c r="E4452" s="21" t="s">
        <v>11</v>
      </c>
    </row>
    <row r="4453" spans="1:5" s="21" customFormat="1" ht="15.75" hidden="1" customHeight="1">
      <c r="A4453" s="21">
        <v>851930</v>
      </c>
      <c r="B4453" s="21" t="s">
        <v>4444</v>
      </c>
      <c r="C4453" s="21" t="s">
        <v>6058</v>
      </c>
      <c r="D4453" s="21" t="s">
        <v>11</v>
      </c>
      <c r="E4453" s="21" t="s">
        <v>11</v>
      </c>
    </row>
    <row r="4454" spans="1:5" s="21" customFormat="1" ht="15.75" hidden="1" customHeight="1">
      <c r="A4454" s="21">
        <v>851950</v>
      </c>
      <c r="B4454" s="21" t="s">
        <v>4445</v>
      </c>
      <c r="C4454" s="21" t="s">
        <v>6058</v>
      </c>
      <c r="D4454" s="21" t="s">
        <v>11</v>
      </c>
      <c r="E4454" s="21" t="s">
        <v>11</v>
      </c>
    </row>
    <row r="4455" spans="1:5" s="21" customFormat="1" ht="15.75" hidden="1" customHeight="1">
      <c r="A4455" s="21">
        <v>851981</v>
      </c>
      <c r="B4455" s="21" t="s">
        <v>4446</v>
      </c>
      <c r="C4455" s="21" t="s">
        <v>6058</v>
      </c>
      <c r="D4455" s="21" t="s">
        <v>11</v>
      </c>
      <c r="E4455" s="21" t="s">
        <v>11</v>
      </c>
    </row>
    <row r="4456" spans="1:5" s="21" customFormat="1" ht="15.75" hidden="1" customHeight="1">
      <c r="A4456" s="21">
        <v>851989</v>
      </c>
      <c r="B4456" s="21" t="s">
        <v>4447</v>
      </c>
      <c r="C4456" s="21" t="s">
        <v>6058</v>
      </c>
      <c r="D4456" s="21" t="s">
        <v>11</v>
      </c>
      <c r="E4456" s="21" t="s">
        <v>11</v>
      </c>
    </row>
    <row r="4457" spans="1:5" s="21" customFormat="1" ht="15.75" hidden="1" customHeight="1">
      <c r="A4457" s="21">
        <v>852110</v>
      </c>
      <c r="B4457" s="21" t="s">
        <v>4448</v>
      </c>
      <c r="C4457" s="21" t="s">
        <v>6059</v>
      </c>
      <c r="D4457" s="21" t="s">
        <v>11</v>
      </c>
      <c r="E4457" s="21" t="s">
        <v>11</v>
      </c>
    </row>
    <row r="4458" spans="1:5" s="21" customFormat="1" ht="15.75" hidden="1" customHeight="1">
      <c r="A4458" s="21">
        <v>852190</v>
      </c>
      <c r="B4458" s="21" t="s">
        <v>4449</v>
      </c>
      <c r="C4458" s="21" t="s">
        <v>6059</v>
      </c>
      <c r="D4458" s="21" t="s">
        <v>11</v>
      </c>
      <c r="E4458" s="21" t="s">
        <v>11</v>
      </c>
    </row>
    <row r="4459" spans="1:5" s="21" customFormat="1" ht="15.75" hidden="1" customHeight="1">
      <c r="A4459" s="21">
        <v>852210</v>
      </c>
      <c r="B4459" s="21" t="s">
        <v>4450</v>
      </c>
      <c r="C4459" s="21" t="s">
        <v>6058</v>
      </c>
      <c r="D4459" s="21" t="s">
        <v>11</v>
      </c>
      <c r="E4459" s="21" t="s">
        <v>11</v>
      </c>
    </row>
    <row r="4460" spans="1:5" s="21" customFormat="1" ht="15.75" hidden="1" customHeight="1">
      <c r="A4460" s="21">
        <v>852290</v>
      </c>
      <c r="B4460" s="21" t="s">
        <v>4451</v>
      </c>
      <c r="C4460" s="21" t="s">
        <v>6058</v>
      </c>
      <c r="D4460" s="21" t="s">
        <v>11</v>
      </c>
      <c r="E4460" s="21" t="s">
        <v>11</v>
      </c>
    </row>
    <row r="4461" spans="1:5" s="21" customFormat="1" ht="15.75" hidden="1" customHeight="1">
      <c r="A4461" s="21">
        <v>852321</v>
      </c>
      <c r="B4461" s="21" t="s">
        <v>4452</v>
      </c>
      <c r="C4461" s="21" t="s">
        <v>6060</v>
      </c>
      <c r="D4461" s="21" t="s">
        <v>11</v>
      </c>
      <c r="E4461" s="21" t="s">
        <v>11</v>
      </c>
    </row>
    <row r="4462" spans="1:5" s="21" customFormat="1" ht="15.75" hidden="1" customHeight="1">
      <c r="A4462" s="21">
        <v>852329</v>
      </c>
      <c r="B4462" s="21" t="s">
        <v>4453</v>
      </c>
      <c r="C4462" s="21" t="s">
        <v>6060</v>
      </c>
      <c r="D4462" s="21" t="s">
        <v>11</v>
      </c>
      <c r="E4462" s="21" t="s">
        <v>11</v>
      </c>
    </row>
    <row r="4463" spans="1:5" s="21" customFormat="1" ht="15.75" hidden="1" customHeight="1">
      <c r="A4463" s="21">
        <v>852340</v>
      </c>
      <c r="B4463" s="21" t="s">
        <v>4454</v>
      </c>
      <c r="C4463" s="21" t="s">
        <v>4454</v>
      </c>
      <c r="D4463" s="21" t="s">
        <v>11</v>
      </c>
      <c r="E4463" s="21" t="s">
        <v>11</v>
      </c>
    </row>
    <row r="4464" spans="1:5" s="21" customFormat="1" ht="15.75" hidden="1" customHeight="1">
      <c r="A4464" s="21">
        <v>852351</v>
      </c>
      <c r="B4464" s="21" t="s">
        <v>4455</v>
      </c>
      <c r="C4464" s="21" t="s">
        <v>6061</v>
      </c>
      <c r="D4464" s="21" t="s">
        <v>11</v>
      </c>
      <c r="E4464" s="21" t="s">
        <v>11</v>
      </c>
    </row>
    <row r="4465" spans="1:5" s="21" customFormat="1" ht="15.75" hidden="1" customHeight="1">
      <c r="A4465" s="21">
        <v>852352</v>
      </c>
      <c r="B4465" s="21" t="s">
        <v>4456</v>
      </c>
      <c r="C4465" s="21" t="s">
        <v>6061</v>
      </c>
      <c r="D4465" s="21" t="s">
        <v>11</v>
      </c>
      <c r="E4465" s="21" t="s">
        <v>11</v>
      </c>
    </row>
    <row r="4466" spans="1:5" s="21" customFormat="1" ht="15.75" hidden="1" customHeight="1">
      <c r="A4466" s="21">
        <v>852359</v>
      </c>
      <c r="B4466" s="21" t="s">
        <v>4457</v>
      </c>
      <c r="C4466" s="21" t="s">
        <v>6061</v>
      </c>
      <c r="D4466" s="21" t="s">
        <v>11</v>
      </c>
      <c r="E4466" s="21" t="s">
        <v>11</v>
      </c>
    </row>
    <row r="4467" spans="1:5" s="21" customFormat="1" ht="15.75" hidden="1" customHeight="1">
      <c r="A4467" s="21">
        <v>852380</v>
      </c>
      <c r="B4467" s="21" t="s">
        <v>4458</v>
      </c>
      <c r="C4467" s="21" t="s">
        <v>4458</v>
      </c>
      <c r="D4467" s="21" t="s">
        <v>11</v>
      </c>
      <c r="E4467" s="21" t="s">
        <v>11</v>
      </c>
    </row>
    <row r="4468" spans="1:5" s="21" customFormat="1" ht="15.75" hidden="1" customHeight="1">
      <c r="A4468" s="21">
        <v>852550</v>
      </c>
      <c r="B4468" s="21" t="s">
        <v>4459</v>
      </c>
      <c r="C4468" s="21" t="s">
        <v>4459</v>
      </c>
      <c r="D4468" s="21" t="s">
        <v>11</v>
      </c>
      <c r="E4468" s="21" t="s">
        <v>11</v>
      </c>
    </row>
    <row r="4469" spans="1:5" s="21" customFormat="1" ht="15.75" hidden="1" customHeight="1">
      <c r="A4469" s="21">
        <v>852560</v>
      </c>
      <c r="B4469" s="21" t="s">
        <v>4460</v>
      </c>
      <c r="C4469" s="21" t="s">
        <v>4460</v>
      </c>
      <c r="D4469" s="21" t="s">
        <v>11</v>
      </c>
      <c r="E4469" s="21" t="s">
        <v>11</v>
      </c>
    </row>
    <row r="4470" spans="1:5" s="21" customFormat="1" ht="15.75" hidden="1" customHeight="1">
      <c r="A4470" s="21">
        <v>852580</v>
      </c>
      <c r="B4470" s="21" t="s">
        <v>4461</v>
      </c>
      <c r="C4470" s="21" t="s">
        <v>4461</v>
      </c>
      <c r="D4470" s="21" t="s">
        <v>11</v>
      </c>
      <c r="E4470" s="21" t="s">
        <v>11</v>
      </c>
    </row>
    <row r="4471" spans="1:5" s="21" customFormat="1" ht="15.75" hidden="1" customHeight="1">
      <c r="A4471" s="21">
        <v>852610</v>
      </c>
      <c r="B4471" s="21" t="s">
        <v>4462</v>
      </c>
      <c r="C4471" s="21" t="s">
        <v>4462</v>
      </c>
      <c r="D4471" s="21" t="s">
        <v>11</v>
      </c>
      <c r="E4471" s="21" t="s">
        <v>11</v>
      </c>
    </row>
    <row r="4472" spans="1:5" s="21" customFormat="1" ht="15.75" hidden="1" customHeight="1">
      <c r="A4472" s="21">
        <v>852691</v>
      </c>
      <c r="B4472" s="21" t="s">
        <v>4463</v>
      </c>
      <c r="C4472" s="21" t="s">
        <v>4463</v>
      </c>
      <c r="D4472" s="21" t="s">
        <v>11</v>
      </c>
      <c r="E4472" s="21" t="s">
        <v>11</v>
      </c>
    </row>
    <row r="4473" spans="1:5" s="21" customFormat="1" ht="15.75" hidden="1" customHeight="1">
      <c r="A4473" s="21">
        <v>852692</v>
      </c>
      <c r="B4473" s="21" t="s">
        <v>4464</v>
      </c>
      <c r="C4473" s="21" t="s">
        <v>4464</v>
      </c>
      <c r="D4473" s="21" t="s">
        <v>11</v>
      </c>
      <c r="E4473" s="21" t="s">
        <v>11</v>
      </c>
    </row>
    <row r="4474" spans="1:5" s="21" customFormat="1" ht="15.75" hidden="1" customHeight="1">
      <c r="A4474" s="21">
        <v>852712</v>
      </c>
      <c r="B4474" s="21" t="s">
        <v>4465</v>
      </c>
      <c r="C4474" s="21" t="s">
        <v>6062</v>
      </c>
      <c r="D4474" s="21" t="s">
        <v>11</v>
      </c>
      <c r="E4474" s="21" t="s">
        <v>11</v>
      </c>
    </row>
    <row r="4475" spans="1:5" s="21" customFormat="1" ht="15.75" hidden="1" customHeight="1">
      <c r="A4475" s="21">
        <v>852713</v>
      </c>
      <c r="B4475" s="21" t="s">
        <v>4466</v>
      </c>
      <c r="C4475" s="21" t="s">
        <v>6062</v>
      </c>
      <c r="D4475" s="21" t="s">
        <v>11</v>
      </c>
      <c r="E4475" s="21" t="s">
        <v>11</v>
      </c>
    </row>
    <row r="4476" spans="1:5" s="21" customFormat="1" ht="15.75" hidden="1" customHeight="1">
      <c r="A4476" s="21">
        <v>852719</v>
      </c>
      <c r="B4476" s="21" t="s">
        <v>4467</v>
      </c>
      <c r="C4476" s="21" t="s">
        <v>6062</v>
      </c>
      <c r="D4476" s="21" t="s">
        <v>11</v>
      </c>
      <c r="E4476" s="21" t="s">
        <v>11</v>
      </c>
    </row>
    <row r="4477" spans="1:5" s="21" customFormat="1" ht="15.75" hidden="1" customHeight="1">
      <c r="A4477" s="21">
        <v>852721</v>
      </c>
      <c r="B4477" s="21" t="s">
        <v>4468</v>
      </c>
      <c r="C4477" s="21" t="s">
        <v>6063</v>
      </c>
      <c r="D4477" s="21" t="s">
        <v>11</v>
      </c>
      <c r="E4477" s="21" t="s">
        <v>11</v>
      </c>
    </row>
    <row r="4478" spans="1:5" s="21" customFormat="1" ht="15.75" hidden="1" customHeight="1">
      <c r="A4478" s="21">
        <v>852729</v>
      </c>
      <c r="B4478" s="21" t="s">
        <v>4469</v>
      </c>
      <c r="C4478" s="21" t="s">
        <v>6063</v>
      </c>
      <c r="D4478" s="21" t="s">
        <v>11</v>
      </c>
      <c r="E4478" s="21" t="s">
        <v>11</v>
      </c>
    </row>
    <row r="4479" spans="1:5" s="21" customFormat="1" ht="15.75" hidden="1" customHeight="1">
      <c r="A4479" s="21">
        <v>852791</v>
      </c>
      <c r="B4479" s="21" t="s">
        <v>4470</v>
      </c>
      <c r="C4479" s="21" t="s">
        <v>6064</v>
      </c>
      <c r="D4479" s="21" t="s">
        <v>11</v>
      </c>
      <c r="E4479" s="21" t="s">
        <v>11</v>
      </c>
    </row>
    <row r="4480" spans="1:5" s="21" customFormat="1" ht="15.75" hidden="1" customHeight="1">
      <c r="A4480" s="21">
        <v>852792</v>
      </c>
      <c r="B4480" s="21" t="s">
        <v>4471</v>
      </c>
      <c r="C4480" s="21" t="s">
        <v>6064</v>
      </c>
      <c r="D4480" s="21" t="s">
        <v>11</v>
      </c>
      <c r="E4480" s="21" t="s">
        <v>11</v>
      </c>
    </row>
    <row r="4481" spans="1:5" s="21" customFormat="1" ht="15.75" hidden="1" customHeight="1">
      <c r="A4481" s="21">
        <v>852799</v>
      </c>
      <c r="B4481" s="21" t="s">
        <v>4472</v>
      </c>
      <c r="C4481" s="21" t="s">
        <v>6064</v>
      </c>
      <c r="D4481" s="21" t="s">
        <v>11</v>
      </c>
      <c r="E4481" s="21" t="s">
        <v>11</v>
      </c>
    </row>
    <row r="4482" spans="1:5" s="21" customFormat="1" ht="15.75" hidden="1" customHeight="1">
      <c r="A4482" s="21">
        <v>852841</v>
      </c>
      <c r="B4482" s="21" t="s">
        <v>4473</v>
      </c>
      <c r="C4482" s="21" t="s">
        <v>6065</v>
      </c>
      <c r="D4482" s="21" t="s">
        <v>11</v>
      </c>
      <c r="E4482" s="21" t="s">
        <v>11</v>
      </c>
    </row>
    <row r="4483" spans="1:5" s="21" customFormat="1" ht="15.75" hidden="1" customHeight="1">
      <c r="A4483" s="21">
        <v>852849</v>
      </c>
      <c r="B4483" s="21" t="s">
        <v>4474</v>
      </c>
      <c r="C4483" s="21" t="s">
        <v>6065</v>
      </c>
      <c r="D4483" s="21" t="s">
        <v>11</v>
      </c>
      <c r="E4483" s="21" t="s">
        <v>11</v>
      </c>
    </row>
    <row r="4484" spans="1:5" s="21" customFormat="1" ht="15.75" hidden="1" customHeight="1">
      <c r="A4484" s="21">
        <v>852851</v>
      </c>
      <c r="B4484" s="21" t="s">
        <v>4475</v>
      </c>
      <c r="C4484" s="21" t="s">
        <v>6066</v>
      </c>
      <c r="D4484" s="21" t="s">
        <v>11</v>
      </c>
      <c r="E4484" s="21" t="s">
        <v>11</v>
      </c>
    </row>
    <row r="4485" spans="1:5" s="21" customFormat="1" ht="15.75" hidden="1" customHeight="1">
      <c r="A4485" s="21">
        <v>852859</v>
      </c>
      <c r="B4485" s="21" t="s">
        <v>4476</v>
      </c>
      <c r="C4485" s="21" t="s">
        <v>6066</v>
      </c>
      <c r="D4485" s="21" t="s">
        <v>11</v>
      </c>
      <c r="E4485" s="21" t="s">
        <v>11</v>
      </c>
    </row>
    <row r="4486" spans="1:5" s="21" customFormat="1" ht="15.75" hidden="1" customHeight="1">
      <c r="A4486" s="21">
        <v>852861</v>
      </c>
      <c r="B4486" s="21" t="s">
        <v>4477</v>
      </c>
      <c r="C4486" s="21" t="s">
        <v>6067</v>
      </c>
      <c r="D4486" s="21" t="s">
        <v>11</v>
      </c>
      <c r="E4486" s="21" t="s">
        <v>11</v>
      </c>
    </row>
    <row r="4487" spans="1:5" s="21" customFormat="1" ht="15.75" hidden="1" customHeight="1">
      <c r="A4487" s="21">
        <v>852869</v>
      </c>
      <c r="B4487" s="21" t="s">
        <v>4478</v>
      </c>
      <c r="C4487" s="21" t="s">
        <v>6067</v>
      </c>
      <c r="D4487" s="21" t="s">
        <v>11</v>
      </c>
      <c r="E4487" s="21" t="s">
        <v>11</v>
      </c>
    </row>
    <row r="4488" spans="1:5" s="21" customFormat="1" ht="15.75" hidden="1" customHeight="1">
      <c r="A4488" s="21">
        <v>852871</v>
      </c>
      <c r="B4488" s="21" t="s">
        <v>4479</v>
      </c>
      <c r="C4488" s="21" t="s">
        <v>6068</v>
      </c>
      <c r="D4488" s="21" t="s">
        <v>11</v>
      </c>
      <c r="E4488" s="21" t="s">
        <v>11</v>
      </c>
    </row>
    <row r="4489" spans="1:5" s="21" customFormat="1" ht="15.75" hidden="1" customHeight="1">
      <c r="A4489" s="21">
        <v>852872</v>
      </c>
      <c r="B4489" s="21" t="s">
        <v>4480</v>
      </c>
      <c r="C4489" s="21" t="s">
        <v>6068</v>
      </c>
      <c r="D4489" s="21" t="s">
        <v>11</v>
      </c>
      <c r="E4489" s="21" t="s">
        <v>11</v>
      </c>
    </row>
    <row r="4490" spans="1:5" s="21" customFormat="1" ht="15.75" hidden="1" customHeight="1">
      <c r="A4490" s="21">
        <v>852873</v>
      </c>
      <c r="B4490" s="21" t="s">
        <v>4481</v>
      </c>
      <c r="C4490" s="21" t="s">
        <v>6068</v>
      </c>
      <c r="D4490" s="21" t="s">
        <v>11</v>
      </c>
      <c r="E4490" s="21" t="s">
        <v>11</v>
      </c>
    </row>
    <row r="4491" spans="1:5" s="21" customFormat="1" ht="15.75" hidden="1" customHeight="1">
      <c r="A4491" s="21">
        <v>852910</v>
      </c>
      <c r="B4491" s="21" t="s">
        <v>4482</v>
      </c>
      <c r="C4491" s="21" t="s">
        <v>6069</v>
      </c>
      <c r="D4491" s="21" t="s">
        <v>11</v>
      </c>
      <c r="E4491" s="21" t="s">
        <v>11</v>
      </c>
    </row>
    <row r="4492" spans="1:5" s="21" customFormat="1" ht="15.75" hidden="1" customHeight="1">
      <c r="A4492" s="21">
        <v>852990</v>
      </c>
      <c r="B4492" s="21" t="s">
        <v>4483</v>
      </c>
      <c r="C4492" s="21" t="s">
        <v>6069</v>
      </c>
      <c r="D4492" s="21" t="s">
        <v>11</v>
      </c>
      <c r="E4492" s="21" t="s">
        <v>11</v>
      </c>
    </row>
    <row r="4493" spans="1:5" s="21" customFormat="1" ht="15.75" hidden="1" customHeight="1">
      <c r="A4493" s="21">
        <v>853010</v>
      </c>
      <c r="B4493" s="21" t="s">
        <v>4484</v>
      </c>
      <c r="C4493" s="21" t="s">
        <v>6070</v>
      </c>
      <c r="D4493" s="21" t="s">
        <v>11</v>
      </c>
      <c r="E4493" s="21" t="s">
        <v>11</v>
      </c>
    </row>
    <row r="4494" spans="1:5" s="21" customFormat="1" ht="15.75" hidden="1" customHeight="1">
      <c r="A4494" s="21">
        <v>853080</v>
      </c>
      <c r="B4494" s="21" t="s">
        <v>4485</v>
      </c>
      <c r="C4494" s="21" t="s">
        <v>6070</v>
      </c>
      <c r="D4494" s="21" t="s">
        <v>11</v>
      </c>
      <c r="E4494" s="21" t="s">
        <v>11</v>
      </c>
    </row>
    <row r="4495" spans="1:5" s="21" customFormat="1" ht="15.75" hidden="1" customHeight="1">
      <c r="A4495" s="21">
        <v>853090</v>
      </c>
      <c r="B4495" s="21" t="s">
        <v>4486</v>
      </c>
      <c r="C4495" s="21" t="s">
        <v>6071</v>
      </c>
      <c r="D4495" s="21" t="s">
        <v>11</v>
      </c>
      <c r="E4495" s="21" t="s">
        <v>11</v>
      </c>
    </row>
    <row r="4496" spans="1:5" s="21" customFormat="1" ht="15.75" hidden="1" customHeight="1">
      <c r="A4496" s="21">
        <v>853110</v>
      </c>
      <c r="B4496" s="21" t="s">
        <v>4487</v>
      </c>
      <c r="C4496" s="21" t="s">
        <v>6071</v>
      </c>
      <c r="D4496" s="21" t="s">
        <v>11</v>
      </c>
      <c r="E4496" s="21" t="s">
        <v>11</v>
      </c>
    </row>
    <row r="4497" spans="1:5" s="21" customFormat="1" ht="15.75" hidden="1" customHeight="1">
      <c r="A4497" s="21">
        <v>853120</v>
      </c>
      <c r="B4497" s="21" t="s">
        <v>4488</v>
      </c>
      <c r="C4497" s="21" t="s">
        <v>6071</v>
      </c>
      <c r="D4497" s="21" t="s">
        <v>11</v>
      </c>
      <c r="E4497" s="21" t="s">
        <v>11</v>
      </c>
    </row>
    <row r="4498" spans="1:5" s="21" customFormat="1" ht="15.75" hidden="1" customHeight="1">
      <c r="A4498" s="21">
        <v>853180</v>
      </c>
      <c r="B4498" s="21" t="s">
        <v>4489</v>
      </c>
      <c r="C4498" s="21" t="s">
        <v>6071</v>
      </c>
      <c r="D4498" s="21" t="s">
        <v>11</v>
      </c>
      <c r="E4498" s="21" t="s">
        <v>11</v>
      </c>
    </row>
    <row r="4499" spans="1:5" s="21" customFormat="1" ht="15.75" hidden="1" customHeight="1">
      <c r="A4499" s="21">
        <v>853190</v>
      </c>
      <c r="B4499" s="21" t="s">
        <v>4490</v>
      </c>
      <c r="C4499" s="21" t="s">
        <v>6071</v>
      </c>
      <c r="D4499" s="21" t="s">
        <v>11</v>
      </c>
      <c r="E4499" s="21" t="s">
        <v>11</v>
      </c>
    </row>
    <row r="4500" spans="1:5" s="21" customFormat="1" ht="15.75" hidden="1" customHeight="1">
      <c r="A4500" s="21">
        <v>853210</v>
      </c>
      <c r="B4500" s="21" t="s">
        <v>4491</v>
      </c>
      <c r="C4500" s="21" t="s">
        <v>6072</v>
      </c>
      <c r="D4500" s="21" t="s">
        <v>11</v>
      </c>
      <c r="E4500" s="21" t="s">
        <v>11</v>
      </c>
    </row>
    <row r="4501" spans="1:5" s="21" customFormat="1" ht="15.75" hidden="1" customHeight="1">
      <c r="A4501" s="21">
        <v>853221</v>
      </c>
      <c r="B4501" s="21" t="s">
        <v>4492</v>
      </c>
      <c r="C4501" s="21" t="s">
        <v>6072</v>
      </c>
      <c r="D4501" s="21" t="s">
        <v>11</v>
      </c>
      <c r="E4501" s="21" t="s">
        <v>11</v>
      </c>
    </row>
    <row r="4502" spans="1:5" s="21" customFormat="1" ht="15.75" hidden="1" customHeight="1">
      <c r="A4502" s="21">
        <v>853222</v>
      </c>
      <c r="B4502" s="21" t="s">
        <v>4493</v>
      </c>
      <c r="C4502" s="21" t="s">
        <v>6072</v>
      </c>
      <c r="D4502" s="21" t="s">
        <v>11</v>
      </c>
      <c r="E4502" s="21" t="s">
        <v>11</v>
      </c>
    </row>
    <row r="4503" spans="1:5" s="21" customFormat="1" ht="15.75" hidden="1" customHeight="1">
      <c r="A4503" s="21">
        <v>853223</v>
      </c>
      <c r="B4503" s="21" t="s">
        <v>4494</v>
      </c>
      <c r="C4503" s="21" t="s">
        <v>6072</v>
      </c>
      <c r="D4503" s="21" t="s">
        <v>11</v>
      </c>
      <c r="E4503" s="21" t="s">
        <v>11</v>
      </c>
    </row>
    <row r="4504" spans="1:5" s="21" customFormat="1" ht="15.75" hidden="1" customHeight="1">
      <c r="A4504" s="21">
        <v>853224</v>
      </c>
      <c r="B4504" s="21" t="s">
        <v>4495</v>
      </c>
      <c r="C4504" s="21" t="s">
        <v>6072</v>
      </c>
      <c r="D4504" s="21" t="s">
        <v>11</v>
      </c>
      <c r="E4504" s="21" t="s">
        <v>11</v>
      </c>
    </row>
    <row r="4505" spans="1:5" s="21" customFormat="1" ht="15.75" hidden="1" customHeight="1">
      <c r="A4505" s="21">
        <v>853225</v>
      </c>
      <c r="B4505" s="21" t="s">
        <v>4496</v>
      </c>
      <c r="C4505" s="21" t="s">
        <v>6072</v>
      </c>
      <c r="D4505" s="21" t="s">
        <v>11</v>
      </c>
      <c r="E4505" s="21" t="s">
        <v>11</v>
      </c>
    </row>
    <row r="4506" spans="1:5" s="21" customFormat="1" ht="15.75" hidden="1" customHeight="1">
      <c r="A4506" s="21">
        <v>853229</v>
      </c>
      <c r="B4506" s="21" t="s">
        <v>4497</v>
      </c>
      <c r="C4506" s="21" t="s">
        <v>6072</v>
      </c>
      <c r="D4506" s="21" t="s">
        <v>11</v>
      </c>
      <c r="E4506" s="21" t="s">
        <v>11</v>
      </c>
    </row>
    <row r="4507" spans="1:5" s="21" customFormat="1" ht="15.75" hidden="1" customHeight="1">
      <c r="A4507" s="21">
        <v>853230</v>
      </c>
      <c r="B4507" s="21" t="s">
        <v>4498</v>
      </c>
      <c r="C4507" s="21" t="s">
        <v>6072</v>
      </c>
      <c r="D4507" s="21" t="s">
        <v>11</v>
      </c>
      <c r="E4507" s="21" t="s">
        <v>11</v>
      </c>
    </row>
    <row r="4508" spans="1:5" s="21" customFormat="1" ht="15.75" hidden="1" customHeight="1">
      <c r="A4508" s="21">
        <v>853290</v>
      </c>
      <c r="B4508" s="21" t="s">
        <v>4499</v>
      </c>
      <c r="C4508" s="21" t="s">
        <v>6072</v>
      </c>
      <c r="D4508" s="21" t="s">
        <v>11</v>
      </c>
      <c r="E4508" s="21" t="s">
        <v>11</v>
      </c>
    </row>
    <row r="4509" spans="1:5" s="21" customFormat="1" ht="15.75" hidden="1" customHeight="1">
      <c r="A4509" s="21">
        <v>853310</v>
      </c>
      <c r="B4509" s="21" t="s">
        <v>4500</v>
      </c>
      <c r="C4509" s="21" t="s">
        <v>6073</v>
      </c>
      <c r="D4509" s="21" t="s">
        <v>11</v>
      </c>
      <c r="E4509" s="21" t="s">
        <v>11</v>
      </c>
    </row>
    <row r="4510" spans="1:5" s="21" customFormat="1" ht="15.75" hidden="1" customHeight="1">
      <c r="A4510" s="21">
        <v>853321</v>
      </c>
      <c r="B4510" s="21" t="s">
        <v>4501</v>
      </c>
      <c r="C4510" s="21" t="s">
        <v>6073</v>
      </c>
      <c r="D4510" s="21" t="s">
        <v>11</v>
      </c>
      <c r="E4510" s="21" t="s">
        <v>11</v>
      </c>
    </row>
    <row r="4511" spans="1:5" s="21" customFormat="1" ht="15.75" hidden="1" customHeight="1">
      <c r="A4511" s="21">
        <v>853329</v>
      </c>
      <c r="B4511" s="21" t="s">
        <v>4502</v>
      </c>
      <c r="C4511" s="21" t="s">
        <v>6073</v>
      </c>
      <c r="D4511" s="21" t="s">
        <v>11</v>
      </c>
      <c r="E4511" s="21" t="s">
        <v>11</v>
      </c>
    </row>
    <row r="4512" spans="1:5" s="21" customFormat="1" ht="15.75" hidden="1" customHeight="1">
      <c r="A4512" s="21">
        <v>853331</v>
      </c>
      <c r="B4512" s="21" t="s">
        <v>4503</v>
      </c>
      <c r="C4512" s="21" t="s">
        <v>6073</v>
      </c>
      <c r="D4512" s="21" t="s">
        <v>11</v>
      </c>
      <c r="E4512" s="21" t="s">
        <v>11</v>
      </c>
    </row>
    <row r="4513" spans="1:5" s="21" customFormat="1" ht="15.75" hidden="1" customHeight="1">
      <c r="A4513" s="21">
        <v>853339</v>
      </c>
      <c r="B4513" s="21" t="s">
        <v>4504</v>
      </c>
      <c r="C4513" s="21" t="s">
        <v>6073</v>
      </c>
      <c r="D4513" s="21" t="s">
        <v>11</v>
      </c>
      <c r="E4513" s="21" t="s">
        <v>11</v>
      </c>
    </row>
    <row r="4514" spans="1:5" s="21" customFormat="1" ht="15.75" hidden="1" customHeight="1">
      <c r="A4514" s="21">
        <v>853340</v>
      </c>
      <c r="B4514" s="21" t="s">
        <v>4505</v>
      </c>
      <c r="C4514" s="21" t="s">
        <v>6073</v>
      </c>
      <c r="D4514" s="21" t="s">
        <v>11</v>
      </c>
      <c r="E4514" s="21" t="s">
        <v>11</v>
      </c>
    </row>
    <row r="4515" spans="1:5" s="21" customFormat="1" ht="15.75" hidden="1" customHeight="1">
      <c r="A4515" s="21">
        <v>853390</v>
      </c>
      <c r="B4515" s="21" t="s">
        <v>4506</v>
      </c>
      <c r="C4515" s="21" t="s">
        <v>6051</v>
      </c>
      <c r="D4515" s="21" t="s">
        <v>11</v>
      </c>
      <c r="E4515" s="21" t="s">
        <v>11</v>
      </c>
    </row>
    <row r="4516" spans="1:5" s="21" customFormat="1" ht="15.75" hidden="1" customHeight="1">
      <c r="A4516" s="21">
        <v>853400</v>
      </c>
      <c r="B4516" s="21" t="s">
        <v>4507</v>
      </c>
      <c r="C4516" s="21" t="s">
        <v>6074</v>
      </c>
      <c r="D4516" s="21" t="s">
        <v>11</v>
      </c>
      <c r="E4516" s="21" t="s">
        <v>11</v>
      </c>
    </row>
    <row r="4517" spans="1:5" s="21" customFormat="1" ht="15.75" hidden="1" customHeight="1">
      <c r="A4517" s="21">
        <v>853510</v>
      </c>
      <c r="B4517" s="21" t="s">
        <v>4508</v>
      </c>
      <c r="C4517" s="21" t="s">
        <v>6075</v>
      </c>
      <c r="D4517" s="21" t="s">
        <v>11</v>
      </c>
      <c r="E4517" s="21" t="s">
        <v>11</v>
      </c>
    </row>
    <row r="4518" spans="1:5" s="21" customFormat="1" ht="15.75" hidden="1" customHeight="1">
      <c r="A4518" s="21">
        <v>853521</v>
      </c>
      <c r="B4518" s="21" t="s">
        <v>4509</v>
      </c>
      <c r="C4518" s="21" t="s">
        <v>6075</v>
      </c>
      <c r="D4518" s="21" t="s">
        <v>11</v>
      </c>
      <c r="E4518" s="21" t="s">
        <v>11</v>
      </c>
    </row>
    <row r="4519" spans="1:5" s="21" customFormat="1" ht="15.75" hidden="1" customHeight="1">
      <c r="A4519" s="21">
        <v>853529</v>
      </c>
      <c r="B4519" s="21" t="s">
        <v>4510</v>
      </c>
      <c r="C4519" s="21" t="s">
        <v>6075</v>
      </c>
      <c r="D4519" s="21" t="s">
        <v>11</v>
      </c>
      <c r="E4519" s="21" t="s">
        <v>11</v>
      </c>
    </row>
    <row r="4520" spans="1:5" s="21" customFormat="1" ht="15.75" hidden="1" customHeight="1">
      <c r="A4520" s="21">
        <v>853530</v>
      </c>
      <c r="B4520" s="21" t="s">
        <v>4511</v>
      </c>
      <c r="C4520" s="21" t="s">
        <v>6075</v>
      </c>
      <c r="D4520" s="21" t="s">
        <v>11</v>
      </c>
      <c r="E4520" s="21" t="s">
        <v>11</v>
      </c>
    </row>
    <row r="4521" spans="1:5" s="21" customFormat="1" ht="15.75" hidden="1" customHeight="1">
      <c r="A4521" s="21">
        <v>853540</v>
      </c>
      <c r="B4521" s="21" t="s">
        <v>4512</v>
      </c>
      <c r="C4521" s="21" t="s">
        <v>6075</v>
      </c>
      <c r="D4521" s="21" t="s">
        <v>11</v>
      </c>
      <c r="E4521" s="21" t="s">
        <v>11</v>
      </c>
    </row>
    <row r="4522" spans="1:5" s="21" customFormat="1" ht="15.75" hidden="1" customHeight="1">
      <c r="A4522" s="21">
        <v>853590</v>
      </c>
      <c r="B4522" s="21" t="s">
        <v>4513</v>
      </c>
      <c r="C4522" s="21" t="s">
        <v>6075</v>
      </c>
      <c r="D4522" s="21" t="s">
        <v>11</v>
      </c>
      <c r="E4522" s="21" t="s">
        <v>11</v>
      </c>
    </row>
    <row r="4523" spans="1:5" s="21" customFormat="1" ht="15.75" hidden="1" customHeight="1">
      <c r="A4523" s="21">
        <v>853610</v>
      </c>
      <c r="B4523" s="21" t="s">
        <v>4514</v>
      </c>
      <c r="C4523" s="21" t="s">
        <v>6075</v>
      </c>
      <c r="D4523" s="21" t="s">
        <v>11</v>
      </c>
      <c r="E4523" s="21" t="s">
        <v>11</v>
      </c>
    </row>
    <row r="4524" spans="1:5" s="21" customFormat="1" ht="15.75" hidden="1" customHeight="1">
      <c r="A4524" s="21">
        <v>853620</v>
      </c>
      <c r="B4524" s="21" t="s">
        <v>4515</v>
      </c>
      <c r="C4524" s="21" t="s">
        <v>6075</v>
      </c>
      <c r="D4524" s="21" t="s">
        <v>11</v>
      </c>
      <c r="E4524" s="21" t="s">
        <v>11</v>
      </c>
    </row>
    <row r="4525" spans="1:5" s="21" customFormat="1" ht="15.75" hidden="1" customHeight="1">
      <c r="A4525" s="21">
        <v>853630</v>
      </c>
      <c r="B4525" s="21" t="s">
        <v>4516</v>
      </c>
      <c r="C4525" s="21" t="s">
        <v>6075</v>
      </c>
      <c r="D4525" s="21" t="s">
        <v>11</v>
      </c>
      <c r="E4525" s="21" t="s">
        <v>11</v>
      </c>
    </row>
    <row r="4526" spans="1:5" s="21" customFormat="1" ht="15.75" hidden="1" customHeight="1">
      <c r="A4526" s="21">
        <v>853641</v>
      </c>
      <c r="B4526" s="21" t="s">
        <v>4517</v>
      </c>
      <c r="C4526" s="21" t="s">
        <v>6075</v>
      </c>
      <c r="D4526" s="21" t="s">
        <v>11</v>
      </c>
      <c r="E4526" s="21" t="s">
        <v>11</v>
      </c>
    </row>
    <row r="4527" spans="1:5" s="21" customFormat="1" ht="15.75" hidden="1" customHeight="1">
      <c r="A4527" s="21">
        <v>853649</v>
      </c>
      <c r="B4527" s="21" t="s">
        <v>4518</v>
      </c>
      <c r="C4527" s="21" t="s">
        <v>6075</v>
      </c>
      <c r="D4527" s="21" t="s">
        <v>11</v>
      </c>
      <c r="E4527" s="21" t="s">
        <v>11</v>
      </c>
    </row>
    <row r="4528" spans="1:5" s="21" customFormat="1" ht="15.75" hidden="1" customHeight="1">
      <c r="A4528" s="21">
        <v>853650</v>
      </c>
      <c r="B4528" s="21" t="s">
        <v>4519</v>
      </c>
      <c r="C4528" s="21" t="s">
        <v>6075</v>
      </c>
      <c r="D4528" s="21" t="s">
        <v>11</v>
      </c>
      <c r="E4528" s="21" t="s">
        <v>11</v>
      </c>
    </row>
    <row r="4529" spans="1:5" s="21" customFormat="1" ht="15.75" hidden="1" customHeight="1">
      <c r="A4529" s="21">
        <v>853661</v>
      </c>
      <c r="B4529" s="21" t="s">
        <v>4520</v>
      </c>
      <c r="C4529" s="21" t="s">
        <v>6075</v>
      </c>
      <c r="D4529" s="21" t="s">
        <v>11</v>
      </c>
      <c r="E4529" s="21" t="s">
        <v>11</v>
      </c>
    </row>
    <row r="4530" spans="1:5" s="21" customFormat="1" ht="15.75" hidden="1" customHeight="1">
      <c r="A4530" s="21">
        <v>853669</v>
      </c>
      <c r="B4530" s="21" t="s">
        <v>4521</v>
      </c>
      <c r="C4530" s="21" t="s">
        <v>6075</v>
      </c>
      <c r="D4530" s="21" t="s">
        <v>11</v>
      </c>
      <c r="E4530" s="21" t="s">
        <v>11</v>
      </c>
    </row>
    <row r="4531" spans="1:5" s="21" customFormat="1" ht="15.75" hidden="1" customHeight="1">
      <c r="A4531" s="21">
        <v>853670</v>
      </c>
      <c r="B4531" s="21" t="s">
        <v>4522</v>
      </c>
      <c r="C4531" s="21" t="s">
        <v>4522</v>
      </c>
      <c r="D4531" s="21" t="s">
        <v>11</v>
      </c>
      <c r="E4531" s="21" t="s">
        <v>11</v>
      </c>
    </row>
    <row r="4532" spans="1:5" s="21" customFormat="1" ht="15.75" hidden="1" customHeight="1">
      <c r="A4532" s="21">
        <v>853690</v>
      </c>
      <c r="B4532" s="21" t="s">
        <v>4523</v>
      </c>
      <c r="C4532" s="21" t="s">
        <v>6075</v>
      </c>
      <c r="D4532" s="21" t="s">
        <v>11</v>
      </c>
      <c r="E4532" s="21" t="s">
        <v>11</v>
      </c>
    </row>
    <row r="4533" spans="1:5" s="21" customFormat="1" ht="15.75" hidden="1" customHeight="1">
      <c r="A4533" s="21">
        <v>853710</v>
      </c>
      <c r="B4533" s="21" t="s">
        <v>4524</v>
      </c>
      <c r="C4533" s="21" t="s">
        <v>6076</v>
      </c>
      <c r="D4533" s="21" t="s">
        <v>11</v>
      </c>
      <c r="E4533" s="21" t="s">
        <v>11</v>
      </c>
    </row>
    <row r="4534" spans="1:5" s="21" customFormat="1" ht="15.75" hidden="1" customHeight="1">
      <c r="A4534" s="21">
        <v>853720</v>
      </c>
      <c r="B4534" s="21" t="s">
        <v>4525</v>
      </c>
      <c r="C4534" s="21" t="s">
        <v>6076</v>
      </c>
      <c r="D4534" s="21" t="s">
        <v>11</v>
      </c>
      <c r="E4534" s="21" t="s">
        <v>11</v>
      </c>
    </row>
    <row r="4535" spans="1:5" s="21" customFormat="1" ht="15.75" hidden="1" customHeight="1">
      <c r="A4535" s="21">
        <v>853810</v>
      </c>
      <c r="B4535" s="21" t="s">
        <v>4526</v>
      </c>
      <c r="C4535" s="21" t="s">
        <v>6075</v>
      </c>
      <c r="D4535" s="21" t="s">
        <v>11</v>
      </c>
      <c r="E4535" s="21" t="s">
        <v>11</v>
      </c>
    </row>
    <row r="4536" spans="1:5" s="21" customFormat="1" ht="15.75" hidden="1" customHeight="1">
      <c r="A4536" s="21">
        <v>853890</v>
      </c>
      <c r="B4536" s="21" t="s">
        <v>4527</v>
      </c>
      <c r="C4536" s="21" t="s">
        <v>6075</v>
      </c>
      <c r="D4536" s="21" t="s">
        <v>11</v>
      </c>
      <c r="E4536" s="21" t="s">
        <v>11</v>
      </c>
    </row>
    <row r="4537" spans="1:5" s="21" customFormat="1" ht="15.75" hidden="1" customHeight="1">
      <c r="A4537" s="21">
        <v>853910</v>
      </c>
      <c r="B4537" s="21" t="s">
        <v>4528</v>
      </c>
      <c r="C4537" s="21" t="s">
        <v>6039</v>
      </c>
      <c r="D4537" s="21" t="s">
        <v>11</v>
      </c>
      <c r="E4537" s="21" t="s">
        <v>11</v>
      </c>
    </row>
    <row r="4538" spans="1:5" s="21" customFormat="1" ht="15.75" hidden="1" customHeight="1">
      <c r="A4538" s="21">
        <v>853921</v>
      </c>
      <c r="B4538" s="21" t="s">
        <v>4529</v>
      </c>
      <c r="C4538" s="21" t="s">
        <v>6039</v>
      </c>
      <c r="D4538" s="21" t="s">
        <v>11</v>
      </c>
      <c r="E4538" s="21" t="s">
        <v>11</v>
      </c>
    </row>
    <row r="4539" spans="1:5" s="21" customFormat="1" ht="15.75" hidden="1" customHeight="1">
      <c r="A4539" s="21">
        <v>853922</v>
      </c>
      <c r="B4539" s="21" t="s">
        <v>4530</v>
      </c>
      <c r="C4539" s="21" t="s">
        <v>6039</v>
      </c>
      <c r="D4539" s="21" t="s">
        <v>11</v>
      </c>
      <c r="E4539" s="21" t="s">
        <v>11</v>
      </c>
    </row>
    <row r="4540" spans="1:5" s="21" customFormat="1" ht="15.75" hidden="1" customHeight="1">
      <c r="A4540" s="21">
        <v>853929</v>
      </c>
      <c r="B4540" s="21" t="s">
        <v>4531</v>
      </c>
      <c r="C4540" s="21" t="s">
        <v>6039</v>
      </c>
      <c r="D4540" s="21" t="s">
        <v>11</v>
      </c>
      <c r="E4540" s="21" t="s">
        <v>11</v>
      </c>
    </row>
    <row r="4541" spans="1:5" s="21" customFormat="1" ht="15.75" hidden="1" customHeight="1">
      <c r="A4541" s="21">
        <v>853931</v>
      </c>
      <c r="B4541" s="21" t="s">
        <v>4532</v>
      </c>
      <c r="C4541" s="21" t="s">
        <v>6039</v>
      </c>
      <c r="D4541" s="21" t="s">
        <v>11</v>
      </c>
      <c r="E4541" s="21" t="s">
        <v>11</v>
      </c>
    </row>
    <row r="4542" spans="1:5" s="21" customFormat="1" ht="15.75" hidden="1" customHeight="1">
      <c r="A4542" s="21">
        <v>853932</v>
      </c>
      <c r="B4542" s="21" t="s">
        <v>4533</v>
      </c>
      <c r="C4542" s="21" t="s">
        <v>6039</v>
      </c>
      <c r="D4542" s="21" t="s">
        <v>11</v>
      </c>
      <c r="E4542" s="21" t="s">
        <v>11</v>
      </c>
    </row>
    <row r="4543" spans="1:5" s="21" customFormat="1" ht="15.75" hidden="1" customHeight="1">
      <c r="A4543" s="21">
        <v>853939</v>
      </c>
      <c r="B4543" s="21" t="s">
        <v>4534</v>
      </c>
      <c r="C4543" s="21" t="s">
        <v>6039</v>
      </c>
      <c r="D4543" s="21" t="s">
        <v>11</v>
      </c>
      <c r="E4543" s="21" t="s">
        <v>11</v>
      </c>
    </row>
    <row r="4544" spans="1:5" s="21" customFormat="1" ht="15.75" hidden="1" customHeight="1">
      <c r="A4544" s="21">
        <v>853941</v>
      </c>
      <c r="B4544" s="21" t="s">
        <v>4535</v>
      </c>
      <c r="C4544" s="21" t="s">
        <v>6039</v>
      </c>
      <c r="D4544" s="21" t="s">
        <v>11</v>
      </c>
      <c r="E4544" s="21" t="s">
        <v>11</v>
      </c>
    </row>
    <row r="4545" spans="1:5" s="21" customFormat="1" ht="15.75" hidden="1" customHeight="1">
      <c r="A4545" s="21">
        <v>853949</v>
      </c>
      <c r="B4545" s="21" t="s">
        <v>4536</v>
      </c>
      <c r="C4545" s="21" t="s">
        <v>6039</v>
      </c>
      <c r="D4545" s="21" t="s">
        <v>11</v>
      </c>
      <c r="E4545" s="21" t="s">
        <v>11</v>
      </c>
    </row>
    <row r="4546" spans="1:5" s="21" customFormat="1" ht="15.75" hidden="1" customHeight="1">
      <c r="A4546" s="21">
        <v>853990</v>
      </c>
      <c r="B4546" s="21" t="s">
        <v>4537</v>
      </c>
      <c r="C4546" s="21" t="s">
        <v>6039</v>
      </c>
      <c r="D4546" s="21" t="s">
        <v>11</v>
      </c>
      <c r="E4546" s="21" t="s">
        <v>11</v>
      </c>
    </row>
    <row r="4547" spans="1:5" s="21" customFormat="1" ht="15.75" hidden="1" customHeight="1">
      <c r="A4547" s="21">
        <v>854011</v>
      </c>
      <c r="B4547" s="21" t="s">
        <v>4538</v>
      </c>
      <c r="C4547" s="21" t="s">
        <v>6077</v>
      </c>
      <c r="D4547" s="21" t="s">
        <v>11</v>
      </c>
      <c r="E4547" s="21" t="s">
        <v>11</v>
      </c>
    </row>
    <row r="4548" spans="1:5" s="21" customFormat="1" ht="15.75" hidden="1" customHeight="1">
      <c r="A4548" s="21">
        <v>854012</v>
      </c>
      <c r="B4548" s="21" t="s">
        <v>4539</v>
      </c>
      <c r="C4548" s="21" t="s">
        <v>6077</v>
      </c>
      <c r="D4548" s="21" t="s">
        <v>11</v>
      </c>
      <c r="E4548" s="21" t="s">
        <v>11</v>
      </c>
    </row>
    <row r="4549" spans="1:5" s="21" customFormat="1" ht="15.75" hidden="1" customHeight="1">
      <c r="A4549" s="21">
        <v>854020</v>
      </c>
      <c r="B4549" s="21" t="s">
        <v>4540</v>
      </c>
      <c r="C4549" s="21" t="s">
        <v>6077</v>
      </c>
      <c r="D4549" s="21" t="s">
        <v>11</v>
      </c>
      <c r="E4549" s="21" t="s">
        <v>11</v>
      </c>
    </row>
    <row r="4550" spans="1:5" s="21" customFormat="1" ht="15.75" hidden="1" customHeight="1">
      <c r="A4550" s="21">
        <v>854040</v>
      </c>
      <c r="B4550" s="21" t="s">
        <v>4541</v>
      </c>
      <c r="C4550" s="21" t="s">
        <v>6077</v>
      </c>
      <c r="D4550" s="21" t="s">
        <v>11</v>
      </c>
      <c r="E4550" s="21" t="s">
        <v>11</v>
      </c>
    </row>
    <row r="4551" spans="1:5" s="21" customFormat="1" ht="15.75" hidden="1" customHeight="1">
      <c r="A4551" s="21">
        <v>854050</v>
      </c>
      <c r="B4551" s="21" t="s">
        <v>4542</v>
      </c>
      <c r="C4551" s="21" t="s">
        <v>6077</v>
      </c>
      <c r="D4551" s="21" t="s">
        <v>11</v>
      </c>
      <c r="E4551" s="21" t="s">
        <v>11</v>
      </c>
    </row>
    <row r="4552" spans="1:5" s="21" customFormat="1" ht="15.75" hidden="1" customHeight="1">
      <c r="A4552" s="21">
        <v>854060</v>
      </c>
      <c r="B4552" s="21" t="s">
        <v>4543</v>
      </c>
      <c r="C4552" s="21" t="s">
        <v>6077</v>
      </c>
      <c r="D4552" s="21" t="s">
        <v>11</v>
      </c>
      <c r="E4552" s="21" t="s">
        <v>11</v>
      </c>
    </row>
    <row r="4553" spans="1:5" s="21" customFormat="1" ht="15.75" hidden="1" customHeight="1">
      <c r="A4553" s="21">
        <v>854071</v>
      </c>
      <c r="B4553" s="21" t="s">
        <v>4544</v>
      </c>
      <c r="C4553" s="21" t="s">
        <v>6077</v>
      </c>
      <c r="D4553" s="21" t="s">
        <v>11</v>
      </c>
      <c r="E4553" s="21" t="s">
        <v>11</v>
      </c>
    </row>
    <row r="4554" spans="1:5" s="21" customFormat="1" ht="15.75" hidden="1" customHeight="1">
      <c r="A4554" s="21">
        <v>854072</v>
      </c>
      <c r="B4554" s="21" t="s">
        <v>4545</v>
      </c>
      <c r="C4554" s="21" t="s">
        <v>6077</v>
      </c>
      <c r="D4554" s="21" t="s">
        <v>11</v>
      </c>
      <c r="E4554" s="21" t="s">
        <v>11</v>
      </c>
    </row>
    <row r="4555" spans="1:5" s="21" customFormat="1" ht="15.75" hidden="1" customHeight="1">
      <c r="A4555" s="21">
        <v>854079</v>
      </c>
      <c r="B4555" s="21" t="s">
        <v>4546</v>
      </c>
      <c r="C4555" s="21" t="s">
        <v>6077</v>
      </c>
      <c r="D4555" s="21" t="s">
        <v>11</v>
      </c>
      <c r="E4555" s="21" t="s">
        <v>11</v>
      </c>
    </row>
    <row r="4556" spans="1:5" s="21" customFormat="1" ht="15.75" hidden="1" customHeight="1">
      <c r="A4556" s="21">
        <v>854081</v>
      </c>
      <c r="B4556" s="21" t="s">
        <v>4547</v>
      </c>
      <c r="C4556" s="21" t="s">
        <v>6078</v>
      </c>
      <c r="D4556" s="21" t="s">
        <v>11</v>
      </c>
      <c r="E4556" s="21" t="s">
        <v>11</v>
      </c>
    </row>
    <row r="4557" spans="1:5" s="21" customFormat="1" ht="15.75" hidden="1" customHeight="1">
      <c r="A4557" s="21">
        <v>854089</v>
      </c>
      <c r="B4557" s="21" t="s">
        <v>4548</v>
      </c>
      <c r="C4557" s="21" t="s">
        <v>6078</v>
      </c>
      <c r="D4557" s="21" t="s">
        <v>11</v>
      </c>
      <c r="E4557" s="21" t="s">
        <v>11</v>
      </c>
    </row>
    <row r="4558" spans="1:5" s="21" customFormat="1" ht="15.75" hidden="1" customHeight="1">
      <c r="A4558" s="21">
        <v>854091</v>
      </c>
      <c r="B4558" s="21" t="s">
        <v>4549</v>
      </c>
      <c r="C4558" s="21" t="s">
        <v>6077</v>
      </c>
      <c r="D4558" s="21" t="s">
        <v>11</v>
      </c>
      <c r="E4558" s="21" t="s">
        <v>11</v>
      </c>
    </row>
    <row r="4559" spans="1:5" s="21" customFormat="1" ht="15.75" hidden="1" customHeight="1">
      <c r="A4559" s="21">
        <v>854099</v>
      </c>
      <c r="B4559" s="21" t="s">
        <v>4550</v>
      </c>
      <c r="C4559" s="21" t="s">
        <v>6078</v>
      </c>
      <c r="D4559" s="21" t="s">
        <v>11</v>
      </c>
      <c r="E4559" s="21" t="s">
        <v>11</v>
      </c>
    </row>
    <row r="4560" spans="1:5" s="21" customFormat="1" ht="15.75" hidden="1" customHeight="1">
      <c r="A4560" s="21">
        <v>854110</v>
      </c>
      <c r="B4560" s="21" t="s">
        <v>4551</v>
      </c>
      <c r="C4560" s="21" t="s">
        <v>6075</v>
      </c>
      <c r="D4560" s="21" t="s">
        <v>11</v>
      </c>
      <c r="E4560" s="21" t="s">
        <v>11</v>
      </c>
    </row>
    <row r="4561" spans="1:5" s="21" customFormat="1" ht="15.75" hidden="1" customHeight="1">
      <c r="A4561" s="21">
        <v>854121</v>
      </c>
      <c r="B4561" s="21" t="s">
        <v>4552</v>
      </c>
      <c r="C4561" s="21" t="s">
        <v>6075</v>
      </c>
      <c r="D4561" s="21" t="s">
        <v>11</v>
      </c>
      <c r="E4561" s="21" t="s">
        <v>11</v>
      </c>
    </row>
    <row r="4562" spans="1:5" s="21" customFormat="1" ht="15.75" hidden="1" customHeight="1">
      <c r="A4562" s="21">
        <v>854129</v>
      </c>
      <c r="B4562" s="21" t="s">
        <v>4553</v>
      </c>
      <c r="C4562" s="21" t="s">
        <v>6075</v>
      </c>
      <c r="D4562" s="21" t="s">
        <v>11</v>
      </c>
      <c r="E4562" s="21" t="s">
        <v>11</v>
      </c>
    </row>
    <row r="4563" spans="1:5" s="21" customFormat="1" ht="15.75" hidden="1" customHeight="1">
      <c r="A4563" s="21">
        <v>854130</v>
      </c>
      <c r="B4563" s="21" t="s">
        <v>4554</v>
      </c>
      <c r="C4563" s="21" t="s">
        <v>6075</v>
      </c>
      <c r="D4563" s="21" t="s">
        <v>11</v>
      </c>
      <c r="E4563" s="21" t="s">
        <v>11</v>
      </c>
    </row>
    <row r="4564" spans="1:5" s="21" customFormat="1" ht="15.75" hidden="1" customHeight="1">
      <c r="A4564" s="21">
        <v>854140</v>
      </c>
      <c r="B4564" s="21" t="s">
        <v>4555</v>
      </c>
      <c r="C4564" s="21" t="s">
        <v>6075</v>
      </c>
      <c r="D4564" s="21" t="s">
        <v>11</v>
      </c>
      <c r="E4564" s="21" t="s">
        <v>11</v>
      </c>
    </row>
    <row r="4565" spans="1:5" s="21" customFormat="1" ht="15.75" hidden="1" customHeight="1">
      <c r="A4565" s="21">
        <v>854150</v>
      </c>
      <c r="B4565" s="21" t="s">
        <v>4556</v>
      </c>
      <c r="C4565" s="21" t="s">
        <v>6075</v>
      </c>
      <c r="D4565" s="21" t="s">
        <v>11</v>
      </c>
      <c r="E4565" s="21" t="s">
        <v>11</v>
      </c>
    </row>
    <row r="4566" spans="1:5" s="21" customFormat="1" ht="15.75" hidden="1" customHeight="1">
      <c r="A4566" s="21">
        <v>854160</v>
      </c>
      <c r="B4566" s="21" t="s">
        <v>4557</v>
      </c>
      <c r="C4566" s="21" t="s">
        <v>6079</v>
      </c>
      <c r="D4566" s="21" t="s">
        <v>11</v>
      </c>
      <c r="E4566" s="21" t="s">
        <v>11</v>
      </c>
    </row>
    <row r="4567" spans="1:5" s="21" customFormat="1" ht="15.75" hidden="1" customHeight="1">
      <c r="A4567" s="21">
        <v>854190</v>
      </c>
      <c r="B4567" s="21" t="s">
        <v>4558</v>
      </c>
      <c r="C4567" s="21" t="s">
        <v>6075</v>
      </c>
      <c r="D4567" s="21" t="s">
        <v>11</v>
      </c>
      <c r="E4567" s="21" t="s">
        <v>11</v>
      </c>
    </row>
    <row r="4568" spans="1:5" s="21" customFormat="1" ht="15.75" hidden="1" customHeight="1">
      <c r="A4568" s="21">
        <v>854231</v>
      </c>
      <c r="B4568" s="21" t="s">
        <v>4559</v>
      </c>
      <c r="C4568" s="21" t="s">
        <v>6080</v>
      </c>
      <c r="D4568" s="21" t="s">
        <v>11</v>
      </c>
      <c r="E4568" s="21" t="s">
        <v>11</v>
      </c>
    </row>
    <row r="4569" spans="1:5" s="21" customFormat="1" ht="15.75" hidden="1" customHeight="1">
      <c r="A4569" s="21">
        <v>854232</v>
      </c>
      <c r="B4569" s="21" t="s">
        <v>4560</v>
      </c>
      <c r="C4569" s="21" t="s">
        <v>6080</v>
      </c>
      <c r="D4569" s="21" t="s">
        <v>11</v>
      </c>
      <c r="E4569" s="21" t="s">
        <v>11</v>
      </c>
    </row>
    <row r="4570" spans="1:5" s="21" customFormat="1" ht="15.75" hidden="1" customHeight="1">
      <c r="A4570" s="21">
        <v>854233</v>
      </c>
      <c r="B4570" s="21" t="s">
        <v>4561</v>
      </c>
      <c r="C4570" s="21" t="s">
        <v>6080</v>
      </c>
      <c r="D4570" s="21" t="s">
        <v>11</v>
      </c>
      <c r="E4570" s="21" t="s">
        <v>11</v>
      </c>
    </row>
    <row r="4571" spans="1:5" s="21" customFormat="1" ht="15.75" hidden="1" customHeight="1">
      <c r="A4571" s="21">
        <v>854239</v>
      </c>
      <c r="B4571" s="21" t="s">
        <v>4562</v>
      </c>
      <c r="C4571" s="21" t="s">
        <v>6080</v>
      </c>
      <c r="D4571" s="21" t="s">
        <v>11</v>
      </c>
      <c r="E4571" s="21" t="s">
        <v>11</v>
      </c>
    </row>
    <row r="4572" spans="1:5" s="21" customFormat="1" ht="15.75" hidden="1" customHeight="1">
      <c r="A4572" s="21">
        <v>854290</v>
      </c>
      <c r="B4572" s="21" t="s">
        <v>4563</v>
      </c>
      <c r="C4572" s="21" t="s">
        <v>4563</v>
      </c>
      <c r="D4572" s="21" t="s">
        <v>11</v>
      </c>
      <c r="E4572" s="21" t="s">
        <v>11</v>
      </c>
    </row>
    <row r="4573" spans="1:5" s="21" customFormat="1" ht="15.75" hidden="1" customHeight="1">
      <c r="A4573" s="21">
        <v>854310</v>
      </c>
      <c r="B4573" s="21" t="s">
        <v>4564</v>
      </c>
      <c r="C4573" s="21" t="s">
        <v>6081</v>
      </c>
      <c r="D4573" s="21" t="s">
        <v>11</v>
      </c>
      <c r="E4573" s="21" t="s">
        <v>11</v>
      </c>
    </row>
    <row r="4574" spans="1:5" s="21" customFormat="1" ht="15.75" hidden="1" customHeight="1">
      <c r="A4574" s="21">
        <v>854320</v>
      </c>
      <c r="B4574" s="21" t="s">
        <v>4565</v>
      </c>
      <c r="C4574" s="21" t="s">
        <v>6081</v>
      </c>
      <c r="D4574" s="21" t="s">
        <v>11</v>
      </c>
      <c r="E4574" s="21" t="s">
        <v>11</v>
      </c>
    </row>
    <row r="4575" spans="1:5" s="21" customFormat="1" ht="15.75" hidden="1" customHeight="1">
      <c r="A4575" s="21">
        <v>854330</v>
      </c>
      <c r="B4575" s="21" t="s">
        <v>4566</v>
      </c>
      <c r="C4575" s="21" t="s">
        <v>6081</v>
      </c>
      <c r="D4575" s="21" t="s">
        <v>11</v>
      </c>
      <c r="E4575" s="21" t="s">
        <v>11</v>
      </c>
    </row>
    <row r="4576" spans="1:5" s="21" customFormat="1" ht="15.75" hidden="1" customHeight="1">
      <c r="A4576" s="21">
        <v>854370</v>
      </c>
      <c r="B4576" s="21" t="s">
        <v>4567</v>
      </c>
      <c r="C4576" s="21" t="s">
        <v>6081</v>
      </c>
      <c r="D4576" s="21" t="s">
        <v>11</v>
      </c>
      <c r="E4576" s="21" t="s">
        <v>11</v>
      </c>
    </row>
    <row r="4577" spans="1:5" s="21" customFormat="1" ht="15.75" hidden="1" customHeight="1">
      <c r="A4577" s="21">
        <v>854390</v>
      </c>
      <c r="B4577" s="21" t="s">
        <v>4568</v>
      </c>
      <c r="C4577" s="21" t="s">
        <v>6081</v>
      </c>
      <c r="D4577" s="21" t="s">
        <v>11</v>
      </c>
      <c r="E4577" s="21" t="s">
        <v>11</v>
      </c>
    </row>
    <row r="4578" spans="1:5" s="21" customFormat="1" ht="15.75" hidden="1" customHeight="1">
      <c r="A4578" s="21">
        <v>854411</v>
      </c>
      <c r="B4578" s="21" t="s">
        <v>4569</v>
      </c>
      <c r="C4578" s="21" t="s">
        <v>6082</v>
      </c>
      <c r="D4578" s="21" t="s">
        <v>11</v>
      </c>
      <c r="E4578" s="21" t="s">
        <v>11</v>
      </c>
    </row>
    <row r="4579" spans="1:5" s="21" customFormat="1" ht="15.75" hidden="1" customHeight="1">
      <c r="A4579" s="21">
        <v>854419</v>
      </c>
      <c r="B4579" s="21" t="s">
        <v>4570</v>
      </c>
      <c r="C4579" s="21" t="s">
        <v>6082</v>
      </c>
      <c r="D4579" s="21" t="s">
        <v>11</v>
      </c>
      <c r="E4579" s="21" t="s">
        <v>11</v>
      </c>
    </row>
    <row r="4580" spans="1:5" s="21" customFormat="1" ht="15.75" hidden="1" customHeight="1">
      <c r="A4580" s="21">
        <v>854420</v>
      </c>
      <c r="B4580" s="21" t="s">
        <v>4571</v>
      </c>
      <c r="C4580" s="21" t="s">
        <v>6082</v>
      </c>
      <c r="D4580" s="21" t="s">
        <v>11</v>
      </c>
      <c r="E4580" s="21" t="s">
        <v>11</v>
      </c>
    </row>
    <row r="4581" spans="1:5" s="21" customFormat="1" ht="15.75" hidden="1" customHeight="1">
      <c r="A4581" s="21">
        <v>854430</v>
      </c>
      <c r="B4581" s="21" t="s">
        <v>4572</v>
      </c>
      <c r="C4581" s="21" t="s">
        <v>6082</v>
      </c>
      <c r="D4581" s="21" t="s">
        <v>11</v>
      </c>
      <c r="E4581" s="21" t="s">
        <v>11</v>
      </c>
    </row>
    <row r="4582" spans="1:5" s="21" customFormat="1" ht="15.75" hidden="1" customHeight="1">
      <c r="A4582" s="21">
        <v>854442</v>
      </c>
      <c r="B4582" s="21" t="s">
        <v>4573</v>
      </c>
      <c r="C4582" s="21" t="s">
        <v>6082</v>
      </c>
      <c r="D4582" s="21" t="s">
        <v>11</v>
      </c>
      <c r="E4582" s="21" t="s">
        <v>11</v>
      </c>
    </row>
    <row r="4583" spans="1:5" s="21" customFormat="1" ht="15.75" hidden="1" customHeight="1">
      <c r="A4583" s="21">
        <v>854449</v>
      </c>
      <c r="B4583" s="21" t="s">
        <v>4574</v>
      </c>
      <c r="C4583" s="21" t="s">
        <v>6082</v>
      </c>
      <c r="D4583" s="21" t="s">
        <v>11</v>
      </c>
      <c r="E4583" s="21" t="s">
        <v>11</v>
      </c>
    </row>
    <row r="4584" spans="1:5" s="21" customFormat="1" ht="15.75" hidden="1" customHeight="1">
      <c r="A4584" s="21">
        <v>854460</v>
      </c>
      <c r="B4584" s="21" t="s">
        <v>4575</v>
      </c>
      <c r="C4584" s="21" t="s">
        <v>6082</v>
      </c>
      <c r="D4584" s="21" t="s">
        <v>11</v>
      </c>
      <c r="E4584" s="21" t="s">
        <v>11</v>
      </c>
    </row>
    <row r="4585" spans="1:5" s="21" customFormat="1" ht="15.75" hidden="1" customHeight="1">
      <c r="A4585" s="21">
        <v>854470</v>
      </c>
      <c r="B4585" s="21" t="s">
        <v>4576</v>
      </c>
      <c r="C4585" s="21" t="s">
        <v>6082</v>
      </c>
      <c r="D4585" s="21" t="s">
        <v>11</v>
      </c>
      <c r="E4585" s="21" t="s">
        <v>11</v>
      </c>
    </row>
    <row r="4586" spans="1:5" s="21" customFormat="1" ht="15.75" hidden="1" customHeight="1">
      <c r="A4586" s="21">
        <v>854511</v>
      </c>
      <c r="B4586" s="21" t="s">
        <v>4577</v>
      </c>
      <c r="C4586" s="21" t="s">
        <v>6083</v>
      </c>
      <c r="D4586" s="21" t="s">
        <v>11</v>
      </c>
      <c r="E4586" s="21" t="s">
        <v>11</v>
      </c>
    </row>
    <row r="4587" spans="1:5" s="21" customFormat="1" ht="15.75" hidden="1" customHeight="1">
      <c r="A4587" s="21">
        <v>854519</v>
      </c>
      <c r="B4587" s="21" t="s">
        <v>4578</v>
      </c>
      <c r="C4587" s="21" t="s">
        <v>6083</v>
      </c>
      <c r="D4587" s="21" t="s">
        <v>11</v>
      </c>
      <c r="E4587" s="21" t="s">
        <v>11</v>
      </c>
    </row>
    <row r="4588" spans="1:5" s="21" customFormat="1" ht="15.75" hidden="1" customHeight="1">
      <c r="A4588" s="21">
        <v>854520</v>
      </c>
      <c r="B4588" s="21" t="s">
        <v>4579</v>
      </c>
      <c r="C4588" s="21" t="s">
        <v>6084</v>
      </c>
      <c r="D4588" s="21" t="s">
        <v>11</v>
      </c>
      <c r="E4588" s="21" t="s">
        <v>11</v>
      </c>
    </row>
    <row r="4589" spans="1:5" s="21" customFormat="1" ht="15.75" hidden="1" customHeight="1">
      <c r="A4589" s="21">
        <v>854590</v>
      </c>
      <c r="B4589" s="21" t="s">
        <v>4580</v>
      </c>
      <c r="C4589" s="21" t="s">
        <v>5362</v>
      </c>
      <c r="D4589" s="21" t="s">
        <v>11</v>
      </c>
      <c r="E4589" s="21" t="s">
        <v>11</v>
      </c>
    </row>
    <row r="4590" spans="1:5" s="21" customFormat="1" ht="15.75" hidden="1" customHeight="1">
      <c r="A4590" s="21">
        <v>854610</v>
      </c>
      <c r="B4590" s="21" t="s">
        <v>4581</v>
      </c>
      <c r="C4590" s="21" t="s">
        <v>6085</v>
      </c>
      <c r="D4590" s="21" t="s">
        <v>11</v>
      </c>
      <c r="E4590" s="21" t="s">
        <v>11</v>
      </c>
    </row>
    <row r="4591" spans="1:5" s="21" customFormat="1" ht="15.75" hidden="1" customHeight="1">
      <c r="A4591" s="21">
        <v>854620</v>
      </c>
      <c r="B4591" s="21" t="s">
        <v>4582</v>
      </c>
      <c r="C4591" s="21" t="s">
        <v>6085</v>
      </c>
      <c r="D4591" s="21" t="s">
        <v>11</v>
      </c>
      <c r="E4591" s="21" t="s">
        <v>11</v>
      </c>
    </row>
    <row r="4592" spans="1:5" s="21" customFormat="1" ht="15.75" hidden="1" customHeight="1">
      <c r="A4592" s="21">
        <v>854690</v>
      </c>
      <c r="B4592" s="21" t="s">
        <v>4583</v>
      </c>
      <c r="C4592" s="21" t="s">
        <v>6085</v>
      </c>
      <c r="D4592" s="21" t="s">
        <v>11</v>
      </c>
      <c r="E4592" s="21" t="s">
        <v>11</v>
      </c>
    </row>
    <row r="4593" spans="1:5" s="21" customFormat="1" ht="15.75" hidden="1" customHeight="1">
      <c r="A4593" s="21">
        <v>854710</v>
      </c>
      <c r="B4593" s="21" t="s">
        <v>4584</v>
      </c>
      <c r="C4593" s="21" t="s">
        <v>6086</v>
      </c>
      <c r="D4593" s="21" t="s">
        <v>11</v>
      </c>
      <c r="E4593" s="21" t="s">
        <v>11</v>
      </c>
    </row>
    <row r="4594" spans="1:5" s="21" customFormat="1" ht="15.75" hidden="1" customHeight="1">
      <c r="A4594" s="21">
        <v>854720</v>
      </c>
      <c r="B4594" s="21" t="s">
        <v>4585</v>
      </c>
      <c r="C4594" s="21" t="s">
        <v>6086</v>
      </c>
      <c r="D4594" s="21" t="s">
        <v>11</v>
      </c>
      <c r="E4594" s="21" t="s">
        <v>11</v>
      </c>
    </row>
    <row r="4595" spans="1:5" s="21" customFormat="1" ht="15.75" hidden="1" customHeight="1">
      <c r="A4595" s="21">
        <v>854790</v>
      </c>
      <c r="B4595" s="21" t="s">
        <v>4586</v>
      </c>
      <c r="C4595" s="21" t="s">
        <v>6086</v>
      </c>
      <c r="D4595" s="21" t="s">
        <v>11</v>
      </c>
      <c r="E4595" s="21" t="s">
        <v>11</v>
      </c>
    </row>
    <row r="4596" spans="1:5" s="21" customFormat="1" ht="15.75" hidden="1" customHeight="1">
      <c r="A4596" s="21">
        <v>854810</v>
      </c>
      <c r="B4596" s="21" t="s">
        <v>4587</v>
      </c>
      <c r="C4596" s="21" t="s">
        <v>6087</v>
      </c>
      <c r="D4596" s="21" t="s">
        <v>11</v>
      </c>
      <c r="E4596" s="21" t="s">
        <v>11</v>
      </c>
    </row>
    <row r="4597" spans="1:5" s="21" customFormat="1" ht="15.75" hidden="1" customHeight="1">
      <c r="A4597" s="21">
        <v>854890</v>
      </c>
      <c r="B4597" s="21" t="s">
        <v>4588</v>
      </c>
      <c r="C4597" s="21" t="s">
        <v>6088</v>
      </c>
      <c r="D4597" s="21" t="s">
        <v>11</v>
      </c>
      <c r="E4597" s="21" t="s">
        <v>11</v>
      </c>
    </row>
    <row r="4598" spans="1:5" s="21" customFormat="1" ht="15.75" hidden="1" customHeight="1">
      <c r="A4598" s="21">
        <v>860110</v>
      </c>
      <c r="B4598" s="21" t="s">
        <v>4589</v>
      </c>
      <c r="C4598" s="21" t="s">
        <v>6089</v>
      </c>
      <c r="D4598" s="21" t="s">
        <v>11</v>
      </c>
      <c r="E4598" s="21" t="s">
        <v>11</v>
      </c>
    </row>
    <row r="4599" spans="1:5" s="21" customFormat="1" ht="15.75" hidden="1" customHeight="1">
      <c r="A4599" s="21">
        <v>860120</v>
      </c>
      <c r="B4599" s="21" t="s">
        <v>4590</v>
      </c>
      <c r="C4599" s="21" t="s">
        <v>6089</v>
      </c>
      <c r="D4599" s="21" t="s">
        <v>11</v>
      </c>
      <c r="E4599" s="21" t="s">
        <v>11</v>
      </c>
    </row>
    <row r="4600" spans="1:5" s="21" customFormat="1" ht="15.75" hidden="1" customHeight="1">
      <c r="A4600" s="21">
        <v>860210</v>
      </c>
      <c r="B4600" s="21" t="s">
        <v>4591</v>
      </c>
      <c r="C4600" s="21" t="s">
        <v>6089</v>
      </c>
      <c r="D4600" s="21" t="s">
        <v>11</v>
      </c>
      <c r="E4600" s="21" t="s">
        <v>11</v>
      </c>
    </row>
    <row r="4601" spans="1:5" s="21" customFormat="1" ht="15.75" hidden="1" customHeight="1">
      <c r="A4601" s="21">
        <v>860290</v>
      </c>
      <c r="B4601" s="21" t="s">
        <v>4592</v>
      </c>
      <c r="C4601" s="21" t="s">
        <v>6090</v>
      </c>
      <c r="D4601" s="21" t="s">
        <v>11</v>
      </c>
      <c r="E4601" s="21" t="s">
        <v>11</v>
      </c>
    </row>
    <row r="4602" spans="1:5" s="21" customFormat="1" ht="15.75" hidden="1" customHeight="1">
      <c r="A4602" s="21">
        <v>860310</v>
      </c>
      <c r="B4602" s="21" t="s">
        <v>4593</v>
      </c>
      <c r="C4602" s="21" t="s">
        <v>6091</v>
      </c>
      <c r="D4602" s="21" t="s">
        <v>11</v>
      </c>
      <c r="E4602" s="21" t="s">
        <v>11</v>
      </c>
    </row>
    <row r="4603" spans="1:5" s="21" customFormat="1" ht="15.75" hidden="1" customHeight="1">
      <c r="A4603" s="21">
        <v>860390</v>
      </c>
      <c r="B4603" s="21" t="s">
        <v>4594</v>
      </c>
      <c r="C4603" s="21" t="s">
        <v>6091</v>
      </c>
      <c r="D4603" s="21" t="s">
        <v>11</v>
      </c>
      <c r="E4603" s="21" t="s">
        <v>11</v>
      </c>
    </row>
    <row r="4604" spans="1:5" s="21" customFormat="1" ht="15.75" hidden="1" customHeight="1">
      <c r="A4604" s="21">
        <v>860400</v>
      </c>
      <c r="B4604" s="21" t="s">
        <v>4595</v>
      </c>
      <c r="C4604" s="21" t="s">
        <v>6092</v>
      </c>
      <c r="D4604" s="21" t="s">
        <v>11</v>
      </c>
      <c r="E4604" s="21" t="s">
        <v>11</v>
      </c>
    </row>
    <row r="4605" spans="1:5" s="21" customFormat="1" ht="15.75" hidden="1" customHeight="1">
      <c r="A4605" s="21">
        <v>860500</v>
      </c>
      <c r="B4605" s="21" t="s">
        <v>4596</v>
      </c>
      <c r="C4605" s="21" t="s">
        <v>6093</v>
      </c>
      <c r="D4605" s="21" t="s">
        <v>11</v>
      </c>
      <c r="E4605" s="21" t="s">
        <v>11</v>
      </c>
    </row>
    <row r="4606" spans="1:5" s="21" customFormat="1" ht="15.75" hidden="1" customHeight="1">
      <c r="A4606" s="21">
        <v>860610</v>
      </c>
      <c r="B4606" s="21" t="s">
        <v>4597</v>
      </c>
      <c r="C4606" s="21" t="s">
        <v>6094</v>
      </c>
      <c r="D4606" s="21" t="s">
        <v>11</v>
      </c>
      <c r="E4606" s="21" t="s">
        <v>11</v>
      </c>
    </row>
    <row r="4607" spans="1:5" s="21" customFormat="1" ht="15.75" hidden="1" customHeight="1">
      <c r="A4607" s="21">
        <v>860630</v>
      </c>
      <c r="B4607" s="21" t="s">
        <v>4598</v>
      </c>
      <c r="C4607" s="21" t="s">
        <v>6094</v>
      </c>
      <c r="D4607" s="21" t="s">
        <v>11</v>
      </c>
      <c r="E4607" s="21" t="s">
        <v>11</v>
      </c>
    </row>
    <row r="4608" spans="1:5" s="21" customFormat="1" ht="15.75" hidden="1" customHeight="1">
      <c r="A4608" s="21">
        <v>860691</v>
      </c>
      <c r="B4608" s="21" t="s">
        <v>4599</v>
      </c>
      <c r="C4608" s="21" t="s">
        <v>6094</v>
      </c>
      <c r="D4608" s="21" t="s">
        <v>11</v>
      </c>
      <c r="E4608" s="21" t="s">
        <v>11</v>
      </c>
    </row>
    <row r="4609" spans="1:5" s="21" customFormat="1" ht="15.75" hidden="1" customHeight="1">
      <c r="A4609" s="21">
        <v>860692</v>
      </c>
      <c r="B4609" s="21" t="s">
        <v>4600</v>
      </c>
      <c r="C4609" s="21" t="s">
        <v>6094</v>
      </c>
      <c r="D4609" s="21" t="s">
        <v>11</v>
      </c>
      <c r="E4609" s="21" t="s">
        <v>11</v>
      </c>
    </row>
    <row r="4610" spans="1:5" s="21" customFormat="1" ht="15.75" hidden="1" customHeight="1">
      <c r="A4610" s="21">
        <v>860699</v>
      </c>
      <c r="B4610" s="21" t="s">
        <v>4601</v>
      </c>
      <c r="C4610" s="21" t="s">
        <v>6094</v>
      </c>
      <c r="D4610" s="21" t="s">
        <v>11</v>
      </c>
      <c r="E4610" s="21" t="s">
        <v>11</v>
      </c>
    </row>
    <row r="4611" spans="1:5" s="21" customFormat="1" ht="15.75" hidden="1" customHeight="1">
      <c r="A4611" s="21">
        <v>860711</v>
      </c>
      <c r="B4611" s="21" t="s">
        <v>4602</v>
      </c>
      <c r="C4611" s="21" t="s">
        <v>6095</v>
      </c>
      <c r="D4611" s="21" t="s">
        <v>11</v>
      </c>
      <c r="E4611" s="21" t="s">
        <v>11</v>
      </c>
    </row>
    <row r="4612" spans="1:5" s="21" customFormat="1" ht="15.75" hidden="1" customHeight="1">
      <c r="A4612" s="21">
        <v>860712</v>
      </c>
      <c r="B4612" s="21" t="s">
        <v>4603</v>
      </c>
      <c r="C4612" s="21" t="s">
        <v>6095</v>
      </c>
      <c r="D4612" s="21" t="s">
        <v>11</v>
      </c>
      <c r="E4612" s="21" t="s">
        <v>11</v>
      </c>
    </row>
    <row r="4613" spans="1:5" s="21" customFormat="1" ht="15.75" hidden="1" customHeight="1">
      <c r="A4613" s="21">
        <v>860719</v>
      </c>
      <c r="B4613" s="21" t="s">
        <v>4604</v>
      </c>
      <c r="C4613" s="21" t="s">
        <v>6095</v>
      </c>
      <c r="D4613" s="21" t="s">
        <v>11</v>
      </c>
      <c r="E4613" s="21" t="s">
        <v>11</v>
      </c>
    </row>
    <row r="4614" spans="1:5" s="21" customFormat="1" ht="15.75" hidden="1" customHeight="1">
      <c r="A4614" s="21">
        <v>860721</v>
      </c>
      <c r="B4614" s="21" t="s">
        <v>4605</v>
      </c>
      <c r="C4614" s="21" t="s">
        <v>6095</v>
      </c>
      <c r="D4614" s="21" t="s">
        <v>11</v>
      </c>
      <c r="E4614" s="21" t="s">
        <v>11</v>
      </c>
    </row>
    <row r="4615" spans="1:5" s="21" customFormat="1" ht="15.75" hidden="1" customHeight="1">
      <c r="A4615" s="21">
        <v>860729</v>
      </c>
      <c r="B4615" s="21" t="s">
        <v>4606</v>
      </c>
      <c r="C4615" s="21" t="s">
        <v>6095</v>
      </c>
      <c r="D4615" s="21" t="s">
        <v>11</v>
      </c>
      <c r="E4615" s="21" t="s">
        <v>11</v>
      </c>
    </row>
    <row r="4616" spans="1:5" s="21" customFormat="1" ht="15.75" hidden="1" customHeight="1">
      <c r="A4616" s="21">
        <v>860730</v>
      </c>
      <c r="B4616" s="21" t="s">
        <v>4607</v>
      </c>
      <c r="C4616" s="21" t="s">
        <v>6095</v>
      </c>
      <c r="D4616" s="21" t="s">
        <v>11</v>
      </c>
      <c r="E4616" s="21" t="s">
        <v>11</v>
      </c>
    </row>
    <row r="4617" spans="1:5" s="21" customFormat="1" ht="15.75" hidden="1" customHeight="1">
      <c r="A4617" s="21">
        <v>860791</v>
      </c>
      <c r="B4617" s="21" t="s">
        <v>4608</v>
      </c>
      <c r="C4617" s="21" t="s">
        <v>6096</v>
      </c>
      <c r="D4617" s="21" t="s">
        <v>11</v>
      </c>
      <c r="E4617" s="21" t="s">
        <v>11</v>
      </c>
    </row>
    <row r="4618" spans="1:5" s="21" customFormat="1" ht="15.75" hidden="1" customHeight="1">
      <c r="A4618" s="21">
        <v>860799</v>
      </c>
      <c r="B4618" s="21" t="s">
        <v>4609</v>
      </c>
      <c r="C4618" s="21" t="s">
        <v>6097</v>
      </c>
      <c r="D4618" s="21" t="s">
        <v>11</v>
      </c>
      <c r="E4618" s="21" t="s">
        <v>11</v>
      </c>
    </row>
    <row r="4619" spans="1:5" s="21" customFormat="1" ht="15.75" hidden="1" customHeight="1">
      <c r="A4619" s="21">
        <v>860800</v>
      </c>
      <c r="B4619" s="21" t="s">
        <v>4610</v>
      </c>
      <c r="C4619" s="21" t="s">
        <v>6098</v>
      </c>
      <c r="D4619" s="21" t="s">
        <v>11</v>
      </c>
      <c r="E4619" s="21" t="s">
        <v>11</v>
      </c>
    </row>
    <row r="4620" spans="1:5" s="21" customFormat="1" ht="15.75" hidden="1" customHeight="1">
      <c r="A4620" s="21">
        <v>860900</v>
      </c>
      <c r="B4620" s="21" t="s">
        <v>4611</v>
      </c>
      <c r="C4620" s="21" t="s">
        <v>6099</v>
      </c>
      <c r="D4620" s="21" t="s">
        <v>11</v>
      </c>
      <c r="E4620" s="21" t="s">
        <v>11</v>
      </c>
    </row>
    <row r="4621" spans="1:5" s="21" customFormat="1" ht="15.75" hidden="1" customHeight="1">
      <c r="A4621" s="21">
        <v>870110</v>
      </c>
      <c r="B4621" s="21" t="s">
        <v>4612</v>
      </c>
      <c r="C4621" s="21" t="s">
        <v>6100</v>
      </c>
      <c r="D4621" s="21" t="s">
        <v>11</v>
      </c>
      <c r="E4621" s="21" t="s">
        <v>11</v>
      </c>
    </row>
    <row r="4622" spans="1:5" s="21" customFormat="1" ht="15.75" hidden="1" customHeight="1">
      <c r="A4622" s="21">
        <v>870120</v>
      </c>
      <c r="B4622" s="21" t="s">
        <v>4613</v>
      </c>
      <c r="C4622" s="21" t="s">
        <v>6100</v>
      </c>
      <c r="D4622" s="21" t="s">
        <v>11</v>
      </c>
      <c r="E4622" s="21" t="s">
        <v>11</v>
      </c>
    </row>
    <row r="4623" spans="1:5" s="21" customFormat="1" ht="15.75" hidden="1" customHeight="1">
      <c r="A4623" s="21">
        <v>870130</v>
      </c>
      <c r="B4623" s="21" t="s">
        <v>4614</v>
      </c>
      <c r="C4623" s="21" t="s">
        <v>6100</v>
      </c>
      <c r="D4623" s="21" t="s">
        <v>11</v>
      </c>
      <c r="E4623" s="21" t="s">
        <v>11</v>
      </c>
    </row>
    <row r="4624" spans="1:5" s="21" customFormat="1" ht="15.75" hidden="1" customHeight="1">
      <c r="A4624" s="21">
        <v>870190</v>
      </c>
      <c r="B4624" s="21" t="s">
        <v>4615</v>
      </c>
      <c r="C4624" s="21" t="s">
        <v>6100</v>
      </c>
      <c r="D4624" s="21" t="s">
        <v>11</v>
      </c>
      <c r="E4624" s="21" t="s">
        <v>11</v>
      </c>
    </row>
    <row r="4625" spans="1:6" s="21" customFormat="1" ht="15.75" hidden="1" customHeight="1">
      <c r="A4625" s="21">
        <v>870210</v>
      </c>
      <c r="B4625" s="21" t="s">
        <v>4616</v>
      </c>
      <c r="C4625" s="21" t="s">
        <v>6101</v>
      </c>
      <c r="D4625" s="21" t="s">
        <v>11</v>
      </c>
      <c r="E4625" s="21" t="s">
        <v>11</v>
      </c>
    </row>
    <row r="4626" spans="1:6" s="21" customFormat="1" ht="15.75" hidden="1" customHeight="1">
      <c r="A4626" s="21">
        <v>870290</v>
      </c>
      <c r="B4626" s="21" t="s">
        <v>4617</v>
      </c>
      <c r="C4626" s="21" t="s">
        <v>6101</v>
      </c>
      <c r="D4626" s="21" t="s">
        <v>11</v>
      </c>
      <c r="E4626" s="21" t="s">
        <v>11</v>
      </c>
    </row>
    <row r="4627" spans="1:6" s="21" customFormat="1" ht="15.75" hidden="1" customHeight="1">
      <c r="A4627" s="21">
        <v>870310</v>
      </c>
      <c r="B4627" s="21" t="s">
        <v>4618</v>
      </c>
      <c r="C4627" s="21" t="s">
        <v>6101</v>
      </c>
      <c r="D4627" s="21" t="s">
        <v>11</v>
      </c>
      <c r="E4627" s="21" t="s">
        <v>11</v>
      </c>
    </row>
    <row r="4628" spans="1:6" s="21" customFormat="1" ht="15.75" hidden="1" customHeight="1">
      <c r="A4628" s="21">
        <v>870321</v>
      </c>
      <c r="B4628" s="21" t="s">
        <v>4619</v>
      </c>
      <c r="C4628" s="21" t="s">
        <v>6101</v>
      </c>
      <c r="D4628" s="21" t="s">
        <v>11</v>
      </c>
      <c r="E4628" s="21" t="s">
        <v>11</v>
      </c>
    </row>
    <row r="4629" spans="1:6" s="21" customFormat="1" ht="15.75" hidden="1" customHeight="1">
      <c r="A4629" s="21">
        <v>870322</v>
      </c>
      <c r="B4629" s="21" t="s">
        <v>4620</v>
      </c>
      <c r="C4629" s="21" t="s">
        <v>6101</v>
      </c>
      <c r="D4629" s="21" t="s">
        <v>11</v>
      </c>
      <c r="E4629" s="21" t="s">
        <v>11</v>
      </c>
    </row>
    <row r="4630" spans="1:6" s="21" customFormat="1" ht="15.75" hidden="1" customHeight="1">
      <c r="A4630" s="21">
        <v>870323</v>
      </c>
      <c r="B4630" s="21" t="s">
        <v>4621</v>
      </c>
      <c r="C4630" s="21" t="s">
        <v>6101</v>
      </c>
      <c r="D4630" s="21" t="s">
        <v>11</v>
      </c>
      <c r="E4630" s="21" t="s">
        <v>11</v>
      </c>
    </row>
    <row r="4631" spans="1:6" s="21" customFormat="1" ht="15.75" hidden="1" customHeight="1">
      <c r="A4631" s="21">
        <v>870324</v>
      </c>
      <c r="B4631" s="21" t="s">
        <v>4622</v>
      </c>
      <c r="C4631" s="21" t="s">
        <v>6101</v>
      </c>
      <c r="D4631" s="21" t="s">
        <v>11</v>
      </c>
      <c r="E4631" s="21" t="s">
        <v>11</v>
      </c>
    </row>
    <row r="4632" spans="1:6" s="21" customFormat="1" ht="15.75" hidden="1" customHeight="1">
      <c r="A4632" s="21">
        <v>870331</v>
      </c>
      <c r="B4632" s="21" t="s">
        <v>4623</v>
      </c>
      <c r="C4632" s="21" t="s">
        <v>6101</v>
      </c>
      <c r="D4632" s="21" t="s">
        <v>11</v>
      </c>
      <c r="E4632" s="21" t="s">
        <v>11</v>
      </c>
    </row>
    <row r="4633" spans="1:6" s="21" customFormat="1" ht="15.75" hidden="1" customHeight="1">
      <c r="A4633" s="21">
        <v>870332</v>
      </c>
      <c r="B4633" s="21" t="s">
        <v>4624</v>
      </c>
      <c r="C4633" s="21" t="s">
        <v>6101</v>
      </c>
      <c r="D4633" s="21" t="s">
        <v>11</v>
      </c>
      <c r="E4633" s="21" t="s">
        <v>11</v>
      </c>
    </row>
    <row r="4634" spans="1:6" s="21" customFormat="1" ht="15.75" hidden="1" customHeight="1">
      <c r="A4634" s="21">
        <v>870333</v>
      </c>
      <c r="B4634" s="21" t="s">
        <v>4625</v>
      </c>
      <c r="C4634" s="21" t="s">
        <v>6101</v>
      </c>
      <c r="D4634" s="21" t="s">
        <v>11</v>
      </c>
      <c r="E4634" s="21" t="s">
        <v>11</v>
      </c>
    </row>
    <row r="4635" spans="1:6" s="21" customFormat="1" ht="15.75" hidden="1" customHeight="1">
      <c r="A4635" s="21">
        <v>870390</v>
      </c>
      <c r="B4635" s="21" t="s">
        <v>4626</v>
      </c>
      <c r="C4635" s="21" t="s">
        <v>6101</v>
      </c>
      <c r="D4635" s="21" t="s">
        <v>11</v>
      </c>
      <c r="E4635" s="21" t="s">
        <v>11</v>
      </c>
    </row>
    <row r="4636" spans="1:6" ht="15.75" hidden="1" customHeight="1">
      <c r="A4636" s="21">
        <v>870410</v>
      </c>
      <c r="B4636" s="21" t="s">
        <v>4627</v>
      </c>
      <c r="C4636" s="21" t="s">
        <v>6101</v>
      </c>
      <c r="D4636" s="21" t="s">
        <v>11</v>
      </c>
      <c r="E4636" s="21" t="s">
        <v>11</v>
      </c>
      <c r="F4636" s="21"/>
    </row>
    <row r="4637" spans="1:6" ht="15.75" hidden="1" customHeight="1">
      <c r="A4637" s="21">
        <v>870421</v>
      </c>
      <c r="B4637" s="21" t="s">
        <v>4628</v>
      </c>
      <c r="C4637" s="21" t="s">
        <v>6101</v>
      </c>
      <c r="D4637" s="21" t="s">
        <v>11</v>
      </c>
      <c r="E4637" s="21" t="s">
        <v>11</v>
      </c>
      <c r="F4637" s="21"/>
    </row>
    <row r="4638" spans="1:6" s="21" customFormat="1" ht="15.75" hidden="1" customHeight="1">
      <c r="A4638" s="21">
        <v>870422</v>
      </c>
      <c r="B4638" s="21" t="s">
        <v>4629</v>
      </c>
      <c r="C4638" s="21" t="s">
        <v>6101</v>
      </c>
      <c r="D4638" s="21" t="s">
        <v>11</v>
      </c>
      <c r="E4638" s="21" t="s">
        <v>11</v>
      </c>
    </row>
    <row r="4639" spans="1:6" s="21" customFormat="1" ht="15.75" hidden="1" customHeight="1">
      <c r="A4639" s="21">
        <v>870423</v>
      </c>
      <c r="B4639" s="21" t="s">
        <v>4630</v>
      </c>
      <c r="C4639" s="21" t="s">
        <v>6101</v>
      </c>
      <c r="D4639" s="21" t="s">
        <v>11</v>
      </c>
      <c r="E4639" s="21" t="s">
        <v>11</v>
      </c>
    </row>
    <row r="4640" spans="1:6" ht="15.75" hidden="1" customHeight="1">
      <c r="A4640" s="21">
        <v>870431</v>
      </c>
      <c r="B4640" s="21" t="s">
        <v>4631</v>
      </c>
      <c r="C4640" s="21" t="s">
        <v>6101</v>
      </c>
      <c r="D4640" s="21" t="s">
        <v>11</v>
      </c>
      <c r="E4640" s="21" t="s">
        <v>11</v>
      </c>
      <c r="F4640" s="21"/>
    </row>
    <row r="4641" spans="1:5" s="21" customFormat="1" ht="15.75" hidden="1" customHeight="1">
      <c r="A4641" s="21">
        <v>870432</v>
      </c>
      <c r="B4641" s="21" t="s">
        <v>4632</v>
      </c>
      <c r="C4641" s="21" t="s">
        <v>6101</v>
      </c>
      <c r="D4641" s="21" t="s">
        <v>11</v>
      </c>
      <c r="E4641" s="21" t="s">
        <v>11</v>
      </c>
    </row>
    <row r="4642" spans="1:5" s="21" customFormat="1" ht="15.75" hidden="1" customHeight="1">
      <c r="A4642" s="21">
        <v>870490</v>
      </c>
      <c r="B4642" s="21" t="s">
        <v>4633</v>
      </c>
      <c r="C4642" s="21" t="s">
        <v>6101</v>
      </c>
      <c r="D4642" s="21" t="s">
        <v>11</v>
      </c>
      <c r="E4642" s="21" t="s">
        <v>11</v>
      </c>
    </row>
    <row r="4643" spans="1:5" s="21" customFormat="1" ht="15.75" hidden="1" customHeight="1">
      <c r="A4643" s="21">
        <v>870510</v>
      </c>
      <c r="B4643" s="21" t="s">
        <v>4634</v>
      </c>
      <c r="C4643" s="21" t="s">
        <v>6101</v>
      </c>
      <c r="D4643" s="21" t="s">
        <v>11</v>
      </c>
      <c r="E4643" s="21" t="s">
        <v>11</v>
      </c>
    </row>
    <row r="4644" spans="1:5" s="21" customFormat="1" ht="15.75" hidden="1" customHeight="1">
      <c r="A4644" s="21">
        <v>870520</v>
      </c>
      <c r="B4644" s="21" t="s">
        <v>4635</v>
      </c>
      <c r="C4644" s="21" t="s">
        <v>6101</v>
      </c>
      <c r="D4644" s="21" t="s">
        <v>11</v>
      </c>
      <c r="E4644" s="21" t="s">
        <v>11</v>
      </c>
    </row>
    <row r="4645" spans="1:5" s="21" customFormat="1" ht="15.75" hidden="1" customHeight="1">
      <c r="A4645" s="21">
        <v>870530</v>
      </c>
      <c r="B4645" s="21" t="s">
        <v>4636</v>
      </c>
      <c r="C4645" s="21" t="s">
        <v>6101</v>
      </c>
      <c r="D4645" s="21" t="s">
        <v>11</v>
      </c>
      <c r="E4645" s="21" t="s">
        <v>11</v>
      </c>
    </row>
    <row r="4646" spans="1:5" s="21" customFormat="1" ht="15.75" hidden="1" customHeight="1">
      <c r="A4646" s="21">
        <v>870540</v>
      </c>
      <c r="B4646" s="21" t="s">
        <v>4637</v>
      </c>
      <c r="C4646" s="21" t="s">
        <v>6101</v>
      </c>
      <c r="D4646" s="21" t="s">
        <v>11</v>
      </c>
      <c r="E4646" s="21" t="s">
        <v>11</v>
      </c>
    </row>
    <row r="4647" spans="1:5" s="21" customFormat="1" ht="15.75" hidden="1" customHeight="1">
      <c r="A4647" s="21">
        <v>870590</v>
      </c>
      <c r="B4647" s="21" t="s">
        <v>4638</v>
      </c>
      <c r="C4647" s="21" t="s">
        <v>6101</v>
      </c>
      <c r="D4647" s="21" t="s">
        <v>11</v>
      </c>
      <c r="E4647" s="21" t="s">
        <v>11</v>
      </c>
    </row>
    <row r="4648" spans="1:5" s="21" customFormat="1" ht="15.75" hidden="1" customHeight="1">
      <c r="A4648" s="21">
        <v>870600</v>
      </c>
      <c r="B4648" s="21" t="s">
        <v>4639</v>
      </c>
      <c r="C4648" s="21" t="s">
        <v>6102</v>
      </c>
      <c r="D4648" s="21" t="s">
        <v>11</v>
      </c>
      <c r="E4648" s="21" t="s">
        <v>11</v>
      </c>
    </row>
    <row r="4649" spans="1:5" s="21" customFormat="1" ht="15.75" hidden="1" customHeight="1">
      <c r="A4649" s="21">
        <v>870710</v>
      </c>
      <c r="B4649" s="21" t="s">
        <v>4640</v>
      </c>
      <c r="C4649" s="21" t="s">
        <v>6101</v>
      </c>
      <c r="D4649" s="21" t="s">
        <v>11</v>
      </c>
      <c r="E4649" s="21" t="s">
        <v>11</v>
      </c>
    </row>
    <row r="4650" spans="1:5" s="21" customFormat="1" ht="15.75" hidden="1" customHeight="1">
      <c r="A4650" s="21">
        <v>870790</v>
      </c>
      <c r="B4650" s="21" t="s">
        <v>4641</v>
      </c>
      <c r="C4650" s="21" t="s">
        <v>6101</v>
      </c>
      <c r="D4650" s="21" t="s">
        <v>11</v>
      </c>
      <c r="E4650" s="21" t="s">
        <v>11</v>
      </c>
    </row>
    <row r="4651" spans="1:5" s="21" customFormat="1" ht="15.75" hidden="1" customHeight="1">
      <c r="A4651" s="21">
        <v>870810</v>
      </c>
      <c r="B4651" s="21" t="s">
        <v>4642</v>
      </c>
      <c r="C4651" s="21" t="s">
        <v>6101</v>
      </c>
      <c r="D4651" s="21" t="s">
        <v>11</v>
      </c>
      <c r="E4651" s="21" t="s">
        <v>11</v>
      </c>
    </row>
    <row r="4652" spans="1:5" s="21" customFormat="1" ht="15.75" hidden="1" customHeight="1">
      <c r="A4652" s="21">
        <v>870821</v>
      </c>
      <c r="B4652" s="21" t="s">
        <v>4643</v>
      </c>
      <c r="C4652" s="21" t="s">
        <v>6101</v>
      </c>
      <c r="D4652" s="21" t="s">
        <v>11</v>
      </c>
      <c r="E4652" s="21" t="s">
        <v>11</v>
      </c>
    </row>
    <row r="4653" spans="1:5" s="21" customFormat="1" ht="15.75" hidden="1" customHeight="1">
      <c r="A4653" s="21">
        <v>870829</v>
      </c>
      <c r="B4653" s="21" t="s">
        <v>4644</v>
      </c>
      <c r="C4653" s="21" t="s">
        <v>6101</v>
      </c>
      <c r="D4653" s="21" t="s">
        <v>11</v>
      </c>
      <c r="E4653" s="21" t="s">
        <v>11</v>
      </c>
    </row>
    <row r="4654" spans="1:5" s="21" customFormat="1" ht="15.75" hidden="1" customHeight="1">
      <c r="A4654" s="21">
        <v>870830</v>
      </c>
      <c r="B4654" s="21" t="s">
        <v>4645</v>
      </c>
      <c r="C4654" s="21" t="s">
        <v>6103</v>
      </c>
      <c r="D4654" s="21" t="s">
        <v>11</v>
      </c>
      <c r="E4654" s="21" t="s">
        <v>11</v>
      </c>
    </row>
    <row r="4655" spans="1:5" s="21" customFormat="1" ht="15.75" hidden="1" customHeight="1">
      <c r="A4655" s="21">
        <v>870840</v>
      </c>
      <c r="B4655" s="21" t="s">
        <v>4646</v>
      </c>
      <c r="C4655" s="21" t="s">
        <v>6103</v>
      </c>
      <c r="D4655" s="21" t="s">
        <v>11</v>
      </c>
      <c r="E4655" s="21" t="s">
        <v>11</v>
      </c>
    </row>
    <row r="4656" spans="1:5" s="21" customFormat="1" ht="15.75" hidden="1" customHeight="1">
      <c r="A4656" s="21">
        <v>870850</v>
      </c>
      <c r="B4656" s="21" t="s">
        <v>4647</v>
      </c>
      <c r="C4656" s="21" t="s">
        <v>6103</v>
      </c>
      <c r="D4656" s="21" t="s">
        <v>11</v>
      </c>
      <c r="E4656" s="21" t="s">
        <v>11</v>
      </c>
    </row>
    <row r="4657" spans="1:5" s="21" customFormat="1" ht="15.75" hidden="1" customHeight="1">
      <c r="A4657" s="21">
        <v>870870</v>
      </c>
      <c r="B4657" s="21" t="s">
        <v>4648</v>
      </c>
      <c r="C4657" s="21" t="s">
        <v>6103</v>
      </c>
      <c r="D4657" s="21" t="s">
        <v>11</v>
      </c>
      <c r="E4657" s="21" t="s">
        <v>11</v>
      </c>
    </row>
    <row r="4658" spans="1:5" s="21" customFormat="1" ht="15.75" hidden="1" customHeight="1">
      <c r="A4658" s="21">
        <v>870880</v>
      </c>
      <c r="B4658" s="21" t="s">
        <v>4649</v>
      </c>
      <c r="C4658" s="21" t="s">
        <v>6103</v>
      </c>
      <c r="D4658" s="21" t="s">
        <v>11</v>
      </c>
      <c r="E4658" s="21" t="s">
        <v>11</v>
      </c>
    </row>
    <row r="4659" spans="1:5" s="21" customFormat="1" ht="15.75" hidden="1" customHeight="1">
      <c r="A4659" s="21">
        <v>870891</v>
      </c>
      <c r="B4659" s="21" t="s">
        <v>4650</v>
      </c>
      <c r="C4659" s="21" t="s">
        <v>6103</v>
      </c>
      <c r="D4659" s="21" t="s">
        <v>11</v>
      </c>
      <c r="E4659" s="21" t="s">
        <v>11</v>
      </c>
    </row>
    <row r="4660" spans="1:5" s="21" customFormat="1" ht="15.75" hidden="1" customHeight="1">
      <c r="A4660" s="21">
        <v>870892</v>
      </c>
      <c r="B4660" s="21" t="s">
        <v>4651</v>
      </c>
      <c r="C4660" s="21" t="s">
        <v>6103</v>
      </c>
      <c r="D4660" s="21" t="s">
        <v>11</v>
      </c>
      <c r="E4660" s="21" t="s">
        <v>11</v>
      </c>
    </row>
    <row r="4661" spans="1:5" s="21" customFormat="1" ht="15.75" hidden="1" customHeight="1">
      <c r="A4661" s="21">
        <v>870893</v>
      </c>
      <c r="B4661" s="21" t="s">
        <v>4652</v>
      </c>
      <c r="C4661" s="21" t="s">
        <v>6103</v>
      </c>
      <c r="D4661" s="21" t="s">
        <v>11</v>
      </c>
      <c r="E4661" s="21" t="s">
        <v>11</v>
      </c>
    </row>
    <row r="4662" spans="1:5" s="21" customFormat="1" ht="15.75" hidden="1" customHeight="1">
      <c r="A4662" s="21">
        <v>870894</v>
      </c>
      <c r="B4662" s="21" t="s">
        <v>4653</v>
      </c>
      <c r="C4662" s="21" t="s">
        <v>6103</v>
      </c>
      <c r="D4662" s="21" t="s">
        <v>11</v>
      </c>
      <c r="E4662" s="21" t="s">
        <v>11</v>
      </c>
    </row>
    <row r="4663" spans="1:5" s="21" customFormat="1" ht="15.75" hidden="1" customHeight="1">
      <c r="A4663" s="21">
        <v>870895</v>
      </c>
      <c r="B4663" s="21" t="s">
        <v>4654</v>
      </c>
      <c r="C4663" s="21" t="s">
        <v>6103</v>
      </c>
      <c r="D4663" s="21" t="s">
        <v>11</v>
      </c>
      <c r="E4663" s="21" t="s">
        <v>11</v>
      </c>
    </row>
    <row r="4664" spans="1:5" s="21" customFormat="1" ht="15.75" hidden="1" customHeight="1">
      <c r="A4664" s="21">
        <v>870899</v>
      </c>
      <c r="B4664" s="21" t="s">
        <v>4655</v>
      </c>
      <c r="C4664" s="21" t="s">
        <v>6104</v>
      </c>
      <c r="D4664" s="21" t="s">
        <v>11</v>
      </c>
      <c r="E4664" s="21" t="s">
        <v>11</v>
      </c>
    </row>
    <row r="4665" spans="1:5" s="21" customFormat="1" ht="15.75" hidden="1" customHeight="1">
      <c r="A4665" s="21">
        <v>870911</v>
      </c>
      <c r="B4665" s="21" t="s">
        <v>4656</v>
      </c>
      <c r="C4665" s="21" t="s">
        <v>6101</v>
      </c>
      <c r="D4665" s="21" t="s">
        <v>11</v>
      </c>
      <c r="E4665" s="21" t="s">
        <v>11</v>
      </c>
    </row>
    <row r="4666" spans="1:5" s="21" customFormat="1" ht="15.75" hidden="1" customHeight="1">
      <c r="A4666" s="21">
        <v>870919</v>
      </c>
      <c r="B4666" s="21" t="s">
        <v>4657</v>
      </c>
      <c r="C4666" s="21" t="s">
        <v>6101</v>
      </c>
      <c r="D4666" s="21" t="s">
        <v>11</v>
      </c>
      <c r="E4666" s="21" t="s">
        <v>11</v>
      </c>
    </row>
    <row r="4667" spans="1:5" s="21" customFormat="1" ht="15.75" hidden="1" customHeight="1">
      <c r="A4667" s="21">
        <v>870990</v>
      </c>
      <c r="B4667" s="21" t="s">
        <v>4658</v>
      </c>
      <c r="C4667" s="21" t="s">
        <v>6101</v>
      </c>
      <c r="D4667" s="21" t="s">
        <v>11</v>
      </c>
      <c r="E4667" s="21" t="s">
        <v>11</v>
      </c>
    </row>
    <row r="4668" spans="1:5" s="21" customFormat="1" ht="15.75" hidden="1" customHeight="1">
      <c r="A4668" s="21">
        <v>871000</v>
      </c>
      <c r="B4668" s="21" t="s">
        <v>4659</v>
      </c>
      <c r="C4668" s="21" t="s">
        <v>6105</v>
      </c>
      <c r="D4668" s="21" t="s">
        <v>11</v>
      </c>
      <c r="E4668" s="21" t="s">
        <v>11</v>
      </c>
    </row>
    <row r="4669" spans="1:5" s="21" customFormat="1" ht="15.75" hidden="1" customHeight="1">
      <c r="A4669" s="21">
        <v>871110</v>
      </c>
      <c r="B4669" s="21" t="s">
        <v>4660</v>
      </c>
      <c r="C4669" s="21" t="s">
        <v>6106</v>
      </c>
      <c r="D4669" s="21" t="s">
        <v>11</v>
      </c>
      <c r="E4669" s="21" t="s">
        <v>11</v>
      </c>
    </row>
    <row r="4670" spans="1:5" s="21" customFormat="1" ht="15.75" hidden="1" customHeight="1">
      <c r="A4670" s="21">
        <v>871120</v>
      </c>
      <c r="B4670" s="21" t="s">
        <v>4661</v>
      </c>
      <c r="C4670" s="21" t="s">
        <v>6106</v>
      </c>
      <c r="D4670" s="21" t="s">
        <v>11</v>
      </c>
      <c r="E4670" s="21" t="s">
        <v>11</v>
      </c>
    </row>
    <row r="4671" spans="1:5" s="21" customFormat="1" ht="15.75" hidden="1" customHeight="1">
      <c r="A4671" s="21">
        <v>871130</v>
      </c>
      <c r="B4671" s="21" t="s">
        <v>4662</v>
      </c>
      <c r="C4671" s="21" t="s">
        <v>6106</v>
      </c>
      <c r="D4671" s="21" t="s">
        <v>11</v>
      </c>
      <c r="E4671" s="21" t="s">
        <v>11</v>
      </c>
    </row>
    <row r="4672" spans="1:5" s="21" customFormat="1" ht="15.75" hidden="1" customHeight="1">
      <c r="A4672" s="21">
        <v>871140</v>
      </c>
      <c r="B4672" s="21" t="s">
        <v>4663</v>
      </c>
      <c r="C4672" s="21" t="s">
        <v>6106</v>
      </c>
      <c r="D4672" s="21" t="s">
        <v>11</v>
      </c>
      <c r="E4672" s="21" t="s">
        <v>11</v>
      </c>
    </row>
    <row r="4673" spans="1:5" s="21" customFormat="1" ht="15.75" hidden="1" customHeight="1">
      <c r="A4673" s="21">
        <v>871150</v>
      </c>
      <c r="B4673" s="21" t="s">
        <v>4664</v>
      </c>
      <c r="C4673" s="21" t="s">
        <v>6106</v>
      </c>
      <c r="D4673" s="21" t="s">
        <v>11</v>
      </c>
      <c r="E4673" s="21" t="s">
        <v>11</v>
      </c>
    </row>
    <row r="4674" spans="1:5" s="21" customFormat="1" ht="15.75" hidden="1" customHeight="1">
      <c r="A4674" s="21">
        <v>871190</v>
      </c>
      <c r="B4674" s="21" t="s">
        <v>4665</v>
      </c>
      <c r="C4674" s="21" t="s">
        <v>6106</v>
      </c>
      <c r="D4674" s="21" t="s">
        <v>11</v>
      </c>
      <c r="E4674" s="21" t="s">
        <v>11</v>
      </c>
    </row>
    <row r="4675" spans="1:5" s="21" customFormat="1" ht="15.75" hidden="1" customHeight="1">
      <c r="A4675" s="21">
        <v>871200</v>
      </c>
      <c r="B4675" s="21" t="s">
        <v>4666</v>
      </c>
      <c r="C4675" s="21" t="s">
        <v>6107</v>
      </c>
      <c r="D4675" s="21" t="s">
        <v>11</v>
      </c>
      <c r="E4675" s="21" t="s">
        <v>11</v>
      </c>
    </row>
    <row r="4676" spans="1:5" s="21" customFormat="1" ht="15.75" hidden="1" customHeight="1">
      <c r="A4676" s="21">
        <v>871411</v>
      </c>
      <c r="B4676" s="21" t="s">
        <v>4669</v>
      </c>
      <c r="C4676" s="21" t="s">
        <v>6108</v>
      </c>
      <c r="D4676" s="21" t="s">
        <v>11</v>
      </c>
      <c r="E4676" s="21" t="s">
        <v>11</v>
      </c>
    </row>
    <row r="4677" spans="1:5" s="21" customFormat="1" ht="15.75" hidden="1" customHeight="1">
      <c r="A4677" s="21">
        <v>871419</v>
      </c>
      <c r="B4677" s="21" t="s">
        <v>4670</v>
      </c>
      <c r="C4677" s="21" t="s">
        <v>6108</v>
      </c>
      <c r="D4677" s="21" t="s">
        <v>11</v>
      </c>
      <c r="E4677" s="21" t="s">
        <v>11</v>
      </c>
    </row>
    <row r="4678" spans="1:5" s="21" customFormat="1" ht="15.75" hidden="1" customHeight="1">
      <c r="A4678" s="21">
        <v>871491</v>
      </c>
      <c r="B4678" s="21" t="s">
        <v>4672</v>
      </c>
      <c r="C4678" s="21" t="s">
        <v>6109</v>
      </c>
      <c r="D4678" s="21" t="s">
        <v>11</v>
      </c>
      <c r="E4678" s="21" t="s">
        <v>11</v>
      </c>
    </row>
    <row r="4679" spans="1:5" s="21" customFormat="1" ht="15.75" hidden="1" customHeight="1">
      <c r="A4679" s="21">
        <v>871492</v>
      </c>
      <c r="B4679" s="21" t="s">
        <v>4673</v>
      </c>
      <c r="C4679" s="21" t="s">
        <v>6109</v>
      </c>
      <c r="D4679" s="21" t="s">
        <v>11</v>
      </c>
      <c r="E4679" s="21" t="s">
        <v>11</v>
      </c>
    </row>
    <row r="4680" spans="1:5" s="21" customFormat="1" ht="15.75" hidden="1" customHeight="1">
      <c r="A4680" s="21">
        <v>871493</v>
      </c>
      <c r="B4680" s="21" t="s">
        <v>4674</v>
      </c>
      <c r="C4680" s="21" t="s">
        <v>6109</v>
      </c>
      <c r="D4680" s="21" t="s">
        <v>11</v>
      </c>
      <c r="E4680" s="21" t="s">
        <v>11</v>
      </c>
    </row>
    <row r="4681" spans="1:5" s="21" customFormat="1" ht="15.75" hidden="1" customHeight="1">
      <c r="A4681" s="21">
        <v>871494</v>
      </c>
      <c r="B4681" s="21" t="s">
        <v>4675</v>
      </c>
      <c r="C4681" s="21" t="s">
        <v>6109</v>
      </c>
      <c r="D4681" s="21" t="s">
        <v>11</v>
      </c>
      <c r="E4681" s="21" t="s">
        <v>11</v>
      </c>
    </row>
    <row r="4682" spans="1:5" s="21" customFormat="1" ht="15.75" hidden="1" customHeight="1">
      <c r="A4682" s="21">
        <v>871495</v>
      </c>
      <c r="B4682" s="21" t="s">
        <v>4676</v>
      </c>
      <c r="C4682" s="21" t="s">
        <v>6109</v>
      </c>
      <c r="D4682" s="21" t="s">
        <v>11</v>
      </c>
      <c r="E4682" s="21" t="s">
        <v>11</v>
      </c>
    </row>
    <row r="4683" spans="1:5" s="21" customFormat="1" ht="15.75" hidden="1" customHeight="1">
      <c r="A4683" s="21">
        <v>871496</v>
      </c>
      <c r="B4683" s="21" t="s">
        <v>4677</v>
      </c>
      <c r="C4683" s="21" t="s">
        <v>6109</v>
      </c>
      <c r="D4683" s="21" t="s">
        <v>11</v>
      </c>
      <c r="E4683" s="21" t="s">
        <v>11</v>
      </c>
    </row>
    <row r="4684" spans="1:5" s="21" customFormat="1" ht="15.75" hidden="1" customHeight="1">
      <c r="A4684" s="21">
        <v>871499</v>
      </c>
      <c r="B4684" s="21" t="s">
        <v>4678</v>
      </c>
      <c r="C4684" s="21" t="s">
        <v>6109</v>
      </c>
      <c r="D4684" s="21" t="s">
        <v>11</v>
      </c>
      <c r="E4684" s="21" t="s">
        <v>11</v>
      </c>
    </row>
    <row r="4685" spans="1:5" s="21" customFormat="1" ht="15.75" hidden="1" customHeight="1">
      <c r="A4685" s="21">
        <v>871500</v>
      </c>
      <c r="B4685" s="21" t="s">
        <v>4679</v>
      </c>
      <c r="C4685" s="21" t="s">
        <v>4679</v>
      </c>
      <c r="D4685" s="21" t="s">
        <v>11</v>
      </c>
      <c r="E4685" s="21" t="s">
        <v>11</v>
      </c>
    </row>
    <row r="4686" spans="1:5" s="21" customFormat="1" ht="15.75" hidden="1" customHeight="1">
      <c r="A4686" s="21">
        <v>871610</v>
      </c>
      <c r="B4686" s="21" t="s">
        <v>4680</v>
      </c>
      <c r="C4686" s="21" t="s">
        <v>6110</v>
      </c>
      <c r="D4686" s="21" t="s">
        <v>11</v>
      </c>
      <c r="E4686" s="21" t="s">
        <v>11</v>
      </c>
    </row>
    <row r="4687" spans="1:5" s="21" customFormat="1" ht="15.75" hidden="1" customHeight="1">
      <c r="A4687" s="21">
        <v>871620</v>
      </c>
      <c r="B4687" s="21" t="s">
        <v>4681</v>
      </c>
      <c r="C4687" s="21" t="s">
        <v>6110</v>
      </c>
      <c r="D4687" s="21" t="s">
        <v>11</v>
      </c>
      <c r="E4687" s="21" t="s">
        <v>11</v>
      </c>
    </row>
    <row r="4688" spans="1:5" s="21" customFormat="1" ht="15.75" hidden="1" customHeight="1">
      <c r="A4688" s="21">
        <v>871631</v>
      </c>
      <c r="B4688" s="21" t="s">
        <v>4682</v>
      </c>
      <c r="C4688" s="21" t="s">
        <v>4682</v>
      </c>
      <c r="D4688" s="21" t="s">
        <v>11</v>
      </c>
      <c r="E4688" s="21" t="s">
        <v>11</v>
      </c>
    </row>
    <row r="4689" spans="1:6" s="21" customFormat="1" ht="15.75" hidden="1" customHeight="1">
      <c r="A4689" s="21">
        <v>871639</v>
      </c>
      <c r="B4689" s="21" t="s">
        <v>4683</v>
      </c>
      <c r="C4689" s="21" t="s">
        <v>6110</v>
      </c>
      <c r="D4689" s="21" t="s">
        <v>11</v>
      </c>
      <c r="E4689" s="21" t="s">
        <v>11</v>
      </c>
    </row>
    <row r="4690" spans="1:6" s="21" customFormat="1" ht="15.75" hidden="1" customHeight="1">
      <c r="A4690" s="21">
        <v>871640</v>
      </c>
      <c r="B4690" s="21" t="s">
        <v>4684</v>
      </c>
      <c r="C4690" s="21" t="s">
        <v>6110</v>
      </c>
      <c r="D4690" s="21" t="s">
        <v>11</v>
      </c>
      <c r="E4690" s="21" t="s">
        <v>11</v>
      </c>
    </row>
    <row r="4691" spans="1:6" ht="15.75" hidden="1" customHeight="1">
      <c r="A4691" s="21">
        <v>871680</v>
      </c>
      <c r="B4691" s="21" t="s">
        <v>4685</v>
      </c>
      <c r="C4691" s="21" t="s">
        <v>6101</v>
      </c>
      <c r="D4691" s="21" t="s">
        <v>11</v>
      </c>
      <c r="E4691" s="21" t="s">
        <v>11</v>
      </c>
      <c r="F4691" s="21"/>
    </row>
    <row r="4692" spans="1:6" ht="15.75" hidden="1" customHeight="1">
      <c r="A4692" s="21">
        <v>871690</v>
      </c>
      <c r="B4692" s="21" t="s">
        <v>4686</v>
      </c>
      <c r="C4692" s="21" t="s">
        <v>6111</v>
      </c>
      <c r="D4692" s="21" t="s">
        <v>11</v>
      </c>
      <c r="E4692" s="21" t="s">
        <v>11</v>
      </c>
      <c r="F4692" s="21"/>
    </row>
    <row r="4693" spans="1:6" ht="15.75" hidden="1" customHeight="1">
      <c r="A4693" s="21">
        <v>880100</v>
      </c>
      <c r="B4693" s="21" t="s">
        <v>4687</v>
      </c>
      <c r="C4693" s="21" t="s">
        <v>6112</v>
      </c>
      <c r="D4693" s="21" t="s">
        <v>11</v>
      </c>
      <c r="E4693" s="21" t="s">
        <v>11</v>
      </c>
      <c r="F4693" s="21"/>
    </row>
    <row r="4694" spans="1:6" s="21" customFormat="1" ht="15.75" hidden="1" customHeight="1">
      <c r="A4694" s="21">
        <v>880211</v>
      </c>
      <c r="B4694" s="21" t="s">
        <v>4688</v>
      </c>
      <c r="C4694" s="21" t="s">
        <v>6113</v>
      </c>
      <c r="D4694" s="21" t="s">
        <v>11</v>
      </c>
      <c r="E4694" s="21" t="s">
        <v>11</v>
      </c>
    </row>
    <row r="4695" spans="1:6" s="21" customFormat="1" ht="15.75" hidden="1" customHeight="1">
      <c r="A4695" s="21">
        <v>880212</v>
      </c>
      <c r="B4695" s="21" t="s">
        <v>4689</v>
      </c>
      <c r="C4695" s="21" t="s">
        <v>6113</v>
      </c>
      <c r="D4695" s="21" t="s">
        <v>11</v>
      </c>
      <c r="E4695" s="21" t="s">
        <v>11</v>
      </c>
    </row>
    <row r="4696" spans="1:6" s="21" customFormat="1" ht="15.75" hidden="1" customHeight="1">
      <c r="A4696" s="21">
        <v>880220</v>
      </c>
      <c r="B4696" s="21" t="s">
        <v>4690</v>
      </c>
      <c r="C4696" s="21" t="s">
        <v>6114</v>
      </c>
      <c r="D4696" s="21" t="s">
        <v>11</v>
      </c>
      <c r="E4696" s="21" t="s">
        <v>11</v>
      </c>
    </row>
    <row r="4697" spans="1:6" s="21" customFormat="1" ht="15.75" hidden="1" customHeight="1">
      <c r="A4697" s="21">
        <v>880230</v>
      </c>
      <c r="B4697" s="21" t="s">
        <v>4691</v>
      </c>
      <c r="C4697" s="21" t="s">
        <v>6114</v>
      </c>
      <c r="D4697" s="21" t="s">
        <v>11</v>
      </c>
      <c r="E4697" s="21" t="s">
        <v>11</v>
      </c>
    </row>
    <row r="4698" spans="1:6" s="21" customFormat="1" ht="15.75" hidden="1" customHeight="1">
      <c r="A4698" s="21">
        <v>880240</v>
      </c>
      <c r="B4698" s="21" t="s">
        <v>4692</v>
      </c>
      <c r="C4698" s="21" t="s">
        <v>6114</v>
      </c>
      <c r="D4698" s="21" t="s">
        <v>11</v>
      </c>
      <c r="E4698" s="21" t="s">
        <v>11</v>
      </c>
    </row>
    <row r="4699" spans="1:6" ht="15.75" hidden="1" customHeight="1">
      <c r="A4699" s="21">
        <v>880260</v>
      </c>
      <c r="B4699" s="21" t="s">
        <v>4693</v>
      </c>
      <c r="C4699" s="21" t="s">
        <v>6115</v>
      </c>
      <c r="D4699" s="21" t="s">
        <v>11</v>
      </c>
      <c r="E4699" s="21" t="s">
        <v>11</v>
      </c>
      <c r="F4699" s="21"/>
    </row>
    <row r="4700" spans="1:6" ht="15.75" hidden="1" customHeight="1">
      <c r="A4700" s="21">
        <v>880310</v>
      </c>
      <c r="B4700" s="21" t="s">
        <v>4694</v>
      </c>
      <c r="C4700" s="21" t="s">
        <v>6116</v>
      </c>
      <c r="D4700" s="21" t="s">
        <v>11</v>
      </c>
      <c r="E4700" s="21" t="s">
        <v>11</v>
      </c>
      <c r="F4700" s="21"/>
    </row>
    <row r="4701" spans="1:6" ht="15.75" hidden="1" customHeight="1">
      <c r="A4701" s="21">
        <v>880320</v>
      </c>
      <c r="B4701" s="21" t="s">
        <v>4695</v>
      </c>
      <c r="C4701" s="21" t="s">
        <v>6116</v>
      </c>
      <c r="D4701" s="21" t="s">
        <v>11</v>
      </c>
      <c r="E4701" s="21" t="s">
        <v>11</v>
      </c>
      <c r="F4701" s="21"/>
    </row>
    <row r="4702" spans="1:6" ht="15.75" hidden="1" customHeight="1">
      <c r="A4702" s="21">
        <v>880330</v>
      </c>
      <c r="B4702" s="21" t="s">
        <v>4696</v>
      </c>
      <c r="C4702" s="21" t="s">
        <v>6116</v>
      </c>
      <c r="D4702" s="21" t="s">
        <v>11</v>
      </c>
      <c r="E4702" s="21" t="s">
        <v>11</v>
      </c>
      <c r="F4702" s="21"/>
    </row>
    <row r="4703" spans="1:6" s="21" customFormat="1" ht="15.75" hidden="1" customHeight="1">
      <c r="A4703" s="21">
        <v>880390</v>
      </c>
      <c r="B4703" s="21" t="s">
        <v>4697</v>
      </c>
      <c r="C4703" s="21" t="s">
        <v>6116</v>
      </c>
      <c r="D4703" s="21" t="s">
        <v>11</v>
      </c>
      <c r="E4703" s="21" t="s">
        <v>11</v>
      </c>
    </row>
    <row r="4704" spans="1:6" s="21" customFormat="1" ht="15.75" hidden="1" customHeight="1">
      <c r="A4704" s="21">
        <v>880400</v>
      </c>
      <c r="B4704" s="21" t="s">
        <v>4698</v>
      </c>
      <c r="C4704" s="21" t="s">
        <v>6117</v>
      </c>
      <c r="D4704" s="21" t="s">
        <v>11</v>
      </c>
      <c r="E4704" s="21" t="s">
        <v>11</v>
      </c>
    </row>
    <row r="4705" spans="1:5" s="21" customFormat="1" ht="15.75" hidden="1" customHeight="1">
      <c r="A4705" s="21">
        <v>880510</v>
      </c>
      <c r="B4705" s="21" t="s">
        <v>4699</v>
      </c>
      <c r="C4705" s="21" t="s">
        <v>4699</v>
      </c>
      <c r="D4705" s="21" t="s">
        <v>11</v>
      </c>
      <c r="E4705" s="21" t="s">
        <v>11</v>
      </c>
    </row>
    <row r="4706" spans="1:5" s="21" customFormat="1" ht="15.75" hidden="1" customHeight="1">
      <c r="A4706" s="21">
        <v>880521</v>
      </c>
      <c r="B4706" s="21" t="s">
        <v>4700</v>
      </c>
      <c r="C4706" s="21" t="s">
        <v>6118</v>
      </c>
      <c r="D4706" s="21" t="s">
        <v>11</v>
      </c>
      <c r="E4706" s="21" t="s">
        <v>11</v>
      </c>
    </row>
    <row r="4707" spans="1:5" s="21" customFormat="1" ht="15.75" hidden="1" customHeight="1">
      <c r="A4707" s="21">
        <v>880529</v>
      </c>
      <c r="B4707" s="21" t="s">
        <v>4701</v>
      </c>
      <c r="C4707" s="21" t="s">
        <v>6118</v>
      </c>
      <c r="D4707" s="21" t="s">
        <v>11</v>
      </c>
      <c r="E4707" s="21" t="s">
        <v>11</v>
      </c>
    </row>
    <row r="4708" spans="1:5" s="21" customFormat="1" ht="15.75" hidden="1" customHeight="1">
      <c r="A4708" s="21">
        <v>890110</v>
      </c>
      <c r="B4708" s="21" t="s">
        <v>4702</v>
      </c>
      <c r="C4708" s="21" t="s">
        <v>4702</v>
      </c>
      <c r="D4708" s="21" t="s">
        <v>11</v>
      </c>
      <c r="E4708" s="21" t="s">
        <v>11</v>
      </c>
    </row>
    <row r="4709" spans="1:5" s="21" customFormat="1" ht="15.75" hidden="1" customHeight="1">
      <c r="A4709" s="21">
        <v>890120</v>
      </c>
      <c r="B4709" s="21" t="s">
        <v>4703</v>
      </c>
      <c r="C4709" s="21" t="s">
        <v>4703</v>
      </c>
      <c r="D4709" s="21" t="s">
        <v>11</v>
      </c>
      <c r="E4709" s="21" t="s">
        <v>11</v>
      </c>
    </row>
    <row r="4710" spans="1:5" s="21" customFormat="1" ht="15.75" hidden="1" customHeight="1">
      <c r="A4710" s="21">
        <v>890130</v>
      </c>
      <c r="B4710" s="21" t="s">
        <v>4704</v>
      </c>
      <c r="C4710" s="21" t="s">
        <v>6119</v>
      </c>
      <c r="D4710" s="21" t="s">
        <v>11</v>
      </c>
      <c r="E4710" s="21" t="s">
        <v>11</v>
      </c>
    </row>
    <row r="4711" spans="1:5" s="21" customFormat="1" ht="15.75" hidden="1" customHeight="1">
      <c r="A4711" s="21">
        <v>890190</v>
      </c>
      <c r="B4711" s="21" t="s">
        <v>4705</v>
      </c>
      <c r="C4711" s="21" t="s">
        <v>6120</v>
      </c>
      <c r="D4711" s="21" t="s">
        <v>11</v>
      </c>
      <c r="E4711" s="21" t="s">
        <v>11</v>
      </c>
    </row>
    <row r="4712" spans="1:5" s="21" customFormat="1" ht="15.75" hidden="1" customHeight="1">
      <c r="A4712" s="21">
        <v>890200</v>
      </c>
      <c r="B4712" s="21" t="s">
        <v>4706</v>
      </c>
      <c r="C4712" s="21" t="s">
        <v>6121</v>
      </c>
      <c r="D4712" s="21" t="s">
        <v>11</v>
      </c>
      <c r="E4712" s="21" t="s">
        <v>11</v>
      </c>
    </row>
    <row r="4713" spans="1:5" s="21" customFormat="1" ht="15.75" hidden="1" customHeight="1">
      <c r="A4713" s="21">
        <v>890310</v>
      </c>
      <c r="B4713" s="21" t="s">
        <v>4707</v>
      </c>
      <c r="C4713" s="21" t="s">
        <v>6122</v>
      </c>
      <c r="D4713" s="21" t="s">
        <v>11</v>
      </c>
      <c r="E4713" s="21" t="s">
        <v>11</v>
      </c>
    </row>
    <row r="4714" spans="1:5" s="21" customFormat="1" ht="15.75" hidden="1" customHeight="1">
      <c r="A4714" s="21">
        <v>890391</v>
      </c>
      <c r="B4714" s="21" t="s">
        <v>4708</v>
      </c>
      <c r="C4714" s="21" t="s">
        <v>6123</v>
      </c>
      <c r="D4714" s="21" t="s">
        <v>11</v>
      </c>
      <c r="E4714" s="21" t="s">
        <v>11</v>
      </c>
    </row>
    <row r="4715" spans="1:5" s="21" customFormat="1" ht="15.75" hidden="1" customHeight="1">
      <c r="A4715" s="21">
        <v>890392</v>
      </c>
      <c r="B4715" s="21" t="s">
        <v>4709</v>
      </c>
      <c r="C4715" s="21" t="s">
        <v>6124</v>
      </c>
      <c r="D4715" s="21" t="s">
        <v>11</v>
      </c>
      <c r="E4715" s="21" t="s">
        <v>11</v>
      </c>
    </row>
    <row r="4716" spans="1:5" s="21" customFormat="1" ht="15.75" hidden="1" customHeight="1">
      <c r="A4716" s="21">
        <v>890399</v>
      </c>
      <c r="B4716" s="21" t="s">
        <v>4710</v>
      </c>
      <c r="C4716" s="21" t="s">
        <v>6122</v>
      </c>
      <c r="D4716" s="21" t="s">
        <v>11</v>
      </c>
      <c r="E4716" s="21" t="s">
        <v>11</v>
      </c>
    </row>
    <row r="4717" spans="1:5" s="21" customFormat="1" ht="15.75" hidden="1" customHeight="1">
      <c r="A4717" s="21">
        <v>890400</v>
      </c>
      <c r="B4717" s="21" t="s">
        <v>4711</v>
      </c>
      <c r="C4717" s="21" t="s">
        <v>4711</v>
      </c>
      <c r="D4717" s="21" t="s">
        <v>11</v>
      </c>
      <c r="E4717" s="21" t="s">
        <v>11</v>
      </c>
    </row>
    <row r="4718" spans="1:5" s="21" customFormat="1" ht="15.75" hidden="1" customHeight="1">
      <c r="A4718" s="21">
        <v>890510</v>
      </c>
      <c r="B4718" s="21" t="s">
        <v>4712</v>
      </c>
      <c r="C4718" s="21" t="s">
        <v>4712</v>
      </c>
      <c r="D4718" s="21" t="s">
        <v>11</v>
      </c>
      <c r="E4718" s="21" t="s">
        <v>11</v>
      </c>
    </row>
    <row r="4719" spans="1:5" s="21" customFormat="1" ht="15.75" hidden="1" customHeight="1">
      <c r="A4719" s="21">
        <v>890520</v>
      </c>
      <c r="B4719" s="21" t="s">
        <v>4713</v>
      </c>
      <c r="C4719" s="21" t="s">
        <v>4713</v>
      </c>
      <c r="D4719" s="21" t="s">
        <v>11</v>
      </c>
      <c r="E4719" s="21" t="s">
        <v>11</v>
      </c>
    </row>
    <row r="4720" spans="1:5" s="21" customFormat="1" ht="15.75" hidden="1" customHeight="1">
      <c r="A4720" s="21">
        <v>890590</v>
      </c>
      <c r="B4720" s="21" t="s">
        <v>4714</v>
      </c>
      <c r="C4720" s="21" t="s">
        <v>6120</v>
      </c>
      <c r="D4720" s="21" t="s">
        <v>11</v>
      </c>
      <c r="E4720" s="21" t="s">
        <v>11</v>
      </c>
    </row>
    <row r="4721" spans="1:6" s="21" customFormat="1" ht="15.75" hidden="1" customHeight="1">
      <c r="A4721" s="21">
        <v>890610</v>
      </c>
      <c r="B4721" s="21" t="s">
        <v>4715</v>
      </c>
      <c r="C4721" s="21" t="s">
        <v>6120</v>
      </c>
      <c r="D4721" s="21" t="s">
        <v>11</v>
      </c>
      <c r="E4721" s="21" t="s">
        <v>11</v>
      </c>
    </row>
    <row r="4722" spans="1:6" s="21" customFormat="1" ht="15.75" hidden="1" customHeight="1">
      <c r="A4722" s="21">
        <v>890690</v>
      </c>
      <c r="B4722" s="21" t="s">
        <v>4716</v>
      </c>
      <c r="C4722" s="21" t="s">
        <v>6120</v>
      </c>
      <c r="D4722" s="21" t="s">
        <v>11</v>
      </c>
      <c r="E4722" s="21" t="s">
        <v>11</v>
      </c>
    </row>
    <row r="4723" spans="1:6" s="21" customFormat="1" ht="15.75" hidden="1" customHeight="1">
      <c r="A4723" s="21">
        <v>890710</v>
      </c>
      <c r="B4723" s="21" t="s">
        <v>4717</v>
      </c>
      <c r="C4723" s="21" t="s">
        <v>6125</v>
      </c>
      <c r="D4723" s="21" t="s">
        <v>11</v>
      </c>
      <c r="E4723" s="21" t="s">
        <v>11</v>
      </c>
    </row>
    <row r="4724" spans="1:6" s="21" customFormat="1" ht="15.75" hidden="1" customHeight="1">
      <c r="A4724" s="21">
        <v>890790</v>
      </c>
      <c r="B4724" s="21" t="s">
        <v>4718</v>
      </c>
      <c r="C4724" s="21" t="s">
        <v>6126</v>
      </c>
      <c r="D4724" s="21" t="s">
        <v>11</v>
      </c>
      <c r="E4724" s="21" t="s">
        <v>11</v>
      </c>
    </row>
    <row r="4725" spans="1:6" s="21" customFormat="1" ht="15.75" hidden="1" customHeight="1">
      <c r="A4725" s="21">
        <v>890800</v>
      </c>
      <c r="B4725" s="21" t="s">
        <v>4719</v>
      </c>
      <c r="C4725" s="21" t="s">
        <v>6127</v>
      </c>
      <c r="D4725" s="21" t="s">
        <v>11</v>
      </c>
      <c r="E4725" s="21" t="s">
        <v>11</v>
      </c>
    </row>
    <row r="4726" spans="1:6" s="21" customFormat="1" ht="15.75" hidden="1" customHeight="1">
      <c r="A4726" s="21">
        <v>900110</v>
      </c>
      <c r="B4726" s="21" t="s">
        <v>4720</v>
      </c>
      <c r="C4726" s="21" t="s">
        <v>6128</v>
      </c>
      <c r="D4726" s="21" t="s">
        <v>11</v>
      </c>
      <c r="E4726" s="21" t="s">
        <v>11</v>
      </c>
    </row>
    <row r="4727" spans="1:6" s="21" customFormat="1" ht="15.75" hidden="1" customHeight="1">
      <c r="A4727" s="21">
        <v>900120</v>
      </c>
      <c r="B4727" s="21" t="s">
        <v>4721</v>
      </c>
      <c r="C4727" s="21" t="s">
        <v>6129</v>
      </c>
      <c r="D4727" s="21" t="s">
        <v>11</v>
      </c>
      <c r="E4727" s="21" t="s">
        <v>11</v>
      </c>
    </row>
    <row r="4728" spans="1:6" s="21" customFormat="1" ht="15.75" hidden="1" customHeight="1">
      <c r="A4728" s="21">
        <v>900190</v>
      </c>
      <c r="B4728" s="21" t="s">
        <v>4725</v>
      </c>
      <c r="C4728" s="21" t="s">
        <v>6129</v>
      </c>
      <c r="D4728" s="21" t="s">
        <v>11</v>
      </c>
      <c r="E4728" s="21" t="s">
        <v>11</v>
      </c>
    </row>
    <row r="4729" spans="1:6" s="21" customFormat="1" ht="15.75" hidden="1" customHeight="1">
      <c r="A4729" s="21">
        <v>900211</v>
      </c>
      <c r="B4729" s="21" t="s">
        <v>4726</v>
      </c>
      <c r="C4729" s="21" t="s">
        <v>6130</v>
      </c>
      <c r="D4729" s="21" t="s">
        <v>11</v>
      </c>
      <c r="E4729" s="21" t="s">
        <v>11</v>
      </c>
    </row>
    <row r="4730" spans="1:6" s="21" customFormat="1" ht="15.75" hidden="1" customHeight="1">
      <c r="A4730" s="21">
        <v>900219</v>
      </c>
      <c r="B4730" s="21" t="s">
        <v>4727</v>
      </c>
      <c r="C4730" s="21" t="s">
        <v>6130</v>
      </c>
      <c r="D4730" s="21" t="s">
        <v>11</v>
      </c>
      <c r="E4730" s="21" t="s">
        <v>11</v>
      </c>
    </row>
    <row r="4731" spans="1:6" s="21" customFormat="1" ht="15.75" hidden="1" customHeight="1">
      <c r="A4731" s="21">
        <v>900220</v>
      </c>
      <c r="B4731" s="21" t="s">
        <v>4728</v>
      </c>
      <c r="C4731" s="21" t="s">
        <v>6131</v>
      </c>
      <c r="D4731" s="21" t="s">
        <v>11</v>
      </c>
      <c r="E4731" s="21" t="s">
        <v>11</v>
      </c>
    </row>
    <row r="4732" spans="1:6" s="21" customFormat="1" ht="15.75" hidden="1" customHeight="1">
      <c r="A4732" s="21">
        <v>900290</v>
      </c>
      <c r="B4732" s="21" t="s">
        <v>4729</v>
      </c>
      <c r="C4732" s="21" t="s">
        <v>6129</v>
      </c>
      <c r="D4732" s="21" t="s">
        <v>11</v>
      </c>
      <c r="E4732" s="21" t="s">
        <v>11</v>
      </c>
    </row>
    <row r="4733" spans="1:6" s="21" customFormat="1" ht="15.75" hidden="1" customHeight="1">
      <c r="A4733" s="21">
        <v>900490</v>
      </c>
      <c r="B4733" s="21" t="s">
        <v>4734</v>
      </c>
      <c r="C4733" s="21" t="s">
        <v>6132</v>
      </c>
      <c r="D4733" s="21" t="s">
        <v>11</v>
      </c>
      <c r="E4733" s="21" t="s">
        <v>11</v>
      </c>
    </row>
    <row r="4734" spans="1:6" ht="15.75" hidden="1" customHeight="1">
      <c r="A4734" s="21">
        <v>900510</v>
      </c>
      <c r="B4734" s="21" t="s">
        <v>4735</v>
      </c>
      <c r="C4734" s="21" t="s">
        <v>4735</v>
      </c>
      <c r="D4734" s="21" t="s">
        <v>11</v>
      </c>
      <c r="E4734" s="21" t="s">
        <v>11</v>
      </c>
      <c r="F4734" s="21"/>
    </row>
    <row r="4735" spans="1:6" s="21" customFormat="1" ht="15.75" hidden="1" customHeight="1">
      <c r="A4735" s="21">
        <v>900580</v>
      </c>
      <c r="B4735" s="21" t="s">
        <v>4736</v>
      </c>
      <c r="C4735" s="21" t="s">
        <v>6133</v>
      </c>
      <c r="D4735" s="21" t="s">
        <v>11</v>
      </c>
      <c r="E4735" s="21" t="s">
        <v>11</v>
      </c>
    </row>
    <row r="4736" spans="1:6" s="21" customFormat="1" ht="15.75" hidden="1" customHeight="1">
      <c r="A4736" s="21">
        <v>900590</v>
      </c>
      <c r="B4736" s="21" t="s">
        <v>4737</v>
      </c>
      <c r="C4736" s="21" t="s">
        <v>6134</v>
      </c>
      <c r="D4736" s="21" t="s">
        <v>11</v>
      </c>
      <c r="E4736" s="21" t="s">
        <v>11</v>
      </c>
    </row>
    <row r="4737" spans="1:5" s="21" customFormat="1" ht="15.75" hidden="1" customHeight="1">
      <c r="A4737" s="21">
        <v>900610</v>
      </c>
      <c r="B4737" s="21" t="s">
        <v>4738</v>
      </c>
      <c r="C4737" s="21" t="s">
        <v>6135</v>
      </c>
      <c r="D4737" s="21" t="s">
        <v>11</v>
      </c>
      <c r="E4737" s="21" t="s">
        <v>11</v>
      </c>
    </row>
    <row r="4738" spans="1:5" s="21" customFormat="1" ht="15.75" hidden="1" customHeight="1">
      <c r="A4738" s="21">
        <v>900630</v>
      </c>
      <c r="B4738" s="21" t="s">
        <v>4739</v>
      </c>
      <c r="C4738" s="21" t="s">
        <v>6135</v>
      </c>
      <c r="D4738" s="21" t="s">
        <v>11</v>
      </c>
      <c r="E4738" s="21" t="s">
        <v>11</v>
      </c>
    </row>
    <row r="4739" spans="1:5" s="21" customFormat="1" ht="15.75" hidden="1" customHeight="1">
      <c r="A4739" s="21">
        <v>900640</v>
      </c>
      <c r="B4739" s="21" t="s">
        <v>4740</v>
      </c>
      <c r="C4739" s="21" t="s">
        <v>6135</v>
      </c>
      <c r="D4739" s="21" t="s">
        <v>11</v>
      </c>
      <c r="E4739" s="21" t="s">
        <v>11</v>
      </c>
    </row>
    <row r="4740" spans="1:5" s="21" customFormat="1" ht="15.75" hidden="1" customHeight="1">
      <c r="A4740" s="21">
        <v>900651</v>
      </c>
      <c r="B4740" s="21" t="s">
        <v>4741</v>
      </c>
      <c r="C4740" s="21" t="s">
        <v>6135</v>
      </c>
      <c r="D4740" s="21" t="s">
        <v>11</v>
      </c>
      <c r="E4740" s="21" t="s">
        <v>11</v>
      </c>
    </row>
    <row r="4741" spans="1:5" s="21" customFormat="1" ht="15.75" hidden="1" customHeight="1">
      <c r="A4741" s="21">
        <v>900652</v>
      </c>
      <c r="B4741" s="21" t="s">
        <v>4742</v>
      </c>
      <c r="C4741" s="21" t="s">
        <v>6135</v>
      </c>
      <c r="D4741" s="21" t="s">
        <v>11</v>
      </c>
      <c r="E4741" s="21" t="s">
        <v>11</v>
      </c>
    </row>
    <row r="4742" spans="1:5" s="21" customFormat="1" ht="15.75" hidden="1" customHeight="1">
      <c r="A4742" s="21">
        <v>900653</v>
      </c>
      <c r="B4742" s="21" t="s">
        <v>4743</v>
      </c>
      <c r="C4742" s="21" t="s">
        <v>6135</v>
      </c>
      <c r="D4742" s="21" t="s">
        <v>11</v>
      </c>
      <c r="E4742" s="21" t="s">
        <v>11</v>
      </c>
    </row>
    <row r="4743" spans="1:5" s="21" customFormat="1" ht="15.75" hidden="1" customHeight="1">
      <c r="A4743" s="21">
        <v>900659</v>
      </c>
      <c r="B4743" s="21" t="s">
        <v>4744</v>
      </c>
      <c r="C4743" s="21" t="s">
        <v>6135</v>
      </c>
      <c r="D4743" s="21" t="s">
        <v>11</v>
      </c>
      <c r="E4743" s="21" t="s">
        <v>11</v>
      </c>
    </row>
    <row r="4744" spans="1:5" s="21" customFormat="1" ht="15.75" hidden="1" customHeight="1">
      <c r="A4744" s="21">
        <v>900661</v>
      </c>
      <c r="B4744" s="21" t="s">
        <v>4745</v>
      </c>
      <c r="C4744" s="21" t="s">
        <v>6136</v>
      </c>
      <c r="D4744" s="21" t="s">
        <v>11</v>
      </c>
      <c r="E4744" s="21" t="s">
        <v>11</v>
      </c>
    </row>
    <row r="4745" spans="1:5" s="21" customFormat="1" ht="15.75" hidden="1" customHeight="1">
      <c r="A4745" s="21">
        <v>900669</v>
      </c>
      <c r="B4745" s="21" t="s">
        <v>4746</v>
      </c>
      <c r="C4745" s="21" t="s">
        <v>6136</v>
      </c>
      <c r="D4745" s="21" t="s">
        <v>11</v>
      </c>
      <c r="E4745" s="21" t="s">
        <v>11</v>
      </c>
    </row>
    <row r="4746" spans="1:5" s="21" customFormat="1" ht="15.75" hidden="1" customHeight="1">
      <c r="A4746" s="21">
        <v>900691</v>
      </c>
      <c r="B4746" s="21" t="s">
        <v>4747</v>
      </c>
      <c r="C4746" s="21" t="s">
        <v>6135</v>
      </c>
      <c r="D4746" s="21" t="s">
        <v>11</v>
      </c>
      <c r="E4746" s="21" t="s">
        <v>11</v>
      </c>
    </row>
    <row r="4747" spans="1:5" s="21" customFormat="1" ht="15.75" hidden="1" customHeight="1">
      <c r="A4747" s="21">
        <v>900699</v>
      </c>
      <c r="B4747" s="21" t="s">
        <v>4748</v>
      </c>
      <c r="C4747" s="21" t="s">
        <v>6136</v>
      </c>
      <c r="D4747" s="21" t="s">
        <v>11</v>
      </c>
      <c r="E4747" s="21" t="s">
        <v>11</v>
      </c>
    </row>
    <row r="4748" spans="1:5" s="21" customFormat="1" ht="15.75" hidden="1" customHeight="1">
      <c r="A4748" s="21">
        <v>900711</v>
      </c>
      <c r="B4748" s="21" t="s">
        <v>4749</v>
      </c>
      <c r="C4748" s="21" t="s">
        <v>6137</v>
      </c>
      <c r="D4748" s="21" t="s">
        <v>11</v>
      </c>
      <c r="E4748" s="21" t="s">
        <v>11</v>
      </c>
    </row>
    <row r="4749" spans="1:5" s="21" customFormat="1" ht="15.75" hidden="1" customHeight="1">
      <c r="A4749" s="21">
        <v>900719</v>
      </c>
      <c r="B4749" s="21" t="s">
        <v>4750</v>
      </c>
      <c r="C4749" s="21" t="s">
        <v>6137</v>
      </c>
      <c r="D4749" s="21" t="s">
        <v>11</v>
      </c>
      <c r="E4749" s="21" t="s">
        <v>11</v>
      </c>
    </row>
    <row r="4750" spans="1:5" s="21" customFormat="1" ht="15.75" hidden="1" customHeight="1">
      <c r="A4750" s="21">
        <v>900720</v>
      </c>
      <c r="B4750" s="21" t="s">
        <v>4751</v>
      </c>
      <c r="C4750" s="21" t="s">
        <v>6138</v>
      </c>
      <c r="D4750" s="21" t="s">
        <v>11</v>
      </c>
      <c r="E4750" s="21" t="s">
        <v>11</v>
      </c>
    </row>
    <row r="4751" spans="1:5" s="21" customFormat="1" ht="15.75" hidden="1" customHeight="1">
      <c r="A4751" s="21">
        <v>900791</v>
      </c>
      <c r="B4751" s="21" t="s">
        <v>4752</v>
      </c>
      <c r="C4751" s="21" t="s">
        <v>6137</v>
      </c>
      <c r="D4751" s="21" t="s">
        <v>11</v>
      </c>
      <c r="E4751" s="21" t="s">
        <v>11</v>
      </c>
    </row>
    <row r="4752" spans="1:5" s="21" customFormat="1" ht="15.75" hidden="1" customHeight="1">
      <c r="A4752" s="21">
        <v>900792</v>
      </c>
      <c r="B4752" s="21" t="s">
        <v>4753</v>
      </c>
      <c r="C4752" s="21" t="s">
        <v>6138</v>
      </c>
      <c r="D4752" s="21" t="s">
        <v>11</v>
      </c>
      <c r="E4752" s="21" t="s">
        <v>11</v>
      </c>
    </row>
    <row r="4753" spans="1:6" s="21" customFormat="1" ht="15.75" hidden="1" customHeight="1">
      <c r="A4753" s="21">
        <v>900810</v>
      </c>
      <c r="B4753" s="21" t="s">
        <v>4754</v>
      </c>
      <c r="C4753" s="21" t="s">
        <v>6139</v>
      </c>
      <c r="D4753" s="21" t="s">
        <v>11</v>
      </c>
      <c r="E4753" s="21" t="s">
        <v>11</v>
      </c>
    </row>
    <row r="4754" spans="1:6" s="21" customFormat="1" ht="15.75" hidden="1" customHeight="1">
      <c r="A4754" s="21">
        <v>900820</v>
      </c>
      <c r="B4754" s="21" t="s">
        <v>4755</v>
      </c>
      <c r="C4754" s="21" t="s">
        <v>6139</v>
      </c>
      <c r="D4754" s="21" t="s">
        <v>11</v>
      </c>
      <c r="E4754" s="21" t="s">
        <v>11</v>
      </c>
    </row>
    <row r="4755" spans="1:6" s="21" customFormat="1" ht="15.75" hidden="1" customHeight="1">
      <c r="A4755" s="21">
        <v>900830</v>
      </c>
      <c r="B4755" s="21" t="s">
        <v>4756</v>
      </c>
      <c r="C4755" s="21" t="s">
        <v>6139</v>
      </c>
      <c r="D4755" s="21" t="s">
        <v>11</v>
      </c>
      <c r="E4755" s="21" t="s">
        <v>11</v>
      </c>
    </row>
    <row r="4756" spans="1:6" s="21" customFormat="1" ht="15.75" hidden="1" customHeight="1">
      <c r="A4756" s="21">
        <v>900840</v>
      </c>
      <c r="B4756" s="21" t="s">
        <v>4757</v>
      </c>
      <c r="C4756" s="21" t="s">
        <v>4757</v>
      </c>
      <c r="D4756" s="21" t="s">
        <v>11</v>
      </c>
      <c r="E4756" s="21" t="s">
        <v>11</v>
      </c>
    </row>
    <row r="4757" spans="1:6" s="21" customFormat="1" ht="15.75" hidden="1" customHeight="1">
      <c r="A4757" s="21">
        <v>900890</v>
      </c>
      <c r="B4757" s="21" t="s">
        <v>4758</v>
      </c>
      <c r="C4757" s="21" t="s">
        <v>6140</v>
      </c>
      <c r="D4757" s="21" t="s">
        <v>11</v>
      </c>
      <c r="E4757" s="21" t="s">
        <v>11</v>
      </c>
    </row>
    <row r="4758" spans="1:6" ht="15.75" hidden="1" customHeight="1">
      <c r="A4758" s="21">
        <v>901010</v>
      </c>
      <c r="B4758" s="21" t="s">
        <v>4759</v>
      </c>
      <c r="C4758" s="21" t="s">
        <v>6141</v>
      </c>
      <c r="D4758" s="21" t="s">
        <v>11</v>
      </c>
      <c r="E4758" s="21" t="s">
        <v>11</v>
      </c>
      <c r="F4758" s="21"/>
    </row>
    <row r="4759" spans="1:6" ht="15.75" hidden="1" customHeight="1">
      <c r="A4759" s="21">
        <v>901050</v>
      </c>
      <c r="B4759" s="21" t="s">
        <v>4760</v>
      </c>
      <c r="C4759" s="21" t="s">
        <v>6141</v>
      </c>
      <c r="D4759" s="21" t="s">
        <v>11</v>
      </c>
      <c r="E4759" s="21" t="s">
        <v>11</v>
      </c>
      <c r="F4759" s="21"/>
    </row>
    <row r="4760" spans="1:6" ht="15.75" hidden="1" customHeight="1">
      <c r="A4760" s="21">
        <v>901060</v>
      </c>
      <c r="B4760" s="21" t="s">
        <v>4761</v>
      </c>
      <c r="C4760" s="21" t="s">
        <v>6142</v>
      </c>
      <c r="D4760" s="21" t="s">
        <v>11</v>
      </c>
      <c r="E4760" s="21" t="s">
        <v>11</v>
      </c>
      <c r="F4760" s="21"/>
    </row>
    <row r="4761" spans="1:6" ht="15.75" hidden="1" customHeight="1">
      <c r="A4761" s="21">
        <v>901090</v>
      </c>
      <c r="B4761" s="21" t="s">
        <v>4762</v>
      </c>
      <c r="C4761" s="21" t="s">
        <v>6142</v>
      </c>
      <c r="D4761" s="21" t="s">
        <v>11</v>
      </c>
      <c r="E4761" s="21" t="s">
        <v>11</v>
      </c>
      <c r="F4761" s="21"/>
    </row>
    <row r="4762" spans="1:6" ht="15.75" hidden="1" customHeight="1">
      <c r="A4762" s="21">
        <v>901190</v>
      </c>
      <c r="B4762" s="21" t="s">
        <v>4767</v>
      </c>
      <c r="C4762" s="21" t="s">
        <v>5128</v>
      </c>
      <c r="D4762" s="21" t="s">
        <v>11</v>
      </c>
      <c r="E4762" s="21" t="s">
        <v>11</v>
      </c>
      <c r="F4762" s="21"/>
    </row>
    <row r="4763" spans="1:6" ht="15.75" hidden="1" customHeight="1">
      <c r="A4763" s="21">
        <v>901210</v>
      </c>
      <c r="B4763" s="21" t="s">
        <v>4768</v>
      </c>
      <c r="C4763" s="21" t="s">
        <v>6143</v>
      </c>
      <c r="D4763" s="21" t="s">
        <v>11</v>
      </c>
      <c r="E4763" s="21" t="s">
        <v>11</v>
      </c>
      <c r="F4763" s="21"/>
    </row>
    <row r="4764" spans="1:6" ht="15.75" hidden="1" customHeight="1">
      <c r="A4764" s="21">
        <v>901290</v>
      </c>
      <c r="B4764" s="21" t="s">
        <v>4769</v>
      </c>
      <c r="C4764" s="21" t="s">
        <v>6143</v>
      </c>
      <c r="D4764" s="21" t="s">
        <v>11</v>
      </c>
      <c r="E4764" s="21" t="s">
        <v>11</v>
      </c>
      <c r="F4764" s="21"/>
    </row>
    <row r="4765" spans="1:6" ht="15.75" hidden="1" customHeight="1">
      <c r="A4765" s="21">
        <v>901310</v>
      </c>
      <c r="B4765" s="21" t="s">
        <v>4770</v>
      </c>
      <c r="C4765" s="21" t="s">
        <v>6144</v>
      </c>
      <c r="D4765" s="21" t="s">
        <v>11</v>
      </c>
      <c r="E4765" s="21" t="s">
        <v>11</v>
      </c>
      <c r="F4765" s="21"/>
    </row>
    <row r="4766" spans="1:6" ht="15.75" hidden="1" customHeight="1">
      <c r="A4766" s="21">
        <v>901320</v>
      </c>
      <c r="B4766" s="21" t="s">
        <v>4771</v>
      </c>
      <c r="C4766" s="21" t="s">
        <v>6145</v>
      </c>
      <c r="D4766" s="21" t="s">
        <v>11</v>
      </c>
      <c r="E4766" s="21" t="s">
        <v>11</v>
      </c>
      <c r="F4766" s="21"/>
    </row>
    <row r="4767" spans="1:6" ht="15.75" hidden="1" customHeight="1">
      <c r="A4767" s="21">
        <v>901380</v>
      </c>
      <c r="B4767" s="21" t="s">
        <v>4772</v>
      </c>
      <c r="C4767" s="21" t="s">
        <v>6146</v>
      </c>
      <c r="D4767" s="21" t="s">
        <v>11</v>
      </c>
      <c r="E4767" s="21" t="s">
        <v>11</v>
      </c>
      <c r="F4767" s="21"/>
    </row>
    <row r="4768" spans="1:6" ht="15.75" hidden="1" customHeight="1">
      <c r="A4768" s="21">
        <v>901390</v>
      </c>
      <c r="B4768" s="21" t="s">
        <v>4773</v>
      </c>
      <c r="C4768" s="21" t="s">
        <v>6144</v>
      </c>
      <c r="D4768" s="21" t="s">
        <v>11</v>
      </c>
      <c r="E4768" s="21" t="s">
        <v>11</v>
      </c>
      <c r="F4768" s="21"/>
    </row>
    <row r="4769" spans="1:6" ht="15.75" hidden="1" customHeight="1">
      <c r="A4769" s="21">
        <v>901410</v>
      </c>
      <c r="B4769" s="21" t="s">
        <v>4774</v>
      </c>
      <c r="C4769" s="21" t="s">
        <v>6147</v>
      </c>
      <c r="D4769" s="21" t="s">
        <v>11</v>
      </c>
      <c r="E4769" s="21" t="s">
        <v>11</v>
      </c>
      <c r="F4769" s="21"/>
    </row>
    <row r="4770" spans="1:6" ht="15.75" hidden="1" customHeight="1">
      <c r="A4770" s="21">
        <v>901420</v>
      </c>
      <c r="B4770" s="21" t="s">
        <v>4775</v>
      </c>
      <c r="C4770" s="21" t="s">
        <v>6147</v>
      </c>
      <c r="D4770" s="21" t="s">
        <v>11</v>
      </c>
      <c r="E4770" s="21" t="s">
        <v>11</v>
      </c>
      <c r="F4770" s="21"/>
    </row>
    <row r="4771" spans="1:6" ht="15.75" hidden="1" customHeight="1">
      <c r="A4771" s="21">
        <v>901480</v>
      </c>
      <c r="B4771" s="21" t="s">
        <v>4776</v>
      </c>
      <c r="C4771" s="21" t="s">
        <v>6147</v>
      </c>
      <c r="D4771" s="21" t="s">
        <v>11</v>
      </c>
      <c r="E4771" s="21" t="s">
        <v>11</v>
      </c>
      <c r="F4771" s="21"/>
    </row>
    <row r="4772" spans="1:6" ht="15.75" hidden="1" customHeight="1">
      <c r="A4772" s="21">
        <v>901490</v>
      </c>
      <c r="B4772" s="21" t="s">
        <v>4777</v>
      </c>
      <c r="C4772" s="21" t="s">
        <v>6147</v>
      </c>
      <c r="D4772" s="21" t="s">
        <v>11</v>
      </c>
      <c r="E4772" s="21" t="s">
        <v>11</v>
      </c>
      <c r="F4772" s="21"/>
    </row>
    <row r="4773" spans="1:6" s="21" customFormat="1" ht="15.75" hidden="1" customHeight="1">
      <c r="A4773" s="21">
        <v>901510</v>
      </c>
      <c r="B4773" s="21" t="s">
        <v>4778</v>
      </c>
      <c r="C4773" s="21" t="s">
        <v>4778</v>
      </c>
      <c r="D4773" s="21" t="s">
        <v>11</v>
      </c>
      <c r="E4773" s="21" t="s">
        <v>11</v>
      </c>
    </row>
    <row r="4774" spans="1:6" ht="15.75" hidden="1" customHeight="1">
      <c r="A4774" s="21">
        <v>901520</v>
      </c>
      <c r="B4774" s="21" t="s">
        <v>4779</v>
      </c>
      <c r="C4774" s="21" t="s">
        <v>6148</v>
      </c>
      <c r="D4774" s="21" t="s">
        <v>11</v>
      </c>
      <c r="E4774" s="21" t="s">
        <v>11</v>
      </c>
      <c r="F4774" s="21"/>
    </row>
    <row r="4775" spans="1:6" ht="15.75" hidden="1" customHeight="1">
      <c r="A4775" s="21">
        <v>901530</v>
      </c>
      <c r="B4775" s="21" t="s">
        <v>4780</v>
      </c>
      <c r="C4775" s="21" t="s">
        <v>6148</v>
      </c>
      <c r="D4775" s="21" t="s">
        <v>11</v>
      </c>
      <c r="E4775" s="21" t="s">
        <v>11</v>
      </c>
      <c r="F4775" s="21"/>
    </row>
    <row r="4776" spans="1:6" ht="15.75" hidden="1" customHeight="1">
      <c r="A4776" s="21">
        <v>901540</v>
      </c>
      <c r="B4776" s="21" t="s">
        <v>4781</v>
      </c>
      <c r="C4776" s="21" t="s">
        <v>6148</v>
      </c>
      <c r="D4776" s="21" t="s">
        <v>11</v>
      </c>
      <c r="E4776" s="21" t="s">
        <v>11</v>
      </c>
      <c r="F4776" s="21"/>
    </row>
    <row r="4777" spans="1:6" ht="15.75" hidden="1" customHeight="1">
      <c r="A4777" s="21">
        <v>901580</v>
      </c>
      <c r="B4777" s="21" t="s">
        <v>4782</v>
      </c>
      <c r="C4777" s="21" t="s">
        <v>6148</v>
      </c>
      <c r="D4777" s="21" t="s">
        <v>11</v>
      </c>
      <c r="E4777" s="21" t="s">
        <v>11</v>
      </c>
      <c r="F4777" s="21"/>
    </row>
    <row r="4778" spans="1:6" ht="15.75" hidden="1" customHeight="1">
      <c r="A4778" s="21">
        <v>901590</v>
      </c>
      <c r="B4778" s="21" t="s">
        <v>4783</v>
      </c>
      <c r="C4778" s="21" t="s">
        <v>6148</v>
      </c>
      <c r="D4778" s="21" t="s">
        <v>11</v>
      </c>
      <c r="E4778" s="21" t="s">
        <v>11</v>
      </c>
      <c r="F4778" s="21"/>
    </row>
    <row r="4779" spans="1:6" ht="15.75" hidden="1" customHeight="1">
      <c r="A4779" s="21">
        <v>901600</v>
      </c>
      <c r="B4779" s="21" t="s">
        <v>4784</v>
      </c>
      <c r="C4779" s="21" t="s">
        <v>6149</v>
      </c>
      <c r="D4779" s="21" t="s">
        <v>11</v>
      </c>
      <c r="E4779" s="21" t="s">
        <v>11</v>
      </c>
      <c r="F4779" s="21"/>
    </row>
    <row r="4780" spans="1:6" ht="15.75" hidden="1" customHeight="1">
      <c r="A4780" s="21">
        <v>901710</v>
      </c>
      <c r="B4780" s="21" t="s">
        <v>4785</v>
      </c>
      <c r="C4780" s="21" t="s">
        <v>6150</v>
      </c>
      <c r="D4780" s="21" t="s">
        <v>11</v>
      </c>
      <c r="E4780" s="21" t="s">
        <v>11</v>
      </c>
      <c r="F4780" s="21"/>
    </row>
    <row r="4781" spans="1:6" ht="15.75" hidden="1" customHeight="1">
      <c r="A4781" s="21">
        <v>901720</v>
      </c>
      <c r="B4781" s="21" t="s">
        <v>4786</v>
      </c>
      <c r="C4781" s="21" t="s">
        <v>4786</v>
      </c>
      <c r="D4781" s="21" t="s">
        <v>11</v>
      </c>
      <c r="E4781" s="21" t="s">
        <v>11</v>
      </c>
      <c r="F4781" s="21"/>
    </row>
    <row r="4782" spans="1:6" ht="15.75" hidden="1" customHeight="1">
      <c r="A4782" s="21">
        <v>901730</v>
      </c>
      <c r="B4782" s="21" t="s">
        <v>4787</v>
      </c>
      <c r="C4782" s="21" t="s">
        <v>6151</v>
      </c>
      <c r="D4782" s="21" t="s">
        <v>11</v>
      </c>
      <c r="E4782" s="21" t="s">
        <v>11</v>
      </c>
      <c r="F4782" s="21"/>
    </row>
    <row r="4783" spans="1:6" ht="15.75" hidden="1" customHeight="1">
      <c r="A4783" s="21">
        <v>901780</v>
      </c>
      <c r="B4783" s="21" t="s">
        <v>4788</v>
      </c>
      <c r="C4783" s="21" t="s">
        <v>6152</v>
      </c>
      <c r="D4783" s="21" t="s">
        <v>11</v>
      </c>
      <c r="E4783" s="21" t="s">
        <v>11</v>
      </c>
      <c r="F4783" s="21"/>
    </row>
    <row r="4784" spans="1:6" ht="15.75" hidden="1" customHeight="1">
      <c r="A4784" s="21">
        <v>901790</v>
      </c>
      <c r="B4784" s="21" t="s">
        <v>4789</v>
      </c>
      <c r="C4784" s="21" t="s">
        <v>6153</v>
      </c>
      <c r="D4784" s="21" t="s">
        <v>11</v>
      </c>
      <c r="E4784" s="21" t="s">
        <v>11</v>
      </c>
      <c r="F4784" s="21"/>
    </row>
    <row r="4785" spans="1:11" s="21" customFormat="1" ht="15.75" hidden="1" customHeight="1">
      <c r="A4785" s="23">
        <v>902000</v>
      </c>
      <c r="B4785" s="23" t="s">
        <v>4806</v>
      </c>
      <c r="C4785" s="21" t="s">
        <v>6154</v>
      </c>
      <c r="D4785" s="23" t="s">
        <v>11</v>
      </c>
      <c r="E4785" s="21" t="s">
        <v>11</v>
      </c>
      <c r="F4785" s="23"/>
      <c r="G4785" s="23"/>
      <c r="H4785" s="23"/>
      <c r="I4785" s="23"/>
      <c r="J4785" s="23"/>
      <c r="K4785" s="23"/>
    </row>
    <row r="4786" spans="1:11" ht="15.75" hidden="1" customHeight="1">
      <c r="A4786" s="21">
        <v>902229</v>
      </c>
      <c r="B4786" s="21" t="s">
        <v>4821</v>
      </c>
      <c r="C4786" s="21" t="s">
        <v>5138</v>
      </c>
      <c r="D4786" s="21" t="s">
        <v>11</v>
      </c>
      <c r="E4786" s="21" t="s">
        <v>11</v>
      </c>
      <c r="F4786" s="21"/>
    </row>
    <row r="4787" spans="1:11" s="21" customFormat="1" ht="15.75" hidden="1" customHeight="1">
      <c r="A4787" s="23">
        <v>902300</v>
      </c>
      <c r="B4787" s="23" t="s">
        <v>4824</v>
      </c>
      <c r="C4787" s="21" t="s">
        <v>6155</v>
      </c>
      <c r="D4787" s="23" t="s">
        <v>11</v>
      </c>
      <c r="E4787" s="23" t="s">
        <v>11</v>
      </c>
      <c r="F4787" s="23"/>
      <c r="G4787" s="23"/>
      <c r="H4787" s="23"/>
      <c r="I4787" s="23"/>
      <c r="J4787" s="23"/>
      <c r="K4787" s="23"/>
    </row>
    <row r="4788" spans="1:11" ht="15.75" hidden="1" customHeight="1">
      <c r="A4788" s="21">
        <v>902410</v>
      </c>
      <c r="B4788" s="21" t="s">
        <v>4825</v>
      </c>
      <c r="C4788" s="21" t="s">
        <v>6156</v>
      </c>
      <c r="D4788" s="21" t="s">
        <v>11</v>
      </c>
      <c r="E4788" s="21" t="s">
        <v>11</v>
      </c>
      <c r="F4788" s="21"/>
    </row>
    <row r="4789" spans="1:11" ht="15.75" hidden="1" customHeight="1">
      <c r="A4789" s="21">
        <v>902480</v>
      </c>
      <c r="B4789" s="21" t="s">
        <v>4826</v>
      </c>
      <c r="C4789" s="21" t="s">
        <v>6156</v>
      </c>
      <c r="D4789" s="21" t="s">
        <v>11</v>
      </c>
      <c r="E4789" s="21" t="s">
        <v>11</v>
      </c>
      <c r="F4789" s="21"/>
    </row>
    <row r="4790" spans="1:11" s="21" customFormat="1" ht="15.75" hidden="1" customHeight="1">
      <c r="A4790" s="21">
        <v>902490</v>
      </c>
      <c r="B4790" s="21" t="s">
        <v>4827</v>
      </c>
      <c r="C4790" s="21" t="s">
        <v>6156</v>
      </c>
      <c r="D4790" s="21" t="s">
        <v>11</v>
      </c>
      <c r="E4790" s="21" t="s">
        <v>11</v>
      </c>
    </row>
    <row r="4791" spans="1:11" s="21" customFormat="1" ht="15.75" hidden="1" customHeight="1">
      <c r="A4791" s="21">
        <v>902511</v>
      </c>
      <c r="B4791" s="21" t="s">
        <v>4828</v>
      </c>
      <c r="C4791" s="21" t="s">
        <v>6157</v>
      </c>
      <c r="D4791" s="21" t="s">
        <v>11</v>
      </c>
      <c r="E4791" s="21" t="s">
        <v>11</v>
      </c>
    </row>
    <row r="4792" spans="1:11" s="21" customFormat="1" ht="15.75" hidden="1" customHeight="1">
      <c r="A4792" s="21">
        <v>902519</v>
      </c>
      <c r="B4792" s="21" t="s">
        <v>4829</v>
      </c>
      <c r="C4792" s="21" t="s">
        <v>6157</v>
      </c>
      <c r="D4792" s="21" t="s">
        <v>11</v>
      </c>
      <c r="E4792" s="21" t="s">
        <v>11</v>
      </c>
    </row>
    <row r="4793" spans="1:11" s="21" customFormat="1" ht="15.75" hidden="1" customHeight="1">
      <c r="A4793" s="21">
        <v>902580</v>
      </c>
      <c r="B4793" s="21" t="s">
        <v>4830</v>
      </c>
      <c r="C4793" s="21" t="s">
        <v>6158</v>
      </c>
      <c r="D4793" s="21" t="s">
        <v>11</v>
      </c>
      <c r="E4793" s="21" t="s">
        <v>11</v>
      </c>
    </row>
    <row r="4794" spans="1:11" s="21" customFormat="1" ht="15.75" hidden="1" customHeight="1">
      <c r="A4794" s="21">
        <v>902590</v>
      </c>
      <c r="B4794" s="21" t="s">
        <v>4831</v>
      </c>
      <c r="C4794" s="21" t="s">
        <v>6158</v>
      </c>
      <c r="D4794" s="21" t="s">
        <v>11</v>
      </c>
      <c r="E4794" s="21" t="s">
        <v>11</v>
      </c>
    </row>
    <row r="4795" spans="1:11" s="21" customFormat="1" ht="15.75" hidden="1" customHeight="1">
      <c r="A4795" s="21">
        <v>902610</v>
      </c>
      <c r="B4795" s="21" t="s">
        <v>4832</v>
      </c>
      <c r="C4795" s="21" t="s">
        <v>6159</v>
      </c>
      <c r="D4795" s="21" t="s">
        <v>11</v>
      </c>
      <c r="E4795" s="21" t="s">
        <v>11</v>
      </c>
    </row>
    <row r="4796" spans="1:11" s="21" customFormat="1" ht="15.75" hidden="1" customHeight="1">
      <c r="A4796" s="21">
        <v>902620</v>
      </c>
      <c r="B4796" s="21" t="s">
        <v>4833</v>
      </c>
      <c r="C4796" s="21" t="s">
        <v>6159</v>
      </c>
      <c r="D4796" s="21" t="s">
        <v>11</v>
      </c>
      <c r="E4796" s="21" t="s">
        <v>11</v>
      </c>
    </row>
    <row r="4797" spans="1:11" s="21" customFormat="1" ht="15.75" hidden="1" customHeight="1">
      <c r="A4797" s="21">
        <v>902680</v>
      </c>
      <c r="B4797" s="21" t="s">
        <v>4834</v>
      </c>
      <c r="C4797" s="21" t="s">
        <v>6159</v>
      </c>
      <c r="D4797" s="21" t="s">
        <v>11</v>
      </c>
      <c r="E4797" s="21" t="s">
        <v>11</v>
      </c>
    </row>
    <row r="4798" spans="1:11" s="21" customFormat="1" ht="15.75" hidden="1" customHeight="1">
      <c r="A4798" s="21">
        <v>902690</v>
      </c>
      <c r="B4798" s="21" t="s">
        <v>4835</v>
      </c>
      <c r="C4798" s="21" t="s">
        <v>6159</v>
      </c>
      <c r="D4798" s="21" t="s">
        <v>11</v>
      </c>
      <c r="E4798" s="21" t="s">
        <v>11</v>
      </c>
    </row>
    <row r="4799" spans="1:11" s="21" customFormat="1" ht="15.75" hidden="1" customHeight="1">
      <c r="A4799" s="21">
        <v>902710</v>
      </c>
      <c r="B4799" s="21" t="s">
        <v>4836</v>
      </c>
      <c r="C4799" s="21" t="s">
        <v>6159</v>
      </c>
      <c r="D4799" s="21" t="s">
        <v>11</v>
      </c>
      <c r="E4799" s="21" t="s">
        <v>11</v>
      </c>
    </row>
    <row r="4800" spans="1:11" s="21" customFormat="1" ht="15.75" hidden="1" customHeight="1">
      <c r="A4800" s="21">
        <v>902720</v>
      </c>
      <c r="B4800" s="21" t="s">
        <v>4837</v>
      </c>
      <c r="C4800" s="21" t="s">
        <v>4837</v>
      </c>
      <c r="D4800" s="21" t="s">
        <v>11</v>
      </c>
      <c r="E4800" s="21" t="s">
        <v>11</v>
      </c>
    </row>
    <row r="4801" spans="1:5" s="21" customFormat="1" ht="15.75" hidden="1" customHeight="1">
      <c r="A4801" s="21">
        <v>902730</v>
      </c>
      <c r="B4801" s="21" t="s">
        <v>4838</v>
      </c>
      <c r="C4801" s="21" t="s">
        <v>6160</v>
      </c>
      <c r="D4801" s="21" t="s">
        <v>11</v>
      </c>
      <c r="E4801" s="21" t="s">
        <v>11</v>
      </c>
    </row>
    <row r="4802" spans="1:5" s="21" customFormat="1" ht="15.75" hidden="1" customHeight="1">
      <c r="A4802" s="21">
        <v>902780</v>
      </c>
      <c r="B4802" s="21" t="s">
        <v>4840</v>
      </c>
      <c r="C4802" s="21" t="s">
        <v>6159</v>
      </c>
      <c r="D4802" s="25" t="s">
        <v>11</v>
      </c>
      <c r="E4802" s="21" t="s">
        <v>11</v>
      </c>
    </row>
    <row r="4803" spans="1:5" s="21" customFormat="1" ht="15.75" hidden="1" customHeight="1">
      <c r="A4803" s="21">
        <v>902790</v>
      </c>
      <c r="B4803" s="21" t="s">
        <v>4841</v>
      </c>
      <c r="C4803" s="21" t="s">
        <v>4841</v>
      </c>
      <c r="D4803" s="21" t="s">
        <v>11</v>
      </c>
      <c r="E4803" s="21" t="s">
        <v>11</v>
      </c>
    </row>
    <row r="4804" spans="1:5" s="21" customFormat="1" ht="15.75" hidden="1" customHeight="1">
      <c r="A4804" s="21">
        <v>902810</v>
      </c>
      <c r="B4804" s="21" t="s">
        <v>4842</v>
      </c>
      <c r="C4804" s="21" t="s">
        <v>6161</v>
      </c>
      <c r="D4804" s="21" t="s">
        <v>11</v>
      </c>
      <c r="E4804" s="21" t="s">
        <v>11</v>
      </c>
    </row>
    <row r="4805" spans="1:5" s="21" customFormat="1" ht="15.75" hidden="1" customHeight="1">
      <c r="A4805" s="21">
        <v>902820</v>
      </c>
      <c r="B4805" s="21" t="s">
        <v>4843</v>
      </c>
      <c r="C4805" s="21" t="s">
        <v>6161</v>
      </c>
      <c r="D4805" s="21" t="s">
        <v>11</v>
      </c>
      <c r="E4805" s="21" t="s">
        <v>11</v>
      </c>
    </row>
    <row r="4806" spans="1:5" s="21" customFormat="1" ht="15.75" hidden="1" customHeight="1">
      <c r="A4806" s="21">
        <v>902830</v>
      </c>
      <c r="B4806" s="21" t="s">
        <v>4844</v>
      </c>
      <c r="C4806" s="21" t="s">
        <v>6161</v>
      </c>
      <c r="D4806" s="21" t="s">
        <v>11</v>
      </c>
      <c r="E4806" s="21" t="s">
        <v>11</v>
      </c>
    </row>
    <row r="4807" spans="1:5" s="21" customFormat="1" ht="15.75" hidden="1" customHeight="1">
      <c r="A4807" s="21">
        <v>902890</v>
      </c>
      <c r="B4807" s="21" t="s">
        <v>4845</v>
      </c>
      <c r="C4807" s="21" t="s">
        <v>6161</v>
      </c>
      <c r="D4807" s="21" t="s">
        <v>11</v>
      </c>
      <c r="E4807" s="21" t="s">
        <v>11</v>
      </c>
    </row>
    <row r="4808" spans="1:5" s="21" customFormat="1" ht="15.75" hidden="1" customHeight="1">
      <c r="A4808" s="21">
        <v>902910</v>
      </c>
      <c r="B4808" s="21" t="s">
        <v>4846</v>
      </c>
      <c r="C4808" s="21" t="s">
        <v>6162</v>
      </c>
      <c r="D4808" s="21" t="s">
        <v>11</v>
      </c>
      <c r="E4808" s="21" t="s">
        <v>11</v>
      </c>
    </row>
    <row r="4809" spans="1:5" s="21" customFormat="1" ht="15.75" hidden="1" customHeight="1">
      <c r="A4809" s="21">
        <v>902920</v>
      </c>
      <c r="B4809" s="21" t="s">
        <v>4847</v>
      </c>
      <c r="C4809" s="21" t="s">
        <v>6161</v>
      </c>
      <c r="D4809" s="21" t="s">
        <v>11</v>
      </c>
      <c r="E4809" s="21" t="s">
        <v>11</v>
      </c>
    </row>
    <row r="4810" spans="1:5" s="21" customFormat="1" ht="15.75" hidden="1" customHeight="1">
      <c r="A4810" s="21">
        <v>902990</v>
      </c>
      <c r="B4810" s="21" t="s">
        <v>4848</v>
      </c>
      <c r="C4810" s="21" t="s">
        <v>6162</v>
      </c>
      <c r="D4810" s="21" t="s">
        <v>11</v>
      </c>
      <c r="E4810" s="21" t="s">
        <v>11</v>
      </c>
    </row>
    <row r="4811" spans="1:5" s="21" customFormat="1" ht="15.75" hidden="1" customHeight="1">
      <c r="A4811" s="21">
        <v>903010</v>
      </c>
      <c r="B4811" s="21" t="s">
        <v>4849</v>
      </c>
      <c r="C4811" s="21" t="s">
        <v>6159</v>
      </c>
      <c r="D4811" s="21" t="s">
        <v>11</v>
      </c>
      <c r="E4811" s="21" t="s">
        <v>11</v>
      </c>
    </row>
    <row r="4812" spans="1:5" s="21" customFormat="1" ht="15.75" hidden="1" customHeight="1">
      <c r="A4812" s="21">
        <v>903020</v>
      </c>
      <c r="B4812" s="21" t="s">
        <v>4850</v>
      </c>
      <c r="C4812" s="21" t="s">
        <v>4850</v>
      </c>
      <c r="D4812" s="21" t="s">
        <v>11</v>
      </c>
      <c r="E4812" s="21" t="s">
        <v>11</v>
      </c>
    </row>
    <row r="4813" spans="1:5" s="21" customFormat="1" ht="15.75" hidden="1" customHeight="1">
      <c r="A4813" s="21">
        <v>903031</v>
      </c>
      <c r="B4813" s="21" t="s">
        <v>4851</v>
      </c>
      <c r="C4813" s="21" t="s">
        <v>6163</v>
      </c>
      <c r="D4813" s="21" t="s">
        <v>11</v>
      </c>
      <c r="E4813" s="21" t="s">
        <v>11</v>
      </c>
    </row>
    <row r="4814" spans="1:5" s="21" customFormat="1" ht="15.75" hidden="1" customHeight="1">
      <c r="A4814" s="21">
        <v>903032</v>
      </c>
      <c r="B4814" s="21" t="s">
        <v>4852</v>
      </c>
      <c r="C4814" s="21" t="s">
        <v>6163</v>
      </c>
      <c r="D4814" s="21" t="s">
        <v>11</v>
      </c>
      <c r="E4814" s="21" t="s">
        <v>11</v>
      </c>
    </row>
    <row r="4815" spans="1:5" s="21" customFormat="1" ht="15.75" hidden="1" customHeight="1">
      <c r="A4815" s="21">
        <v>903033</v>
      </c>
      <c r="B4815" s="21" t="s">
        <v>4853</v>
      </c>
      <c r="C4815" s="21" t="s">
        <v>6159</v>
      </c>
      <c r="D4815" s="21" t="s">
        <v>11</v>
      </c>
      <c r="E4815" s="21" t="s">
        <v>11</v>
      </c>
    </row>
    <row r="4816" spans="1:5" s="21" customFormat="1" ht="15.75" hidden="1" customHeight="1">
      <c r="A4816" s="21">
        <v>903039</v>
      </c>
      <c r="B4816" s="21" t="s">
        <v>4854</v>
      </c>
      <c r="C4816" s="21" t="s">
        <v>6159</v>
      </c>
      <c r="D4816" s="21" t="s">
        <v>11</v>
      </c>
      <c r="E4816" s="21" t="s">
        <v>11</v>
      </c>
    </row>
    <row r="4817" spans="1:5" s="21" customFormat="1" ht="15.75" hidden="1" customHeight="1">
      <c r="A4817" s="21">
        <v>903040</v>
      </c>
      <c r="B4817" s="21" t="s">
        <v>4855</v>
      </c>
      <c r="C4817" s="21" t="s">
        <v>6159</v>
      </c>
      <c r="D4817" s="21" t="s">
        <v>11</v>
      </c>
      <c r="E4817" s="21" t="s">
        <v>11</v>
      </c>
    </row>
    <row r="4818" spans="1:5" s="21" customFormat="1" ht="15.75" hidden="1" customHeight="1">
      <c r="A4818" s="21">
        <v>903082</v>
      </c>
      <c r="B4818" s="21" t="s">
        <v>4856</v>
      </c>
      <c r="C4818" s="21" t="s">
        <v>6159</v>
      </c>
      <c r="D4818" s="21" t="s">
        <v>11</v>
      </c>
      <c r="E4818" s="21" t="s">
        <v>11</v>
      </c>
    </row>
    <row r="4819" spans="1:5" s="21" customFormat="1" ht="15.75" hidden="1" customHeight="1">
      <c r="A4819" s="21">
        <v>903084</v>
      </c>
      <c r="B4819" s="21" t="s">
        <v>4857</v>
      </c>
      <c r="C4819" s="21" t="s">
        <v>6159</v>
      </c>
      <c r="D4819" s="21" t="s">
        <v>11</v>
      </c>
      <c r="E4819" s="21" t="s">
        <v>11</v>
      </c>
    </row>
    <row r="4820" spans="1:5" s="21" customFormat="1" ht="15.75" hidden="1" customHeight="1">
      <c r="A4820" s="21">
        <v>903089</v>
      </c>
      <c r="B4820" s="21" t="s">
        <v>4858</v>
      </c>
      <c r="C4820" s="21" t="s">
        <v>6159</v>
      </c>
      <c r="D4820" s="21" t="s">
        <v>11</v>
      </c>
      <c r="E4820" s="21" t="s">
        <v>11</v>
      </c>
    </row>
    <row r="4821" spans="1:5" s="21" customFormat="1" ht="15.75" hidden="1" customHeight="1">
      <c r="A4821" s="21">
        <v>903090</v>
      </c>
      <c r="B4821" s="21" t="s">
        <v>4859</v>
      </c>
      <c r="C4821" s="21" t="s">
        <v>6164</v>
      </c>
      <c r="D4821" s="21" t="s">
        <v>11</v>
      </c>
      <c r="E4821" s="21" t="s">
        <v>11</v>
      </c>
    </row>
    <row r="4822" spans="1:5" s="21" customFormat="1" ht="15.75" hidden="1" customHeight="1">
      <c r="A4822" s="21">
        <v>903110</v>
      </c>
      <c r="B4822" s="21" t="s">
        <v>4860</v>
      </c>
      <c r="C4822" s="21" t="s">
        <v>5937</v>
      </c>
      <c r="D4822" s="21" t="s">
        <v>11</v>
      </c>
      <c r="E4822" s="21" t="s">
        <v>11</v>
      </c>
    </row>
    <row r="4823" spans="1:5" s="21" customFormat="1" ht="15.75" hidden="1" customHeight="1">
      <c r="A4823" s="21">
        <v>903120</v>
      </c>
      <c r="B4823" s="21" t="s">
        <v>4861</v>
      </c>
      <c r="C4823" s="21" t="s">
        <v>4861</v>
      </c>
      <c r="D4823" s="21" t="s">
        <v>11</v>
      </c>
      <c r="E4823" s="21" t="s">
        <v>11</v>
      </c>
    </row>
    <row r="4824" spans="1:5" s="21" customFormat="1" ht="15.75" hidden="1" customHeight="1">
      <c r="A4824" s="21">
        <v>903141</v>
      </c>
      <c r="B4824" s="21" t="s">
        <v>4862</v>
      </c>
      <c r="C4824" s="21" t="s">
        <v>6165</v>
      </c>
      <c r="D4824" s="21" t="s">
        <v>11</v>
      </c>
      <c r="E4824" s="21" t="s">
        <v>11</v>
      </c>
    </row>
    <row r="4825" spans="1:5" s="21" customFormat="1" ht="15.75" hidden="1" customHeight="1">
      <c r="A4825" s="21">
        <v>903149</v>
      </c>
      <c r="B4825" s="21" t="s">
        <v>4863</v>
      </c>
      <c r="C4825" s="21" t="s">
        <v>6165</v>
      </c>
      <c r="D4825" s="21" t="s">
        <v>11</v>
      </c>
      <c r="E4825" s="21" t="s">
        <v>11</v>
      </c>
    </row>
    <row r="4826" spans="1:5" s="21" customFormat="1" ht="15.75" hidden="1" customHeight="1">
      <c r="A4826" s="21">
        <v>903180</v>
      </c>
      <c r="B4826" s="21" t="s">
        <v>4864</v>
      </c>
      <c r="C4826" s="21" t="s">
        <v>6166</v>
      </c>
      <c r="D4826" s="21" t="s">
        <v>11</v>
      </c>
      <c r="E4826" s="21" t="s">
        <v>11</v>
      </c>
    </row>
    <row r="4827" spans="1:5" s="21" customFormat="1" ht="15.75" hidden="1" customHeight="1">
      <c r="A4827" s="21">
        <v>903190</v>
      </c>
      <c r="B4827" s="21" t="s">
        <v>4865</v>
      </c>
      <c r="C4827" s="21" t="s">
        <v>6166</v>
      </c>
      <c r="D4827" s="21" t="s">
        <v>11</v>
      </c>
      <c r="E4827" s="21" t="s">
        <v>11</v>
      </c>
    </row>
    <row r="4828" spans="1:5" s="21" customFormat="1" ht="15.75" hidden="1" customHeight="1">
      <c r="A4828" s="21">
        <v>903210</v>
      </c>
      <c r="B4828" s="21" t="s">
        <v>4866</v>
      </c>
      <c r="C4828" s="21" t="s">
        <v>6167</v>
      </c>
      <c r="D4828" s="21" t="s">
        <v>11</v>
      </c>
      <c r="E4828" s="21" t="s">
        <v>11</v>
      </c>
    </row>
    <row r="4829" spans="1:5" s="21" customFormat="1" ht="15.75" hidden="1" customHeight="1">
      <c r="A4829" s="21">
        <v>903220</v>
      </c>
      <c r="B4829" s="21" t="s">
        <v>4867</v>
      </c>
      <c r="C4829" s="21" t="s">
        <v>6167</v>
      </c>
      <c r="D4829" s="21" t="s">
        <v>11</v>
      </c>
      <c r="E4829" s="21" t="s">
        <v>11</v>
      </c>
    </row>
    <row r="4830" spans="1:5" s="21" customFormat="1" ht="15.75" hidden="1" customHeight="1">
      <c r="A4830" s="21">
        <v>903281</v>
      </c>
      <c r="B4830" s="21" t="s">
        <v>4868</v>
      </c>
      <c r="C4830" s="21" t="s">
        <v>6167</v>
      </c>
      <c r="D4830" s="21" t="s">
        <v>11</v>
      </c>
      <c r="E4830" s="21" t="s">
        <v>11</v>
      </c>
    </row>
    <row r="4831" spans="1:5" s="21" customFormat="1" ht="15.75" hidden="1" customHeight="1">
      <c r="A4831" s="21">
        <v>903289</v>
      </c>
      <c r="B4831" s="21" t="s">
        <v>4869</v>
      </c>
      <c r="C4831" s="21" t="s">
        <v>6167</v>
      </c>
      <c r="D4831" s="21" t="s">
        <v>11</v>
      </c>
      <c r="E4831" s="21" t="s">
        <v>11</v>
      </c>
    </row>
    <row r="4832" spans="1:5" s="21" customFormat="1" ht="15.75" hidden="1" customHeight="1">
      <c r="A4832" s="21">
        <v>903290</v>
      </c>
      <c r="B4832" s="21" t="s">
        <v>4870</v>
      </c>
      <c r="C4832" s="21" t="s">
        <v>6167</v>
      </c>
      <c r="D4832" s="21" t="s">
        <v>11</v>
      </c>
      <c r="E4832" s="21" t="s">
        <v>11</v>
      </c>
    </row>
    <row r="4833" spans="1:5" s="21" customFormat="1" ht="15.75" hidden="1" customHeight="1">
      <c r="A4833" s="21">
        <v>903300</v>
      </c>
      <c r="B4833" s="21" t="s">
        <v>4871</v>
      </c>
      <c r="C4833" s="21" t="s">
        <v>6156</v>
      </c>
      <c r="D4833" s="21" t="s">
        <v>11</v>
      </c>
      <c r="E4833" s="21" t="s">
        <v>11</v>
      </c>
    </row>
    <row r="4834" spans="1:5" s="21" customFormat="1" ht="15.75" hidden="1" customHeight="1">
      <c r="A4834" s="21">
        <v>910111</v>
      </c>
      <c r="B4834" s="21" t="s">
        <v>4872</v>
      </c>
      <c r="C4834" s="21" t="s">
        <v>6168</v>
      </c>
      <c r="D4834" s="21" t="s">
        <v>11</v>
      </c>
      <c r="E4834" s="21" t="s">
        <v>11</v>
      </c>
    </row>
    <row r="4835" spans="1:5" s="21" customFormat="1" ht="15.75" hidden="1" customHeight="1">
      <c r="A4835" s="21">
        <v>910119</v>
      </c>
      <c r="B4835" s="21" t="s">
        <v>4873</v>
      </c>
      <c r="C4835" s="21" t="s">
        <v>6168</v>
      </c>
      <c r="D4835" s="21" t="s">
        <v>11</v>
      </c>
      <c r="E4835" s="21" t="s">
        <v>11</v>
      </c>
    </row>
    <row r="4836" spans="1:5" s="21" customFormat="1" ht="15.75" hidden="1" customHeight="1">
      <c r="A4836" s="21">
        <v>910121</v>
      </c>
      <c r="B4836" s="21" t="s">
        <v>4874</v>
      </c>
      <c r="C4836" s="21" t="s">
        <v>6168</v>
      </c>
      <c r="D4836" s="21" t="s">
        <v>11</v>
      </c>
      <c r="E4836" s="21" t="s">
        <v>11</v>
      </c>
    </row>
    <row r="4837" spans="1:5" s="21" customFormat="1" ht="15.75" hidden="1" customHeight="1">
      <c r="A4837" s="21">
        <v>910129</v>
      </c>
      <c r="B4837" s="21" t="s">
        <v>4875</v>
      </c>
      <c r="C4837" s="21" t="s">
        <v>6168</v>
      </c>
      <c r="D4837" s="21" t="s">
        <v>11</v>
      </c>
      <c r="E4837" s="21" t="s">
        <v>11</v>
      </c>
    </row>
    <row r="4838" spans="1:5" s="21" customFormat="1" ht="15.75" hidden="1" customHeight="1">
      <c r="A4838" s="21">
        <v>910191</v>
      </c>
      <c r="B4838" s="21" t="s">
        <v>4876</v>
      </c>
      <c r="C4838" s="21" t="s">
        <v>6169</v>
      </c>
      <c r="D4838" s="21" t="s">
        <v>11</v>
      </c>
      <c r="E4838" s="21" t="s">
        <v>11</v>
      </c>
    </row>
    <row r="4839" spans="1:5" s="21" customFormat="1" ht="15.75" hidden="1" customHeight="1">
      <c r="A4839" s="21">
        <v>910199</v>
      </c>
      <c r="B4839" s="21" t="s">
        <v>4877</v>
      </c>
      <c r="C4839" s="21" t="s">
        <v>6169</v>
      </c>
      <c r="D4839" s="21" t="s">
        <v>11</v>
      </c>
      <c r="E4839" s="21" t="s">
        <v>11</v>
      </c>
    </row>
    <row r="4840" spans="1:5" s="21" customFormat="1" ht="15.75" hidden="1" customHeight="1">
      <c r="A4840" s="21">
        <v>910211</v>
      </c>
      <c r="B4840" s="21" t="s">
        <v>4878</v>
      </c>
      <c r="C4840" s="21" t="s">
        <v>6168</v>
      </c>
      <c r="D4840" s="21" t="s">
        <v>11</v>
      </c>
      <c r="E4840" s="21" t="s">
        <v>11</v>
      </c>
    </row>
    <row r="4841" spans="1:5" s="21" customFormat="1" ht="15.75" hidden="1" customHeight="1">
      <c r="A4841" s="21">
        <v>910212</v>
      </c>
      <c r="B4841" s="21" t="s">
        <v>4879</v>
      </c>
      <c r="C4841" s="21" t="s">
        <v>6168</v>
      </c>
      <c r="D4841" s="21" t="s">
        <v>11</v>
      </c>
      <c r="E4841" s="21" t="s">
        <v>11</v>
      </c>
    </row>
    <row r="4842" spans="1:5" s="21" customFormat="1" ht="15.75" hidden="1" customHeight="1">
      <c r="A4842" s="21">
        <v>910219</v>
      </c>
      <c r="B4842" s="21" t="s">
        <v>4880</v>
      </c>
      <c r="C4842" s="21" t="s">
        <v>6168</v>
      </c>
      <c r="D4842" s="21" t="s">
        <v>11</v>
      </c>
      <c r="E4842" s="21" t="s">
        <v>11</v>
      </c>
    </row>
    <row r="4843" spans="1:5" s="21" customFormat="1" ht="15.75" hidden="1" customHeight="1">
      <c r="A4843" s="21">
        <v>910221</v>
      </c>
      <c r="B4843" s="21" t="s">
        <v>4881</v>
      </c>
      <c r="C4843" s="21" t="s">
        <v>6168</v>
      </c>
      <c r="D4843" s="21" t="s">
        <v>11</v>
      </c>
      <c r="E4843" s="21" t="s">
        <v>11</v>
      </c>
    </row>
    <row r="4844" spans="1:5" s="21" customFormat="1" ht="15.75" hidden="1" customHeight="1">
      <c r="A4844" s="21">
        <v>910229</v>
      </c>
      <c r="B4844" s="21" t="s">
        <v>4882</v>
      </c>
      <c r="C4844" s="21" t="s">
        <v>6168</v>
      </c>
      <c r="D4844" s="21" t="s">
        <v>11</v>
      </c>
      <c r="E4844" s="21" t="s">
        <v>11</v>
      </c>
    </row>
    <row r="4845" spans="1:5" s="21" customFormat="1" ht="15.75" hidden="1" customHeight="1">
      <c r="A4845" s="21">
        <v>910291</v>
      </c>
      <c r="B4845" s="21" t="s">
        <v>4883</v>
      </c>
      <c r="C4845" s="21" t="s">
        <v>6170</v>
      </c>
      <c r="D4845" s="21" t="s">
        <v>11</v>
      </c>
      <c r="E4845" s="21" t="s">
        <v>11</v>
      </c>
    </row>
    <row r="4846" spans="1:5" s="21" customFormat="1" ht="15.75" hidden="1" customHeight="1">
      <c r="A4846" s="21">
        <v>910299</v>
      </c>
      <c r="B4846" s="21" t="s">
        <v>4884</v>
      </c>
      <c r="C4846" s="21" t="s">
        <v>6170</v>
      </c>
      <c r="D4846" s="21" t="s">
        <v>11</v>
      </c>
      <c r="E4846" s="21" t="s">
        <v>11</v>
      </c>
    </row>
    <row r="4847" spans="1:5" s="21" customFormat="1" ht="15.75" hidden="1" customHeight="1">
      <c r="A4847" s="21">
        <v>910310</v>
      </c>
      <c r="B4847" s="21" t="s">
        <v>4885</v>
      </c>
      <c r="C4847" s="21" t="s">
        <v>6171</v>
      </c>
      <c r="D4847" s="21" t="s">
        <v>11</v>
      </c>
      <c r="E4847" s="21" t="s">
        <v>11</v>
      </c>
    </row>
    <row r="4848" spans="1:5" s="21" customFormat="1" ht="15.75" hidden="1" customHeight="1">
      <c r="A4848" s="21">
        <v>910390</v>
      </c>
      <c r="B4848" s="21" t="s">
        <v>4886</v>
      </c>
      <c r="C4848" s="21" t="s">
        <v>6171</v>
      </c>
      <c r="D4848" s="21" t="s">
        <v>11</v>
      </c>
      <c r="E4848" s="21" t="s">
        <v>11</v>
      </c>
    </row>
    <row r="4849" spans="1:5" s="21" customFormat="1" ht="15.75" hidden="1" customHeight="1">
      <c r="A4849" s="21">
        <v>910400</v>
      </c>
      <c r="B4849" s="21" t="s">
        <v>4887</v>
      </c>
      <c r="C4849" s="21" t="s">
        <v>6171</v>
      </c>
      <c r="D4849" s="21" t="s">
        <v>11</v>
      </c>
      <c r="E4849" s="21" t="s">
        <v>11</v>
      </c>
    </row>
    <row r="4850" spans="1:5" s="21" customFormat="1" ht="15.75" hidden="1" customHeight="1">
      <c r="A4850" s="21">
        <v>910511</v>
      </c>
      <c r="B4850" s="21" t="s">
        <v>4888</v>
      </c>
      <c r="C4850" s="21" t="s">
        <v>6171</v>
      </c>
      <c r="D4850" s="21" t="s">
        <v>11</v>
      </c>
      <c r="E4850" s="21" t="s">
        <v>11</v>
      </c>
    </row>
    <row r="4851" spans="1:5" s="21" customFormat="1" ht="15.75" hidden="1" customHeight="1">
      <c r="A4851" s="21">
        <v>910519</v>
      </c>
      <c r="B4851" s="21" t="s">
        <v>4889</v>
      </c>
      <c r="C4851" s="21" t="s">
        <v>6171</v>
      </c>
      <c r="D4851" s="21" t="s">
        <v>11</v>
      </c>
      <c r="E4851" s="21" t="s">
        <v>11</v>
      </c>
    </row>
    <row r="4852" spans="1:5" s="21" customFormat="1" ht="15.75" hidden="1" customHeight="1">
      <c r="A4852" s="21">
        <v>910521</v>
      </c>
      <c r="B4852" s="21" t="s">
        <v>4890</v>
      </c>
      <c r="C4852" s="21" t="s">
        <v>6171</v>
      </c>
      <c r="D4852" s="21" t="s">
        <v>11</v>
      </c>
      <c r="E4852" s="21" t="s">
        <v>11</v>
      </c>
    </row>
    <row r="4853" spans="1:5" s="21" customFormat="1" ht="15.75" hidden="1" customHeight="1">
      <c r="A4853" s="21">
        <v>910529</v>
      </c>
      <c r="B4853" s="21" t="s">
        <v>4891</v>
      </c>
      <c r="C4853" s="21" t="s">
        <v>6171</v>
      </c>
      <c r="D4853" s="21" t="s">
        <v>11</v>
      </c>
      <c r="E4853" s="21" t="s">
        <v>11</v>
      </c>
    </row>
    <row r="4854" spans="1:5" s="21" customFormat="1" ht="15.75" hidden="1" customHeight="1">
      <c r="A4854" s="21">
        <v>910591</v>
      </c>
      <c r="B4854" s="21" t="s">
        <v>4892</v>
      </c>
      <c r="C4854" s="21" t="s">
        <v>6171</v>
      </c>
      <c r="D4854" s="21" t="s">
        <v>11</v>
      </c>
      <c r="E4854" s="21" t="s">
        <v>11</v>
      </c>
    </row>
    <row r="4855" spans="1:5" s="21" customFormat="1" ht="15.75" hidden="1" customHeight="1">
      <c r="A4855" s="21">
        <v>910599</v>
      </c>
      <c r="B4855" s="21" t="s">
        <v>4893</v>
      </c>
      <c r="C4855" s="21" t="s">
        <v>6171</v>
      </c>
      <c r="D4855" s="21" t="s">
        <v>11</v>
      </c>
      <c r="E4855" s="21" t="s">
        <v>11</v>
      </c>
    </row>
    <row r="4856" spans="1:5" s="21" customFormat="1" ht="15.75" hidden="1" customHeight="1">
      <c r="A4856" s="21">
        <v>910610</v>
      </c>
      <c r="B4856" s="21" t="s">
        <v>4894</v>
      </c>
      <c r="C4856" s="21" t="s">
        <v>6172</v>
      </c>
      <c r="D4856" s="21" t="s">
        <v>11</v>
      </c>
      <c r="E4856" s="21" t="s">
        <v>11</v>
      </c>
    </row>
    <row r="4857" spans="1:5" s="21" customFormat="1" ht="15.75" hidden="1" customHeight="1">
      <c r="A4857" s="21">
        <v>910690</v>
      </c>
      <c r="B4857" s="21" t="s">
        <v>4895</v>
      </c>
      <c r="C4857" s="21" t="s">
        <v>6172</v>
      </c>
      <c r="D4857" s="21" t="s">
        <v>11</v>
      </c>
      <c r="E4857" s="21" t="s">
        <v>11</v>
      </c>
    </row>
    <row r="4858" spans="1:5" s="21" customFormat="1" ht="15.75" hidden="1" customHeight="1">
      <c r="A4858" s="21">
        <v>910700</v>
      </c>
      <c r="B4858" s="21" t="s">
        <v>4896</v>
      </c>
      <c r="C4858" s="21" t="s">
        <v>6173</v>
      </c>
      <c r="D4858" s="21" t="s">
        <v>11</v>
      </c>
      <c r="E4858" s="21" t="s">
        <v>11</v>
      </c>
    </row>
    <row r="4859" spans="1:5" s="21" customFormat="1" ht="15.75" hidden="1" customHeight="1">
      <c r="A4859" s="21">
        <v>910811</v>
      </c>
      <c r="B4859" s="21" t="s">
        <v>4897</v>
      </c>
      <c r="C4859" s="21" t="s">
        <v>6174</v>
      </c>
      <c r="D4859" s="21" t="s">
        <v>11</v>
      </c>
      <c r="E4859" s="21" t="s">
        <v>11</v>
      </c>
    </row>
    <row r="4860" spans="1:5" s="21" customFormat="1" ht="15.75" hidden="1" customHeight="1">
      <c r="A4860" s="21">
        <v>910812</v>
      </c>
      <c r="B4860" s="21" t="s">
        <v>4898</v>
      </c>
      <c r="C4860" s="21" t="s">
        <v>6174</v>
      </c>
      <c r="D4860" s="21" t="s">
        <v>11</v>
      </c>
      <c r="E4860" s="21" t="s">
        <v>11</v>
      </c>
    </row>
    <row r="4861" spans="1:5" s="21" customFormat="1" ht="15.75" hidden="1" customHeight="1">
      <c r="A4861" s="21">
        <v>910819</v>
      </c>
      <c r="B4861" s="21" t="s">
        <v>4899</v>
      </c>
      <c r="C4861" s="21" t="s">
        <v>6174</v>
      </c>
      <c r="D4861" s="21" t="s">
        <v>11</v>
      </c>
      <c r="E4861" s="21" t="s">
        <v>11</v>
      </c>
    </row>
    <row r="4862" spans="1:5" s="21" customFormat="1" ht="15.75" hidden="1" customHeight="1">
      <c r="A4862" s="21">
        <v>910820</v>
      </c>
      <c r="B4862" s="21" t="s">
        <v>4900</v>
      </c>
      <c r="C4862" s="21" t="s">
        <v>6174</v>
      </c>
      <c r="D4862" s="21" t="s">
        <v>11</v>
      </c>
      <c r="E4862" s="21" t="s">
        <v>11</v>
      </c>
    </row>
    <row r="4863" spans="1:5" s="21" customFormat="1" ht="15.75" hidden="1" customHeight="1">
      <c r="A4863" s="21">
        <v>910890</v>
      </c>
      <c r="B4863" s="21" t="s">
        <v>4901</v>
      </c>
      <c r="C4863" s="21" t="s">
        <v>6174</v>
      </c>
      <c r="D4863" s="21" t="s">
        <v>11</v>
      </c>
      <c r="E4863" s="21" t="s">
        <v>11</v>
      </c>
    </row>
    <row r="4864" spans="1:5" s="21" customFormat="1" ht="15.75" hidden="1" customHeight="1">
      <c r="A4864" s="21">
        <v>910911</v>
      </c>
      <c r="B4864" s="21" t="s">
        <v>4902</v>
      </c>
      <c r="C4864" s="21" t="s">
        <v>6175</v>
      </c>
      <c r="D4864" s="21" t="s">
        <v>11</v>
      </c>
      <c r="E4864" s="21" t="s">
        <v>11</v>
      </c>
    </row>
    <row r="4865" spans="1:5" s="21" customFormat="1" ht="15.75" hidden="1" customHeight="1">
      <c r="A4865" s="21">
        <v>910919</v>
      </c>
      <c r="B4865" s="21" t="s">
        <v>4903</v>
      </c>
      <c r="C4865" s="21" t="s">
        <v>6175</v>
      </c>
      <c r="D4865" s="21" t="s">
        <v>11</v>
      </c>
      <c r="E4865" s="21" t="s">
        <v>11</v>
      </c>
    </row>
    <row r="4866" spans="1:5" s="21" customFormat="1" ht="15.75" hidden="1" customHeight="1">
      <c r="A4866" s="21">
        <v>910990</v>
      </c>
      <c r="B4866" s="21" t="s">
        <v>4904</v>
      </c>
      <c r="C4866" s="21" t="s">
        <v>6175</v>
      </c>
      <c r="D4866" s="21" t="s">
        <v>11</v>
      </c>
      <c r="E4866" s="21" t="s">
        <v>11</v>
      </c>
    </row>
    <row r="4867" spans="1:5" s="21" customFormat="1" ht="15.75" hidden="1" customHeight="1">
      <c r="A4867" s="21">
        <v>911011</v>
      </c>
      <c r="B4867" s="21" t="s">
        <v>4905</v>
      </c>
      <c r="C4867" s="21" t="s">
        <v>6176</v>
      </c>
      <c r="D4867" s="21" t="s">
        <v>11</v>
      </c>
      <c r="E4867" s="21" t="s">
        <v>11</v>
      </c>
    </row>
    <row r="4868" spans="1:5" s="21" customFormat="1" ht="15.75" hidden="1" customHeight="1">
      <c r="A4868" s="21">
        <v>911012</v>
      </c>
      <c r="B4868" s="21" t="s">
        <v>4906</v>
      </c>
      <c r="C4868" s="21" t="s">
        <v>6176</v>
      </c>
      <c r="D4868" s="21" t="s">
        <v>11</v>
      </c>
      <c r="E4868" s="21" t="s">
        <v>11</v>
      </c>
    </row>
    <row r="4869" spans="1:5" s="21" customFormat="1" ht="15.75" hidden="1" customHeight="1">
      <c r="A4869" s="21">
        <v>911019</v>
      </c>
      <c r="B4869" s="21" t="s">
        <v>4907</v>
      </c>
      <c r="C4869" s="21" t="s">
        <v>6176</v>
      </c>
      <c r="D4869" s="21" t="s">
        <v>11</v>
      </c>
      <c r="E4869" s="21" t="s">
        <v>11</v>
      </c>
    </row>
    <row r="4870" spans="1:5" s="21" customFormat="1" ht="15.75" hidden="1" customHeight="1">
      <c r="A4870" s="21">
        <v>911090</v>
      </c>
      <c r="B4870" s="21" t="s">
        <v>4908</v>
      </c>
      <c r="C4870" s="21" t="s">
        <v>6171</v>
      </c>
      <c r="D4870" s="21" t="s">
        <v>11</v>
      </c>
      <c r="E4870" s="21" t="s">
        <v>11</v>
      </c>
    </row>
    <row r="4871" spans="1:5" s="21" customFormat="1" ht="15.75" hidden="1" customHeight="1">
      <c r="A4871" s="21">
        <v>911110</v>
      </c>
      <c r="B4871" s="21" t="s">
        <v>4909</v>
      </c>
      <c r="C4871" s="21" t="s">
        <v>6177</v>
      </c>
      <c r="D4871" s="21" t="s">
        <v>11</v>
      </c>
      <c r="E4871" s="21" t="s">
        <v>11</v>
      </c>
    </row>
    <row r="4872" spans="1:5" s="21" customFormat="1" ht="15.75" hidden="1" customHeight="1">
      <c r="A4872" s="21">
        <v>911120</v>
      </c>
      <c r="B4872" s="21" t="s">
        <v>4910</v>
      </c>
      <c r="C4872" s="21" t="s">
        <v>6177</v>
      </c>
      <c r="D4872" s="21" t="s">
        <v>11</v>
      </c>
      <c r="E4872" s="21" t="s">
        <v>11</v>
      </c>
    </row>
    <row r="4873" spans="1:5" s="21" customFormat="1" ht="15.75" hidden="1" customHeight="1">
      <c r="A4873" s="21">
        <v>911180</v>
      </c>
      <c r="B4873" s="21" t="s">
        <v>4911</v>
      </c>
      <c r="C4873" s="21" t="s">
        <v>6177</v>
      </c>
      <c r="D4873" s="21" t="s">
        <v>11</v>
      </c>
      <c r="E4873" s="21" t="s">
        <v>11</v>
      </c>
    </row>
    <row r="4874" spans="1:5" s="21" customFormat="1" ht="15.75" hidden="1" customHeight="1">
      <c r="A4874" s="21">
        <v>911190</v>
      </c>
      <c r="B4874" s="21" t="s">
        <v>4912</v>
      </c>
      <c r="C4874" s="21" t="s">
        <v>4912</v>
      </c>
      <c r="D4874" s="21" t="s">
        <v>11</v>
      </c>
      <c r="E4874" s="21" t="s">
        <v>11</v>
      </c>
    </row>
    <row r="4875" spans="1:5" s="21" customFormat="1" ht="15.75" hidden="1" customHeight="1">
      <c r="A4875" s="21">
        <v>911220</v>
      </c>
      <c r="B4875" s="21" t="s">
        <v>4913</v>
      </c>
      <c r="C4875" s="21" t="s">
        <v>6178</v>
      </c>
      <c r="D4875" s="21" t="s">
        <v>11</v>
      </c>
      <c r="E4875" s="21" t="s">
        <v>11</v>
      </c>
    </row>
    <row r="4876" spans="1:5" s="21" customFormat="1" ht="15.75" hidden="1" customHeight="1">
      <c r="A4876" s="21">
        <v>911290</v>
      </c>
      <c r="B4876" s="21" t="s">
        <v>4914</v>
      </c>
      <c r="C4876" s="21" t="s">
        <v>6178</v>
      </c>
      <c r="D4876" s="21" t="s">
        <v>11</v>
      </c>
      <c r="E4876" s="21" t="s">
        <v>11</v>
      </c>
    </row>
    <row r="4877" spans="1:5" s="21" customFormat="1" ht="15.75" hidden="1" customHeight="1">
      <c r="A4877" s="21">
        <v>911310</v>
      </c>
      <c r="B4877" s="21" t="s">
        <v>4915</v>
      </c>
      <c r="C4877" s="21" t="s">
        <v>6179</v>
      </c>
      <c r="D4877" s="21" t="s">
        <v>11</v>
      </c>
      <c r="E4877" s="21" t="s">
        <v>11</v>
      </c>
    </row>
    <row r="4878" spans="1:5" s="21" customFormat="1" ht="15.75" hidden="1" customHeight="1">
      <c r="A4878" s="21">
        <v>911320</v>
      </c>
      <c r="B4878" s="21" t="s">
        <v>4916</v>
      </c>
      <c r="C4878" s="21" t="s">
        <v>6179</v>
      </c>
      <c r="D4878" s="21" t="s">
        <v>11</v>
      </c>
      <c r="E4878" s="21" t="s">
        <v>11</v>
      </c>
    </row>
    <row r="4879" spans="1:5" s="21" customFormat="1" ht="15.75" hidden="1" customHeight="1">
      <c r="A4879" s="21">
        <v>911390</v>
      </c>
      <c r="B4879" s="21" t="s">
        <v>4917</v>
      </c>
      <c r="C4879" s="21" t="s">
        <v>6179</v>
      </c>
      <c r="D4879" s="21" t="s">
        <v>11</v>
      </c>
      <c r="E4879" s="21" t="s">
        <v>11</v>
      </c>
    </row>
    <row r="4880" spans="1:5" s="21" customFormat="1" ht="15.75" hidden="1" customHeight="1">
      <c r="A4880" s="21">
        <v>911410</v>
      </c>
      <c r="B4880" s="21" t="s">
        <v>4918</v>
      </c>
      <c r="C4880" s="21" t="s">
        <v>6180</v>
      </c>
      <c r="D4880" s="21" t="s">
        <v>11</v>
      </c>
      <c r="E4880" s="21" t="s">
        <v>11</v>
      </c>
    </row>
    <row r="4881" spans="1:5" s="21" customFormat="1" ht="15.75" hidden="1" customHeight="1">
      <c r="A4881" s="21">
        <v>911420</v>
      </c>
      <c r="B4881" s="21" t="s">
        <v>4919</v>
      </c>
      <c r="C4881" s="21" t="s">
        <v>6180</v>
      </c>
      <c r="D4881" s="21" t="s">
        <v>11</v>
      </c>
      <c r="E4881" s="21" t="s">
        <v>11</v>
      </c>
    </row>
    <row r="4882" spans="1:5" s="21" customFormat="1" ht="15.75" hidden="1" customHeight="1">
      <c r="A4882" s="21">
        <v>911430</v>
      </c>
      <c r="B4882" s="21" t="s">
        <v>4920</v>
      </c>
      <c r="C4882" s="21" t="s">
        <v>6180</v>
      </c>
      <c r="D4882" s="21" t="s">
        <v>11</v>
      </c>
      <c r="E4882" s="21" t="s">
        <v>11</v>
      </c>
    </row>
    <row r="4883" spans="1:5" s="21" customFormat="1" ht="15.75" hidden="1" customHeight="1">
      <c r="A4883" s="21">
        <v>911440</v>
      </c>
      <c r="B4883" s="21" t="s">
        <v>4921</v>
      </c>
      <c r="C4883" s="21" t="s">
        <v>6180</v>
      </c>
      <c r="D4883" s="21" t="s">
        <v>11</v>
      </c>
      <c r="E4883" s="21" t="s">
        <v>11</v>
      </c>
    </row>
    <row r="4884" spans="1:5" s="21" customFormat="1" ht="15.75" hidden="1" customHeight="1">
      <c r="A4884" s="21">
        <v>911490</v>
      </c>
      <c r="B4884" s="21" t="s">
        <v>4922</v>
      </c>
      <c r="C4884" s="21" t="s">
        <v>6180</v>
      </c>
      <c r="D4884" s="21" t="s">
        <v>11</v>
      </c>
      <c r="E4884" s="21" t="s">
        <v>11</v>
      </c>
    </row>
    <row r="4885" spans="1:5" s="21" customFormat="1" ht="15.75" hidden="1" customHeight="1">
      <c r="A4885" s="21">
        <v>920110</v>
      </c>
      <c r="B4885" s="21" t="s">
        <v>4923</v>
      </c>
      <c r="C4885" s="21" t="s">
        <v>6181</v>
      </c>
      <c r="D4885" s="21" t="s">
        <v>11</v>
      </c>
      <c r="E4885" s="21" t="s">
        <v>11</v>
      </c>
    </row>
    <row r="4886" spans="1:5" s="21" customFormat="1" ht="15.75" hidden="1" customHeight="1">
      <c r="A4886" s="21">
        <v>920120</v>
      </c>
      <c r="B4886" s="21" t="s">
        <v>4924</v>
      </c>
      <c r="C4886" s="21" t="s">
        <v>6181</v>
      </c>
      <c r="D4886" s="21" t="s">
        <v>11</v>
      </c>
      <c r="E4886" s="21" t="s">
        <v>11</v>
      </c>
    </row>
    <row r="4887" spans="1:5" s="21" customFormat="1" ht="15.75" hidden="1" customHeight="1">
      <c r="A4887" s="21">
        <v>920190</v>
      </c>
      <c r="B4887" s="21" t="s">
        <v>4925</v>
      </c>
      <c r="C4887" s="21" t="s">
        <v>6181</v>
      </c>
      <c r="D4887" s="21" t="s">
        <v>11</v>
      </c>
      <c r="E4887" s="21" t="s">
        <v>11</v>
      </c>
    </row>
    <row r="4888" spans="1:5" s="21" customFormat="1" ht="15.75" hidden="1" customHeight="1">
      <c r="A4888" s="21">
        <v>920210</v>
      </c>
      <c r="B4888" s="21" t="s">
        <v>4926</v>
      </c>
      <c r="C4888" s="21" t="s">
        <v>6181</v>
      </c>
      <c r="D4888" s="21" t="s">
        <v>11</v>
      </c>
      <c r="E4888" s="21" t="s">
        <v>11</v>
      </c>
    </row>
    <row r="4889" spans="1:5" s="21" customFormat="1" ht="15.75" hidden="1" customHeight="1">
      <c r="A4889" s="21">
        <v>920290</v>
      </c>
      <c r="B4889" s="21" t="s">
        <v>4927</v>
      </c>
      <c r="C4889" s="21" t="s">
        <v>6181</v>
      </c>
      <c r="D4889" s="21" t="s">
        <v>11</v>
      </c>
      <c r="E4889" s="21" t="s">
        <v>11</v>
      </c>
    </row>
    <row r="4890" spans="1:5" s="21" customFormat="1" ht="15.75" hidden="1" customHeight="1">
      <c r="A4890" s="21">
        <v>920510</v>
      </c>
      <c r="B4890" s="21" t="s">
        <v>4928</v>
      </c>
      <c r="C4890" s="21" t="s">
        <v>6181</v>
      </c>
      <c r="D4890" s="21" t="s">
        <v>11</v>
      </c>
      <c r="E4890" s="21" t="s">
        <v>11</v>
      </c>
    </row>
    <row r="4891" spans="1:5" s="21" customFormat="1" ht="15.75" hidden="1" customHeight="1">
      <c r="A4891" s="21">
        <v>920590</v>
      </c>
      <c r="B4891" s="21" t="s">
        <v>4929</v>
      </c>
      <c r="C4891" s="21" t="s">
        <v>6181</v>
      </c>
      <c r="D4891" s="21" t="s">
        <v>11</v>
      </c>
      <c r="E4891" s="21" t="s">
        <v>11</v>
      </c>
    </row>
    <row r="4892" spans="1:5" s="21" customFormat="1" ht="15.75" hidden="1" customHeight="1">
      <c r="A4892" s="21">
        <v>920600</v>
      </c>
      <c r="B4892" s="21" t="s">
        <v>4930</v>
      </c>
      <c r="C4892" s="21" t="s">
        <v>6181</v>
      </c>
      <c r="D4892" s="21" t="s">
        <v>11</v>
      </c>
      <c r="E4892" s="21" t="s">
        <v>11</v>
      </c>
    </row>
    <row r="4893" spans="1:5" s="21" customFormat="1" ht="15.75" hidden="1" customHeight="1">
      <c r="A4893" s="21">
        <v>920710</v>
      </c>
      <c r="B4893" s="21" t="s">
        <v>4931</v>
      </c>
      <c r="C4893" s="21" t="s">
        <v>6181</v>
      </c>
      <c r="D4893" s="21" t="s">
        <v>11</v>
      </c>
      <c r="E4893" s="21" t="s">
        <v>11</v>
      </c>
    </row>
    <row r="4894" spans="1:5" s="21" customFormat="1" ht="15.75" hidden="1" customHeight="1">
      <c r="A4894" s="21">
        <v>920790</v>
      </c>
      <c r="B4894" s="21" t="s">
        <v>4932</v>
      </c>
      <c r="C4894" s="21" t="s">
        <v>6181</v>
      </c>
      <c r="D4894" s="21" t="s">
        <v>11</v>
      </c>
      <c r="E4894" s="21" t="s">
        <v>11</v>
      </c>
    </row>
    <row r="4895" spans="1:5" s="21" customFormat="1" ht="15.75" hidden="1" customHeight="1">
      <c r="A4895" s="21">
        <v>920810</v>
      </c>
      <c r="B4895" s="21" t="s">
        <v>4933</v>
      </c>
      <c r="C4895" s="21" t="s">
        <v>4933</v>
      </c>
      <c r="D4895" s="21" t="s">
        <v>11</v>
      </c>
      <c r="E4895" s="21" t="s">
        <v>11</v>
      </c>
    </row>
    <row r="4896" spans="1:5" s="21" customFormat="1" ht="15.75" hidden="1" customHeight="1">
      <c r="A4896" s="21">
        <v>920890</v>
      </c>
      <c r="B4896" s="21" t="s">
        <v>4934</v>
      </c>
      <c r="C4896" s="21" t="s">
        <v>6182</v>
      </c>
      <c r="D4896" s="21" t="s">
        <v>11</v>
      </c>
      <c r="E4896" s="21" t="s">
        <v>11</v>
      </c>
    </row>
    <row r="4897" spans="1:5" s="21" customFormat="1" ht="15.75" hidden="1" customHeight="1">
      <c r="A4897" s="21">
        <v>920930</v>
      </c>
      <c r="B4897" s="21" t="s">
        <v>4935</v>
      </c>
      <c r="C4897" s="21" t="s">
        <v>4935</v>
      </c>
      <c r="D4897" s="21" t="s">
        <v>11</v>
      </c>
      <c r="E4897" s="21" t="s">
        <v>11</v>
      </c>
    </row>
    <row r="4898" spans="1:5" s="21" customFormat="1" ht="15.75" hidden="1" customHeight="1">
      <c r="A4898" s="21">
        <v>920991</v>
      </c>
      <c r="B4898" s="21" t="s">
        <v>4936</v>
      </c>
      <c r="C4898" s="21" t="s">
        <v>6181</v>
      </c>
      <c r="D4898" s="21" t="s">
        <v>11</v>
      </c>
      <c r="E4898" s="21" t="s">
        <v>11</v>
      </c>
    </row>
    <row r="4899" spans="1:5" s="21" customFormat="1" ht="15.75" hidden="1" customHeight="1">
      <c r="A4899" s="21">
        <v>920992</v>
      </c>
      <c r="B4899" s="21" t="s">
        <v>4937</v>
      </c>
      <c r="C4899" s="21" t="s">
        <v>6181</v>
      </c>
      <c r="D4899" s="21" t="s">
        <v>11</v>
      </c>
      <c r="E4899" s="21" t="s">
        <v>11</v>
      </c>
    </row>
    <row r="4900" spans="1:5" s="21" customFormat="1" ht="15.75" hidden="1" customHeight="1">
      <c r="A4900" s="21">
        <v>920994</v>
      </c>
      <c r="B4900" s="21" t="s">
        <v>4938</v>
      </c>
      <c r="C4900" s="21" t="s">
        <v>6181</v>
      </c>
      <c r="D4900" s="21" t="s">
        <v>11</v>
      </c>
      <c r="E4900" s="21" t="s">
        <v>11</v>
      </c>
    </row>
    <row r="4901" spans="1:5" s="21" customFormat="1" ht="15.75" hidden="1" customHeight="1">
      <c r="A4901" s="21">
        <v>920999</v>
      </c>
      <c r="B4901" s="21" t="s">
        <v>4939</v>
      </c>
      <c r="C4901" s="21" t="s">
        <v>6181</v>
      </c>
      <c r="D4901" s="21" t="s">
        <v>11</v>
      </c>
      <c r="E4901" s="21" t="s">
        <v>11</v>
      </c>
    </row>
    <row r="4902" spans="1:5" s="21" customFormat="1" ht="15.75" hidden="1" customHeight="1">
      <c r="A4902" s="21">
        <v>930111</v>
      </c>
      <c r="B4902" s="21" t="s">
        <v>4940</v>
      </c>
      <c r="C4902" s="21" t="s">
        <v>6183</v>
      </c>
      <c r="D4902" s="21" t="s">
        <v>11</v>
      </c>
      <c r="E4902" s="21" t="s">
        <v>11</v>
      </c>
    </row>
    <row r="4903" spans="1:5" s="21" customFormat="1" ht="15.75" hidden="1" customHeight="1">
      <c r="A4903" s="21">
        <v>930119</v>
      </c>
      <c r="B4903" s="21" t="s">
        <v>4941</v>
      </c>
      <c r="C4903" s="21" t="s">
        <v>6183</v>
      </c>
      <c r="D4903" s="21" t="s">
        <v>11</v>
      </c>
      <c r="E4903" s="21" t="s">
        <v>11</v>
      </c>
    </row>
    <row r="4904" spans="1:5" s="21" customFormat="1" ht="15.75" hidden="1" customHeight="1">
      <c r="A4904" s="21">
        <v>930120</v>
      </c>
      <c r="B4904" s="21" t="s">
        <v>4942</v>
      </c>
      <c r="C4904" s="21" t="s">
        <v>6183</v>
      </c>
      <c r="D4904" s="21" t="s">
        <v>11</v>
      </c>
      <c r="E4904" s="21" t="s">
        <v>11</v>
      </c>
    </row>
    <row r="4905" spans="1:5" s="21" customFormat="1" ht="15.75" hidden="1" customHeight="1">
      <c r="A4905" s="21">
        <v>930190</v>
      </c>
      <c r="B4905" s="21" t="s">
        <v>4943</v>
      </c>
      <c r="C4905" s="21" t="s">
        <v>6183</v>
      </c>
      <c r="D4905" s="21" t="s">
        <v>11</v>
      </c>
      <c r="E4905" s="21" t="s">
        <v>11</v>
      </c>
    </row>
    <row r="4906" spans="1:5" s="21" customFormat="1" ht="15.75" hidden="1" customHeight="1">
      <c r="A4906" s="21">
        <v>930200</v>
      </c>
      <c r="B4906" s="21" t="s">
        <v>4944</v>
      </c>
      <c r="C4906" s="21" t="s">
        <v>6184</v>
      </c>
      <c r="D4906" s="21" t="s">
        <v>11</v>
      </c>
      <c r="E4906" s="21" t="s">
        <v>11</v>
      </c>
    </row>
    <row r="4907" spans="1:5" s="21" customFormat="1" ht="15.75" hidden="1" customHeight="1">
      <c r="A4907" s="21">
        <v>930310</v>
      </c>
      <c r="B4907" s="21" t="s">
        <v>4945</v>
      </c>
      <c r="C4907" s="21" t="s">
        <v>6185</v>
      </c>
      <c r="D4907" s="21" t="s">
        <v>11</v>
      </c>
      <c r="E4907" s="21" t="s">
        <v>11</v>
      </c>
    </row>
    <row r="4908" spans="1:5" s="21" customFormat="1" ht="15.75" hidden="1" customHeight="1">
      <c r="A4908" s="21">
        <v>930320</v>
      </c>
      <c r="B4908" s="21" t="s">
        <v>4946</v>
      </c>
      <c r="C4908" s="21" t="s">
        <v>6185</v>
      </c>
      <c r="D4908" s="21" t="s">
        <v>11</v>
      </c>
      <c r="E4908" s="21" t="s">
        <v>11</v>
      </c>
    </row>
    <row r="4909" spans="1:5" s="21" customFormat="1" ht="15.75" hidden="1" customHeight="1">
      <c r="A4909" s="21">
        <v>930330</v>
      </c>
      <c r="B4909" s="21" t="s">
        <v>4947</v>
      </c>
      <c r="C4909" s="21" t="s">
        <v>6185</v>
      </c>
      <c r="D4909" s="21" t="s">
        <v>11</v>
      </c>
      <c r="E4909" s="21" t="s">
        <v>11</v>
      </c>
    </row>
    <row r="4910" spans="1:5" s="21" customFormat="1" ht="15.75" hidden="1" customHeight="1">
      <c r="A4910" s="21">
        <v>930390</v>
      </c>
      <c r="B4910" s="21" t="s">
        <v>4948</v>
      </c>
      <c r="C4910" s="21" t="s">
        <v>6185</v>
      </c>
      <c r="D4910" s="21" t="s">
        <v>11</v>
      </c>
      <c r="E4910" s="21" t="s">
        <v>11</v>
      </c>
    </row>
    <row r="4911" spans="1:5" s="21" customFormat="1" ht="15.75" hidden="1" customHeight="1">
      <c r="A4911" s="21">
        <v>930400</v>
      </c>
      <c r="B4911" s="21" t="s">
        <v>4949</v>
      </c>
      <c r="C4911" s="21" t="s">
        <v>6185</v>
      </c>
      <c r="D4911" s="21" t="s">
        <v>11</v>
      </c>
      <c r="E4911" s="21" t="s">
        <v>11</v>
      </c>
    </row>
    <row r="4912" spans="1:5" s="21" customFormat="1" ht="15.75" hidden="1" customHeight="1">
      <c r="A4912" s="21">
        <v>930510</v>
      </c>
      <c r="B4912" s="21" t="s">
        <v>4950</v>
      </c>
      <c r="C4912" s="21" t="s">
        <v>6185</v>
      </c>
      <c r="D4912" s="21" t="s">
        <v>11</v>
      </c>
      <c r="E4912" s="21" t="s">
        <v>11</v>
      </c>
    </row>
    <row r="4913" spans="1:5" s="21" customFormat="1" ht="15.75" hidden="1" customHeight="1">
      <c r="A4913" s="21">
        <v>930521</v>
      </c>
      <c r="B4913" s="21" t="s">
        <v>4951</v>
      </c>
      <c r="C4913" s="21" t="s">
        <v>6185</v>
      </c>
      <c r="D4913" s="21" t="s">
        <v>11</v>
      </c>
      <c r="E4913" s="21" t="s">
        <v>11</v>
      </c>
    </row>
    <row r="4914" spans="1:5" s="21" customFormat="1" ht="15.75" hidden="1" customHeight="1">
      <c r="A4914" s="21">
        <v>930529</v>
      </c>
      <c r="B4914" s="21" t="s">
        <v>4952</v>
      </c>
      <c r="C4914" s="21" t="s">
        <v>6185</v>
      </c>
      <c r="D4914" s="21" t="s">
        <v>11</v>
      </c>
      <c r="E4914" s="21" t="s">
        <v>11</v>
      </c>
    </row>
    <row r="4915" spans="1:5" s="21" customFormat="1" ht="15.75" hidden="1" customHeight="1">
      <c r="A4915" s="21">
        <v>930591</v>
      </c>
      <c r="B4915" s="21" t="s">
        <v>4953</v>
      </c>
      <c r="C4915" s="21" t="s">
        <v>6185</v>
      </c>
      <c r="D4915" s="21" t="s">
        <v>11</v>
      </c>
      <c r="E4915" s="21" t="s">
        <v>11</v>
      </c>
    </row>
    <row r="4916" spans="1:5" s="21" customFormat="1" ht="15.75" hidden="1" customHeight="1">
      <c r="A4916" s="21">
        <v>930599</v>
      </c>
      <c r="B4916" s="21" t="s">
        <v>4954</v>
      </c>
      <c r="C4916" s="21" t="s">
        <v>6185</v>
      </c>
      <c r="D4916" s="21" t="s">
        <v>11</v>
      </c>
      <c r="E4916" s="21" t="s">
        <v>11</v>
      </c>
    </row>
    <row r="4917" spans="1:5" s="21" customFormat="1" ht="15.75" hidden="1" customHeight="1">
      <c r="A4917" s="21">
        <v>930621</v>
      </c>
      <c r="B4917" s="21" t="s">
        <v>4955</v>
      </c>
      <c r="C4917" s="21" t="s">
        <v>6186</v>
      </c>
      <c r="D4917" s="21" t="s">
        <v>11</v>
      </c>
      <c r="E4917" s="21" t="s">
        <v>11</v>
      </c>
    </row>
    <row r="4918" spans="1:5" s="21" customFormat="1" ht="15.75" hidden="1" customHeight="1">
      <c r="A4918" s="21">
        <v>930629</v>
      </c>
      <c r="B4918" s="21" t="s">
        <v>4956</v>
      </c>
      <c r="C4918" s="21" t="s">
        <v>6186</v>
      </c>
      <c r="D4918" s="21" t="s">
        <v>11</v>
      </c>
      <c r="E4918" s="21" t="s">
        <v>11</v>
      </c>
    </row>
    <row r="4919" spans="1:5" s="21" customFormat="1" ht="15.75" hidden="1" customHeight="1">
      <c r="A4919" s="21">
        <v>930630</v>
      </c>
      <c r="B4919" s="21" t="s">
        <v>4957</v>
      </c>
      <c r="C4919" s="21" t="s">
        <v>6186</v>
      </c>
      <c r="D4919" s="21" t="s">
        <v>11</v>
      </c>
      <c r="E4919" s="21" t="s">
        <v>11</v>
      </c>
    </row>
    <row r="4920" spans="1:5" s="21" customFormat="1" ht="15.75" hidden="1" customHeight="1">
      <c r="A4920" s="21">
        <v>930690</v>
      </c>
      <c r="B4920" s="21" t="s">
        <v>4958</v>
      </c>
      <c r="C4920" s="21" t="s">
        <v>6186</v>
      </c>
      <c r="D4920" s="21" t="s">
        <v>11</v>
      </c>
      <c r="E4920" s="21" t="s">
        <v>11</v>
      </c>
    </row>
    <row r="4921" spans="1:5" s="21" customFormat="1" ht="15.75" hidden="1" customHeight="1">
      <c r="A4921" s="21">
        <v>930700</v>
      </c>
      <c r="B4921" s="21" t="s">
        <v>4959</v>
      </c>
      <c r="C4921" s="21" t="s">
        <v>6187</v>
      </c>
      <c r="D4921" s="21" t="s">
        <v>11</v>
      </c>
      <c r="E4921" s="21" t="s">
        <v>11</v>
      </c>
    </row>
    <row r="4922" spans="1:5" s="21" customFormat="1" ht="15.75" hidden="1" customHeight="1">
      <c r="A4922" s="21">
        <v>940110</v>
      </c>
      <c r="B4922" s="21" t="s">
        <v>4960</v>
      </c>
      <c r="C4922" s="21" t="s">
        <v>6188</v>
      </c>
      <c r="D4922" s="21" t="s">
        <v>11</v>
      </c>
      <c r="E4922" s="21" t="s">
        <v>11</v>
      </c>
    </row>
    <row r="4923" spans="1:5" s="21" customFormat="1" ht="15.75" hidden="1" customHeight="1">
      <c r="A4923" s="21">
        <v>940120</v>
      </c>
      <c r="B4923" s="21" t="s">
        <v>4961</v>
      </c>
      <c r="C4923" s="21" t="s">
        <v>6188</v>
      </c>
      <c r="D4923" s="21" t="s">
        <v>11</v>
      </c>
      <c r="E4923" s="21" t="s">
        <v>11</v>
      </c>
    </row>
    <row r="4924" spans="1:5" s="21" customFormat="1" ht="15.75" hidden="1" customHeight="1">
      <c r="A4924" s="21">
        <v>940130</v>
      </c>
      <c r="B4924" s="21" t="s">
        <v>4962</v>
      </c>
      <c r="C4924" s="21" t="s">
        <v>6188</v>
      </c>
      <c r="D4924" s="21" t="s">
        <v>11</v>
      </c>
      <c r="E4924" s="21" t="s">
        <v>11</v>
      </c>
    </row>
    <row r="4925" spans="1:5" s="21" customFormat="1" ht="15.75" hidden="1" customHeight="1">
      <c r="A4925" s="21">
        <v>940140</v>
      </c>
      <c r="B4925" s="21" t="s">
        <v>4963</v>
      </c>
      <c r="C4925" s="21" t="s">
        <v>6188</v>
      </c>
      <c r="D4925" s="21" t="s">
        <v>11</v>
      </c>
      <c r="E4925" s="21" t="s">
        <v>11</v>
      </c>
    </row>
    <row r="4926" spans="1:5" s="21" customFormat="1" ht="15.75" hidden="1" customHeight="1">
      <c r="A4926" s="21">
        <v>940151</v>
      </c>
      <c r="B4926" s="21" t="s">
        <v>4964</v>
      </c>
      <c r="C4926" s="21" t="s">
        <v>6188</v>
      </c>
      <c r="D4926" s="21" t="s">
        <v>11</v>
      </c>
      <c r="E4926" s="21" t="s">
        <v>11</v>
      </c>
    </row>
    <row r="4927" spans="1:5" s="21" customFormat="1" ht="15.75" hidden="1" customHeight="1">
      <c r="A4927" s="21">
        <v>940159</v>
      </c>
      <c r="B4927" s="21" t="s">
        <v>4965</v>
      </c>
      <c r="C4927" s="21" t="s">
        <v>6188</v>
      </c>
      <c r="D4927" s="21" t="s">
        <v>11</v>
      </c>
      <c r="E4927" s="21" t="s">
        <v>11</v>
      </c>
    </row>
    <row r="4928" spans="1:5" s="21" customFormat="1" ht="15.75" hidden="1" customHeight="1">
      <c r="A4928" s="21">
        <v>940161</v>
      </c>
      <c r="B4928" s="21" t="s">
        <v>4966</v>
      </c>
      <c r="C4928" s="21" t="s">
        <v>6188</v>
      </c>
      <c r="D4928" s="21" t="s">
        <v>11</v>
      </c>
      <c r="E4928" s="21" t="s">
        <v>11</v>
      </c>
    </row>
    <row r="4929" spans="1:11" s="21" customFormat="1" ht="15.75" hidden="1" customHeight="1">
      <c r="A4929" s="21">
        <v>940169</v>
      </c>
      <c r="B4929" s="21" t="s">
        <v>4967</v>
      </c>
      <c r="C4929" s="21" t="s">
        <v>6188</v>
      </c>
      <c r="D4929" s="21" t="s">
        <v>11</v>
      </c>
      <c r="E4929" s="21" t="s">
        <v>11</v>
      </c>
    </row>
    <row r="4930" spans="1:11" s="21" customFormat="1" ht="15.75" hidden="1" customHeight="1">
      <c r="A4930" s="21">
        <v>940171</v>
      </c>
      <c r="B4930" s="21" t="s">
        <v>4968</v>
      </c>
      <c r="C4930" s="21" t="s">
        <v>6188</v>
      </c>
      <c r="D4930" s="21" t="s">
        <v>11</v>
      </c>
      <c r="E4930" s="21" t="s">
        <v>11</v>
      </c>
    </row>
    <row r="4931" spans="1:11" s="21" customFormat="1" ht="15.75" hidden="1" customHeight="1">
      <c r="A4931" s="21">
        <v>940179</v>
      </c>
      <c r="B4931" s="21" t="s">
        <v>4969</v>
      </c>
      <c r="C4931" s="21" t="s">
        <v>6188</v>
      </c>
      <c r="D4931" s="21" t="s">
        <v>11</v>
      </c>
      <c r="E4931" s="21" t="s">
        <v>11</v>
      </c>
    </row>
    <row r="4932" spans="1:11" s="21" customFormat="1" ht="15.75" hidden="1" customHeight="1">
      <c r="A4932" s="21">
        <v>940180</v>
      </c>
      <c r="B4932" s="21" t="s">
        <v>4970</v>
      </c>
      <c r="C4932" s="21" t="s">
        <v>6188</v>
      </c>
      <c r="D4932" s="21" t="s">
        <v>11</v>
      </c>
      <c r="E4932" s="21" t="s">
        <v>11</v>
      </c>
    </row>
    <row r="4933" spans="1:11" s="21" customFormat="1" ht="15.75" hidden="1" customHeight="1">
      <c r="A4933" s="21">
        <v>940190</v>
      </c>
      <c r="B4933" s="21" t="s">
        <v>4971</v>
      </c>
      <c r="C4933" s="21" t="s">
        <v>6189</v>
      </c>
      <c r="D4933" s="21" t="s">
        <v>11</v>
      </c>
      <c r="E4933" s="21" t="s">
        <v>11</v>
      </c>
    </row>
    <row r="4934" spans="1:11" s="21" customFormat="1" ht="15.75" hidden="1" customHeight="1">
      <c r="A4934" s="21">
        <v>940210</v>
      </c>
      <c r="B4934" s="21" t="s">
        <v>4972</v>
      </c>
      <c r="C4934" s="21" t="s">
        <v>6190</v>
      </c>
      <c r="D4934" s="21" t="s">
        <v>11</v>
      </c>
      <c r="E4934" s="21" t="s">
        <v>11</v>
      </c>
    </row>
    <row r="4935" spans="1:11" s="21" customFormat="1" ht="15.75" hidden="1" customHeight="1">
      <c r="A4935" s="21">
        <v>940310</v>
      </c>
      <c r="B4935" s="21" t="s">
        <v>4976</v>
      </c>
      <c r="C4935" s="21" t="s">
        <v>6191</v>
      </c>
      <c r="D4935" s="21" t="s">
        <v>11</v>
      </c>
      <c r="E4935" s="21" t="s">
        <v>11</v>
      </c>
    </row>
    <row r="4936" spans="1:11" s="21" customFormat="1" ht="15.75" hidden="1" customHeight="1">
      <c r="A4936" s="21">
        <v>940320</v>
      </c>
      <c r="B4936" s="21" t="s">
        <v>4977</v>
      </c>
      <c r="C4936" s="21" t="s">
        <v>6191</v>
      </c>
      <c r="D4936" s="21" t="s">
        <v>11</v>
      </c>
      <c r="E4936" s="21" t="s">
        <v>11</v>
      </c>
    </row>
    <row r="4937" spans="1:11" s="21" customFormat="1" ht="15.75" hidden="1" customHeight="1">
      <c r="A4937" s="21">
        <v>940330</v>
      </c>
      <c r="B4937" s="21" t="s">
        <v>4978</v>
      </c>
      <c r="C4937" s="21" t="s">
        <v>6191</v>
      </c>
      <c r="D4937" s="21" t="s">
        <v>11</v>
      </c>
      <c r="E4937" s="21" t="s">
        <v>11</v>
      </c>
    </row>
    <row r="4938" spans="1:11" s="21" customFormat="1" ht="15.75" hidden="1" customHeight="1">
      <c r="A4938" s="21">
        <v>940340</v>
      </c>
      <c r="B4938" s="21" t="s">
        <v>4979</v>
      </c>
      <c r="C4938" s="21" t="s">
        <v>6191</v>
      </c>
      <c r="D4938" s="21" t="s">
        <v>11</v>
      </c>
      <c r="E4938" s="21" t="s">
        <v>11</v>
      </c>
    </row>
    <row r="4939" spans="1:11" ht="15.75" hidden="1" customHeight="1">
      <c r="A4939" s="23">
        <v>940350</v>
      </c>
      <c r="B4939" s="23" t="s">
        <v>4980</v>
      </c>
      <c r="C4939" s="21" t="s">
        <v>6191</v>
      </c>
      <c r="D4939" s="23" t="s">
        <v>11</v>
      </c>
      <c r="E4939" s="21" t="s">
        <v>11</v>
      </c>
      <c r="F4939" s="23"/>
      <c r="G4939" s="24"/>
      <c r="H4939" s="24"/>
      <c r="I4939" s="24"/>
      <c r="J4939" s="24"/>
      <c r="K4939" s="24"/>
    </row>
    <row r="4940" spans="1:11" s="21" customFormat="1" ht="15.75" hidden="1" customHeight="1">
      <c r="A4940" s="21">
        <v>940360</v>
      </c>
      <c r="B4940" s="21" t="s">
        <v>4981</v>
      </c>
      <c r="C4940" s="21" t="s">
        <v>6191</v>
      </c>
      <c r="D4940" s="21" t="s">
        <v>11</v>
      </c>
      <c r="E4940" s="21" t="s">
        <v>11</v>
      </c>
    </row>
    <row r="4941" spans="1:11" s="21" customFormat="1" ht="15.75" hidden="1" customHeight="1">
      <c r="A4941" s="21">
        <v>940370</v>
      </c>
      <c r="B4941" s="21" t="s">
        <v>4982</v>
      </c>
      <c r="C4941" s="21" t="s">
        <v>6191</v>
      </c>
      <c r="D4941" s="21" t="s">
        <v>11</v>
      </c>
      <c r="E4941" s="21" t="s">
        <v>11</v>
      </c>
    </row>
    <row r="4942" spans="1:11" s="21" customFormat="1" ht="15.75" hidden="1" customHeight="1">
      <c r="A4942" s="21">
        <v>940381</v>
      </c>
      <c r="B4942" s="21" t="s">
        <v>4983</v>
      </c>
      <c r="C4942" s="21" t="s">
        <v>6191</v>
      </c>
      <c r="D4942" s="21" t="s">
        <v>11</v>
      </c>
      <c r="E4942" s="21" t="s">
        <v>11</v>
      </c>
    </row>
    <row r="4943" spans="1:11" s="21" customFormat="1" ht="15.75" hidden="1" customHeight="1">
      <c r="A4943" s="21">
        <v>940389</v>
      </c>
      <c r="B4943" s="21" t="s">
        <v>4984</v>
      </c>
      <c r="C4943" s="21" t="s">
        <v>6191</v>
      </c>
      <c r="D4943" s="21" t="s">
        <v>11</v>
      </c>
      <c r="E4943" s="21" t="s">
        <v>11</v>
      </c>
    </row>
    <row r="4944" spans="1:11" s="21" customFormat="1" ht="15.75" hidden="1" customHeight="1">
      <c r="A4944" s="21">
        <v>940390</v>
      </c>
      <c r="B4944" s="21" t="s">
        <v>4985</v>
      </c>
      <c r="C4944" s="21" t="s">
        <v>6191</v>
      </c>
      <c r="D4944" s="21" t="s">
        <v>11</v>
      </c>
      <c r="E4944" s="21" t="s">
        <v>11</v>
      </c>
    </row>
    <row r="4945" spans="1:5" s="21" customFormat="1" ht="15.75" hidden="1" customHeight="1">
      <c r="A4945" s="21">
        <v>940410</v>
      </c>
      <c r="B4945" s="21" t="s">
        <v>4986</v>
      </c>
      <c r="C4945" s="21" t="s">
        <v>4986</v>
      </c>
      <c r="D4945" s="21" t="s">
        <v>11</v>
      </c>
      <c r="E4945" s="21" t="s">
        <v>11</v>
      </c>
    </row>
    <row r="4946" spans="1:5" s="21" customFormat="1" ht="15.75" hidden="1" customHeight="1">
      <c r="A4946" s="21">
        <v>940421</v>
      </c>
      <c r="B4946" s="21" t="s">
        <v>4987</v>
      </c>
      <c r="C4946" s="21" t="s">
        <v>6192</v>
      </c>
      <c r="D4946" s="21" t="s">
        <v>11</v>
      </c>
      <c r="E4946" s="21" t="s">
        <v>11</v>
      </c>
    </row>
    <row r="4947" spans="1:5" s="21" customFormat="1" ht="15.75" hidden="1" customHeight="1">
      <c r="A4947" s="21">
        <v>940429</v>
      </c>
      <c r="B4947" s="21" t="s">
        <v>4988</v>
      </c>
      <c r="C4947" s="21" t="s">
        <v>6192</v>
      </c>
      <c r="D4947" s="21" t="s">
        <v>11</v>
      </c>
      <c r="E4947" s="21" t="s">
        <v>11</v>
      </c>
    </row>
    <row r="4948" spans="1:5" s="21" customFormat="1" ht="15.75" hidden="1" customHeight="1">
      <c r="A4948" s="21">
        <v>940430</v>
      </c>
      <c r="B4948" s="21" t="s">
        <v>4989</v>
      </c>
      <c r="C4948" s="21" t="s">
        <v>4989</v>
      </c>
      <c r="D4948" s="21" t="s">
        <v>11</v>
      </c>
      <c r="E4948" s="21" t="s">
        <v>11</v>
      </c>
    </row>
    <row r="4949" spans="1:5" s="21" customFormat="1" ht="15.75" hidden="1" customHeight="1">
      <c r="A4949" s="21">
        <v>940490</v>
      </c>
      <c r="B4949" s="21" t="s">
        <v>4990</v>
      </c>
      <c r="C4949" s="21" t="s">
        <v>6193</v>
      </c>
      <c r="D4949" s="21" t="s">
        <v>11</v>
      </c>
      <c r="E4949" s="21" t="s">
        <v>11</v>
      </c>
    </row>
    <row r="4950" spans="1:5" s="21" customFormat="1" ht="15.75" hidden="1" customHeight="1">
      <c r="A4950" s="21">
        <v>940510</v>
      </c>
      <c r="B4950" s="21" t="s">
        <v>4991</v>
      </c>
      <c r="C4950" s="21" t="s">
        <v>6194</v>
      </c>
      <c r="D4950" s="21" t="s">
        <v>11</v>
      </c>
      <c r="E4950" s="21" t="s">
        <v>11</v>
      </c>
    </row>
    <row r="4951" spans="1:5" s="21" customFormat="1" ht="15.75" hidden="1" customHeight="1">
      <c r="A4951" s="21">
        <v>940520</v>
      </c>
      <c r="B4951" s="21" t="s">
        <v>4992</v>
      </c>
      <c r="C4951" s="21" t="s">
        <v>6195</v>
      </c>
      <c r="D4951" s="21" t="s">
        <v>11</v>
      </c>
      <c r="E4951" s="21" t="s">
        <v>11</v>
      </c>
    </row>
    <row r="4952" spans="1:5" s="21" customFormat="1" ht="15.75" hidden="1" customHeight="1">
      <c r="A4952" s="21">
        <v>940530</v>
      </c>
      <c r="B4952" s="21" t="s">
        <v>4993</v>
      </c>
      <c r="C4952" s="21" t="s">
        <v>6196</v>
      </c>
      <c r="D4952" s="21" t="s">
        <v>11</v>
      </c>
      <c r="E4952" s="21" t="s">
        <v>11</v>
      </c>
    </row>
    <row r="4953" spans="1:5" s="21" customFormat="1" ht="15.75" hidden="1" customHeight="1">
      <c r="A4953" s="21">
        <v>940540</v>
      </c>
      <c r="B4953" s="21" t="s">
        <v>4994</v>
      </c>
      <c r="C4953" s="21" t="s">
        <v>6197</v>
      </c>
      <c r="D4953" s="21" t="s">
        <v>11</v>
      </c>
      <c r="E4953" s="21" t="s">
        <v>11</v>
      </c>
    </row>
    <row r="4954" spans="1:5" s="21" customFormat="1" ht="15.75" hidden="1" customHeight="1">
      <c r="A4954" s="21">
        <v>940550</v>
      </c>
      <c r="B4954" s="21" t="s">
        <v>4995</v>
      </c>
      <c r="C4954" s="21" t="s">
        <v>6197</v>
      </c>
      <c r="D4954" s="21" t="s">
        <v>11</v>
      </c>
      <c r="E4954" s="21" t="s">
        <v>11</v>
      </c>
    </row>
    <row r="4955" spans="1:5" s="21" customFormat="1" ht="15.75" hidden="1" customHeight="1">
      <c r="A4955" s="21">
        <v>940560</v>
      </c>
      <c r="B4955" s="21" t="s">
        <v>4996</v>
      </c>
      <c r="C4955" s="21" t="s">
        <v>4996</v>
      </c>
      <c r="D4955" s="21" t="s">
        <v>11</v>
      </c>
      <c r="E4955" s="21" t="s">
        <v>11</v>
      </c>
    </row>
    <row r="4956" spans="1:5" s="21" customFormat="1" ht="15.75" hidden="1" customHeight="1">
      <c r="A4956" s="21">
        <v>940591</v>
      </c>
      <c r="B4956" s="21" t="s">
        <v>4997</v>
      </c>
      <c r="C4956" s="21" t="s">
        <v>6197</v>
      </c>
      <c r="D4956" s="21" t="s">
        <v>11</v>
      </c>
      <c r="E4956" s="21" t="s">
        <v>11</v>
      </c>
    </row>
    <row r="4957" spans="1:5" s="21" customFormat="1" ht="15.75" hidden="1" customHeight="1">
      <c r="A4957" s="21">
        <v>940592</v>
      </c>
      <c r="B4957" s="21" t="s">
        <v>4998</v>
      </c>
      <c r="C4957" s="21" t="s">
        <v>6197</v>
      </c>
      <c r="D4957" s="21" t="s">
        <v>11</v>
      </c>
      <c r="E4957" s="21" t="s">
        <v>11</v>
      </c>
    </row>
    <row r="4958" spans="1:5" s="21" customFormat="1" ht="15.75" hidden="1" customHeight="1">
      <c r="A4958" s="21">
        <v>940599</v>
      </c>
      <c r="B4958" s="21" t="s">
        <v>4999</v>
      </c>
      <c r="C4958" s="21" t="s">
        <v>6197</v>
      </c>
      <c r="D4958" s="21" t="s">
        <v>11</v>
      </c>
      <c r="E4958" s="21" t="s">
        <v>11</v>
      </c>
    </row>
    <row r="4959" spans="1:5" s="21" customFormat="1" ht="15.75" hidden="1" customHeight="1">
      <c r="A4959" s="21">
        <v>940600</v>
      </c>
      <c r="B4959" s="21" t="s">
        <v>5000</v>
      </c>
      <c r="C4959" s="21" t="s">
        <v>6198</v>
      </c>
      <c r="D4959" s="21" t="s">
        <v>11</v>
      </c>
      <c r="E4959" s="21" t="s">
        <v>11</v>
      </c>
    </row>
    <row r="4960" spans="1:5" s="21" customFormat="1" ht="15.75" hidden="1" customHeight="1">
      <c r="A4960" s="21">
        <v>950300</v>
      </c>
      <c r="B4960" s="21" t="s">
        <v>5001</v>
      </c>
      <c r="C4960" s="21" t="s">
        <v>6199</v>
      </c>
      <c r="D4960" s="21" t="s">
        <v>11</v>
      </c>
      <c r="E4960" s="21" t="s">
        <v>11</v>
      </c>
    </row>
    <row r="4961" spans="1:5" s="21" customFormat="1" ht="15.75" hidden="1" customHeight="1">
      <c r="A4961" s="21">
        <v>950410</v>
      </c>
      <c r="B4961" s="21" t="s">
        <v>5002</v>
      </c>
      <c r="C4961" s="21" t="s">
        <v>6200</v>
      </c>
      <c r="D4961" s="21" t="s">
        <v>11</v>
      </c>
      <c r="E4961" s="21" t="s">
        <v>11</v>
      </c>
    </row>
    <row r="4962" spans="1:5" s="21" customFormat="1" ht="15.75" hidden="1" customHeight="1">
      <c r="A4962" s="21">
        <v>950420</v>
      </c>
      <c r="B4962" s="21" t="s">
        <v>5003</v>
      </c>
      <c r="C4962" s="21" t="s">
        <v>5003</v>
      </c>
      <c r="D4962" s="21" t="s">
        <v>11</v>
      </c>
      <c r="E4962" s="21" t="s">
        <v>11</v>
      </c>
    </row>
    <row r="4963" spans="1:5" s="21" customFormat="1" ht="15.75" hidden="1" customHeight="1">
      <c r="A4963" s="21">
        <v>950430</v>
      </c>
      <c r="B4963" s="21" t="s">
        <v>5004</v>
      </c>
      <c r="C4963" s="21" t="s">
        <v>5004</v>
      </c>
      <c r="D4963" s="21" t="s">
        <v>11</v>
      </c>
      <c r="E4963" s="21" t="s">
        <v>11</v>
      </c>
    </row>
    <row r="4964" spans="1:5" s="21" customFormat="1" ht="15.75" hidden="1" customHeight="1">
      <c r="A4964" s="21">
        <v>950440</v>
      </c>
      <c r="B4964" s="21" t="s">
        <v>5005</v>
      </c>
      <c r="C4964" s="21" t="s">
        <v>5005</v>
      </c>
      <c r="D4964" s="21" t="s">
        <v>11</v>
      </c>
      <c r="E4964" s="21" t="s">
        <v>11</v>
      </c>
    </row>
    <row r="4965" spans="1:5" s="21" customFormat="1" ht="15.75" hidden="1" customHeight="1">
      <c r="A4965" s="21">
        <v>950490</v>
      </c>
      <c r="B4965" s="21" t="s">
        <v>5006</v>
      </c>
      <c r="C4965" s="21" t="s">
        <v>6201</v>
      </c>
      <c r="D4965" s="21" t="s">
        <v>11</v>
      </c>
      <c r="E4965" s="21" t="s">
        <v>11</v>
      </c>
    </row>
    <row r="4966" spans="1:5" s="21" customFormat="1" ht="15.75" hidden="1" customHeight="1">
      <c r="A4966" s="21">
        <v>950510</v>
      </c>
      <c r="B4966" s="21" t="s">
        <v>5007</v>
      </c>
      <c r="C4966" s="21" t="s">
        <v>5007</v>
      </c>
      <c r="D4966" s="21" t="s">
        <v>11</v>
      </c>
      <c r="E4966" s="21" t="s">
        <v>11</v>
      </c>
    </row>
    <row r="4967" spans="1:5" s="21" customFormat="1" ht="15.75" hidden="1" customHeight="1">
      <c r="A4967" s="21">
        <v>950590</v>
      </c>
      <c r="B4967" s="21" t="s">
        <v>5008</v>
      </c>
      <c r="C4967" s="21" t="s">
        <v>6202</v>
      </c>
      <c r="D4967" s="21" t="s">
        <v>11</v>
      </c>
      <c r="E4967" s="21" t="s">
        <v>11</v>
      </c>
    </row>
    <row r="4968" spans="1:5" s="21" customFormat="1" ht="15.75" hidden="1" customHeight="1">
      <c r="A4968" s="21">
        <v>950611</v>
      </c>
      <c r="B4968" s="21" t="s">
        <v>5009</v>
      </c>
      <c r="C4968" s="21" t="s">
        <v>6203</v>
      </c>
      <c r="D4968" s="21" t="s">
        <v>11</v>
      </c>
      <c r="E4968" s="21" t="s">
        <v>11</v>
      </c>
    </row>
    <row r="4969" spans="1:5" s="21" customFormat="1" ht="15.75" hidden="1" customHeight="1">
      <c r="A4969" s="21">
        <v>950612</v>
      </c>
      <c r="B4969" s="21" t="s">
        <v>5010</v>
      </c>
      <c r="C4969" s="21" t="s">
        <v>6204</v>
      </c>
      <c r="D4969" s="21" t="s">
        <v>11</v>
      </c>
      <c r="E4969" s="21" t="s">
        <v>11</v>
      </c>
    </row>
    <row r="4970" spans="1:5" s="21" customFormat="1" ht="15.75" hidden="1" customHeight="1">
      <c r="A4970" s="21">
        <v>950619</v>
      </c>
      <c r="B4970" s="21" t="s">
        <v>5011</v>
      </c>
      <c r="C4970" s="21" t="s">
        <v>5011</v>
      </c>
      <c r="D4970" s="21" t="s">
        <v>11</v>
      </c>
      <c r="E4970" s="21" t="s">
        <v>11</v>
      </c>
    </row>
    <row r="4971" spans="1:5" s="21" customFormat="1" ht="15.75" hidden="1" customHeight="1">
      <c r="A4971" s="21">
        <v>950621</v>
      </c>
      <c r="B4971" s="21" t="s">
        <v>5012</v>
      </c>
      <c r="C4971" s="21" t="s">
        <v>6205</v>
      </c>
      <c r="D4971" s="21" t="s">
        <v>11</v>
      </c>
      <c r="E4971" s="21" t="s">
        <v>11</v>
      </c>
    </row>
    <row r="4972" spans="1:5" s="21" customFormat="1" ht="15.75" hidden="1" customHeight="1">
      <c r="A4972" s="21">
        <v>950629</v>
      </c>
      <c r="B4972" s="21" t="s">
        <v>5013</v>
      </c>
      <c r="C4972" s="21" t="s">
        <v>6206</v>
      </c>
      <c r="D4972" s="21" t="s">
        <v>11</v>
      </c>
      <c r="E4972" s="21" t="s">
        <v>11</v>
      </c>
    </row>
    <row r="4973" spans="1:5" s="21" customFormat="1" ht="15.75" hidden="1" customHeight="1">
      <c r="A4973" s="21">
        <v>950631</v>
      </c>
      <c r="B4973" s="21" t="s">
        <v>5014</v>
      </c>
      <c r="C4973" s="21" t="s">
        <v>6207</v>
      </c>
      <c r="D4973" s="21" t="s">
        <v>11</v>
      </c>
      <c r="E4973" s="21" t="s">
        <v>11</v>
      </c>
    </row>
    <row r="4974" spans="1:5" s="21" customFormat="1" ht="15.75" hidden="1" customHeight="1">
      <c r="A4974" s="21">
        <v>950632</v>
      </c>
      <c r="B4974" s="21" t="s">
        <v>5015</v>
      </c>
      <c r="C4974" s="21" t="s">
        <v>5015</v>
      </c>
      <c r="D4974" s="21" t="s">
        <v>11</v>
      </c>
      <c r="E4974" s="21" t="s">
        <v>11</v>
      </c>
    </row>
    <row r="4975" spans="1:5" s="21" customFormat="1" ht="15.75" hidden="1" customHeight="1">
      <c r="A4975" s="21">
        <v>950639</v>
      </c>
      <c r="B4975" s="21" t="s">
        <v>5016</v>
      </c>
      <c r="C4975" s="21" t="s">
        <v>6208</v>
      </c>
      <c r="D4975" s="21" t="s">
        <v>11</v>
      </c>
      <c r="E4975" s="21" t="s">
        <v>11</v>
      </c>
    </row>
    <row r="4976" spans="1:5" s="21" customFormat="1" ht="15.75" hidden="1" customHeight="1">
      <c r="A4976" s="21">
        <v>950640</v>
      </c>
      <c r="B4976" s="21" t="s">
        <v>5017</v>
      </c>
      <c r="C4976" s="21" t="s">
        <v>5017</v>
      </c>
      <c r="D4976" s="21" t="s">
        <v>11</v>
      </c>
      <c r="E4976" s="21" t="s">
        <v>11</v>
      </c>
    </row>
    <row r="4977" spans="1:5" s="21" customFormat="1" ht="15.75" hidden="1" customHeight="1">
      <c r="A4977" s="21">
        <v>950651</v>
      </c>
      <c r="B4977" s="21" t="s">
        <v>5018</v>
      </c>
      <c r="C4977" s="21" t="s">
        <v>6209</v>
      </c>
      <c r="D4977" s="21" t="s">
        <v>11</v>
      </c>
      <c r="E4977" s="21" t="s">
        <v>11</v>
      </c>
    </row>
    <row r="4978" spans="1:5" s="21" customFormat="1" ht="15.75" hidden="1" customHeight="1">
      <c r="A4978" s="21">
        <v>950659</v>
      </c>
      <c r="B4978" s="21" t="s">
        <v>5019</v>
      </c>
      <c r="C4978" s="21" t="s">
        <v>6210</v>
      </c>
      <c r="D4978" s="21" t="s">
        <v>11</v>
      </c>
      <c r="E4978" s="21" t="s">
        <v>11</v>
      </c>
    </row>
    <row r="4979" spans="1:5" s="21" customFormat="1" ht="15.75" hidden="1" customHeight="1">
      <c r="A4979" s="21">
        <v>950661</v>
      </c>
      <c r="B4979" s="21" t="s">
        <v>5020</v>
      </c>
      <c r="C4979" s="21" t="s">
        <v>5020</v>
      </c>
      <c r="D4979" s="21" t="s">
        <v>11</v>
      </c>
      <c r="E4979" s="21" t="s">
        <v>11</v>
      </c>
    </row>
    <row r="4980" spans="1:5" s="21" customFormat="1" ht="15.75" hidden="1" customHeight="1">
      <c r="A4980" s="21">
        <v>950662</v>
      </c>
      <c r="B4980" s="21" t="s">
        <v>5021</v>
      </c>
      <c r="C4980" s="21" t="s">
        <v>6211</v>
      </c>
      <c r="D4980" s="21" t="s">
        <v>11</v>
      </c>
      <c r="E4980" s="21" t="s">
        <v>11</v>
      </c>
    </row>
    <row r="4981" spans="1:5" s="21" customFormat="1" ht="15.75" hidden="1" customHeight="1">
      <c r="A4981" s="21">
        <v>950669</v>
      </c>
      <c r="B4981" s="21" t="s">
        <v>5022</v>
      </c>
      <c r="C4981" s="21" t="s">
        <v>6211</v>
      </c>
      <c r="D4981" s="21" t="s">
        <v>11</v>
      </c>
      <c r="E4981" s="21" t="s">
        <v>11</v>
      </c>
    </row>
    <row r="4982" spans="1:5" s="21" customFormat="1" ht="15.75" hidden="1" customHeight="1">
      <c r="A4982" s="21">
        <v>950670</v>
      </c>
      <c r="B4982" s="21" t="s">
        <v>5023</v>
      </c>
      <c r="C4982" s="21" t="s">
        <v>6212</v>
      </c>
      <c r="D4982" s="21" t="s">
        <v>11</v>
      </c>
      <c r="E4982" s="21" t="s">
        <v>11</v>
      </c>
    </row>
    <row r="4983" spans="1:5" s="21" customFormat="1" ht="15.75" hidden="1" customHeight="1">
      <c r="A4983" s="21">
        <v>950691</v>
      </c>
      <c r="B4983" s="21" t="s">
        <v>5024</v>
      </c>
      <c r="C4983" s="21" t="s">
        <v>5024</v>
      </c>
      <c r="D4983" s="21" t="s">
        <v>11</v>
      </c>
      <c r="E4983" s="21" t="s">
        <v>11</v>
      </c>
    </row>
    <row r="4984" spans="1:5" s="21" customFormat="1" ht="15.75" hidden="1" customHeight="1">
      <c r="A4984" s="21">
        <v>950699</v>
      </c>
      <c r="B4984" s="21" t="s">
        <v>5025</v>
      </c>
      <c r="C4984" s="21" t="s">
        <v>5025</v>
      </c>
      <c r="D4984" s="21" t="s">
        <v>11</v>
      </c>
      <c r="E4984" s="21" t="s">
        <v>11</v>
      </c>
    </row>
    <row r="4985" spans="1:5" s="21" customFormat="1" ht="15.75" hidden="1" customHeight="1">
      <c r="A4985" s="21">
        <v>950710</v>
      </c>
      <c r="B4985" s="21" t="s">
        <v>5026</v>
      </c>
      <c r="C4985" s="21" t="s">
        <v>5026</v>
      </c>
      <c r="D4985" s="21" t="s">
        <v>11</v>
      </c>
      <c r="E4985" s="21" t="s">
        <v>11</v>
      </c>
    </row>
    <row r="4986" spans="1:5" s="21" customFormat="1" ht="15.75" hidden="1" customHeight="1">
      <c r="A4986" s="21">
        <v>950720</v>
      </c>
      <c r="B4986" s="21" t="s">
        <v>5027</v>
      </c>
      <c r="C4986" s="21" t="s">
        <v>6213</v>
      </c>
      <c r="D4986" s="21" t="s">
        <v>11</v>
      </c>
      <c r="E4986" s="21" t="s">
        <v>11</v>
      </c>
    </row>
    <row r="4987" spans="1:5" s="21" customFormat="1" ht="15.75" hidden="1" customHeight="1">
      <c r="A4987" s="21">
        <v>950730</v>
      </c>
      <c r="B4987" s="21" t="s">
        <v>5028</v>
      </c>
      <c r="C4987" s="21" t="s">
        <v>5028</v>
      </c>
      <c r="D4987" s="21" t="s">
        <v>11</v>
      </c>
      <c r="E4987" s="21" t="s">
        <v>11</v>
      </c>
    </row>
    <row r="4988" spans="1:5" s="21" customFormat="1" ht="15.75" hidden="1" customHeight="1">
      <c r="A4988" s="21">
        <v>950790</v>
      </c>
      <c r="B4988" s="21" t="s">
        <v>5029</v>
      </c>
      <c r="C4988" s="21" t="s">
        <v>5029</v>
      </c>
      <c r="D4988" s="21" t="s">
        <v>11</v>
      </c>
      <c r="E4988" s="21" t="s">
        <v>11</v>
      </c>
    </row>
    <row r="4989" spans="1:5" s="21" customFormat="1" ht="15.75" hidden="1" customHeight="1">
      <c r="A4989" s="21">
        <v>950810</v>
      </c>
      <c r="B4989" s="21" t="s">
        <v>5030</v>
      </c>
      <c r="C4989" s="21" t="s">
        <v>5030</v>
      </c>
      <c r="D4989" s="21" t="s">
        <v>11</v>
      </c>
      <c r="E4989" s="21" t="s">
        <v>11</v>
      </c>
    </row>
    <row r="4990" spans="1:5" s="21" customFormat="1" ht="15.75" hidden="1" customHeight="1">
      <c r="A4990" s="21">
        <v>950890</v>
      </c>
      <c r="B4990" s="21" t="s">
        <v>5031</v>
      </c>
      <c r="C4990" s="21" t="s">
        <v>6214</v>
      </c>
      <c r="D4990" s="21" t="s">
        <v>11</v>
      </c>
      <c r="E4990" s="21" t="s">
        <v>11</v>
      </c>
    </row>
    <row r="4991" spans="1:5" s="21" customFormat="1" ht="15.75" hidden="1" customHeight="1">
      <c r="A4991" s="21">
        <v>960110</v>
      </c>
      <c r="B4991" s="21" t="s">
        <v>5032</v>
      </c>
      <c r="C4991" s="21" t="s">
        <v>6215</v>
      </c>
      <c r="D4991" s="21" t="s">
        <v>11</v>
      </c>
      <c r="E4991" s="21" t="s">
        <v>11</v>
      </c>
    </row>
    <row r="4992" spans="1:5" s="21" customFormat="1" ht="15.75" hidden="1" customHeight="1">
      <c r="A4992" s="21">
        <v>960190</v>
      </c>
      <c r="B4992" s="21" t="s">
        <v>5033</v>
      </c>
      <c r="C4992" s="21" t="s">
        <v>5033</v>
      </c>
      <c r="D4992" s="21" t="s">
        <v>11</v>
      </c>
      <c r="E4992" s="21" t="s">
        <v>11</v>
      </c>
    </row>
    <row r="4993" spans="1:5" s="21" customFormat="1" ht="15.75" hidden="1" customHeight="1">
      <c r="A4993" s="21">
        <v>960200</v>
      </c>
      <c r="B4993" s="21" t="s">
        <v>5034</v>
      </c>
      <c r="C4993" s="21" t="s">
        <v>5034</v>
      </c>
      <c r="D4993" s="21" t="s">
        <v>11</v>
      </c>
      <c r="E4993" s="21" t="s">
        <v>11</v>
      </c>
    </row>
    <row r="4994" spans="1:5" s="21" customFormat="1" ht="15.75" hidden="1" customHeight="1">
      <c r="A4994" s="21">
        <v>960310</v>
      </c>
      <c r="B4994" s="21" t="s">
        <v>5035</v>
      </c>
      <c r="C4994" s="21" t="s">
        <v>6216</v>
      </c>
      <c r="D4994" s="21" t="s">
        <v>11</v>
      </c>
      <c r="E4994" s="21" t="s">
        <v>11</v>
      </c>
    </row>
    <row r="4995" spans="1:5" s="21" customFormat="1" ht="15.75" hidden="1" customHeight="1">
      <c r="A4995" s="21">
        <v>960321</v>
      </c>
      <c r="B4995" s="21" t="s">
        <v>5036</v>
      </c>
      <c r="C4995" s="21" t="s">
        <v>6217</v>
      </c>
      <c r="D4995" s="21" t="s">
        <v>11</v>
      </c>
      <c r="E4995" s="21" t="s">
        <v>11</v>
      </c>
    </row>
    <row r="4996" spans="1:5" s="21" customFormat="1" ht="15.75" hidden="1" customHeight="1">
      <c r="A4996" s="21">
        <v>960329</v>
      </c>
      <c r="B4996" s="21" t="s">
        <v>5037</v>
      </c>
      <c r="C4996" s="21" t="s">
        <v>6217</v>
      </c>
      <c r="D4996" s="21" t="s">
        <v>11</v>
      </c>
      <c r="E4996" s="21" t="s">
        <v>11</v>
      </c>
    </row>
    <row r="4997" spans="1:5" s="21" customFormat="1" ht="15.75" hidden="1" customHeight="1">
      <c r="A4997" s="21">
        <v>960330</v>
      </c>
      <c r="B4997" s="21" t="s">
        <v>5038</v>
      </c>
      <c r="C4997" s="21" t="s">
        <v>6217</v>
      </c>
      <c r="D4997" s="21" t="s">
        <v>11</v>
      </c>
      <c r="E4997" s="21" t="s">
        <v>11</v>
      </c>
    </row>
    <row r="4998" spans="1:5" s="21" customFormat="1" ht="15.75" hidden="1" customHeight="1">
      <c r="A4998" s="21">
        <v>960340</v>
      </c>
      <c r="B4998" s="21" t="s">
        <v>5039</v>
      </c>
      <c r="C4998" s="21" t="s">
        <v>6217</v>
      </c>
      <c r="D4998" s="21" t="s">
        <v>11</v>
      </c>
      <c r="E4998" s="21" t="s">
        <v>11</v>
      </c>
    </row>
    <row r="4999" spans="1:5" s="21" customFormat="1" ht="15.75" hidden="1" customHeight="1">
      <c r="A4999" s="21">
        <v>960350</v>
      </c>
      <c r="B4999" s="21" t="s">
        <v>5040</v>
      </c>
      <c r="C4999" s="21" t="s">
        <v>6217</v>
      </c>
      <c r="D4999" s="21" t="s">
        <v>11</v>
      </c>
      <c r="E4999" s="21" t="s">
        <v>11</v>
      </c>
    </row>
    <row r="5000" spans="1:5" s="21" customFormat="1" ht="15.75" hidden="1" customHeight="1">
      <c r="A5000" s="21">
        <v>960390</v>
      </c>
      <c r="B5000" s="21" t="s">
        <v>5041</v>
      </c>
      <c r="C5000" s="21" t="s">
        <v>6218</v>
      </c>
      <c r="D5000" s="21" t="s">
        <v>11</v>
      </c>
      <c r="E5000" s="21" t="s">
        <v>11</v>
      </c>
    </row>
    <row r="5001" spans="1:5" s="21" customFormat="1" ht="15.75" hidden="1" customHeight="1">
      <c r="A5001" s="21">
        <v>960400</v>
      </c>
      <c r="B5001" s="21" t="s">
        <v>5042</v>
      </c>
      <c r="C5001" s="21" t="s">
        <v>5042</v>
      </c>
      <c r="D5001" s="21" t="s">
        <v>11</v>
      </c>
      <c r="E5001" s="21" t="s">
        <v>11</v>
      </c>
    </row>
    <row r="5002" spans="1:5" s="21" customFormat="1" ht="15.75" hidden="1" customHeight="1">
      <c r="A5002" s="21">
        <v>960500</v>
      </c>
      <c r="B5002" s="21" t="s">
        <v>5043</v>
      </c>
      <c r="C5002" s="21" t="s">
        <v>6219</v>
      </c>
      <c r="D5002" s="21" t="s">
        <v>11</v>
      </c>
      <c r="E5002" s="21" t="s">
        <v>11</v>
      </c>
    </row>
    <row r="5003" spans="1:5" s="21" customFormat="1" ht="15.75" hidden="1" customHeight="1">
      <c r="A5003" s="21">
        <v>960610</v>
      </c>
      <c r="B5003" s="21" t="s">
        <v>5044</v>
      </c>
      <c r="C5003" s="21" t="s">
        <v>5044</v>
      </c>
      <c r="D5003" s="21" t="s">
        <v>11</v>
      </c>
      <c r="E5003" s="21" t="s">
        <v>11</v>
      </c>
    </row>
    <row r="5004" spans="1:5" s="21" customFormat="1" ht="15.75" hidden="1" customHeight="1">
      <c r="A5004" s="21">
        <v>960621</v>
      </c>
      <c r="B5004" s="21" t="s">
        <v>5045</v>
      </c>
      <c r="C5004" s="21" t="s">
        <v>6220</v>
      </c>
      <c r="D5004" s="21" t="s">
        <v>11</v>
      </c>
      <c r="E5004" s="21" t="s">
        <v>11</v>
      </c>
    </row>
    <row r="5005" spans="1:5" s="21" customFormat="1" ht="15.75" hidden="1" customHeight="1">
      <c r="A5005" s="21">
        <v>960622</v>
      </c>
      <c r="B5005" s="21" t="s">
        <v>5046</v>
      </c>
      <c r="C5005" s="21" t="s">
        <v>6220</v>
      </c>
      <c r="D5005" s="21" t="s">
        <v>11</v>
      </c>
      <c r="E5005" s="21" t="s">
        <v>11</v>
      </c>
    </row>
    <row r="5006" spans="1:5" s="21" customFormat="1" ht="15.75" hidden="1" customHeight="1">
      <c r="A5006" s="21">
        <v>960629</v>
      </c>
      <c r="B5006" s="21" t="s">
        <v>5047</v>
      </c>
      <c r="C5006" s="21" t="s">
        <v>6220</v>
      </c>
      <c r="D5006" s="21" t="s">
        <v>11</v>
      </c>
      <c r="E5006" s="21" t="s">
        <v>11</v>
      </c>
    </row>
    <row r="5007" spans="1:5" s="21" customFormat="1" ht="15.75" hidden="1" customHeight="1">
      <c r="A5007" s="21">
        <v>960630</v>
      </c>
      <c r="B5007" s="21" t="s">
        <v>5048</v>
      </c>
      <c r="C5007" s="21" t="s">
        <v>6221</v>
      </c>
      <c r="D5007" s="21" t="s">
        <v>11</v>
      </c>
      <c r="E5007" s="21" t="s">
        <v>11</v>
      </c>
    </row>
    <row r="5008" spans="1:5" s="21" customFormat="1" ht="15.75" hidden="1" customHeight="1">
      <c r="A5008" s="21">
        <v>960711</v>
      </c>
      <c r="B5008" s="21" t="s">
        <v>5049</v>
      </c>
      <c r="C5008" s="21" t="s">
        <v>6222</v>
      </c>
      <c r="D5008" s="21" t="s">
        <v>11</v>
      </c>
      <c r="E5008" s="21" t="s">
        <v>11</v>
      </c>
    </row>
    <row r="5009" spans="1:5" s="21" customFormat="1" ht="15.75" hidden="1" customHeight="1">
      <c r="A5009" s="21">
        <v>960719</v>
      </c>
      <c r="B5009" s="21" t="s">
        <v>5050</v>
      </c>
      <c r="C5009" s="21" t="s">
        <v>6222</v>
      </c>
      <c r="D5009" s="21" t="s">
        <v>11</v>
      </c>
      <c r="E5009" s="21" t="s">
        <v>11</v>
      </c>
    </row>
    <row r="5010" spans="1:5" s="21" customFormat="1" ht="15.75" hidden="1" customHeight="1">
      <c r="A5010" s="21">
        <v>960720</v>
      </c>
      <c r="B5010" s="21" t="s">
        <v>5051</v>
      </c>
      <c r="C5010" s="21" t="s">
        <v>6222</v>
      </c>
      <c r="D5010" s="21" t="s">
        <v>11</v>
      </c>
      <c r="E5010" s="21" t="s">
        <v>11</v>
      </c>
    </row>
    <row r="5011" spans="1:5" s="21" customFormat="1" ht="15.75" hidden="1" customHeight="1">
      <c r="A5011" s="21">
        <v>960810</v>
      </c>
      <c r="B5011" s="21" t="s">
        <v>5052</v>
      </c>
      <c r="C5011" s="21" t="s">
        <v>6223</v>
      </c>
      <c r="D5011" s="21" t="s">
        <v>11</v>
      </c>
      <c r="E5011" s="21" t="s">
        <v>11</v>
      </c>
    </row>
    <row r="5012" spans="1:5" s="21" customFormat="1" ht="15.75" hidden="1" customHeight="1">
      <c r="A5012" s="21">
        <v>960820</v>
      </c>
      <c r="B5012" s="21" t="s">
        <v>5053</v>
      </c>
      <c r="C5012" s="21" t="s">
        <v>6223</v>
      </c>
      <c r="D5012" s="21" t="s">
        <v>11</v>
      </c>
      <c r="E5012" s="21" t="s">
        <v>11</v>
      </c>
    </row>
    <row r="5013" spans="1:5" s="21" customFormat="1" ht="15.75" hidden="1" customHeight="1">
      <c r="A5013" s="21">
        <v>960831</v>
      </c>
      <c r="B5013" s="21" t="s">
        <v>5054</v>
      </c>
      <c r="C5013" s="21" t="s">
        <v>6223</v>
      </c>
      <c r="D5013" s="21" t="s">
        <v>11</v>
      </c>
      <c r="E5013" s="21" t="s">
        <v>11</v>
      </c>
    </row>
    <row r="5014" spans="1:5" s="21" customFormat="1" ht="15.75" hidden="1" customHeight="1">
      <c r="A5014" s="21">
        <v>960839</v>
      </c>
      <c r="B5014" s="21" t="s">
        <v>5055</v>
      </c>
      <c r="C5014" s="21" t="s">
        <v>6223</v>
      </c>
      <c r="D5014" s="21" t="s">
        <v>11</v>
      </c>
      <c r="E5014" s="21" t="s">
        <v>11</v>
      </c>
    </row>
    <row r="5015" spans="1:5" s="21" customFormat="1" ht="15.75" hidden="1" customHeight="1">
      <c r="A5015" s="21">
        <v>960840</v>
      </c>
      <c r="B5015" s="21" t="s">
        <v>5056</v>
      </c>
      <c r="C5015" s="21" t="s">
        <v>6224</v>
      </c>
      <c r="D5015" s="21" t="s">
        <v>11</v>
      </c>
      <c r="E5015" s="21" t="s">
        <v>11</v>
      </c>
    </row>
    <row r="5016" spans="1:5" s="21" customFormat="1" ht="15.75" hidden="1" customHeight="1">
      <c r="A5016" s="21">
        <v>960850</v>
      </c>
      <c r="B5016" s="21" t="s">
        <v>5057</v>
      </c>
      <c r="C5016" s="21" t="s">
        <v>6225</v>
      </c>
      <c r="D5016" s="21" t="s">
        <v>11</v>
      </c>
      <c r="E5016" s="21" t="s">
        <v>11</v>
      </c>
    </row>
    <row r="5017" spans="1:5" s="21" customFormat="1" ht="15.75" hidden="1" customHeight="1">
      <c r="A5017" s="21">
        <v>960860</v>
      </c>
      <c r="B5017" s="21" t="s">
        <v>5058</v>
      </c>
      <c r="C5017" s="21" t="s">
        <v>6223</v>
      </c>
      <c r="D5017" s="21" t="s">
        <v>11</v>
      </c>
      <c r="E5017" s="21" t="s">
        <v>11</v>
      </c>
    </row>
    <row r="5018" spans="1:5" s="21" customFormat="1" ht="15.75" hidden="1" customHeight="1">
      <c r="A5018" s="21">
        <v>960891</v>
      </c>
      <c r="B5018" s="21" t="s">
        <v>5059</v>
      </c>
      <c r="C5018" s="21" t="s">
        <v>6223</v>
      </c>
      <c r="D5018" s="21" t="s">
        <v>11</v>
      </c>
      <c r="E5018" s="21" t="s">
        <v>11</v>
      </c>
    </row>
    <row r="5019" spans="1:5" s="21" customFormat="1" ht="15.75" hidden="1" customHeight="1">
      <c r="A5019" s="21">
        <v>960899</v>
      </c>
      <c r="B5019" s="21" t="s">
        <v>5060</v>
      </c>
      <c r="C5019" s="21" t="s">
        <v>6226</v>
      </c>
      <c r="D5019" s="21" t="s">
        <v>11</v>
      </c>
      <c r="E5019" s="21" t="s">
        <v>11</v>
      </c>
    </row>
    <row r="5020" spans="1:5" s="21" customFormat="1" ht="15.75" hidden="1" customHeight="1">
      <c r="A5020" s="21">
        <v>960910</v>
      </c>
      <c r="B5020" s="21" t="s">
        <v>5061</v>
      </c>
      <c r="C5020" s="21" t="s">
        <v>6227</v>
      </c>
      <c r="D5020" s="21" t="s">
        <v>11</v>
      </c>
      <c r="E5020" s="21" t="s">
        <v>11</v>
      </c>
    </row>
    <row r="5021" spans="1:5" s="21" customFormat="1" ht="15.75" hidden="1" customHeight="1">
      <c r="A5021" s="21">
        <v>960920</v>
      </c>
      <c r="B5021" s="21" t="s">
        <v>5062</v>
      </c>
      <c r="C5021" s="21" t="s">
        <v>6228</v>
      </c>
      <c r="D5021" s="21" t="s">
        <v>11</v>
      </c>
      <c r="E5021" s="21" t="s">
        <v>11</v>
      </c>
    </row>
    <row r="5022" spans="1:5" s="21" customFormat="1" ht="15.75" hidden="1" customHeight="1">
      <c r="A5022" s="21">
        <v>960990</v>
      </c>
      <c r="B5022" s="21" t="s">
        <v>5063</v>
      </c>
      <c r="C5022" s="21" t="s">
        <v>5063</v>
      </c>
      <c r="D5022" s="21" t="s">
        <v>11</v>
      </c>
      <c r="E5022" s="21" t="s">
        <v>11</v>
      </c>
    </row>
    <row r="5023" spans="1:5" s="21" customFormat="1" ht="15.75" hidden="1" customHeight="1">
      <c r="A5023" s="21">
        <v>961000</v>
      </c>
      <c r="B5023" s="21" t="s">
        <v>5064</v>
      </c>
      <c r="C5023" s="21" t="s">
        <v>6229</v>
      </c>
      <c r="D5023" s="21" t="s">
        <v>11</v>
      </c>
      <c r="E5023" s="21" t="s">
        <v>11</v>
      </c>
    </row>
    <row r="5024" spans="1:5" s="21" customFormat="1" ht="15.75" hidden="1" customHeight="1">
      <c r="A5024" s="21">
        <v>961100</v>
      </c>
      <c r="B5024" s="21" t="s">
        <v>5065</v>
      </c>
      <c r="C5024" s="21" t="s">
        <v>6230</v>
      </c>
      <c r="D5024" s="21" t="s">
        <v>11</v>
      </c>
      <c r="E5024" s="21" t="s">
        <v>11</v>
      </c>
    </row>
    <row r="5025" spans="1:5" s="21" customFormat="1" ht="15.75" hidden="1" customHeight="1">
      <c r="A5025" s="21">
        <v>961210</v>
      </c>
      <c r="B5025" s="21" t="s">
        <v>5066</v>
      </c>
      <c r="C5025" s="21" t="s">
        <v>6231</v>
      </c>
      <c r="D5025" s="21" t="s">
        <v>11</v>
      </c>
      <c r="E5025" s="21" t="s">
        <v>11</v>
      </c>
    </row>
    <row r="5026" spans="1:5" s="21" customFormat="1" ht="15.75" hidden="1" customHeight="1">
      <c r="A5026" s="21">
        <v>961220</v>
      </c>
      <c r="B5026" s="21" t="s">
        <v>5067</v>
      </c>
      <c r="C5026" s="21" t="s">
        <v>6232</v>
      </c>
      <c r="D5026" s="21" t="s">
        <v>11</v>
      </c>
      <c r="E5026" s="21" t="s">
        <v>11</v>
      </c>
    </row>
    <row r="5027" spans="1:5" s="21" customFormat="1" ht="15.75" hidden="1" customHeight="1">
      <c r="A5027" s="21">
        <v>961310</v>
      </c>
      <c r="B5027" s="21" t="s">
        <v>5068</v>
      </c>
      <c r="C5027" s="21" t="s">
        <v>6233</v>
      </c>
      <c r="D5027" s="21" t="s">
        <v>11</v>
      </c>
      <c r="E5027" s="21" t="s">
        <v>11</v>
      </c>
    </row>
    <row r="5028" spans="1:5" s="21" customFormat="1" ht="15.75" hidden="1" customHeight="1">
      <c r="A5028" s="21">
        <v>961320</v>
      </c>
      <c r="B5028" s="21" t="s">
        <v>5069</v>
      </c>
      <c r="C5028" s="21" t="s">
        <v>6233</v>
      </c>
      <c r="D5028" s="21" t="s">
        <v>11</v>
      </c>
      <c r="E5028" s="21" t="s">
        <v>11</v>
      </c>
    </row>
    <row r="5029" spans="1:5" s="21" customFormat="1" ht="15.75" hidden="1" customHeight="1">
      <c r="A5029" s="21">
        <v>961380</v>
      </c>
      <c r="B5029" s="21" t="s">
        <v>5070</v>
      </c>
      <c r="C5029" s="21" t="s">
        <v>6233</v>
      </c>
      <c r="D5029" s="21" t="s">
        <v>11</v>
      </c>
      <c r="E5029" s="21" t="s">
        <v>11</v>
      </c>
    </row>
    <row r="5030" spans="1:5" s="21" customFormat="1" ht="15.75" hidden="1" customHeight="1">
      <c r="A5030" s="21">
        <v>961390</v>
      </c>
      <c r="B5030" s="21" t="s">
        <v>5071</v>
      </c>
      <c r="C5030" s="21" t="s">
        <v>6233</v>
      </c>
      <c r="D5030" s="21" t="s">
        <v>11</v>
      </c>
      <c r="E5030" s="21" t="s">
        <v>11</v>
      </c>
    </row>
    <row r="5031" spans="1:5" s="21" customFormat="1" ht="15.75" hidden="1" customHeight="1">
      <c r="A5031" s="21">
        <v>961400</v>
      </c>
      <c r="B5031" s="21" t="s">
        <v>5072</v>
      </c>
      <c r="C5031" s="21" t="s">
        <v>5072</v>
      </c>
      <c r="D5031" s="21" t="s">
        <v>11</v>
      </c>
      <c r="E5031" s="21" t="s">
        <v>11</v>
      </c>
    </row>
    <row r="5032" spans="1:5" s="21" customFormat="1" ht="15.75" hidden="1" customHeight="1">
      <c r="A5032" s="21">
        <v>961511</v>
      </c>
      <c r="B5032" s="21" t="s">
        <v>5073</v>
      </c>
      <c r="C5032" s="21" t="s">
        <v>6234</v>
      </c>
      <c r="D5032" s="21" t="s">
        <v>11</v>
      </c>
      <c r="E5032" s="21" t="s">
        <v>11</v>
      </c>
    </row>
    <row r="5033" spans="1:5" s="21" customFormat="1" ht="15.75" hidden="1" customHeight="1">
      <c r="A5033" s="21">
        <v>961519</v>
      </c>
      <c r="B5033" s="21" t="s">
        <v>5074</v>
      </c>
      <c r="C5033" s="21" t="s">
        <v>6234</v>
      </c>
      <c r="D5033" s="21" t="s">
        <v>11</v>
      </c>
      <c r="E5033" s="21" t="s">
        <v>11</v>
      </c>
    </row>
    <row r="5034" spans="1:5" s="21" customFormat="1" ht="15.75" hidden="1" customHeight="1">
      <c r="A5034" s="21">
        <v>961590</v>
      </c>
      <c r="B5034" s="21" t="s">
        <v>5075</v>
      </c>
      <c r="C5034" s="21" t="s">
        <v>5075</v>
      </c>
      <c r="D5034" s="21" t="s">
        <v>11</v>
      </c>
      <c r="E5034" s="21" t="s">
        <v>11</v>
      </c>
    </row>
    <row r="5035" spans="1:5" s="21" customFormat="1" ht="15.75" hidden="1" customHeight="1">
      <c r="A5035" s="21">
        <v>961610</v>
      </c>
      <c r="B5035" s="21" t="s">
        <v>5076</v>
      </c>
      <c r="C5035" s="21" t="s">
        <v>5076</v>
      </c>
      <c r="D5035" s="21" t="s">
        <v>11</v>
      </c>
      <c r="E5035" s="21" t="s">
        <v>11</v>
      </c>
    </row>
    <row r="5036" spans="1:5" s="21" customFormat="1" ht="15.75" hidden="1" customHeight="1">
      <c r="A5036" s="21">
        <v>961620</v>
      </c>
      <c r="B5036" s="21" t="s">
        <v>5077</v>
      </c>
      <c r="C5036" s="21" t="s">
        <v>6235</v>
      </c>
      <c r="D5036" s="21" t="s">
        <v>11</v>
      </c>
      <c r="E5036" s="21" t="s">
        <v>11</v>
      </c>
    </row>
    <row r="5037" spans="1:5" s="21" customFormat="1" ht="15.75" hidden="1" customHeight="1">
      <c r="A5037" s="21">
        <v>961700</v>
      </c>
      <c r="B5037" s="21" t="s">
        <v>5078</v>
      </c>
      <c r="C5037" s="21" t="s">
        <v>6236</v>
      </c>
      <c r="D5037" s="21" t="s">
        <v>11</v>
      </c>
      <c r="E5037" s="21" t="s">
        <v>11</v>
      </c>
    </row>
    <row r="5038" spans="1:5" s="21" customFormat="1" ht="15.75" hidden="1" customHeight="1">
      <c r="A5038" s="21">
        <v>961800</v>
      </c>
      <c r="B5038" s="21" t="s">
        <v>5079</v>
      </c>
      <c r="C5038" s="21" t="s">
        <v>6237</v>
      </c>
      <c r="D5038" s="21" t="s">
        <v>11</v>
      </c>
      <c r="E5038" s="21" t="s">
        <v>11</v>
      </c>
    </row>
    <row r="5039" spans="1:5" s="21" customFormat="1" ht="15.75" hidden="1" customHeight="1">
      <c r="A5039" s="21">
        <v>970110</v>
      </c>
      <c r="B5039" s="21" t="s">
        <v>5080</v>
      </c>
      <c r="C5039" s="21" t="s">
        <v>6238</v>
      </c>
      <c r="D5039" s="21" t="s">
        <v>11</v>
      </c>
      <c r="E5039" s="21" t="s">
        <v>11</v>
      </c>
    </row>
    <row r="5040" spans="1:5" s="21" customFormat="1" ht="15.75" hidden="1" customHeight="1">
      <c r="A5040" s="21">
        <v>970190</v>
      </c>
      <c r="B5040" s="21" t="s">
        <v>5081</v>
      </c>
      <c r="C5040" s="21" t="s">
        <v>6239</v>
      </c>
      <c r="D5040" s="21" t="s">
        <v>11</v>
      </c>
      <c r="E5040" s="21" t="s">
        <v>11</v>
      </c>
    </row>
    <row r="5041" spans="1:5" s="21" customFormat="1" ht="15.75" hidden="1" customHeight="1">
      <c r="A5041" s="21">
        <v>970200</v>
      </c>
      <c r="B5041" s="21" t="s">
        <v>5082</v>
      </c>
      <c r="C5041" s="21" t="s">
        <v>6240</v>
      </c>
      <c r="D5041" s="21" t="s">
        <v>11</v>
      </c>
      <c r="E5041" s="21" t="s">
        <v>11</v>
      </c>
    </row>
    <row r="5042" spans="1:5" s="21" customFormat="1" ht="15.75" hidden="1" customHeight="1">
      <c r="A5042" s="21">
        <v>970300</v>
      </c>
      <c r="B5042" s="21" t="s">
        <v>5083</v>
      </c>
      <c r="C5042" s="21" t="s">
        <v>6241</v>
      </c>
      <c r="D5042" s="21" t="s">
        <v>11</v>
      </c>
      <c r="E5042" s="21" t="s">
        <v>11</v>
      </c>
    </row>
    <row r="5043" spans="1:5" s="21" customFormat="1" ht="15.75" hidden="1" customHeight="1">
      <c r="A5043" s="21">
        <v>970400</v>
      </c>
      <c r="B5043" s="21" t="s">
        <v>5084</v>
      </c>
      <c r="C5043" s="21" t="s">
        <v>6242</v>
      </c>
      <c r="D5043" s="21" t="s">
        <v>11</v>
      </c>
      <c r="E5043" s="21" t="s">
        <v>11</v>
      </c>
    </row>
    <row r="5044" spans="1:5" s="21" customFormat="1" ht="15.75" hidden="1" customHeight="1">
      <c r="A5044" s="21">
        <v>970500</v>
      </c>
      <c r="B5044" s="21" t="s">
        <v>5085</v>
      </c>
      <c r="C5044" s="21" t="s">
        <v>6243</v>
      </c>
      <c r="D5044" s="21" t="s">
        <v>11</v>
      </c>
      <c r="E5044" s="21" t="s">
        <v>11</v>
      </c>
    </row>
    <row r="5045" spans="1:5" s="21" customFormat="1" ht="15.75" hidden="1" customHeight="1">
      <c r="A5045" s="21">
        <v>970600</v>
      </c>
      <c r="B5045" s="21" t="s">
        <v>5086</v>
      </c>
      <c r="C5045" s="21" t="s">
        <v>6244</v>
      </c>
      <c r="D5045" s="21" t="s">
        <v>11</v>
      </c>
      <c r="E5045" s="21" t="s">
        <v>11</v>
      </c>
    </row>
    <row r="5046" spans="1:5" s="21" customFormat="1" ht="15.75" hidden="1" customHeight="1">
      <c r="A5046" s="21">
        <v>999999</v>
      </c>
      <c r="B5046" s="21" t="s">
        <v>5087</v>
      </c>
      <c r="C5046" s="21" t="s">
        <v>5087</v>
      </c>
      <c r="D5046" s="21" t="s">
        <v>11</v>
      </c>
      <c r="E5046" s="21" t="s">
        <v>11</v>
      </c>
    </row>
    <row r="5047" spans="1:5" s="21" customFormat="1" ht="15.75" hidden="1" customHeight="1">
      <c r="A5047" s="21">
        <v>294000</v>
      </c>
      <c r="B5047" s="21" t="s">
        <v>1377</v>
      </c>
      <c r="C5047" s="21" t="s">
        <v>6245</v>
      </c>
    </row>
    <row r="5048" spans="1:5" s="21" customFormat="1" ht="15.75" hidden="1" customHeight="1">
      <c r="A5048" s="21">
        <v>300230</v>
      </c>
      <c r="B5048" s="21" t="s">
        <v>1396</v>
      </c>
      <c r="C5048" s="21" t="s">
        <v>5115</v>
      </c>
    </row>
    <row r="5049" spans="1:5" s="21" customFormat="1" ht="15.75" hidden="1" customHeight="1">
      <c r="A5049" s="21">
        <v>391740</v>
      </c>
      <c r="B5049" s="21" t="s">
        <v>1765</v>
      </c>
      <c r="C5049" s="21" t="s">
        <v>5587</v>
      </c>
    </row>
    <row r="5050" spans="1:5" s="21" customFormat="1" ht="15.75" hidden="1" customHeight="1">
      <c r="A5050" s="21">
        <v>902219</v>
      </c>
      <c r="B5050" s="21" t="s">
        <v>4819</v>
      </c>
      <c r="C5050" s="21" t="s">
        <v>6246</v>
      </c>
    </row>
    <row r="5051" spans="1:5" s="21" customFormat="1" ht="15.75" hidden="1" customHeight="1">
      <c r="A5051" s="21">
        <v>902750</v>
      </c>
      <c r="B5051" s="21" t="s">
        <v>4839</v>
      </c>
      <c r="C5051" s="21" t="s">
        <v>6159</v>
      </c>
    </row>
  </sheetData>
  <autoFilter ref="A1:F5051" xr:uid="{00000000-0009-0000-0000-000001000000}">
    <filterColumn colId="3">
      <filters>
        <filter val="1"/>
      </filters>
    </filterColumn>
    <sortState xmlns:xlrd2="http://schemas.microsoft.com/office/spreadsheetml/2017/richdata2" ref="A2:F5051">
      <sortCondition ref="D1:D5051"/>
    </sortState>
  </autoFilter>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056"/>
  <sheetViews>
    <sheetView workbookViewId="0">
      <pane ySplit="1" topLeftCell="A2" activePane="bottomLeft" state="frozen"/>
      <selection pane="bottomLeft" activeCell="B3" sqref="B3"/>
    </sheetView>
  </sheetViews>
  <sheetFormatPr baseColWidth="10" defaultColWidth="12.5703125" defaultRowHeight="15" customHeight="1"/>
  <cols>
    <col min="1" max="1" width="7.7109375" customWidth="1"/>
    <col min="2" max="2" width="69.7109375" customWidth="1"/>
    <col min="3" max="3" width="30.85546875" customWidth="1"/>
    <col min="4" max="4" width="8.140625" customWidth="1"/>
    <col min="5" max="5" width="19.42578125" customWidth="1"/>
    <col min="6" max="6" width="20.140625" customWidth="1"/>
    <col min="7" max="13" width="8.85546875" customWidth="1"/>
  </cols>
  <sheetData>
    <row r="1" spans="1:6">
      <c r="A1" s="1" t="s">
        <v>0</v>
      </c>
      <c r="B1" s="1" t="s">
        <v>1</v>
      </c>
      <c r="C1" s="2" t="s">
        <v>5088</v>
      </c>
      <c r="D1" s="1" t="s">
        <v>2</v>
      </c>
      <c r="E1" s="2" t="s">
        <v>3</v>
      </c>
      <c r="F1" s="2" t="s">
        <v>4</v>
      </c>
    </row>
    <row r="2" spans="1:6">
      <c r="A2" s="3">
        <v>10110</v>
      </c>
      <c r="B2" s="1" t="s">
        <v>10</v>
      </c>
      <c r="C2" s="1" t="str">
        <f ca="1">IFERROR(__xludf.DUMMYFUNCTION("REGEXEXTRACT(B2, ""^([^:]+)"")"),"Horses, asses, mules and hinnies")</f>
        <v>Horses, asses, mules and hinnies</v>
      </c>
      <c r="D2" s="1" t="s">
        <v>11</v>
      </c>
      <c r="E2" s="1" t="s">
        <v>11</v>
      </c>
    </row>
    <row r="3" spans="1:6">
      <c r="A3" s="3">
        <v>10190</v>
      </c>
      <c r="B3" s="1" t="s">
        <v>12</v>
      </c>
      <c r="C3" s="1" t="str">
        <f ca="1">IFERROR(__xludf.DUMMYFUNCTION("REGEXEXTRACT(B3, ""^([^:]+)"")"),"Horses, asses, mules and hinnies")</f>
        <v>Horses, asses, mules and hinnies</v>
      </c>
      <c r="D3" s="1" t="s">
        <v>11</v>
      </c>
      <c r="E3" s="1" t="s">
        <v>11</v>
      </c>
    </row>
    <row r="4" spans="1:6">
      <c r="A4" s="3">
        <v>10210</v>
      </c>
      <c r="B4" s="1" t="s">
        <v>13</v>
      </c>
      <c r="C4" s="1" t="str">
        <f ca="1">IFERROR(__xludf.DUMMYFUNCTION("REGEXEXTRACT(B4, ""^([^:]+)"")"),"Bovine animals")</f>
        <v>Bovine animals</v>
      </c>
      <c r="D4" s="1" t="s">
        <v>11</v>
      </c>
      <c r="E4" s="1" t="s">
        <v>11</v>
      </c>
    </row>
    <row r="5" spans="1:6">
      <c r="A5" s="3">
        <v>10290</v>
      </c>
      <c r="B5" s="1" t="s">
        <v>14</v>
      </c>
      <c r="C5" s="1" t="str">
        <f ca="1">IFERROR(__xludf.DUMMYFUNCTION("REGEXEXTRACT(B5, ""^([^:]+)"")"),"Bovine animals")</f>
        <v>Bovine animals</v>
      </c>
      <c r="D5" s="1" t="s">
        <v>11</v>
      </c>
      <c r="E5" s="1" t="s">
        <v>11</v>
      </c>
    </row>
    <row r="6" spans="1:6">
      <c r="A6" s="3">
        <v>10310</v>
      </c>
      <c r="B6" s="1" t="s">
        <v>15</v>
      </c>
      <c r="C6" s="1" t="str">
        <f ca="1">IFERROR(__xludf.DUMMYFUNCTION("REGEXEXTRACT(B6, ""^([^:]+)"")"),"Swine")</f>
        <v>Swine</v>
      </c>
      <c r="D6" s="1" t="s">
        <v>11</v>
      </c>
      <c r="E6" s="1" t="s">
        <v>11</v>
      </c>
    </row>
    <row r="7" spans="1:6">
      <c r="A7" s="3">
        <v>10391</v>
      </c>
      <c r="B7" s="1" t="s">
        <v>16</v>
      </c>
      <c r="C7" s="1" t="str">
        <f ca="1">IFERROR(__xludf.DUMMYFUNCTION("REGEXEXTRACT(B7, ""^([^:]+)"")"),"Swine")</f>
        <v>Swine</v>
      </c>
      <c r="D7" s="1" t="s">
        <v>11</v>
      </c>
      <c r="E7" s="1" t="s">
        <v>11</v>
      </c>
    </row>
    <row r="8" spans="1:6">
      <c r="A8" s="3">
        <v>10392</v>
      </c>
      <c r="B8" s="1" t="s">
        <v>17</v>
      </c>
      <c r="C8" s="1" t="str">
        <f ca="1">IFERROR(__xludf.DUMMYFUNCTION("REGEXEXTRACT(B8, ""^([^:]+)"")"),"Swine")</f>
        <v>Swine</v>
      </c>
      <c r="D8" s="1" t="s">
        <v>11</v>
      </c>
      <c r="E8" s="1" t="s">
        <v>11</v>
      </c>
    </row>
    <row r="9" spans="1:6">
      <c r="A9" s="3">
        <v>10410</v>
      </c>
      <c r="B9" s="1" t="s">
        <v>18</v>
      </c>
      <c r="C9" s="1" t="str">
        <f ca="1">IFERROR(__xludf.DUMMYFUNCTION("REGEXEXTRACT(B9, ""^([^:]+)"")"),"Sheep")</f>
        <v>Sheep</v>
      </c>
      <c r="D9" s="1" t="s">
        <v>11</v>
      </c>
      <c r="E9" s="1" t="s">
        <v>11</v>
      </c>
    </row>
    <row r="10" spans="1:6">
      <c r="A10" s="3">
        <v>10420</v>
      </c>
      <c r="B10" s="1" t="s">
        <v>19</v>
      </c>
      <c r="C10" s="1" t="str">
        <f ca="1">IFERROR(__xludf.DUMMYFUNCTION("REGEXEXTRACT(B10, ""^([^:]+)"")"),"Goats")</f>
        <v>Goats</v>
      </c>
      <c r="D10" s="1" t="s">
        <v>11</v>
      </c>
      <c r="E10" s="1" t="s">
        <v>11</v>
      </c>
    </row>
    <row r="11" spans="1:6">
      <c r="A11" s="3">
        <v>10511</v>
      </c>
      <c r="B11" s="1" t="s">
        <v>20</v>
      </c>
      <c r="C11" s="1" t="str">
        <f ca="1">IFERROR(__xludf.DUMMYFUNCTION("REGEXEXTRACT(B11, ""^([^:]+)"")"),"Poultry")</f>
        <v>Poultry</v>
      </c>
      <c r="D11" s="1" t="s">
        <v>11</v>
      </c>
      <c r="E11" s="1" t="s">
        <v>11</v>
      </c>
    </row>
    <row r="12" spans="1:6">
      <c r="A12" s="3">
        <v>10512</v>
      </c>
      <c r="B12" s="1" t="s">
        <v>21</v>
      </c>
      <c r="C12" s="1" t="str">
        <f ca="1">IFERROR(__xludf.DUMMYFUNCTION("REGEXEXTRACT(B12, ""^([^:]+)"")"),"Poultry")</f>
        <v>Poultry</v>
      </c>
      <c r="D12" s="1" t="s">
        <v>11</v>
      </c>
      <c r="E12" s="1" t="s">
        <v>11</v>
      </c>
    </row>
    <row r="13" spans="1:6">
      <c r="A13" s="3">
        <v>10519</v>
      </c>
      <c r="B13" s="1" t="s">
        <v>22</v>
      </c>
      <c r="C13" s="1" t="str">
        <f ca="1">IFERROR(__xludf.DUMMYFUNCTION("REGEXEXTRACT(B13, ""^([^:]+)"")"),"Poultry")</f>
        <v>Poultry</v>
      </c>
      <c r="D13" s="1" t="s">
        <v>11</v>
      </c>
      <c r="E13" s="1" t="s">
        <v>11</v>
      </c>
    </row>
    <row r="14" spans="1:6">
      <c r="A14" s="3">
        <v>10594</v>
      </c>
      <c r="B14" s="1" t="s">
        <v>23</v>
      </c>
      <c r="C14" s="1" t="str">
        <f ca="1">IFERROR(__xludf.DUMMYFUNCTION("REGEXEXTRACT(B14, ""^([^:]+)"")"),"Poultry")</f>
        <v>Poultry</v>
      </c>
      <c r="D14" s="1" t="s">
        <v>11</v>
      </c>
      <c r="E14" s="1" t="s">
        <v>11</v>
      </c>
    </row>
    <row r="15" spans="1:6">
      <c r="A15" s="3">
        <v>10599</v>
      </c>
      <c r="B15" s="1" t="s">
        <v>24</v>
      </c>
      <c r="C15" s="1" t="str">
        <f ca="1">IFERROR(__xludf.DUMMYFUNCTION("REGEXEXTRACT(B15, ""^([^:]+)"")"),"Poultry")</f>
        <v>Poultry</v>
      </c>
      <c r="D15" s="1" t="s">
        <v>11</v>
      </c>
      <c r="E15" s="1" t="s">
        <v>11</v>
      </c>
    </row>
    <row r="16" spans="1:6">
      <c r="A16" s="3">
        <v>10611</v>
      </c>
      <c r="B16" s="1" t="s">
        <v>25</v>
      </c>
      <c r="C16" s="1" t="str">
        <f ca="1">IFERROR(__xludf.DUMMYFUNCTION("REGEXEXTRACT(B16, ""^([^:]+)"")"),"Mammals")</f>
        <v>Mammals</v>
      </c>
      <c r="D16" s="1" t="s">
        <v>11</v>
      </c>
      <c r="E16" s="1" t="s">
        <v>11</v>
      </c>
    </row>
    <row r="17" spans="1:5">
      <c r="A17" s="3">
        <v>10612</v>
      </c>
      <c r="B17" s="1" t="s">
        <v>26</v>
      </c>
      <c r="C17" s="1" t="str">
        <f ca="1">IFERROR(__xludf.DUMMYFUNCTION("REGEXEXTRACT(B17, ""^([^:]+)"")"),"Mammals")</f>
        <v>Mammals</v>
      </c>
      <c r="D17" s="1" t="s">
        <v>11</v>
      </c>
      <c r="E17" s="1" t="s">
        <v>11</v>
      </c>
    </row>
    <row r="18" spans="1:5">
      <c r="A18" s="3">
        <v>10619</v>
      </c>
      <c r="B18" s="1" t="s">
        <v>27</v>
      </c>
      <c r="C18" s="1" t="str">
        <f ca="1">IFERROR(__xludf.DUMMYFUNCTION("REGEXEXTRACT(B18, ""^([^:]+)"")"),"Mammals")</f>
        <v>Mammals</v>
      </c>
      <c r="D18" s="1" t="s">
        <v>11</v>
      </c>
      <c r="E18" s="1" t="s">
        <v>11</v>
      </c>
    </row>
    <row r="19" spans="1:5">
      <c r="A19" s="3">
        <v>10620</v>
      </c>
      <c r="B19" s="1" t="s">
        <v>28</v>
      </c>
      <c r="C19" s="1" t="str">
        <f ca="1">IFERROR(__xludf.DUMMYFUNCTION("REGEXEXTRACT(B19, ""^([^:]+)"")"),"Reptiles")</f>
        <v>Reptiles</v>
      </c>
      <c r="D19" s="1" t="s">
        <v>11</v>
      </c>
      <c r="E19" s="1" t="s">
        <v>11</v>
      </c>
    </row>
    <row r="20" spans="1:5">
      <c r="A20" s="3">
        <v>10631</v>
      </c>
      <c r="B20" s="1" t="s">
        <v>29</v>
      </c>
      <c r="C20" s="1" t="str">
        <f ca="1">IFERROR(__xludf.DUMMYFUNCTION("REGEXEXTRACT(B20, ""^([^:]+)"")"),"Animals")</f>
        <v>Animals</v>
      </c>
      <c r="D20" s="1" t="s">
        <v>11</v>
      </c>
      <c r="E20" s="1" t="s">
        <v>11</v>
      </c>
    </row>
    <row r="21" spans="1:5" ht="15.75" customHeight="1">
      <c r="A21" s="3">
        <v>10632</v>
      </c>
      <c r="B21" s="1" t="s">
        <v>30</v>
      </c>
      <c r="C21" s="1" t="str">
        <f ca="1">IFERROR(__xludf.DUMMYFUNCTION("REGEXEXTRACT(B21, ""^([^:]+)"")"),"Animals")</f>
        <v>Animals</v>
      </c>
      <c r="D21" s="1" t="s">
        <v>11</v>
      </c>
      <c r="E21" s="1" t="s">
        <v>11</v>
      </c>
    </row>
    <row r="22" spans="1:5" ht="15.75" customHeight="1">
      <c r="A22" s="3">
        <v>10639</v>
      </c>
      <c r="B22" s="1" t="s">
        <v>31</v>
      </c>
      <c r="C22" s="1" t="str">
        <f ca="1">IFERROR(__xludf.DUMMYFUNCTION("REGEXEXTRACT(B22, ""^([^:]+)"")"),"Animals")</f>
        <v>Animals</v>
      </c>
      <c r="D22" s="1" t="s">
        <v>11</v>
      </c>
      <c r="E22" s="1" t="s">
        <v>11</v>
      </c>
    </row>
    <row r="23" spans="1:5" ht="15.75" customHeight="1">
      <c r="A23" s="3">
        <v>10690</v>
      </c>
      <c r="B23" s="1" t="s">
        <v>32</v>
      </c>
      <c r="C23" s="1" t="str">
        <f ca="1">IFERROR(__xludf.DUMMYFUNCTION("REGEXEXTRACT(B23, ""^([^:]+)"")"),"Animals")</f>
        <v>Animals</v>
      </c>
      <c r="D23" s="1" t="s">
        <v>11</v>
      </c>
      <c r="E23" s="1" t="s">
        <v>11</v>
      </c>
    </row>
    <row r="24" spans="1:5" ht="15.75" customHeight="1">
      <c r="A24" s="3">
        <v>20110</v>
      </c>
      <c r="B24" s="1" t="s">
        <v>33</v>
      </c>
      <c r="C24" s="1" t="str">
        <f ca="1">IFERROR(__xludf.DUMMYFUNCTION("REGEXEXTRACT(B24, ""^([^:]+)"")"),"Meat")</f>
        <v>Meat</v>
      </c>
      <c r="D24" s="1" t="s">
        <v>11</v>
      </c>
      <c r="E24" s="1" t="s">
        <v>11</v>
      </c>
    </row>
    <row r="25" spans="1:5" ht="15.75" customHeight="1">
      <c r="A25" s="3">
        <v>20120</v>
      </c>
      <c r="B25" s="1" t="s">
        <v>34</v>
      </c>
      <c r="C25" s="1" t="str">
        <f ca="1">IFERROR(__xludf.DUMMYFUNCTION("REGEXEXTRACT(B25, ""^([^:]+)"")"),"Meat")</f>
        <v>Meat</v>
      </c>
      <c r="D25" s="1" t="s">
        <v>11</v>
      </c>
      <c r="E25" s="1" t="s">
        <v>11</v>
      </c>
    </row>
    <row r="26" spans="1:5" ht="15.75" customHeight="1">
      <c r="A26" s="3">
        <v>20130</v>
      </c>
      <c r="B26" s="1" t="s">
        <v>35</v>
      </c>
      <c r="C26" s="1" t="str">
        <f ca="1">IFERROR(__xludf.DUMMYFUNCTION("REGEXEXTRACT(B26, ""^([^:]+)"")"),"Meat")</f>
        <v>Meat</v>
      </c>
      <c r="D26" s="1" t="s">
        <v>11</v>
      </c>
      <c r="E26" s="1" t="s">
        <v>11</v>
      </c>
    </row>
    <row r="27" spans="1:5" ht="15.75" customHeight="1">
      <c r="A27" s="3">
        <v>20210</v>
      </c>
      <c r="B27" s="1" t="s">
        <v>36</v>
      </c>
      <c r="C27" s="1" t="str">
        <f ca="1">IFERROR(__xludf.DUMMYFUNCTION("REGEXEXTRACT(B27, ""^([^:]+)"")"),"Meat")</f>
        <v>Meat</v>
      </c>
      <c r="D27" s="1" t="s">
        <v>11</v>
      </c>
      <c r="E27" s="1" t="s">
        <v>11</v>
      </c>
    </row>
    <row r="28" spans="1:5" ht="15.75" customHeight="1">
      <c r="A28" s="3">
        <v>20220</v>
      </c>
      <c r="B28" s="1" t="s">
        <v>37</v>
      </c>
      <c r="C28" s="1" t="str">
        <f ca="1">IFERROR(__xludf.DUMMYFUNCTION("REGEXEXTRACT(B28, ""^([^:]+)"")"),"Meat")</f>
        <v>Meat</v>
      </c>
      <c r="D28" s="1" t="s">
        <v>11</v>
      </c>
      <c r="E28" s="1" t="s">
        <v>11</v>
      </c>
    </row>
    <row r="29" spans="1:5" ht="15.75" customHeight="1">
      <c r="A29" s="3">
        <v>20230</v>
      </c>
      <c r="B29" s="1" t="s">
        <v>38</v>
      </c>
      <c r="C29" s="1" t="str">
        <f ca="1">IFERROR(__xludf.DUMMYFUNCTION("REGEXEXTRACT(B29, ""^([^:]+)"")"),"Meat")</f>
        <v>Meat</v>
      </c>
      <c r="D29" s="1" t="s">
        <v>11</v>
      </c>
      <c r="E29" s="1" t="s">
        <v>11</v>
      </c>
    </row>
    <row r="30" spans="1:5" ht="15.75" customHeight="1">
      <c r="A30" s="3">
        <v>20311</v>
      </c>
      <c r="B30" s="1" t="s">
        <v>39</v>
      </c>
      <c r="C30" s="1" t="str">
        <f ca="1">IFERROR(__xludf.DUMMYFUNCTION("REGEXEXTRACT(B30, ""^([^:]+)"")"),"Meat")</f>
        <v>Meat</v>
      </c>
      <c r="D30" s="1" t="s">
        <v>11</v>
      </c>
      <c r="E30" s="1" t="s">
        <v>11</v>
      </c>
    </row>
    <row r="31" spans="1:5" ht="15.75" customHeight="1">
      <c r="A31" s="3">
        <v>20312</v>
      </c>
      <c r="B31" s="1" t="s">
        <v>40</v>
      </c>
      <c r="C31" s="1" t="str">
        <f ca="1">IFERROR(__xludf.DUMMYFUNCTION("REGEXEXTRACT(B31, ""^([^:]+)"")"),"Meat")</f>
        <v>Meat</v>
      </c>
      <c r="D31" s="1" t="s">
        <v>11</v>
      </c>
      <c r="E31" s="1" t="s">
        <v>11</v>
      </c>
    </row>
    <row r="32" spans="1:5" ht="15.75" customHeight="1">
      <c r="A32" s="3">
        <v>20319</v>
      </c>
      <c r="B32" s="1" t="s">
        <v>41</v>
      </c>
      <c r="C32" s="1" t="str">
        <f ca="1">IFERROR(__xludf.DUMMYFUNCTION("REGEXEXTRACT(B32, ""^([^:]+)"")"),"Meat")</f>
        <v>Meat</v>
      </c>
      <c r="D32" s="1" t="s">
        <v>11</v>
      </c>
      <c r="E32" s="1" t="s">
        <v>11</v>
      </c>
    </row>
    <row r="33" spans="1:5" ht="15.75" customHeight="1">
      <c r="A33" s="3">
        <v>20321</v>
      </c>
      <c r="B33" s="1" t="s">
        <v>42</v>
      </c>
      <c r="C33" s="1" t="str">
        <f ca="1">IFERROR(__xludf.DUMMYFUNCTION("REGEXEXTRACT(B33, ""^([^:]+)"")"),"Meat")</f>
        <v>Meat</v>
      </c>
      <c r="D33" s="1" t="s">
        <v>11</v>
      </c>
      <c r="E33" s="1" t="s">
        <v>11</v>
      </c>
    </row>
    <row r="34" spans="1:5" ht="15.75" customHeight="1">
      <c r="A34" s="3">
        <v>20322</v>
      </c>
      <c r="B34" s="1" t="s">
        <v>43</v>
      </c>
      <c r="C34" s="1" t="str">
        <f ca="1">IFERROR(__xludf.DUMMYFUNCTION("REGEXEXTRACT(B34, ""^([^:]+)"")"),"Meat")</f>
        <v>Meat</v>
      </c>
      <c r="D34" s="1" t="s">
        <v>11</v>
      </c>
      <c r="E34" s="1" t="s">
        <v>11</v>
      </c>
    </row>
    <row r="35" spans="1:5" ht="15.75" customHeight="1">
      <c r="A35" s="3">
        <v>20329</v>
      </c>
      <c r="B35" s="1" t="s">
        <v>44</v>
      </c>
      <c r="C35" s="1" t="str">
        <f ca="1">IFERROR(__xludf.DUMMYFUNCTION("REGEXEXTRACT(B35, ""^([^:]+)"")"),"Meat")</f>
        <v>Meat</v>
      </c>
      <c r="D35" s="1" t="s">
        <v>11</v>
      </c>
      <c r="E35" s="1" t="s">
        <v>11</v>
      </c>
    </row>
    <row r="36" spans="1:5" ht="15.75" customHeight="1">
      <c r="A36" s="3">
        <v>20410</v>
      </c>
      <c r="B36" s="1" t="s">
        <v>45</v>
      </c>
      <c r="C36" s="1" t="str">
        <f ca="1">IFERROR(__xludf.DUMMYFUNCTION("REGEXEXTRACT(B36, ""^([^:]+)"")"),"Meat")</f>
        <v>Meat</v>
      </c>
      <c r="D36" s="1" t="s">
        <v>11</v>
      </c>
      <c r="E36" s="1" t="s">
        <v>11</v>
      </c>
    </row>
    <row r="37" spans="1:5" ht="15.75" customHeight="1">
      <c r="A37" s="3">
        <v>20421</v>
      </c>
      <c r="B37" s="1" t="s">
        <v>46</v>
      </c>
      <c r="C37" s="1" t="str">
        <f ca="1">IFERROR(__xludf.DUMMYFUNCTION("REGEXEXTRACT(B37, ""^([^:]+)"")"),"Meat")</f>
        <v>Meat</v>
      </c>
      <c r="D37" s="1" t="s">
        <v>11</v>
      </c>
      <c r="E37" s="1" t="s">
        <v>11</v>
      </c>
    </row>
    <row r="38" spans="1:5" ht="15.75" customHeight="1">
      <c r="A38" s="3">
        <v>20422</v>
      </c>
      <c r="B38" s="1" t="s">
        <v>47</v>
      </c>
      <c r="C38" s="1" t="str">
        <f ca="1">IFERROR(__xludf.DUMMYFUNCTION("REGEXEXTRACT(B38, ""^([^:]+)"")"),"Meat")</f>
        <v>Meat</v>
      </c>
      <c r="D38" s="1" t="s">
        <v>11</v>
      </c>
      <c r="E38" s="1" t="s">
        <v>11</v>
      </c>
    </row>
    <row r="39" spans="1:5" ht="15.75" customHeight="1">
      <c r="A39" s="3">
        <v>20423</v>
      </c>
      <c r="B39" s="1" t="s">
        <v>48</v>
      </c>
      <c r="C39" s="1" t="str">
        <f ca="1">IFERROR(__xludf.DUMMYFUNCTION("REGEXEXTRACT(B39, ""^([^:]+)"")"),"Meat")</f>
        <v>Meat</v>
      </c>
      <c r="D39" s="1" t="s">
        <v>11</v>
      </c>
      <c r="E39" s="1" t="s">
        <v>11</v>
      </c>
    </row>
    <row r="40" spans="1:5" ht="15.75" customHeight="1">
      <c r="A40" s="3">
        <v>20430</v>
      </c>
      <c r="B40" s="1" t="s">
        <v>49</v>
      </c>
      <c r="C40" s="1" t="str">
        <f ca="1">IFERROR(__xludf.DUMMYFUNCTION("REGEXEXTRACT(B40, ""^([^:]+)"")"),"Meat")</f>
        <v>Meat</v>
      </c>
      <c r="D40" s="1" t="s">
        <v>11</v>
      </c>
      <c r="E40" s="1" t="s">
        <v>11</v>
      </c>
    </row>
    <row r="41" spans="1:5" ht="15.75" customHeight="1">
      <c r="A41" s="3">
        <v>20441</v>
      </c>
      <c r="B41" s="1" t="s">
        <v>50</v>
      </c>
      <c r="C41" s="1" t="str">
        <f ca="1">IFERROR(__xludf.DUMMYFUNCTION("REGEXEXTRACT(B41, ""^([^:]+)"")"),"Meat")</f>
        <v>Meat</v>
      </c>
      <c r="D41" s="1" t="s">
        <v>11</v>
      </c>
      <c r="E41" s="1" t="s">
        <v>11</v>
      </c>
    </row>
    <row r="42" spans="1:5" ht="15.75" customHeight="1">
      <c r="A42" s="3">
        <v>20442</v>
      </c>
      <c r="B42" s="1" t="s">
        <v>51</v>
      </c>
      <c r="C42" s="1" t="str">
        <f ca="1">IFERROR(__xludf.DUMMYFUNCTION("REGEXEXTRACT(B42, ""^([^:]+)"")"),"Meat")</f>
        <v>Meat</v>
      </c>
      <c r="D42" s="1" t="s">
        <v>11</v>
      </c>
      <c r="E42" s="1" t="s">
        <v>11</v>
      </c>
    </row>
    <row r="43" spans="1:5" ht="15.75" customHeight="1">
      <c r="A43" s="3">
        <v>20443</v>
      </c>
      <c r="B43" s="1" t="s">
        <v>52</v>
      </c>
      <c r="C43" s="1" t="str">
        <f ca="1">IFERROR(__xludf.DUMMYFUNCTION("REGEXEXTRACT(B43, ""^([^:]+)"")"),"Meat")</f>
        <v>Meat</v>
      </c>
      <c r="D43" s="1" t="s">
        <v>11</v>
      </c>
      <c r="E43" s="1" t="s">
        <v>11</v>
      </c>
    </row>
    <row r="44" spans="1:5" ht="15.75" customHeight="1">
      <c r="A44" s="3">
        <v>20450</v>
      </c>
      <c r="B44" s="1" t="s">
        <v>53</v>
      </c>
      <c r="C44" s="1" t="str">
        <f ca="1">IFERROR(__xludf.DUMMYFUNCTION("REGEXEXTRACT(B44, ""^([^:]+)"")"),"Meat")</f>
        <v>Meat</v>
      </c>
      <c r="D44" s="1" t="s">
        <v>11</v>
      </c>
      <c r="E44" s="1" t="s">
        <v>11</v>
      </c>
    </row>
    <row r="45" spans="1:5" ht="15.75" customHeight="1">
      <c r="A45" s="3">
        <v>20500</v>
      </c>
      <c r="B45" s="1" t="s">
        <v>54</v>
      </c>
      <c r="C45" s="1" t="str">
        <f ca="1">IFERROR(__xludf.DUMMYFUNCTION("REGEXEXTRACT(B45, ""^([^:]+)"")"),"Meat")</f>
        <v>Meat</v>
      </c>
      <c r="D45" s="1" t="s">
        <v>11</v>
      </c>
      <c r="E45" s="1" t="s">
        <v>11</v>
      </c>
    </row>
    <row r="46" spans="1:5" ht="15.75" customHeight="1">
      <c r="A46" s="3">
        <v>20610</v>
      </c>
      <c r="B46" s="1" t="s">
        <v>55</v>
      </c>
      <c r="C46" s="1" t="str">
        <f ca="1">IFERROR(__xludf.DUMMYFUNCTION("REGEXEXTRACT(B46, ""^([^:]+)"")"),"Offal, edible")</f>
        <v>Offal, edible</v>
      </c>
      <c r="D46" s="1" t="s">
        <v>11</v>
      </c>
      <c r="E46" s="1" t="s">
        <v>11</v>
      </c>
    </row>
    <row r="47" spans="1:5" ht="15.75" customHeight="1">
      <c r="A47" s="3">
        <v>20621</v>
      </c>
      <c r="B47" s="1" t="s">
        <v>56</v>
      </c>
      <c r="C47" s="1" t="str">
        <f ca="1">IFERROR(__xludf.DUMMYFUNCTION("REGEXEXTRACT(B47, ""^([^:]+)"")"),"Offal, edible")</f>
        <v>Offal, edible</v>
      </c>
      <c r="D47" s="1" t="s">
        <v>11</v>
      </c>
      <c r="E47" s="1" t="s">
        <v>11</v>
      </c>
    </row>
    <row r="48" spans="1:5" ht="15.75" customHeight="1">
      <c r="A48" s="3">
        <v>20622</v>
      </c>
      <c r="B48" s="1" t="s">
        <v>57</v>
      </c>
      <c r="C48" s="1" t="str">
        <f ca="1">IFERROR(__xludf.DUMMYFUNCTION("REGEXEXTRACT(B48, ""^([^:]+)"")"),"Offal, edible")</f>
        <v>Offal, edible</v>
      </c>
      <c r="D48" s="1" t="s">
        <v>11</v>
      </c>
      <c r="E48" s="1" t="s">
        <v>11</v>
      </c>
    </row>
    <row r="49" spans="1:5" ht="15.75" customHeight="1">
      <c r="A49" s="3">
        <v>20629</v>
      </c>
      <c r="B49" s="1" t="s">
        <v>58</v>
      </c>
      <c r="C49" s="1" t="str">
        <f ca="1">IFERROR(__xludf.DUMMYFUNCTION("REGEXEXTRACT(B49, ""^([^:]+)"")"),"Offal, edible")</f>
        <v>Offal, edible</v>
      </c>
      <c r="D49" s="1" t="s">
        <v>11</v>
      </c>
      <c r="E49" s="1" t="s">
        <v>11</v>
      </c>
    </row>
    <row r="50" spans="1:5" ht="15.75" customHeight="1">
      <c r="A50" s="3">
        <v>20630</v>
      </c>
      <c r="B50" s="1" t="s">
        <v>59</v>
      </c>
      <c r="C50" s="1" t="str">
        <f ca="1">IFERROR(__xludf.DUMMYFUNCTION("REGEXEXTRACT(B50, ""^([^:]+)"")"),"Offal, edible")</f>
        <v>Offal, edible</v>
      </c>
      <c r="D50" s="1" t="s">
        <v>11</v>
      </c>
      <c r="E50" s="1" t="s">
        <v>11</v>
      </c>
    </row>
    <row r="51" spans="1:5" ht="15.75" customHeight="1">
      <c r="A51" s="3">
        <v>20641</v>
      </c>
      <c r="B51" s="1" t="s">
        <v>60</v>
      </c>
      <c r="C51" s="1" t="str">
        <f ca="1">IFERROR(__xludf.DUMMYFUNCTION("REGEXEXTRACT(B51, ""^([^:]+)"")"),"Offal, edible")</f>
        <v>Offal, edible</v>
      </c>
      <c r="D51" s="1" t="s">
        <v>11</v>
      </c>
      <c r="E51" s="1" t="s">
        <v>11</v>
      </c>
    </row>
    <row r="52" spans="1:5" ht="15.75" customHeight="1">
      <c r="A52" s="3">
        <v>20649</v>
      </c>
      <c r="B52" s="1" t="s">
        <v>61</v>
      </c>
      <c r="C52" s="1" t="str">
        <f ca="1">IFERROR(__xludf.DUMMYFUNCTION("REGEXEXTRACT(B52, ""^([^:]+)"")"),"Offal, edible")</f>
        <v>Offal, edible</v>
      </c>
      <c r="D52" s="1" t="s">
        <v>11</v>
      </c>
      <c r="E52" s="1" t="s">
        <v>11</v>
      </c>
    </row>
    <row r="53" spans="1:5" ht="15.75" customHeight="1">
      <c r="A53" s="3">
        <v>20680</v>
      </c>
      <c r="B53" s="1" t="s">
        <v>62</v>
      </c>
      <c r="C53" s="1" t="str">
        <f ca="1">IFERROR(__xludf.DUMMYFUNCTION("REGEXEXTRACT(B53, ""^([^:]+)"")"),"Offal, edible")</f>
        <v>Offal, edible</v>
      </c>
      <c r="D53" s="1" t="s">
        <v>11</v>
      </c>
      <c r="E53" s="1" t="s">
        <v>11</v>
      </c>
    </row>
    <row r="54" spans="1:5" ht="15.75" customHeight="1">
      <c r="A54" s="3">
        <v>20690</v>
      </c>
      <c r="B54" s="1" t="s">
        <v>63</v>
      </c>
      <c r="C54" s="1" t="str">
        <f ca="1">IFERROR(__xludf.DUMMYFUNCTION("REGEXEXTRACT(B54, ""^([^:]+)"")"),"Offal, edible")</f>
        <v>Offal, edible</v>
      </c>
      <c r="D54" s="1" t="s">
        <v>11</v>
      </c>
      <c r="E54" s="1" t="s">
        <v>11</v>
      </c>
    </row>
    <row r="55" spans="1:5" ht="15.75" customHeight="1">
      <c r="A55" s="3">
        <v>20711</v>
      </c>
      <c r="B55" s="1" t="s">
        <v>64</v>
      </c>
      <c r="C55" s="1" t="str">
        <f ca="1">IFERROR(__xludf.DUMMYFUNCTION("REGEXEXTRACT(B55, ""^([^:]+)"")"),"Meat and edible offal")</f>
        <v>Meat and edible offal</v>
      </c>
      <c r="D55" s="1" t="s">
        <v>11</v>
      </c>
      <c r="E55" s="1" t="s">
        <v>11</v>
      </c>
    </row>
    <row r="56" spans="1:5" ht="15.75" customHeight="1">
      <c r="A56" s="3">
        <v>20712</v>
      </c>
      <c r="B56" s="1" t="s">
        <v>65</v>
      </c>
      <c r="C56" s="1" t="str">
        <f ca="1">IFERROR(__xludf.DUMMYFUNCTION("REGEXEXTRACT(B56, ""^([^:]+)"")"),"Meat and edible offal")</f>
        <v>Meat and edible offal</v>
      </c>
      <c r="D56" s="1" t="s">
        <v>11</v>
      </c>
      <c r="E56" s="1" t="s">
        <v>11</v>
      </c>
    </row>
    <row r="57" spans="1:5" ht="15.75" customHeight="1">
      <c r="A57" s="3">
        <v>20713</v>
      </c>
      <c r="B57" s="1" t="s">
        <v>66</v>
      </c>
      <c r="C57" s="1" t="str">
        <f ca="1">IFERROR(__xludf.DUMMYFUNCTION("REGEXEXTRACT(B57, ""^([^:]+)"")"),"Meat and edible offal")</f>
        <v>Meat and edible offal</v>
      </c>
      <c r="D57" s="1" t="s">
        <v>11</v>
      </c>
      <c r="E57" s="1" t="s">
        <v>11</v>
      </c>
    </row>
    <row r="58" spans="1:5" ht="15.75" customHeight="1">
      <c r="A58" s="3">
        <v>20714</v>
      </c>
      <c r="B58" s="1" t="s">
        <v>67</v>
      </c>
      <c r="C58" s="1" t="str">
        <f ca="1">IFERROR(__xludf.DUMMYFUNCTION("REGEXEXTRACT(B58, ""^([^:]+)"")"),"Meat and edible offal")</f>
        <v>Meat and edible offal</v>
      </c>
      <c r="D58" s="1" t="s">
        <v>11</v>
      </c>
      <c r="E58" s="1" t="s">
        <v>11</v>
      </c>
    </row>
    <row r="59" spans="1:5" ht="15.75" customHeight="1">
      <c r="A59" s="3">
        <v>20724</v>
      </c>
      <c r="B59" s="1" t="s">
        <v>68</v>
      </c>
      <c r="C59" s="1" t="str">
        <f ca="1">IFERROR(__xludf.DUMMYFUNCTION("REGEXEXTRACT(B59, ""^([^:]+)"")"),"Meat and edible offal")</f>
        <v>Meat and edible offal</v>
      </c>
      <c r="D59" s="1" t="s">
        <v>11</v>
      </c>
      <c r="E59" s="1" t="s">
        <v>11</v>
      </c>
    </row>
    <row r="60" spans="1:5" ht="15.75" customHeight="1">
      <c r="A60" s="3">
        <v>20725</v>
      </c>
      <c r="B60" s="1" t="s">
        <v>69</v>
      </c>
      <c r="C60" s="1" t="str">
        <f ca="1">IFERROR(__xludf.DUMMYFUNCTION("REGEXEXTRACT(B60, ""^([^:]+)"")"),"Meat and edible offal")</f>
        <v>Meat and edible offal</v>
      </c>
      <c r="D60" s="1" t="s">
        <v>11</v>
      </c>
      <c r="E60" s="1" t="s">
        <v>11</v>
      </c>
    </row>
    <row r="61" spans="1:5" ht="15.75" customHeight="1">
      <c r="A61" s="3">
        <v>20726</v>
      </c>
      <c r="B61" s="1" t="s">
        <v>70</v>
      </c>
      <c r="C61" s="1" t="str">
        <f ca="1">IFERROR(__xludf.DUMMYFUNCTION("REGEXEXTRACT(B61, ""^([^:]+)"")"),"Meat and edible offal")</f>
        <v>Meat and edible offal</v>
      </c>
      <c r="D61" s="1" t="s">
        <v>11</v>
      </c>
      <c r="E61" s="1" t="s">
        <v>11</v>
      </c>
    </row>
    <row r="62" spans="1:5" ht="15.75" customHeight="1">
      <c r="A62" s="3">
        <v>20727</v>
      </c>
      <c r="B62" s="1" t="s">
        <v>71</v>
      </c>
      <c r="C62" s="1" t="str">
        <f ca="1">IFERROR(__xludf.DUMMYFUNCTION("REGEXEXTRACT(B62, ""^([^:]+)"")"),"Meat and edible offal")</f>
        <v>Meat and edible offal</v>
      </c>
      <c r="D62" s="1" t="s">
        <v>11</v>
      </c>
      <c r="E62" s="1" t="s">
        <v>11</v>
      </c>
    </row>
    <row r="63" spans="1:5" ht="15.75" customHeight="1">
      <c r="A63" s="3">
        <v>20732</v>
      </c>
      <c r="B63" s="1" t="s">
        <v>72</v>
      </c>
      <c r="C63" s="1" t="str">
        <f ca="1">IFERROR(__xludf.DUMMYFUNCTION("REGEXEXTRACT(B63, ""^([^:]+)"")"),"Meat and edible offal")</f>
        <v>Meat and edible offal</v>
      </c>
      <c r="D63" s="1" t="s">
        <v>11</v>
      </c>
      <c r="E63" s="1" t="s">
        <v>11</v>
      </c>
    </row>
    <row r="64" spans="1:5" ht="15.75" customHeight="1">
      <c r="A64" s="3">
        <v>20733</v>
      </c>
      <c r="B64" s="1" t="s">
        <v>73</v>
      </c>
      <c r="C64" s="1" t="str">
        <f ca="1">IFERROR(__xludf.DUMMYFUNCTION("REGEXEXTRACT(B64, ""^([^:]+)"")"),"Meat and edible offal")</f>
        <v>Meat and edible offal</v>
      </c>
      <c r="D64" s="1" t="s">
        <v>11</v>
      </c>
      <c r="E64" s="1" t="s">
        <v>11</v>
      </c>
    </row>
    <row r="65" spans="1:5" ht="15.75" customHeight="1">
      <c r="A65" s="3">
        <v>20734</v>
      </c>
      <c r="B65" s="1" t="s">
        <v>74</v>
      </c>
      <c r="C65" s="1" t="str">
        <f ca="1">IFERROR(__xludf.DUMMYFUNCTION("REGEXEXTRACT(B65, ""^([^:]+)"")"),"Meat and edible offal")</f>
        <v>Meat and edible offal</v>
      </c>
      <c r="D65" s="1" t="s">
        <v>11</v>
      </c>
      <c r="E65" s="1" t="s">
        <v>11</v>
      </c>
    </row>
    <row r="66" spans="1:5" ht="15.75" customHeight="1">
      <c r="A66" s="3">
        <v>20735</v>
      </c>
      <c r="B66" s="1" t="s">
        <v>75</v>
      </c>
      <c r="C66" s="1" t="str">
        <f ca="1">IFERROR(__xludf.DUMMYFUNCTION("REGEXEXTRACT(B66, ""^([^:]+)"")"),"Meat and edible offal")</f>
        <v>Meat and edible offal</v>
      </c>
      <c r="D66" s="1" t="s">
        <v>11</v>
      </c>
      <c r="E66" s="1" t="s">
        <v>11</v>
      </c>
    </row>
    <row r="67" spans="1:5" ht="15.75" customHeight="1">
      <c r="A67" s="3">
        <v>20736</v>
      </c>
      <c r="B67" s="1" t="s">
        <v>76</v>
      </c>
      <c r="C67" s="1" t="str">
        <f ca="1">IFERROR(__xludf.DUMMYFUNCTION("REGEXEXTRACT(B67, ""^([^:]+)"")"),"Meat and edible offal")</f>
        <v>Meat and edible offal</v>
      </c>
      <c r="D67" s="1" t="s">
        <v>11</v>
      </c>
      <c r="E67" s="1" t="s">
        <v>11</v>
      </c>
    </row>
    <row r="68" spans="1:5" ht="15.75" customHeight="1">
      <c r="A68" s="3">
        <v>20810</v>
      </c>
      <c r="B68" s="1" t="s">
        <v>77</v>
      </c>
      <c r="C68" s="1" t="str">
        <f ca="1">IFERROR(__xludf.DUMMYFUNCTION("REGEXEXTRACT(B68, ""^([^:]+)"")"),"Meat and edible meat offal")</f>
        <v>Meat and edible meat offal</v>
      </c>
      <c r="D68" s="1" t="s">
        <v>11</v>
      </c>
      <c r="E68" s="1" t="s">
        <v>11</v>
      </c>
    </row>
    <row r="69" spans="1:5" ht="15.75" customHeight="1">
      <c r="A69" s="3">
        <v>20830</v>
      </c>
      <c r="B69" s="1" t="s">
        <v>78</v>
      </c>
      <c r="C69" s="1" t="str">
        <f ca="1">IFERROR(__xludf.DUMMYFUNCTION("REGEXEXTRACT(B69, ""^([^:]+)"")"),"Meat and edible meat offal")</f>
        <v>Meat and edible meat offal</v>
      </c>
      <c r="D69" s="1" t="s">
        <v>11</v>
      </c>
      <c r="E69" s="1" t="s">
        <v>11</v>
      </c>
    </row>
    <row r="70" spans="1:5" ht="15.75" customHeight="1">
      <c r="A70" s="3">
        <v>20840</v>
      </c>
      <c r="B70" s="1" t="s">
        <v>79</v>
      </c>
      <c r="C70" s="1" t="str">
        <f ca="1">IFERROR(__xludf.DUMMYFUNCTION("REGEXEXTRACT(B70, ""^([^:]+)"")"),"Meat and edible meat offal")</f>
        <v>Meat and edible meat offal</v>
      </c>
      <c r="D70" s="1" t="s">
        <v>11</v>
      </c>
      <c r="E70" s="1" t="s">
        <v>11</v>
      </c>
    </row>
    <row r="71" spans="1:5" ht="15.75" customHeight="1">
      <c r="A71" s="3">
        <v>20850</v>
      </c>
      <c r="B71" s="1" t="s">
        <v>80</v>
      </c>
      <c r="C71" s="1" t="str">
        <f ca="1">IFERROR(__xludf.DUMMYFUNCTION("REGEXEXTRACT(B71, ""^([^:]+)"")"),"Meat and edible meat offal")</f>
        <v>Meat and edible meat offal</v>
      </c>
      <c r="D71" s="1" t="s">
        <v>11</v>
      </c>
      <c r="E71" s="1" t="s">
        <v>11</v>
      </c>
    </row>
    <row r="72" spans="1:5" ht="15.75" customHeight="1">
      <c r="A72" s="3">
        <v>20890</v>
      </c>
      <c r="B72" s="1" t="s">
        <v>81</v>
      </c>
      <c r="C72" s="1" t="str">
        <f ca="1">IFERROR(__xludf.DUMMYFUNCTION("REGEXEXTRACT(B72, ""^([^:]+)"")"),"Meat and edible meat offal")</f>
        <v>Meat and edible meat offal</v>
      </c>
      <c r="D72" s="1" t="s">
        <v>11</v>
      </c>
      <c r="E72" s="1" t="s">
        <v>11</v>
      </c>
    </row>
    <row r="73" spans="1:5" ht="15.75" customHeight="1">
      <c r="A73" s="3">
        <v>20900</v>
      </c>
      <c r="B73" s="1" t="s">
        <v>82</v>
      </c>
      <c r="C73" s="1" t="str">
        <f ca="1">IFERROR(__xludf.DUMMYFUNCTION("REGEXEXTRACT(B73, ""^([^:]+)"")"),"Fat")</f>
        <v>Fat</v>
      </c>
      <c r="D73" s="1" t="s">
        <v>11</v>
      </c>
      <c r="E73" s="1" t="s">
        <v>11</v>
      </c>
    </row>
    <row r="74" spans="1:5" ht="15.75" customHeight="1">
      <c r="A74" s="3">
        <v>21011</v>
      </c>
      <c r="B74" s="1" t="s">
        <v>83</v>
      </c>
      <c r="C74" s="1" t="str">
        <f ca="1">IFERROR(__xludf.DUMMYFUNCTION("REGEXEXTRACT(B74, ""^([^:]+)"")"),"Meat, preserved")</f>
        <v>Meat, preserved</v>
      </c>
      <c r="D74" s="1" t="s">
        <v>11</v>
      </c>
      <c r="E74" s="1" t="s">
        <v>11</v>
      </c>
    </row>
    <row r="75" spans="1:5" ht="15.75" customHeight="1">
      <c r="A75" s="3">
        <v>21012</v>
      </c>
      <c r="B75" s="1" t="s">
        <v>84</v>
      </c>
      <c r="C75" s="1" t="str">
        <f ca="1">IFERROR(__xludf.DUMMYFUNCTION("REGEXEXTRACT(B75, ""^([^:]+)"")"),"Meat, preserved")</f>
        <v>Meat, preserved</v>
      </c>
      <c r="D75" s="1" t="s">
        <v>11</v>
      </c>
      <c r="E75" s="1" t="s">
        <v>11</v>
      </c>
    </row>
    <row r="76" spans="1:5" ht="15.75" customHeight="1">
      <c r="A76" s="3">
        <v>21019</v>
      </c>
      <c r="B76" s="1" t="s">
        <v>85</v>
      </c>
      <c r="C76" s="1" t="str">
        <f ca="1">IFERROR(__xludf.DUMMYFUNCTION("REGEXEXTRACT(B76, ""^([^:]+)"")"),"Meat, preserved")</f>
        <v>Meat, preserved</v>
      </c>
      <c r="D76" s="1" t="s">
        <v>11</v>
      </c>
      <c r="E76" s="1" t="s">
        <v>11</v>
      </c>
    </row>
    <row r="77" spans="1:5" ht="15.75" customHeight="1">
      <c r="A77" s="3">
        <v>21020</v>
      </c>
      <c r="B77" s="1" t="s">
        <v>86</v>
      </c>
      <c r="C77" s="1" t="str">
        <f ca="1">IFERROR(__xludf.DUMMYFUNCTION("REGEXEXTRACT(B77, ""^([^:]+)"")"),"Meat, preserved")</f>
        <v>Meat, preserved</v>
      </c>
      <c r="D77" s="1" t="s">
        <v>11</v>
      </c>
      <c r="E77" s="1" t="s">
        <v>11</v>
      </c>
    </row>
    <row r="78" spans="1:5" ht="15.75" customHeight="1">
      <c r="A78" s="3">
        <v>21091</v>
      </c>
      <c r="B78" s="1" t="s">
        <v>87</v>
      </c>
      <c r="C78" s="1" t="str">
        <f ca="1">IFERROR(__xludf.DUMMYFUNCTION("REGEXEXTRACT(B78, ""^([^:]+)"")"),"Meat and edible meat offal, preserved")</f>
        <v>Meat and edible meat offal, preserved</v>
      </c>
      <c r="D78" s="1" t="s">
        <v>11</v>
      </c>
      <c r="E78" s="1" t="s">
        <v>11</v>
      </c>
    </row>
    <row r="79" spans="1:5" ht="15.75" customHeight="1">
      <c r="A79" s="3">
        <v>21092</v>
      </c>
      <c r="B79" s="1" t="s">
        <v>88</v>
      </c>
      <c r="C79" s="1" t="str">
        <f ca="1">IFERROR(__xludf.DUMMYFUNCTION("REGEXEXTRACT(B79, ""^([^:]+)"")"),"Meat and edible meat offal, preserved")</f>
        <v>Meat and edible meat offal, preserved</v>
      </c>
      <c r="D79" s="1" t="s">
        <v>11</v>
      </c>
      <c r="E79" s="1" t="s">
        <v>11</v>
      </c>
    </row>
    <row r="80" spans="1:5" ht="15.75" customHeight="1">
      <c r="A80" s="3">
        <v>21093</v>
      </c>
      <c r="B80" s="1" t="s">
        <v>89</v>
      </c>
      <c r="C80" s="1" t="str">
        <f ca="1">IFERROR(__xludf.DUMMYFUNCTION("REGEXEXTRACT(B80, ""^([^:]+)"")"),"Meat and edible meat offal, preserved")</f>
        <v>Meat and edible meat offal, preserved</v>
      </c>
      <c r="D80" s="1" t="s">
        <v>11</v>
      </c>
      <c r="E80" s="1" t="s">
        <v>11</v>
      </c>
    </row>
    <row r="81" spans="1:5" ht="15.75" customHeight="1">
      <c r="A81" s="3">
        <v>21099</v>
      </c>
      <c r="B81" s="1" t="s">
        <v>90</v>
      </c>
      <c r="C81" s="1" t="str">
        <f ca="1">IFERROR(__xludf.DUMMYFUNCTION("REGEXEXTRACT(B81, ""^([^:]+)"")"),"Meat and edible meat offal, preserved")</f>
        <v>Meat and edible meat offal, preserved</v>
      </c>
      <c r="D81" s="1" t="s">
        <v>11</v>
      </c>
      <c r="E81" s="1" t="s">
        <v>11</v>
      </c>
    </row>
    <row r="82" spans="1:5" ht="15.75" customHeight="1">
      <c r="A82" s="3">
        <v>30110</v>
      </c>
      <c r="B82" s="1" t="s">
        <v>91</v>
      </c>
      <c r="C82" s="1" t="str">
        <f ca="1">IFERROR(__xludf.DUMMYFUNCTION("REGEXEXTRACT(B82, ""^([^:]+)"")"),"Fish")</f>
        <v>Fish</v>
      </c>
      <c r="D82" s="1" t="s">
        <v>11</v>
      </c>
      <c r="E82" s="1" t="s">
        <v>11</v>
      </c>
    </row>
    <row r="83" spans="1:5" ht="15.75" customHeight="1">
      <c r="A83" s="3">
        <v>30191</v>
      </c>
      <c r="B83" s="1" t="s">
        <v>92</v>
      </c>
      <c r="C83" s="1" t="str">
        <f ca="1">IFERROR(__xludf.DUMMYFUNCTION("REGEXEXTRACT(B83, ""^([^:]+)"")"),"Fish")</f>
        <v>Fish</v>
      </c>
      <c r="D83" s="1" t="s">
        <v>11</v>
      </c>
      <c r="E83" s="1" t="s">
        <v>11</v>
      </c>
    </row>
    <row r="84" spans="1:5" ht="15.75" customHeight="1">
      <c r="A84" s="3">
        <v>30192</v>
      </c>
      <c r="B84" s="1" t="s">
        <v>93</v>
      </c>
      <c r="C84" s="1" t="str">
        <f ca="1">IFERROR(__xludf.DUMMYFUNCTION("REGEXEXTRACT(B84, ""^([^:]+)"")"),"Fish")</f>
        <v>Fish</v>
      </c>
      <c r="D84" s="1" t="s">
        <v>11</v>
      </c>
      <c r="E84" s="1" t="s">
        <v>11</v>
      </c>
    </row>
    <row r="85" spans="1:5" ht="15.75" customHeight="1">
      <c r="A85" s="3">
        <v>30193</v>
      </c>
      <c r="B85" s="1" t="s">
        <v>94</v>
      </c>
      <c r="C85" s="1" t="str">
        <f ca="1">IFERROR(__xludf.DUMMYFUNCTION("REGEXEXTRACT(B85, ""^([^:]+)"")"),"Fish")</f>
        <v>Fish</v>
      </c>
      <c r="D85" s="1" t="s">
        <v>11</v>
      </c>
      <c r="E85" s="1" t="s">
        <v>11</v>
      </c>
    </row>
    <row r="86" spans="1:5" ht="15.75" customHeight="1">
      <c r="A86" s="3">
        <v>30194</v>
      </c>
      <c r="B86" s="1" t="s">
        <v>95</v>
      </c>
      <c r="C86" s="1" t="str">
        <f ca="1">IFERROR(__xludf.DUMMYFUNCTION("REGEXEXTRACT(B86, ""^([^:]+)"")"),"Fish")</f>
        <v>Fish</v>
      </c>
      <c r="D86" s="1" t="s">
        <v>11</v>
      </c>
      <c r="E86" s="1" t="s">
        <v>11</v>
      </c>
    </row>
    <row r="87" spans="1:5" ht="15.75" customHeight="1">
      <c r="A87" s="3">
        <v>30195</v>
      </c>
      <c r="B87" s="1" t="s">
        <v>96</v>
      </c>
      <c r="C87" s="1" t="str">
        <f ca="1">IFERROR(__xludf.DUMMYFUNCTION("REGEXEXTRACT(B87, ""^([^:]+)"")"),"Fish")</f>
        <v>Fish</v>
      </c>
      <c r="D87" s="1" t="s">
        <v>11</v>
      </c>
      <c r="E87" s="1" t="s">
        <v>11</v>
      </c>
    </row>
    <row r="88" spans="1:5" ht="15.75" customHeight="1">
      <c r="A88" s="3">
        <v>30199</v>
      </c>
      <c r="B88" s="1" t="s">
        <v>97</v>
      </c>
      <c r="C88" s="1" t="str">
        <f ca="1">IFERROR(__xludf.DUMMYFUNCTION("REGEXEXTRACT(B88, ""^([^:]+)"")"),"Fish")</f>
        <v>Fish</v>
      </c>
      <c r="D88" s="1" t="s">
        <v>11</v>
      </c>
      <c r="E88" s="1" t="s">
        <v>11</v>
      </c>
    </row>
    <row r="89" spans="1:5" ht="15.75" customHeight="1">
      <c r="A89" s="3">
        <v>30211</v>
      </c>
      <c r="B89" s="1" t="s">
        <v>98</v>
      </c>
      <c r="C89" s="1" t="str">
        <f ca="1">IFERROR(__xludf.DUMMYFUNCTION("REGEXEXTRACT(B89, ""^([^:]+)"")"),"Fish")</f>
        <v>Fish</v>
      </c>
      <c r="D89" s="1" t="s">
        <v>11</v>
      </c>
      <c r="E89" s="1" t="s">
        <v>11</v>
      </c>
    </row>
    <row r="90" spans="1:5" ht="15.75" customHeight="1">
      <c r="A90" s="3">
        <v>30212</v>
      </c>
      <c r="B90" s="1" t="s">
        <v>99</v>
      </c>
      <c r="C90" s="1" t="str">
        <f ca="1">IFERROR(__xludf.DUMMYFUNCTION("REGEXEXTRACT(B90, ""^([^:]+)"")"),"Fish")</f>
        <v>Fish</v>
      </c>
      <c r="D90" s="1" t="s">
        <v>11</v>
      </c>
      <c r="E90" s="1" t="s">
        <v>11</v>
      </c>
    </row>
    <row r="91" spans="1:5" ht="15.75" customHeight="1">
      <c r="A91" s="3">
        <v>30219</v>
      </c>
      <c r="B91" s="1" t="s">
        <v>100</v>
      </c>
      <c r="C91" s="1" t="str">
        <f ca="1">IFERROR(__xludf.DUMMYFUNCTION("REGEXEXTRACT(B91, ""^([^:]+)"")"),"Fish")</f>
        <v>Fish</v>
      </c>
      <c r="D91" s="1" t="s">
        <v>11</v>
      </c>
      <c r="E91" s="1" t="s">
        <v>11</v>
      </c>
    </row>
    <row r="92" spans="1:5" ht="15.75" customHeight="1">
      <c r="A92" s="3">
        <v>30221</v>
      </c>
      <c r="B92" s="1" t="s">
        <v>101</v>
      </c>
      <c r="C92" s="1" t="str">
        <f ca="1">IFERROR(__xludf.DUMMYFUNCTION("REGEXEXTRACT(B92, ""^([^:]+)"")"),"Fish")</f>
        <v>Fish</v>
      </c>
      <c r="D92" s="1" t="s">
        <v>11</v>
      </c>
      <c r="E92" s="1" t="s">
        <v>11</v>
      </c>
    </row>
    <row r="93" spans="1:5" ht="15.75" customHeight="1">
      <c r="A93" s="3">
        <v>30222</v>
      </c>
      <c r="B93" s="1" t="s">
        <v>102</v>
      </c>
      <c r="C93" s="1" t="str">
        <f ca="1">IFERROR(__xludf.DUMMYFUNCTION("REGEXEXTRACT(B93, ""^([^:]+)"")"),"Fish")</f>
        <v>Fish</v>
      </c>
      <c r="D93" s="1" t="s">
        <v>11</v>
      </c>
      <c r="E93" s="1" t="s">
        <v>11</v>
      </c>
    </row>
    <row r="94" spans="1:5" ht="15.75" customHeight="1">
      <c r="A94" s="3">
        <v>30223</v>
      </c>
      <c r="B94" s="1" t="s">
        <v>103</v>
      </c>
      <c r="C94" s="1" t="str">
        <f ca="1">IFERROR(__xludf.DUMMYFUNCTION("REGEXEXTRACT(B94, ""^([^:]+)"")"),"Fish")</f>
        <v>Fish</v>
      </c>
      <c r="D94" s="1" t="s">
        <v>11</v>
      </c>
      <c r="E94" s="1" t="s">
        <v>11</v>
      </c>
    </row>
    <row r="95" spans="1:5" ht="15.75" customHeight="1">
      <c r="A95" s="3">
        <v>30229</v>
      </c>
      <c r="B95" s="1" t="s">
        <v>104</v>
      </c>
      <c r="C95" s="1" t="str">
        <f ca="1">IFERROR(__xludf.DUMMYFUNCTION("REGEXEXTRACT(B95, ""^([^:]+)"")"),"Fish")</f>
        <v>Fish</v>
      </c>
      <c r="D95" s="1" t="s">
        <v>11</v>
      </c>
      <c r="E95" s="1" t="s">
        <v>11</v>
      </c>
    </row>
    <row r="96" spans="1:5" ht="15.75" customHeight="1">
      <c r="A96" s="3">
        <v>30231</v>
      </c>
      <c r="B96" s="1" t="s">
        <v>105</v>
      </c>
      <c r="C96" s="1" t="str">
        <f ca="1">IFERROR(__xludf.DUMMYFUNCTION("REGEXEXTRACT(B96, ""^([^:]+)"")"),"Fish")</f>
        <v>Fish</v>
      </c>
      <c r="D96" s="1" t="s">
        <v>11</v>
      </c>
      <c r="E96" s="1" t="s">
        <v>11</v>
      </c>
    </row>
    <row r="97" spans="1:5" ht="15.75" customHeight="1">
      <c r="A97" s="3">
        <v>30232</v>
      </c>
      <c r="B97" s="1" t="s">
        <v>106</v>
      </c>
      <c r="C97" s="1" t="str">
        <f ca="1">IFERROR(__xludf.DUMMYFUNCTION("REGEXEXTRACT(B97, ""^([^:]+)"")"),"Fish")</f>
        <v>Fish</v>
      </c>
      <c r="D97" s="1" t="s">
        <v>11</v>
      </c>
      <c r="E97" s="1" t="s">
        <v>11</v>
      </c>
    </row>
    <row r="98" spans="1:5" ht="15.75" customHeight="1">
      <c r="A98" s="3">
        <v>30233</v>
      </c>
      <c r="B98" s="1" t="s">
        <v>107</v>
      </c>
      <c r="C98" s="1" t="str">
        <f ca="1">IFERROR(__xludf.DUMMYFUNCTION("REGEXEXTRACT(B98, ""^([^:]+)"")"),"Fish")</f>
        <v>Fish</v>
      </c>
      <c r="D98" s="1" t="s">
        <v>11</v>
      </c>
      <c r="E98" s="1" t="s">
        <v>11</v>
      </c>
    </row>
    <row r="99" spans="1:5" ht="15.75" customHeight="1">
      <c r="A99" s="3">
        <v>30234</v>
      </c>
      <c r="B99" s="1" t="s">
        <v>108</v>
      </c>
      <c r="C99" s="1" t="str">
        <f ca="1">IFERROR(__xludf.DUMMYFUNCTION("REGEXEXTRACT(B99, ""^([^:]+)"")"),"Fish")</f>
        <v>Fish</v>
      </c>
      <c r="D99" s="1" t="s">
        <v>11</v>
      </c>
      <c r="E99" s="1" t="s">
        <v>11</v>
      </c>
    </row>
    <row r="100" spans="1:5" ht="15.75" customHeight="1">
      <c r="A100" s="3">
        <v>30235</v>
      </c>
      <c r="B100" s="1" t="s">
        <v>109</v>
      </c>
      <c r="C100" s="1" t="str">
        <f ca="1">IFERROR(__xludf.DUMMYFUNCTION("REGEXEXTRACT(B100, ""^([^:]+)"")"),"Fish")</f>
        <v>Fish</v>
      </c>
      <c r="D100" s="1" t="s">
        <v>11</v>
      </c>
      <c r="E100" s="1" t="s">
        <v>11</v>
      </c>
    </row>
    <row r="101" spans="1:5" ht="15.75" customHeight="1">
      <c r="A101" s="3">
        <v>30236</v>
      </c>
      <c r="B101" s="1" t="s">
        <v>110</v>
      </c>
      <c r="C101" s="1" t="str">
        <f ca="1">IFERROR(__xludf.DUMMYFUNCTION("REGEXEXTRACT(B101, ""^([^:]+)"")"),"Fish")</f>
        <v>Fish</v>
      </c>
      <c r="D101" s="1" t="s">
        <v>11</v>
      </c>
      <c r="E101" s="1" t="s">
        <v>11</v>
      </c>
    </row>
    <row r="102" spans="1:5" ht="15.75" customHeight="1">
      <c r="A102" s="3">
        <v>30239</v>
      </c>
      <c r="B102" s="1" t="s">
        <v>111</v>
      </c>
      <c r="C102" s="1" t="str">
        <f ca="1">IFERROR(__xludf.DUMMYFUNCTION("REGEXEXTRACT(B102, ""^([^:]+)"")"),"Fish")</f>
        <v>Fish</v>
      </c>
      <c r="D102" s="1" t="s">
        <v>11</v>
      </c>
      <c r="E102" s="1" t="s">
        <v>11</v>
      </c>
    </row>
    <row r="103" spans="1:5" ht="15.75" customHeight="1">
      <c r="A103" s="3">
        <v>30240</v>
      </c>
      <c r="B103" s="1" t="s">
        <v>112</v>
      </c>
      <c r="C103" s="1" t="str">
        <f ca="1">IFERROR(__xludf.DUMMYFUNCTION("REGEXEXTRACT(B103, ""^([^:]+)"")"),"Fish")</f>
        <v>Fish</v>
      </c>
      <c r="D103" s="1" t="s">
        <v>11</v>
      </c>
      <c r="E103" s="1" t="s">
        <v>11</v>
      </c>
    </row>
    <row r="104" spans="1:5" ht="15.75" customHeight="1">
      <c r="A104" s="3">
        <v>30250</v>
      </c>
      <c r="B104" s="1" t="s">
        <v>113</v>
      </c>
      <c r="C104" s="1" t="str">
        <f ca="1">IFERROR(__xludf.DUMMYFUNCTION("REGEXEXTRACT(B104, ""^([^:]+)"")"),"Fish")</f>
        <v>Fish</v>
      </c>
      <c r="D104" s="1" t="s">
        <v>11</v>
      </c>
      <c r="E104" s="1" t="s">
        <v>11</v>
      </c>
    </row>
    <row r="105" spans="1:5" ht="15.75" customHeight="1">
      <c r="A105" s="3">
        <v>30261</v>
      </c>
      <c r="B105" s="1" t="s">
        <v>114</v>
      </c>
      <c r="C105" s="1" t="str">
        <f ca="1">IFERROR(__xludf.DUMMYFUNCTION("REGEXEXTRACT(B105, ""^([^:]+)"")"),"Fish")</f>
        <v>Fish</v>
      </c>
      <c r="D105" s="1" t="s">
        <v>11</v>
      </c>
      <c r="E105" s="1" t="s">
        <v>11</v>
      </c>
    </row>
    <row r="106" spans="1:5" ht="15.75" customHeight="1">
      <c r="A106" s="3">
        <v>30262</v>
      </c>
      <c r="B106" s="1" t="s">
        <v>115</v>
      </c>
      <c r="C106" s="1" t="str">
        <f ca="1">IFERROR(__xludf.DUMMYFUNCTION("REGEXEXTRACT(B106, ""^([^:]+)"")"),"Fish")</f>
        <v>Fish</v>
      </c>
      <c r="D106" s="1" t="s">
        <v>11</v>
      </c>
      <c r="E106" s="1" t="s">
        <v>11</v>
      </c>
    </row>
    <row r="107" spans="1:5" ht="15.75" customHeight="1">
      <c r="A107" s="3">
        <v>30263</v>
      </c>
      <c r="B107" s="1" t="s">
        <v>116</v>
      </c>
      <c r="C107" s="1" t="str">
        <f ca="1">IFERROR(__xludf.DUMMYFUNCTION("REGEXEXTRACT(B107, ""^([^:]+)"")"),"Fish")</f>
        <v>Fish</v>
      </c>
      <c r="D107" s="1" t="s">
        <v>11</v>
      </c>
      <c r="E107" s="1" t="s">
        <v>11</v>
      </c>
    </row>
    <row r="108" spans="1:5" ht="15.75" customHeight="1">
      <c r="A108" s="3">
        <v>30264</v>
      </c>
      <c r="B108" s="1" t="s">
        <v>117</v>
      </c>
      <c r="C108" s="1" t="str">
        <f ca="1">IFERROR(__xludf.DUMMYFUNCTION("REGEXEXTRACT(B108, ""^([^:]+)"")"),"Fish")</f>
        <v>Fish</v>
      </c>
      <c r="D108" s="1" t="s">
        <v>11</v>
      </c>
      <c r="E108" s="1" t="s">
        <v>11</v>
      </c>
    </row>
    <row r="109" spans="1:5" ht="15.75" customHeight="1">
      <c r="A109" s="3">
        <v>30265</v>
      </c>
      <c r="B109" s="1" t="s">
        <v>118</v>
      </c>
      <c r="C109" s="1" t="str">
        <f ca="1">IFERROR(__xludf.DUMMYFUNCTION("REGEXEXTRACT(B109, ""^([^:]+)"")"),"Fish")</f>
        <v>Fish</v>
      </c>
      <c r="D109" s="1" t="s">
        <v>11</v>
      </c>
      <c r="E109" s="1" t="s">
        <v>11</v>
      </c>
    </row>
    <row r="110" spans="1:5" ht="15.75" customHeight="1">
      <c r="A110" s="3">
        <v>30266</v>
      </c>
      <c r="B110" s="1" t="s">
        <v>119</v>
      </c>
      <c r="C110" s="1" t="str">
        <f ca="1">IFERROR(__xludf.DUMMYFUNCTION("REGEXEXTRACT(B110, ""^([^:]+)"")"),"Fish")</f>
        <v>Fish</v>
      </c>
      <c r="D110" s="1" t="s">
        <v>11</v>
      </c>
      <c r="E110" s="1" t="s">
        <v>11</v>
      </c>
    </row>
    <row r="111" spans="1:5" ht="15.75" customHeight="1">
      <c r="A111" s="3">
        <v>30267</v>
      </c>
      <c r="B111" s="1" t="s">
        <v>120</v>
      </c>
      <c r="C111" s="1" t="str">
        <f ca="1">IFERROR(__xludf.DUMMYFUNCTION("REGEXEXTRACT(B111, ""^([^:]+)"")"),"Fish")</f>
        <v>Fish</v>
      </c>
      <c r="D111" s="1" t="s">
        <v>11</v>
      </c>
      <c r="E111" s="1" t="s">
        <v>11</v>
      </c>
    </row>
    <row r="112" spans="1:5" ht="15.75" customHeight="1">
      <c r="A112" s="3">
        <v>30268</v>
      </c>
      <c r="B112" s="1" t="s">
        <v>121</v>
      </c>
      <c r="C112" s="1" t="str">
        <f ca="1">IFERROR(__xludf.DUMMYFUNCTION("REGEXEXTRACT(B112, ""^([^:]+)"")"),"Fish")</f>
        <v>Fish</v>
      </c>
      <c r="D112" s="1" t="s">
        <v>11</v>
      </c>
      <c r="E112" s="1" t="s">
        <v>11</v>
      </c>
    </row>
    <row r="113" spans="1:5" ht="15.75" customHeight="1">
      <c r="A113" s="3">
        <v>30269</v>
      </c>
      <c r="B113" s="1" t="s">
        <v>122</v>
      </c>
      <c r="C113" s="1" t="str">
        <f ca="1">IFERROR(__xludf.DUMMYFUNCTION("REGEXEXTRACT(B113, ""^([^:]+)"")"),"Fish")</f>
        <v>Fish</v>
      </c>
      <c r="D113" s="1" t="s">
        <v>11</v>
      </c>
      <c r="E113" s="1" t="s">
        <v>11</v>
      </c>
    </row>
    <row r="114" spans="1:5" ht="15.75" customHeight="1">
      <c r="A114" s="3">
        <v>30270</v>
      </c>
      <c r="B114" s="1" t="s">
        <v>123</v>
      </c>
      <c r="C114" s="1" t="str">
        <f ca="1">IFERROR(__xludf.DUMMYFUNCTION("REGEXEXTRACT(B114, ""^([^:]+)"")"),"Fish")</f>
        <v>Fish</v>
      </c>
      <c r="D114" s="1" t="s">
        <v>11</v>
      </c>
      <c r="E114" s="1" t="s">
        <v>11</v>
      </c>
    </row>
    <row r="115" spans="1:5" ht="15.75" customHeight="1">
      <c r="A115" s="3">
        <v>30311</v>
      </c>
      <c r="B115" s="1" t="s">
        <v>124</v>
      </c>
      <c r="C115" s="1" t="str">
        <f ca="1">IFERROR(__xludf.DUMMYFUNCTION("REGEXEXTRACT(B115, ""^([^:]+)"")"),"Fish")</f>
        <v>Fish</v>
      </c>
      <c r="D115" s="1" t="s">
        <v>11</v>
      </c>
      <c r="E115" s="1" t="s">
        <v>11</v>
      </c>
    </row>
    <row r="116" spans="1:5" ht="15.75" customHeight="1">
      <c r="A116" s="3">
        <v>30319</v>
      </c>
      <c r="B116" s="1" t="s">
        <v>125</v>
      </c>
      <c r="C116" s="1" t="str">
        <f ca="1">IFERROR(__xludf.DUMMYFUNCTION("REGEXEXTRACT(B116, ""^([^:]+)"")"),"Fish")</f>
        <v>Fish</v>
      </c>
      <c r="D116" s="1" t="s">
        <v>11</v>
      </c>
      <c r="E116" s="1" t="s">
        <v>11</v>
      </c>
    </row>
    <row r="117" spans="1:5" ht="15.75" customHeight="1">
      <c r="A117" s="3">
        <v>30321</v>
      </c>
      <c r="B117" s="1" t="s">
        <v>126</v>
      </c>
      <c r="C117" s="1" t="str">
        <f ca="1">IFERROR(__xludf.DUMMYFUNCTION("REGEXEXTRACT(B117, ""^([^:]+)"")"),"Fish")</f>
        <v>Fish</v>
      </c>
      <c r="D117" s="1" t="s">
        <v>11</v>
      </c>
      <c r="E117" s="1" t="s">
        <v>11</v>
      </c>
    </row>
    <row r="118" spans="1:5" ht="15.75" customHeight="1">
      <c r="A118" s="3">
        <v>30322</v>
      </c>
      <c r="B118" s="1" t="s">
        <v>127</v>
      </c>
      <c r="C118" s="1" t="str">
        <f ca="1">IFERROR(__xludf.DUMMYFUNCTION("REGEXEXTRACT(B118, ""^([^:]+)"")"),"Fish")</f>
        <v>Fish</v>
      </c>
      <c r="D118" s="1" t="s">
        <v>11</v>
      </c>
      <c r="E118" s="1" t="s">
        <v>11</v>
      </c>
    </row>
    <row r="119" spans="1:5" ht="15.75" customHeight="1">
      <c r="A119" s="3">
        <v>30329</v>
      </c>
      <c r="B119" s="1" t="s">
        <v>128</v>
      </c>
      <c r="C119" s="1" t="str">
        <f ca="1">IFERROR(__xludf.DUMMYFUNCTION("REGEXEXTRACT(B119, ""^([^:]+)"")"),"Fish")</f>
        <v>Fish</v>
      </c>
      <c r="D119" s="1" t="s">
        <v>11</v>
      </c>
      <c r="E119" s="1" t="s">
        <v>11</v>
      </c>
    </row>
    <row r="120" spans="1:5" ht="15.75" customHeight="1">
      <c r="A120" s="3">
        <v>30331</v>
      </c>
      <c r="B120" s="1" t="s">
        <v>129</v>
      </c>
      <c r="C120" s="1" t="str">
        <f ca="1">IFERROR(__xludf.DUMMYFUNCTION("REGEXEXTRACT(B120, ""^([^:]+)"")"),"Fish")</f>
        <v>Fish</v>
      </c>
      <c r="D120" s="1" t="s">
        <v>11</v>
      </c>
      <c r="E120" s="1" t="s">
        <v>11</v>
      </c>
    </row>
    <row r="121" spans="1:5" ht="15.75" customHeight="1">
      <c r="A121" s="3">
        <v>30332</v>
      </c>
      <c r="B121" s="1" t="s">
        <v>130</v>
      </c>
      <c r="C121" s="1" t="str">
        <f ca="1">IFERROR(__xludf.DUMMYFUNCTION("REGEXEXTRACT(B121, ""^([^:]+)"")"),"Fish")</f>
        <v>Fish</v>
      </c>
      <c r="D121" s="1" t="s">
        <v>11</v>
      </c>
      <c r="E121" s="1" t="s">
        <v>11</v>
      </c>
    </row>
    <row r="122" spans="1:5" ht="15.75" customHeight="1">
      <c r="A122" s="3">
        <v>30333</v>
      </c>
      <c r="B122" s="1" t="s">
        <v>131</v>
      </c>
      <c r="C122" s="1" t="str">
        <f ca="1">IFERROR(__xludf.DUMMYFUNCTION("REGEXEXTRACT(B122, ""^([^:]+)"")"),"Fish")</f>
        <v>Fish</v>
      </c>
      <c r="D122" s="1" t="s">
        <v>11</v>
      </c>
      <c r="E122" s="1" t="s">
        <v>11</v>
      </c>
    </row>
    <row r="123" spans="1:5" ht="15.75" customHeight="1">
      <c r="A123" s="3">
        <v>30339</v>
      </c>
      <c r="B123" s="1" t="s">
        <v>132</v>
      </c>
      <c r="C123" s="1" t="str">
        <f ca="1">IFERROR(__xludf.DUMMYFUNCTION("REGEXEXTRACT(B123, ""^([^:]+)"")"),"Fish")</f>
        <v>Fish</v>
      </c>
      <c r="D123" s="1" t="s">
        <v>11</v>
      </c>
      <c r="E123" s="1" t="s">
        <v>11</v>
      </c>
    </row>
    <row r="124" spans="1:5" ht="15.75" customHeight="1">
      <c r="A124" s="3">
        <v>30341</v>
      </c>
      <c r="B124" s="1" t="s">
        <v>133</v>
      </c>
      <c r="C124" s="1" t="str">
        <f ca="1">IFERROR(__xludf.DUMMYFUNCTION("REGEXEXTRACT(B124, ""^([^:]+)"")"),"Fish")</f>
        <v>Fish</v>
      </c>
      <c r="D124" s="1" t="s">
        <v>11</v>
      </c>
      <c r="E124" s="1" t="s">
        <v>11</v>
      </c>
    </row>
    <row r="125" spans="1:5" ht="15.75" customHeight="1">
      <c r="A125" s="3">
        <v>30342</v>
      </c>
      <c r="B125" s="1" t="s">
        <v>134</v>
      </c>
      <c r="C125" s="1" t="str">
        <f ca="1">IFERROR(__xludf.DUMMYFUNCTION("REGEXEXTRACT(B125, ""^([^:]+)"")"),"Fish")</f>
        <v>Fish</v>
      </c>
      <c r="D125" s="1" t="s">
        <v>11</v>
      </c>
      <c r="E125" s="1" t="s">
        <v>11</v>
      </c>
    </row>
    <row r="126" spans="1:5" ht="15.75" customHeight="1">
      <c r="A126" s="3">
        <v>30343</v>
      </c>
      <c r="B126" s="1" t="s">
        <v>135</v>
      </c>
      <c r="C126" s="1" t="str">
        <f ca="1">IFERROR(__xludf.DUMMYFUNCTION("REGEXEXTRACT(B126, ""^([^:]+)"")"),"Fish")</f>
        <v>Fish</v>
      </c>
      <c r="D126" s="1" t="s">
        <v>11</v>
      </c>
      <c r="E126" s="1" t="s">
        <v>11</v>
      </c>
    </row>
    <row r="127" spans="1:5" ht="15.75" customHeight="1">
      <c r="A127" s="3">
        <v>30344</v>
      </c>
      <c r="B127" s="1" t="s">
        <v>136</v>
      </c>
      <c r="C127" s="1" t="str">
        <f ca="1">IFERROR(__xludf.DUMMYFUNCTION("REGEXEXTRACT(B127, ""^([^:]+)"")"),"Fish")</f>
        <v>Fish</v>
      </c>
      <c r="D127" s="1" t="s">
        <v>11</v>
      </c>
      <c r="E127" s="1" t="s">
        <v>11</v>
      </c>
    </row>
    <row r="128" spans="1:5" ht="15.75" customHeight="1">
      <c r="A128" s="3">
        <v>30345</v>
      </c>
      <c r="B128" s="1" t="s">
        <v>137</v>
      </c>
      <c r="C128" s="1" t="str">
        <f ca="1">IFERROR(__xludf.DUMMYFUNCTION("REGEXEXTRACT(B128, ""^([^:]+)"")"),"Fish")</f>
        <v>Fish</v>
      </c>
      <c r="D128" s="1" t="s">
        <v>11</v>
      </c>
      <c r="E128" s="1" t="s">
        <v>11</v>
      </c>
    </row>
    <row r="129" spans="1:5" ht="15.75" customHeight="1">
      <c r="A129" s="3">
        <v>30346</v>
      </c>
      <c r="B129" s="1" t="s">
        <v>138</v>
      </c>
      <c r="C129" s="1" t="str">
        <f ca="1">IFERROR(__xludf.DUMMYFUNCTION("REGEXEXTRACT(B129, ""^([^:]+)"")"),"Fish")</f>
        <v>Fish</v>
      </c>
      <c r="D129" s="1" t="s">
        <v>11</v>
      </c>
      <c r="E129" s="1" t="s">
        <v>11</v>
      </c>
    </row>
    <row r="130" spans="1:5" ht="15.75" customHeight="1">
      <c r="A130" s="3">
        <v>30349</v>
      </c>
      <c r="B130" s="1" t="s">
        <v>139</v>
      </c>
      <c r="C130" s="1" t="str">
        <f ca="1">IFERROR(__xludf.DUMMYFUNCTION("REGEXEXTRACT(B130, ""^([^:]+)"")"),"Fish")</f>
        <v>Fish</v>
      </c>
      <c r="D130" s="1" t="s">
        <v>11</v>
      </c>
      <c r="E130" s="1" t="s">
        <v>11</v>
      </c>
    </row>
    <row r="131" spans="1:5" ht="15.75" customHeight="1">
      <c r="A131" s="3">
        <v>30351</v>
      </c>
      <c r="B131" s="1" t="s">
        <v>140</v>
      </c>
      <c r="C131" s="1" t="str">
        <f ca="1">IFERROR(__xludf.DUMMYFUNCTION("REGEXEXTRACT(B131, ""^([^:]+)"")"),"Fish")</f>
        <v>Fish</v>
      </c>
      <c r="D131" s="1" t="s">
        <v>11</v>
      </c>
      <c r="E131" s="1" t="s">
        <v>11</v>
      </c>
    </row>
    <row r="132" spans="1:5" ht="15.75" customHeight="1">
      <c r="A132" s="3">
        <v>30352</v>
      </c>
      <c r="B132" s="1" t="s">
        <v>141</v>
      </c>
      <c r="C132" s="1" t="str">
        <f ca="1">IFERROR(__xludf.DUMMYFUNCTION("REGEXEXTRACT(B132, ""^([^:]+)"")"),"Fish")</f>
        <v>Fish</v>
      </c>
      <c r="D132" s="1" t="s">
        <v>11</v>
      </c>
      <c r="E132" s="1" t="s">
        <v>11</v>
      </c>
    </row>
    <row r="133" spans="1:5" ht="15.75" customHeight="1">
      <c r="A133" s="3">
        <v>30361</v>
      </c>
      <c r="B133" s="1" t="s">
        <v>142</v>
      </c>
      <c r="C133" s="1" t="str">
        <f ca="1">IFERROR(__xludf.DUMMYFUNCTION("REGEXEXTRACT(B133, ""^([^:]+)"")"),"Fish")</f>
        <v>Fish</v>
      </c>
      <c r="D133" s="1" t="s">
        <v>11</v>
      </c>
      <c r="E133" s="1" t="s">
        <v>11</v>
      </c>
    </row>
    <row r="134" spans="1:5" ht="15.75" customHeight="1">
      <c r="A134" s="3">
        <v>30362</v>
      </c>
      <c r="B134" s="1" t="s">
        <v>143</v>
      </c>
      <c r="C134" s="1" t="str">
        <f ca="1">IFERROR(__xludf.DUMMYFUNCTION("REGEXEXTRACT(B134, ""^([^:]+)"")"),"Fish")</f>
        <v>Fish</v>
      </c>
      <c r="D134" s="1" t="s">
        <v>11</v>
      </c>
      <c r="E134" s="1" t="s">
        <v>11</v>
      </c>
    </row>
    <row r="135" spans="1:5" ht="15.75" customHeight="1">
      <c r="A135" s="3">
        <v>30371</v>
      </c>
      <c r="B135" s="1" t="s">
        <v>144</v>
      </c>
      <c r="C135" s="1" t="str">
        <f ca="1">IFERROR(__xludf.DUMMYFUNCTION("REGEXEXTRACT(B135, ""^([^:]+)"")"),"Fish")</f>
        <v>Fish</v>
      </c>
      <c r="D135" s="1" t="s">
        <v>11</v>
      </c>
      <c r="E135" s="1" t="s">
        <v>11</v>
      </c>
    </row>
    <row r="136" spans="1:5" ht="15.75" customHeight="1">
      <c r="A136" s="3">
        <v>30372</v>
      </c>
      <c r="B136" s="1" t="s">
        <v>145</v>
      </c>
      <c r="C136" s="1" t="str">
        <f ca="1">IFERROR(__xludf.DUMMYFUNCTION("REGEXEXTRACT(B136, ""^([^:]+)"")"),"Fish")</f>
        <v>Fish</v>
      </c>
      <c r="D136" s="1" t="s">
        <v>11</v>
      </c>
      <c r="E136" s="1" t="s">
        <v>11</v>
      </c>
    </row>
    <row r="137" spans="1:5" ht="15.75" customHeight="1">
      <c r="A137" s="3">
        <v>30373</v>
      </c>
      <c r="B137" s="1" t="s">
        <v>146</v>
      </c>
      <c r="C137" s="1" t="str">
        <f ca="1">IFERROR(__xludf.DUMMYFUNCTION("REGEXEXTRACT(B137, ""^([^:]+)"")"),"Fish")</f>
        <v>Fish</v>
      </c>
      <c r="D137" s="1" t="s">
        <v>11</v>
      </c>
      <c r="E137" s="1" t="s">
        <v>11</v>
      </c>
    </row>
    <row r="138" spans="1:5" ht="15.75" customHeight="1">
      <c r="A138" s="3">
        <v>30374</v>
      </c>
      <c r="B138" s="1" t="s">
        <v>147</v>
      </c>
      <c r="C138" s="1" t="str">
        <f ca="1">IFERROR(__xludf.DUMMYFUNCTION("REGEXEXTRACT(B138, ""^([^:]+)"")"),"Fish")</f>
        <v>Fish</v>
      </c>
      <c r="D138" s="1" t="s">
        <v>11</v>
      </c>
      <c r="E138" s="1" t="s">
        <v>11</v>
      </c>
    </row>
    <row r="139" spans="1:5" ht="15.75" customHeight="1">
      <c r="A139" s="3">
        <v>30375</v>
      </c>
      <c r="B139" s="1" t="s">
        <v>148</v>
      </c>
      <c r="C139" s="1" t="str">
        <f ca="1">IFERROR(__xludf.DUMMYFUNCTION("REGEXEXTRACT(B139, ""^([^:]+)"")"),"Fish")</f>
        <v>Fish</v>
      </c>
      <c r="D139" s="1" t="s">
        <v>11</v>
      </c>
      <c r="E139" s="1" t="s">
        <v>11</v>
      </c>
    </row>
    <row r="140" spans="1:5" ht="15.75" customHeight="1">
      <c r="A140" s="3">
        <v>30376</v>
      </c>
      <c r="B140" s="1" t="s">
        <v>149</v>
      </c>
      <c r="C140" s="1" t="str">
        <f ca="1">IFERROR(__xludf.DUMMYFUNCTION("REGEXEXTRACT(B140, ""^([^:]+)"")"),"Fish")</f>
        <v>Fish</v>
      </c>
      <c r="D140" s="1" t="s">
        <v>11</v>
      </c>
      <c r="E140" s="1" t="s">
        <v>11</v>
      </c>
    </row>
    <row r="141" spans="1:5" ht="15.75" customHeight="1">
      <c r="A141" s="3">
        <v>30377</v>
      </c>
      <c r="B141" s="1" t="s">
        <v>150</v>
      </c>
      <c r="C141" s="1" t="str">
        <f ca="1">IFERROR(__xludf.DUMMYFUNCTION("REGEXEXTRACT(B141, ""^([^:]+)"")"),"Fish")</f>
        <v>Fish</v>
      </c>
      <c r="D141" s="1" t="s">
        <v>11</v>
      </c>
      <c r="E141" s="1" t="s">
        <v>11</v>
      </c>
    </row>
    <row r="142" spans="1:5" ht="15.75" customHeight="1">
      <c r="A142" s="3">
        <v>30378</v>
      </c>
      <c r="B142" s="1" t="s">
        <v>151</v>
      </c>
      <c r="C142" s="1" t="str">
        <f ca="1">IFERROR(__xludf.DUMMYFUNCTION("REGEXEXTRACT(B142, ""^([^:]+)"")"),"Fish")</f>
        <v>Fish</v>
      </c>
      <c r="D142" s="1" t="s">
        <v>11</v>
      </c>
      <c r="E142" s="1" t="s">
        <v>11</v>
      </c>
    </row>
    <row r="143" spans="1:5" ht="15.75" customHeight="1">
      <c r="A143" s="3">
        <v>30379</v>
      </c>
      <c r="B143" s="1" t="s">
        <v>152</v>
      </c>
      <c r="C143" s="1" t="str">
        <f ca="1">IFERROR(__xludf.DUMMYFUNCTION("REGEXEXTRACT(B143, ""^([^:]+)"")"),"Fish")</f>
        <v>Fish</v>
      </c>
      <c r="D143" s="1" t="s">
        <v>11</v>
      </c>
      <c r="E143" s="1" t="s">
        <v>11</v>
      </c>
    </row>
    <row r="144" spans="1:5" ht="15.75" customHeight="1">
      <c r="A144" s="3">
        <v>30380</v>
      </c>
      <c r="B144" s="1" t="s">
        <v>153</v>
      </c>
      <c r="C144" s="1" t="str">
        <f ca="1">IFERROR(__xludf.DUMMYFUNCTION("REGEXEXTRACT(B144, ""^([^:]+)"")"),"Fish")</f>
        <v>Fish</v>
      </c>
      <c r="D144" s="1" t="s">
        <v>11</v>
      </c>
      <c r="E144" s="1" t="s">
        <v>11</v>
      </c>
    </row>
    <row r="145" spans="1:5" ht="15.75" customHeight="1">
      <c r="A145" s="3">
        <v>30411</v>
      </c>
      <c r="B145" s="1" t="s">
        <v>154</v>
      </c>
      <c r="C145" s="1" t="str">
        <f ca="1">IFERROR(__xludf.DUMMYFUNCTION("REGEXEXTRACT(B145, ""^([^:]+)"")"),"Fish")</f>
        <v>Fish</v>
      </c>
      <c r="D145" s="1" t="s">
        <v>11</v>
      </c>
      <c r="E145" s="1" t="s">
        <v>11</v>
      </c>
    </row>
    <row r="146" spans="1:5" ht="15.75" customHeight="1">
      <c r="A146" s="3">
        <v>30412</v>
      </c>
      <c r="B146" s="1" t="s">
        <v>155</v>
      </c>
      <c r="C146" s="1" t="str">
        <f ca="1">IFERROR(__xludf.DUMMYFUNCTION("REGEXEXTRACT(B146, ""^([^:]+)"")"),"Fish")</f>
        <v>Fish</v>
      </c>
      <c r="D146" s="1" t="s">
        <v>11</v>
      </c>
      <c r="E146" s="1" t="s">
        <v>11</v>
      </c>
    </row>
    <row r="147" spans="1:5" ht="15.75" customHeight="1">
      <c r="A147" s="3">
        <v>30419</v>
      </c>
      <c r="B147" s="1" t="s">
        <v>156</v>
      </c>
      <c r="C147" s="1" t="str">
        <f ca="1">IFERROR(__xludf.DUMMYFUNCTION("REGEXEXTRACT(B147, ""^([^:]+)"")"),"Fish")</f>
        <v>Fish</v>
      </c>
      <c r="D147" s="1" t="s">
        <v>11</v>
      </c>
      <c r="E147" s="1" t="s">
        <v>11</v>
      </c>
    </row>
    <row r="148" spans="1:5" ht="15.75" customHeight="1">
      <c r="A148" s="3">
        <v>30421</v>
      </c>
      <c r="B148" s="1" t="s">
        <v>157</v>
      </c>
      <c r="C148" s="1" t="str">
        <f ca="1">IFERROR(__xludf.DUMMYFUNCTION("REGEXEXTRACT(B148, ""^([^:]+)"")"),"Fish")</f>
        <v>Fish</v>
      </c>
      <c r="D148" s="1" t="s">
        <v>11</v>
      </c>
      <c r="E148" s="1" t="s">
        <v>11</v>
      </c>
    </row>
    <row r="149" spans="1:5" ht="15.75" customHeight="1">
      <c r="A149" s="3">
        <v>30422</v>
      </c>
      <c r="B149" s="1" t="s">
        <v>158</v>
      </c>
      <c r="C149" s="1" t="str">
        <f ca="1">IFERROR(__xludf.DUMMYFUNCTION("REGEXEXTRACT(B149, ""^([^:]+)"")"),"Fish")</f>
        <v>Fish</v>
      </c>
      <c r="D149" s="1" t="s">
        <v>11</v>
      </c>
      <c r="E149" s="1" t="s">
        <v>11</v>
      </c>
    </row>
    <row r="150" spans="1:5" ht="15.75" customHeight="1">
      <c r="A150" s="3">
        <v>30429</v>
      </c>
      <c r="B150" s="1" t="s">
        <v>159</v>
      </c>
      <c r="C150" s="1" t="str">
        <f ca="1">IFERROR(__xludf.DUMMYFUNCTION("REGEXEXTRACT(B150, ""^([^:]+)"")"),"Fish")</f>
        <v>Fish</v>
      </c>
      <c r="D150" s="1" t="s">
        <v>11</v>
      </c>
      <c r="E150" s="1" t="s">
        <v>11</v>
      </c>
    </row>
    <row r="151" spans="1:5" ht="15.75" customHeight="1">
      <c r="A151" s="3">
        <v>30491</v>
      </c>
      <c r="B151" s="1" t="s">
        <v>160</v>
      </c>
      <c r="C151" s="1" t="str">
        <f ca="1">IFERROR(__xludf.DUMMYFUNCTION("REGEXEXTRACT(B151, ""^([^:]+)"")"),"Fish")</f>
        <v>Fish</v>
      </c>
      <c r="D151" s="1" t="s">
        <v>11</v>
      </c>
      <c r="E151" s="1" t="s">
        <v>11</v>
      </c>
    </row>
    <row r="152" spans="1:5" ht="15.75" customHeight="1">
      <c r="A152" s="3">
        <v>30492</v>
      </c>
      <c r="B152" s="1" t="s">
        <v>161</v>
      </c>
      <c r="C152" s="1" t="str">
        <f ca="1">IFERROR(__xludf.DUMMYFUNCTION("REGEXEXTRACT(B152, ""^([^:]+)"")"),"Fish")</f>
        <v>Fish</v>
      </c>
      <c r="D152" s="1" t="s">
        <v>11</v>
      </c>
      <c r="E152" s="1" t="s">
        <v>11</v>
      </c>
    </row>
    <row r="153" spans="1:5" ht="15.75" customHeight="1">
      <c r="A153" s="3">
        <v>30499</v>
      </c>
      <c r="B153" s="1" t="s">
        <v>162</v>
      </c>
      <c r="C153" s="1" t="str">
        <f ca="1">IFERROR(__xludf.DUMMYFUNCTION("REGEXEXTRACT(B153, ""^([^:]+)"")"),"Fish")</f>
        <v>Fish</v>
      </c>
      <c r="D153" s="1" t="s">
        <v>11</v>
      </c>
      <c r="E153" s="1" t="s">
        <v>11</v>
      </c>
    </row>
    <row r="154" spans="1:5" ht="15.75" customHeight="1">
      <c r="A154" s="3">
        <v>30510</v>
      </c>
      <c r="B154" s="1" t="s">
        <v>163</v>
      </c>
      <c r="C154" s="1" t="str">
        <f ca="1">IFERROR(__xludf.DUMMYFUNCTION("REGEXEXTRACT(B154, ""^([^:]+)"")"),"Fish meal")</f>
        <v>Fish meal</v>
      </c>
      <c r="D154" s="1" t="s">
        <v>11</v>
      </c>
      <c r="E154" s="1" t="s">
        <v>11</v>
      </c>
    </row>
    <row r="155" spans="1:5" ht="15.75" customHeight="1">
      <c r="A155" s="3">
        <v>30520</v>
      </c>
      <c r="B155" s="1" t="s">
        <v>164</v>
      </c>
      <c r="C155" s="1" t="str">
        <f ca="1">IFERROR(__xludf.DUMMYFUNCTION("REGEXEXTRACT(B155, ""^([^:]+)"")"),"Fish")</f>
        <v>Fish</v>
      </c>
      <c r="D155" s="1" t="s">
        <v>11</v>
      </c>
      <c r="E155" s="1" t="s">
        <v>11</v>
      </c>
    </row>
    <row r="156" spans="1:5" ht="15.75" customHeight="1">
      <c r="A156" s="3">
        <v>30530</v>
      </c>
      <c r="B156" s="1" t="s">
        <v>165</v>
      </c>
      <c r="C156" s="1" t="str">
        <f ca="1">IFERROR(__xludf.DUMMYFUNCTION("REGEXEXTRACT(B156, ""^([^:]+)"")"),"Fish")</f>
        <v>Fish</v>
      </c>
      <c r="D156" s="1" t="s">
        <v>11</v>
      </c>
      <c r="E156" s="1" t="s">
        <v>11</v>
      </c>
    </row>
    <row r="157" spans="1:5" ht="15.75" customHeight="1">
      <c r="A157" s="3">
        <v>30541</v>
      </c>
      <c r="B157" s="1" t="s">
        <v>166</v>
      </c>
      <c r="C157" s="1" t="str">
        <f ca="1">IFERROR(__xludf.DUMMYFUNCTION("REGEXEXTRACT(B157, ""^([^:]+)"")"),"Fish")</f>
        <v>Fish</v>
      </c>
      <c r="D157" s="1" t="s">
        <v>11</v>
      </c>
      <c r="E157" s="1" t="s">
        <v>11</v>
      </c>
    </row>
    <row r="158" spans="1:5" ht="15.75" customHeight="1">
      <c r="A158" s="3">
        <v>30542</v>
      </c>
      <c r="B158" s="1" t="s">
        <v>167</v>
      </c>
      <c r="C158" s="1" t="str">
        <f ca="1">IFERROR(__xludf.DUMMYFUNCTION("REGEXEXTRACT(B158, ""^([^:]+)"")"),"Fish")</f>
        <v>Fish</v>
      </c>
      <c r="D158" s="1" t="s">
        <v>11</v>
      </c>
      <c r="E158" s="1" t="s">
        <v>11</v>
      </c>
    </row>
    <row r="159" spans="1:5" ht="15.75" customHeight="1">
      <c r="A159" s="3">
        <v>30549</v>
      </c>
      <c r="B159" s="1" t="s">
        <v>168</v>
      </c>
      <c r="C159" s="1" t="str">
        <f ca="1">IFERROR(__xludf.DUMMYFUNCTION("REGEXEXTRACT(B159, ""^([^:]+)"")"),"Fish")</f>
        <v>Fish</v>
      </c>
      <c r="D159" s="1" t="s">
        <v>11</v>
      </c>
      <c r="E159" s="1" t="s">
        <v>11</v>
      </c>
    </row>
    <row r="160" spans="1:5" ht="15.75" customHeight="1">
      <c r="A160" s="3">
        <v>30551</v>
      </c>
      <c r="B160" s="1" t="s">
        <v>169</v>
      </c>
      <c r="C160" s="1" t="str">
        <f ca="1">IFERROR(__xludf.DUMMYFUNCTION("REGEXEXTRACT(B160, ""^([^:]+)"")"),"Fish")</f>
        <v>Fish</v>
      </c>
      <c r="D160" s="1" t="s">
        <v>11</v>
      </c>
      <c r="E160" s="1" t="s">
        <v>11</v>
      </c>
    </row>
    <row r="161" spans="1:5" ht="15.75" customHeight="1">
      <c r="A161" s="3">
        <v>30559</v>
      </c>
      <c r="B161" s="1" t="s">
        <v>170</v>
      </c>
      <c r="C161" s="1" t="str">
        <f ca="1">IFERROR(__xludf.DUMMYFUNCTION("REGEXEXTRACT(B161, ""^([^:]+)"")"),"Fish")</f>
        <v>Fish</v>
      </c>
      <c r="D161" s="1" t="s">
        <v>11</v>
      </c>
      <c r="E161" s="1" t="s">
        <v>11</v>
      </c>
    </row>
    <row r="162" spans="1:5" ht="15.75" customHeight="1">
      <c r="A162" s="3">
        <v>30561</v>
      </c>
      <c r="B162" s="1" t="s">
        <v>171</v>
      </c>
      <c r="C162" s="1" t="str">
        <f ca="1">IFERROR(__xludf.DUMMYFUNCTION("REGEXEXTRACT(B162, ""^([^:]+)"")"),"Fish")</f>
        <v>Fish</v>
      </c>
      <c r="D162" s="1" t="s">
        <v>11</v>
      </c>
      <c r="E162" s="1" t="s">
        <v>11</v>
      </c>
    </row>
    <row r="163" spans="1:5" ht="15.75" customHeight="1">
      <c r="A163" s="3">
        <v>30562</v>
      </c>
      <c r="B163" s="1" t="s">
        <v>172</v>
      </c>
      <c r="C163" s="1" t="str">
        <f ca="1">IFERROR(__xludf.DUMMYFUNCTION("REGEXEXTRACT(B163, ""^([^:]+)"")"),"Fish")</f>
        <v>Fish</v>
      </c>
      <c r="D163" s="1" t="s">
        <v>11</v>
      </c>
      <c r="E163" s="1" t="s">
        <v>11</v>
      </c>
    </row>
    <row r="164" spans="1:5" ht="15.75" customHeight="1">
      <c r="A164" s="3">
        <v>30563</v>
      </c>
      <c r="B164" s="1" t="s">
        <v>173</v>
      </c>
      <c r="C164" s="1" t="str">
        <f ca="1">IFERROR(__xludf.DUMMYFUNCTION("REGEXEXTRACT(B164, ""^([^:]+)"")"),"Fish")</f>
        <v>Fish</v>
      </c>
      <c r="D164" s="1" t="s">
        <v>11</v>
      </c>
      <c r="E164" s="1" t="s">
        <v>11</v>
      </c>
    </row>
    <row r="165" spans="1:5" ht="15.75" customHeight="1">
      <c r="A165" s="3">
        <v>30569</v>
      </c>
      <c r="B165" s="1" t="s">
        <v>174</v>
      </c>
      <c r="C165" s="1" t="str">
        <f ca="1">IFERROR(__xludf.DUMMYFUNCTION("REGEXEXTRACT(B165, ""^([^:]+)"")"),"Fish")</f>
        <v>Fish</v>
      </c>
      <c r="D165" s="1" t="s">
        <v>11</v>
      </c>
      <c r="E165" s="1" t="s">
        <v>11</v>
      </c>
    </row>
    <row r="166" spans="1:5" ht="15.75" customHeight="1">
      <c r="A166" s="3">
        <v>30611</v>
      </c>
      <c r="B166" s="1" t="s">
        <v>175</v>
      </c>
      <c r="C166" s="1" t="str">
        <f ca="1">IFERROR(__xludf.DUMMYFUNCTION("REGEXEXTRACT(B166, ""^([^:]+)"")"),"Crustaceans")</f>
        <v>Crustaceans</v>
      </c>
      <c r="D166" s="1" t="s">
        <v>11</v>
      </c>
      <c r="E166" s="1" t="s">
        <v>11</v>
      </c>
    </row>
    <row r="167" spans="1:5" ht="15.75" customHeight="1">
      <c r="A167" s="3">
        <v>30612</v>
      </c>
      <c r="B167" s="1" t="s">
        <v>176</v>
      </c>
      <c r="C167" s="1" t="str">
        <f ca="1">IFERROR(__xludf.DUMMYFUNCTION("REGEXEXTRACT(B167, ""^([^:]+)"")"),"Crustaceans")</f>
        <v>Crustaceans</v>
      </c>
      <c r="D167" s="1" t="s">
        <v>11</v>
      </c>
      <c r="E167" s="1" t="s">
        <v>11</v>
      </c>
    </row>
    <row r="168" spans="1:5" ht="15.75" customHeight="1">
      <c r="A168" s="3">
        <v>30613</v>
      </c>
      <c r="B168" s="1" t="s">
        <v>177</v>
      </c>
      <c r="C168" s="1" t="str">
        <f ca="1">IFERROR(__xludf.DUMMYFUNCTION("REGEXEXTRACT(B168, ""^([^:]+)"")"),"Crustaceans")</f>
        <v>Crustaceans</v>
      </c>
      <c r="D168" s="1" t="s">
        <v>11</v>
      </c>
      <c r="E168" s="1" t="s">
        <v>11</v>
      </c>
    </row>
    <row r="169" spans="1:5" ht="15.75" customHeight="1">
      <c r="A169" s="3">
        <v>30614</v>
      </c>
      <c r="B169" s="1" t="s">
        <v>178</v>
      </c>
      <c r="C169" s="1" t="str">
        <f ca="1">IFERROR(__xludf.DUMMYFUNCTION("REGEXEXTRACT(B169, ""^([^:]+)"")"),"Crustaceans")</f>
        <v>Crustaceans</v>
      </c>
      <c r="D169" s="1" t="s">
        <v>11</v>
      </c>
      <c r="E169" s="1" t="s">
        <v>11</v>
      </c>
    </row>
    <row r="170" spans="1:5" ht="15.75" customHeight="1">
      <c r="A170" s="3">
        <v>30619</v>
      </c>
      <c r="B170" s="1" t="s">
        <v>179</v>
      </c>
      <c r="C170" s="1" t="str">
        <f ca="1">IFERROR(__xludf.DUMMYFUNCTION("REGEXEXTRACT(B170, ""^([^:]+)"")"),"Crustaceans")</f>
        <v>Crustaceans</v>
      </c>
      <c r="D170" s="1" t="s">
        <v>11</v>
      </c>
      <c r="E170" s="1" t="s">
        <v>11</v>
      </c>
    </row>
    <row r="171" spans="1:5" ht="15.75" customHeight="1">
      <c r="A171" s="3">
        <v>30621</v>
      </c>
      <c r="B171" s="1" t="s">
        <v>180</v>
      </c>
      <c r="C171" s="1" t="str">
        <f ca="1">IFERROR(__xludf.DUMMYFUNCTION("REGEXEXTRACT(B171, ""^([^:]+)"")"),"Crustaceans")</f>
        <v>Crustaceans</v>
      </c>
      <c r="D171" s="1" t="s">
        <v>11</v>
      </c>
      <c r="E171" s="1" t="s">
        <v>11</v>
      </c>
    </row>
    <row r="172" spans="1:5" ht="15.75" customHeight="1">
      <c r="A172" s="3">
        <v>30622</v>
      </c>
      <c r="B172" s="1" t="s">
        <v>181</v>
      </c>
      <c r="C172" s="1" t="str">
        <f ca="1">IFERROR(__xludf.DUMMYFUNCTION("REGEXEXTRACT(B172, ""^([^:]+)"")"),"Crustaceans")</f>
        <v>Crustaceans</v>
      </c>
      <c r="D172" s="1" t="s">
        <v>11</v>
      </c>
      <c r="E172" s="1" t="s">
        <v>11</v>
      </c>
    </row>
    <row r="173" spans="1:5" ht="15.75" customHeight="1">
      <c r="A173" s="3">
        <v>30623</v>
      </c>
      <c r="B173" s="1" t="s">
        <v>182</v>
      </c>
      <c r="C173" s="1" t="str">
        <f ca="1">IFERROR(__xludf.DUMMYFUNCTION("REGEXEXTRACT(B173, ""^([^:]+)"")"),"Crustaceans")</f>
        <v>Crustaceans</v>
      </c>
      <c r="D173" s="1" t="s">
        <v>11</v>
      </c>
      <c r="E173" s="1" t="s">
        <v>11</v>
      </c>
    </row>
    <row r="174" spans="1:5" ht="15.75" customHeight="1">
      <c r="A174" s="3">
        <v>30624</v>
      </c>
      <c r="B174" s="1" t="s">
        <v>183</v>
      </c>
      <c r="C174" s="1" t="str">
        <f ca="1">IFERROR(__xludf.DUMMYFUNCTION("REGEXEXTRACT(B174, ""^([^:]+)"")"),"Crustaceans")</f>
        <v>Crustaceans</v>
      </c>
      <c r="D174" s="1" t="s">
        <v>11</v>
      </c>
      <c r="E174" s="1" t="s">
        <v>11</v>
      </c>
    </row>
    <row r="175" spans="1:5" ht="15.75" customHeight="1">
      <c r="A175" s="3">
        <v>30629</v>
      </c>
      <c r="B175" s="1" t="s">
        <v>184</v>
      </c>
      <c r="C175" s="1" t="str">
        <f ca="1">IFERROR(__xludf.DUMMYFUNCTION("REGEXEXTRACT(B175, ""^([^:]+)"")"),"Crustaceans")</f>
        <v>Crustaceans</v>
      </c>
      <c r="D175" s="1" t="s">
        <v>11</v>
      </c>
      <c r="E175" s="1" t="s">
        <v>11</v>
      </c>
    </row>
    <row r="176" spans="1:5" ht="15.75" customHeight="1">
      <c r="A176" s="3">
        <v>30710</v>
      </c>
      <c r="B176" s="1" t="s">
        <v>185</v>
      </c>
      <c r="C176" s="1" t="str">
        <f ca="1">IFERROR(__xludf.DUMMYFUNCTION("REGEXEXTRACT(B176, ""^([^:]+)"")"),"Molluscs")</f>
        <v>Molluscs</v>
      </c>
      <c r="D176" s="1" t="s">
        <v>11</v>
      </c>
      <c r="E176" s="1" t="s">
        <v>11</v>
      </c>
    </row>
    <row r="177" spans="1:5" ht="15.75" customHeight="1">
      <c r="A177" s="3">
        <v>30721</v>
      </c>
      <c r="B177" s="1" t="s">
        <v>186</v>
      </c>
      <c r="C177" s="1" t="str">
        <f ca="1">IFERROR(__xludf.DUMMYFUNCTION("REGEXEXTRACT(B177, ""^([^:]+)"")"),"Molluscs")</f>
        <v>Molluscs</v>
      </c>
      <c r="D177" s="1" t="s">
        <v>11</v>
      </c>
      <c r="E177" s="1" t="s">
        <v>11</v>
      </c>
    </row>
    <row r="178" spans="1:5" ht="15.75" customHeight="1">
      <c r="A178" s="3">
        <v>30729</v>
      </c>
      <c r="B178" s="1" t="s">
        <v>187</v>
      </c>
      <c r="C178" s="1" t="str">
        <f ca="1">IFERROR(__xludf.DUMMYFUNCTION("REGEXEXTRACT(B178, ""^([^:]+)"")"),"Molluscs")</f>
        <v>Molluscs</v>
      </c>
      <c r="D178" s="1" t="s">
        <v>11</v>
      </c>
      <c r="E178" s="1" t="s">
        <v>11</v>
      </c>
    </row>
    <row r="179" spans="1:5" ht="15.75" customHeight="1">
      <c r="A179" s="3">
        <v>30731</v>
      </c>
      <c r="B179" s="1" t="s">
        <v>188</v>
      </c>
      <c r="C179" s="1" t="str">
        <f ca="1">IFERROR(__xludf.DUMMYFUNCTION("REGEXEXTRACT(B179, ""^([^:]+)"")"),"Molluscs")</f>
        <v>Molluscs</v>
      </c>
      <c r="D179" s="1" t="s">
        <v>11</v>
      </c>
      <c r="E179" s="1" t="s">
        <v>11</v>
      </c>
    </row>
    <row r="180" spans="1:5" ht="15.75" customHeight="1">
      <c r="A180" s="3">
        <v>30739</v>
      </c>
      <c r="B180" s="1" t="s">
        <v>189</v>
      </c>
      <c r="C180" s="1" t="str">
        <f ca="1">IFERROR(__xludf.DUMMYFUNCTION("REGEXEXTRACT(B180, ""^([^:]+)"")"),"Molluscs")</f>
        <v>Molluscs</v>
      </c>
      <c r="D180" s="1" t="s">
        <v>11</v>
      </c>
      <c r="E180" s="1" t="s">
        <v>11</v>
      </c>
    </row>
    <row r="181" spans="1:5" ht="15.75" customHeight="1">
      <c r="A181" s="3">
        <v>30741</v>
      </c>
      <c r="B181" s="1" t="s">
        <v>190</v>
      </c>
      <c r="C181" s="1" t="str">
        <f ca="1">IFERROR(__xludf.DUMMYFUNCTION("REGEXEXTRACT(B181, ""^([^:]+)"")"),"Molluscs")</f>
        <v>Molluscs</v>
      </c>
      <c r="D181" s="1" t="s">
        <v>11</v>
      </c>
      <c r="E181" s="1" t="s">
        <v>11</v>
      </c>
    </row>
    <row r="182" spans="1:5" ht="15.75" customHeight="1">
      <c r="A182" s="3">
        <v>30749</v>
      </c>
      <c r="B182" s="1" t="s">
        <v>191</v>
      </c>
      <c r="C182" s="1" t="str">
        <f ca="1">IFERROR(__xludf.DUMMYFUNCTION("REGEXEXTRACT(B182, ""^([^:]+)"")"),"Molluscs")</f>
        <v>Molluscs</v>
      </c>
      <c r="D182" s="1" t="s">
        <v>11</v>
      </c>
      <c r="E182" s="1" t="s">
        <v>11</v>
      </c>
    </row>
    <row r="183" spans="1:5" ht="15.75" customHeight="1">
      <c r="A183" s="3">
        <v>30751</v>
      </c>
      <c r="B183" s="1" t="s">
        <v>192</v>
      </c>
      <c r="C183" s="1" t="str">
        <f ca="1">IFERROR(__xludf.DUMMYFUNCTION("REGEXEXTRACT(B183, ""^([^:]+)"")"),"Molluscs")</f>
        <v>Molluscs</v>
      </c>
      <c r="D183" s="1" t="s">
        <v>11</v>
      </c>
      <c r="E183" s="1" t="s">
        <v>11</v>
      </c>
    </row>
    <row r="184" spans="1:5" ht="15.75" customHeight="1">
      <c r="A184" s="3">
        <v>30759</v>
      </c>
      <c r="B184" s="1" t="s">
        <v>193</v>
      </c>
      <c r="C184" s="1" t="str">
        <f ca="1">IFERROR(__xludf.DUMMYFUNCTION("REGEXEXTRACT(B184, ""^([^:]+)"")"),"Molluscs")</f>
        <v>Molluscs</v>
      </c>
      <c r="D184" s="1" t="s">
        <v>11</v>
      </c>
      <c r="E184" s="1" t="s">
        <v>11</v>
      </c>
    </row>
    <row r="185" spans="1:5" ht="15.75" customHeight="1">
      <c r="A185" s="3">
        <v>30760</v>
      </c>
      <c r="B185" s="1" t="s">
        <v>194</v>
      </c>
      <c r="C185" s="1" t="str">
        <f ca="1">IFERROR(__xludf.DUMMYFUNCTION("REGEXEXTRACT(B185, ""^([^:]+)"")"),"Molluscs")</f>
        <v>Molluscs</v>
      </c>
      <c r="D185" s="1" t="s">
        <v>11</v>
      </c>
      <c r="E185" s="1" t="s">
        <v>11</v>
      </c>
    </row>
    <row r="186" spans="1:5" ht="15.75" customHeight="1">
      <c r="A186" s="3">
        <v>30791</v>
      </c>
      <c r="B186" s="1" t="s">
        <v>195</v>
      </c>
      <c r="C186" s="1" t="str">
        <f ca="1">IFERROR(__xludf.DUMMYFUNCTION("REGEXEXTRACT(B186, ""^([^:]+)"")"),"Molluscs and other aquatic invertebrates")</f>
        <v>Molluscs and other aquatic invertebrates</v>
      </c>
      <c r="D186" s="1" t="s">
        <v>11</v>
      </c>
      <c r="E186" s="1" t="s">
        <v>11</v>
      </c>
    </row>
    <row r="187" spans="1:5" ht="15.75" customHeight="1">
      <c r="A187" s="3">
        <v>30799</v>
      </c>
      <c r="B187" s="1" t="s">
        <v>196</v>
      </c>
      <c r="C187" s="1" t="str">
        <f ca="1">IFERROR(__xludf.DUMMYFUNCTION("REGEXEXTRACT(B187, ""^([^:]+)"")"),"Molluscs and other aquatic invertebrates")</f>
        <v>Molluscs and other aquatic invertebrates</v>
      </c>
      <c r="D187" s="1" t="s">
        <v>11</v>
      </c>
      <c r="E187" s="1" t="s">
        <v>11</v>
      </c>
    </row>
    <row r="188" spans="1:5" ht="15.75" customHeight="1">
      <c r="A188" s="3">
        <v>40110</v>
      </c>
      <c r="B188" s="1" t="s">
        <v>197</v>
      </c>
      <c r="C188" s="1" t="str">
        <f ca="1">IFERROR(__xludf.DUMMYFUNCTION("REGEXEXTRACT(B188, ""^([^:]+)"")"),"Dairy produce")</f>
        <v>Dairy produce</v>
      </c>
      <c r="D188" s="1" t="s">
        <v>11</v>
      </c>
      <c r="E188" s="1" t="s">
        <v>11</v>
      </c>
    </row>
    <row r="189" spans="1:5" ht="15.75" customHeight="1">
      <c r="A189" s="3">
        <v>40120</v>
      </c>
      <c r="B189" s="1" t="s">
        <v>198</v>
      </c>
      <c r="C189" s="1" t="str">
        <f ca="1">IFERROR(__xludf.DUMMYFUNCTION("REGEXEXTRACT(B189, ""^([^:]+)"")"),"Dairy produce")</f>
        <v>Dairy produce</v>
      </c>
      <c r="D189" s="1" t="s">
        <v>11</v>
      </c>
      <c r="E189" s="1" t="s">
        <v>11</v>
      </c>
    </row>
    <row r="190" spans="1:5" ht="15.75" customHeight="1">
      <c r="A190" s="3">
        <v>40130</v>
      </c>
      <c r="B190" s="1" t="s">
        <v>199</v>
      </c>
      <c r="C190" s="1" t="str">
        <f ca="1">IFERROR(__xludf.DUMMYFUNCTION("REGEXEXTRACT(B190, ""^([^:]+)"")"),"Dairy produce")</f>
        <v>Dairy produce</v>
      </c>
      <c r="D190" s="1" t="s">
        <v>11</v>
      </c>
      <c r="E190" s="1" t="s">
        <v>11</v>
      </c>
    </row>
    <row r="191" spans="1:5" ht="15.75" customHeight="1">
      <c r="A191" s="3">
        <v>40210</v>
      </c>
      <c r="B191" s="1" t="s">
        <v>200</v>
      </c>
      <c r="C191" s="1" t="str">
        <f ca="1">IFERROR(__xludf.DUMMYFUNCTION("REGEXEXTRACT(B191, ""^([^:]+)"")"),"Dairy produce")</f>
        <v>Dairy produce</v>
      </c>
      <c r="D191" s="1" t="s">
        <v>11</v>
      </c>
      <c r="E191" s="1" t="s">
        <v>11</v>
      </c>
    </row>
    <row r="192" spans="1:5" ht="15.75" customHeight="1">
      <c r="A192" s="3">
        <v>40221</v>
      </c>
      <c r="B192" s="1" t="s">
        <v>201</v>
      </c>
      <c r="C192" s="1" t="str">
        <f ca="1">IFERROR(__xludf.DUMMYFUNCTION("REGEXEXTRACT(B192, ""^([^:]+)"")"),"Dairy produce")</f>
        <v>Dairy produce</v>
      </c>
      <c r="D192" s="1" t="s">
        <v>11</v>
      </c>
      <c r="E192" s="1" t="s">
        <v>11</v>
      </c>
    </row>
    <row r="193" spans="1:5" ht="15.75" customHeight="1">
      <c r="A193" s="3">
        <v>40229</v>
      </c>
      <c r="B193" s="1" t="s">
        <v>202</v>
      </c>
      <c r="C193" s="1" t="str">
        <f ca="1">IFERROR(__xludf.DUMMYFUNCTION("REGEXEXTRACT(B193, ""^([^:]+)"")"),"Dairy produce")</f>
        <v>Dairy produce</v>
      </c>
      <c r="D193" s="1" t="s">
        <v>11</v>
      </c>
      <c r="E193" s="1" t="s">
        <v>11</v>
      </c>
    </row>
    <row r="194" spans="1:5" ht="15.75" customHeight="1">
      <c r="A194" s="3">
        <v>40291</v>
      </c>
      <c r="B194" s="1" t="s">
        <v>203</v>
      </c>
      <c r="C194" s="1" t="str">
        <f ca="1">IFERROR(__xludf.DUMMYFUNCTION("REGEXEXTRACT(B194, ""^([^:]+)"")"),"Dairy produce")</f>
        <v>Dairy produce</v>
      </c>
      <c r="D194" s="1" t="s">
        <v>11</v>
      </c>
      <c r="E194" s="1" t="s">
        <v>11</v>
      </c>
    </row>
    <row r="195" spans="1:5" ht="15.75" customHeight="1">
      <c r="A195" s="3">
        <v>40299</v>
      </c>
      <c r="B195" s="1" t="s">
        <v>204</v>
      </c>
      <c r="C195" s="1" t="str">
        <f ca="1">IFERROR(__xludf.DUMMYFUNCTION("REGEXEXTRACT(B195, ""^([^:]+)"")"),"Dairy produce")</f>
        <v>Dairy produce</v>
      </c>
      <c r="D195" s="1" t="s">
        <v>11</v>
      </c>
      <c r="E195" s="1" t="s">
        <v>11</v>
      </c>
    </row>
    <row r="196" spans="1:5" ht="15.75" customHeight="1">
      <c r="A196" s="3">
        <v>40310</v>
      </c>
      <c r="B196" s="1" t="s">
        <v>205</v>
      </c>
      <c r="C196" s="1" t="str">
        <f ca="1">IFERROR(__xludf.DUMMYFUNCTION("REGEXEXTRACT(B196, ""^([^:]+)"")"),"Dairy produce")</f>
        <v>Dairy produce</v>
      </c>
      <c r="D196" s="1" t="s">
        <v>11</v>
      </c>
      <c r="E196" s="1" t="s">
        <v>11</v>
      </c>
    </row>
    <row r="197" spans="1:5" ht="15.75" customHeight="1">
      <c r="A197" s="3">
        <v>40390</v>
      </c>
      <c r="B197" s="1" t="s">
        <v>206</v>
      </c>
      <c r="C197" s="1" t="str">
        <f ca="1">IFERROR(__xludf.DUMMYFUNCTION("REGEXEXTRACT(B197, ""^([^:]+)"")"),"Dairy produce")</f>
        <v>Dairy produce</v>
      </c>
      <c r="D197" s="1" t="s">
        <v>11</v>
      </c>
      <c r="E197" s="1" t="s">
        <v>11</v>
      </c>
    </row>
    <row r="198" spans="1:5" ht="15.75" customHeight="1">
      <c r="A198" s="3">
        <v>40410</v>
      </c>
      <c r="B198" s="1" t="s">
        <v>207</v>
      </c>
      <c r="C198" s="1" t="str">
        <f ca="1">IFERROR(__xludf.DUMMYFUNCTION("REGEXEXTRACT(B198, ""^([^:]+)"")"),"Dairy produce")</f>
        <v>Dairy produce</v>
      </c>
      <c r="D198" s="1" t="s">
        <v>11</v>
      </c>
      <c r="E198" s="1" t="s">
        <v>11</v>
      </c>
    </row>
    <row r="199" spans="1:5" ht="15.75" customHeight="1">
      <c r="A199" s="3">
        <v>40490</v>
      </c>
      <c r="B199" s="1" t="s">
        <v>208</v>
      </c>
      <c r="C199" s="1" t="str">
        <f ca="1">IFERROR(__xludf.DUMMYFUNCTION("REGEXEXTRACT(B199, ""^([^:]+)"")"),"Dairy produce")</f>
        <v>Dairy produce</v>
      </c>
      <c r="D199" s="1" t="s">
        <v>11</v>
      </c>
      <c r="E199" s="1" t="s">
        <v>11</v>
      </c>
    </row>
    <row r="200" spans="1:5" ht="15.75" customHeight="1">
      <c r="A200" s="3">
        <v>40510</v>
      </c>
      <c r="B200" s="1" t="s">
        <v>209</v>
      </c>
      <c r="C200" s="1" t="str">
        <f ca="1">IFERROR(__xludf.DUMMYFUNCTION("REGEXEXTRACT(B200, ""^([^:]+)"")"),"Dairy produce")</f>
        <v>Dairy produce</v>
      </c>
      <c r="D200" s="1" t="s">
        <v>11</v>
      </c>
      <c r="E200" s="1" t="s">
        <v>11</v>
      </c>
    </row>
    <row r="201" spans="1:5" ht="15.75" customHeight="1">
      <c r="A201" s="3">
        <v>40520</v>
      </c>
      <c r="B201" s="1" t="s">
        <v>210</v>
      </c>
      <c r="C201" s="1" t="str">
        <f ca="1">IFERROR(__xludf.DUMMYFUNCTION("REGEXEXTRACT(B201, ""^([^:]+)"")"),"Dairy produce")</f>
        <v>Dairy produce</v>
      </c>
      <c r="D201" s="1" t="s">
        <v>11</v>
      </c>
      <c r="E201" s="1" t="s">
        <v>11</v>
      </c>
    </row>
    <row r="202" spans="1:5" ht="15.75" customHeight="1">
      <c r="A202" s="3">
        <v>40590</v>
      </c>
      <c r="B202" s="1" t="s">
        <v>211</v>
      </c>
      <c r="C202" s="1" t="str">
        <f ca="1">IFERROR(__xludf.DUMMYFUNCTION("REGEXEXTRACT(B202, ""^([^:]+)"")"),"Dairy produce")</f>
        <v>Dairy produce</v>
      </c>
      <c r="D202" s="1" t="s">
        <v>11</v>
      </c>
      <c r="E202" s="1" t="s">
        <v>11</v>
      </c>
    </row>
    <row r="203" spans="1:5" ht="15.75" customHeight="1">
      <c r="A203" s="3">
        <v>40610</v>
      </c>
      <c r="B203" s="1" t="s">
        <v>212</v>
      </c>
      <c r="C203" s="1" t="str">
        <f ca="1">IFERROR(__xludf.DUMMYFUNCTION("REGEXEXTRACT(B203, ""^([^:]+)"")"),"Dairy produce")</f>
        <v>Dairy produce</v>
      </c>
      <c r="D203" s="1" t="s">
        <v>11</v>
      </c>
      <c r="E203" s="1" t="s">
        <v>11</v>
      </c>
    </row>
    <row r="204" spans="1:5" ht="15.75" customHeight="1">
      <c r="A204" s="3">
        <v>40620</v>
      </c>
      <c r="B204" s="1" t="s">
        <v>213</v>
      </c>
      <c r="C204" s="1" t="str">
        <f ca="1">IFERROR(__xludf.DUMMYFUNCTION("REGEXEXTRACT(B204, ""^([^:]+)"")"),"Dairy produce")</f>
        <v>Dairy produce</v>
      </c>
      <c r="D204" s="1" t="s">
        <v>11</v>
      </c>
      <c r="E204" s="1" t="s">
        <v>11</v>
      </c>
    </row>
    <row r="205" spans="1:5" ht="15.75" customHeight="1">
      <c r="A205" s="3">
        <v>40630</v>
      </c>
      <c r="B205" s="1" t="s">
        <v>214</v>
      </c>
      <c r="C205" s="1" t="str">
        <f ca="1">IFERROR(__xludf.DUMMYFUNCTION("REGEXEXTRACT(B205, ""^([^:]+)"")"),"Dairy produce")</f>
        <v>Dairy produce</v>
      </c>
      <c r="D205" s="1" t="s">
        <v>11</v>
      </c>
      <c r="E205" s="1" t="s">
        <v>11</v>
      </c>
    </row>
    <row r="206" spans="1:5" ht="15.75" customHeight="1">
      <c r="A206" s="3">
        <v>40640</v>
      </c>
      <c r="B206" s="1" t="s">
        <v>215</v>
      </c>
      <c r="C206" s="1" t="str">
        <f ca="1">IFERROR(__xludf.DUMMYFUNCTION("REGEXEXTRACT(B206, ""^([^:]+)"")"),"Dairy produce")</f>
        <v>Dairy produce</v>
      </c>
      <c r="D206" s="1" t="s">
        <v>11</v>
      </c>
      <c r="E206" s="1" t="s">
        <v>11</v>
      </c>
    </row>
    <row r="207" spans="1:5" ht="15.75" customHeight="1">
      <c r="A207" s="3">
        <v>40690</v>
      </c>
      <c r="B207" s="1" t="s">
        <v>216</v>
      </c>
      <c r="C207" s="1" t="str">
        <f ca="1">IFERROR(__xludf.DUMMYFUNCTION("REGEXEXTRACT(B207, ""^([^:]+)"")"),"Dairy produce")</f>
        <v>Dairy produce</v>
      </c>
      <c r="D207" s="1" t="s">
        <v>11</v>
      </c>
      <c r="E207" s="1" t="s">
        <v>11</v>
      </c>
    </row>
    <row r="208" spans="1:5" ht="15.75" customHeight="1">
      <c r="A208" s="3">
        <v>40700</v>
      </c>
      <c r="B208" s="1" t="s">
        <v>217</v>
      </c>
      <c r="C208" s="1" t="str">
        <f ca="1">IFERROR(__xludf.DUMMYFUNCTION("REGEXEXTRACT(B208, ""^([^:]+)"")"),"Eggs")</f>
        <v>Eggs</v>
      </c>
      <c r="D208" s="1" t="s">
        <v>11</v>
      </c>
      <c r="E208" s="1" t="s">
        <v>11</v>
      </c>
    </row>
    <row r="209" spans="1:5" ht="15.75" customHeight="1">
      <c r="A209" s="3">
        <v>40811</v>
      </c>
      <c r="B209" s="1" t="s">
        <v>218</v>
      </c>
      <c r="C209" s="1" t="str">
        <f ca="1">IFERROR(__xludf.DUMMYFUNCTION("REGEXEXTRACT(B209, ""^([^:]+)"")"),"Eggs")</f>
        <v>Eggs</v>
      </c>
      <c r="D209" s="1" t="s">
        <v>11</v>
      </c>
      <c r="E209" s="1" t="s">
        <v>11</v>
      </c>
    </row>
    <row r="210" spans="1:5" ht="15.75" customHeight="1">
      <c r="A210" s="3">
        <v>40819</v>
      </c>
      <c r="B210" s="1" t="s">
        <v>219</v>
      </c>
      <c r="C210" s="1" t="str">
        <f ca="1">IFERROR(__xludf.DUMMYFUNCTION("REGEXEXTRACT(B210, ""^([^:]+)"")"),"Eggs")</f>
        <v>Eggs</v>
      </c>
      <c r="D210" s="1" t="s">
        <v>11</v>
      </c>
      <c r="E210" s="1" t="s">
        <v>11</v>
      </c>
    </row>
    <row r="211" spans="1:5" ht="15.75" customHeight="1">
      <c r="A211" s="3">
        <v>40891</v>
      </c>
      <c r="B211" s="1" t="s">
        <v>220</v>
      </c>
      <c r="C211" s="1" t="str">
        <f ca="1">IFERROR(__xludf.DUMMYFUNCTION("REGEXEXTRACT(B211, ""^([^:]+)"")"),"Eggs")</f>
        <v>Eggs</v>
      </c>
      <c r="D211" s="1" t="s">
        <v>11</v>
      </c>
      <c r="E211" s="1" t="s">
        <v>11</v>
      </c>
    </row>
    <row r="212" spans="1:5" ht="15.75" customHeight="1">
      <c r="A212" s="3">
        <v>40899</v>
      </c>
      <c r="B212" s="1" t="s">
        <v>221</v>
      </c>
      <c r="C212" s="1" t="str">
        <f ca="1">IFERROR(__xludf.DUMMYFUNCTION("REGEXEXTRACT(B212, ""^([^:]+)"")"),"Eggs")</f>
        <v>Eggs</v>
      </c>
      <c r="D212" s="1" t="s">
        <v>11</v>
      </c>
      <c r="E212" s="1" t="s">
        <v>11</v>
      </c>
    </row>
    <row r="213" spans="1:5" ht="15.75" customHeight="1">
      <c r="A213" s="3">
        <v>40900</v>
      </c>
      <c r="B213" s="1" t="s">
        <v>222</v>
      </c>
      <c r="C213" s="1" t="str">
        <f ca="1">IFERROR(__xludf.DUMMYFUNCTION("REGEXEXTRACT(B213, ""^([^:]+)"")"),"Honey")</f>
        <v>Honey</v>
      </c>
      <c r="D213" s="1" t="s">
        <v>11</v>
      </c>
      <c r="E213" s="1" t="s">
        <v>11</v>
      </c>
    </row>
    <row r="214" spans="1:5" ht="15.75" customHeight="1">
      <c r="A214" s="3">
        <v>41000</v>
      </c>
      <c r="B214" s="1" t="s">
        <v>223</v>
      </c>
      <c r="C214" s="1" t="str">
        <f ca="1">IFERROR(__xludf.DUMMYFUNCTION("REGEXEXTRACT(B214, ""^([^:]+)"")"),"Animal products")</f>
        <v>Animal products</v>
      </c>
      <c r="D214" s="1" t="s">
        <v>11</v>
      </c>
      <c r="E214" s="1" t="s">
        <v>11</v>
      </c>
    </row>
    <row r="215" spans="1:5" ht="15.75" customHeight="1">
      <c r="A215" s="3">
        <v>50100</v>
      </c>
      <c r="B215" s="1" t="s">
        <v>224</v>
      </c>
      <c r="C215" s="1" t="str">
        <f ca="1">IFERROR(__xludf.DUMMYFUNCTION("REGEXEXTRACT(B215, ""^([^:]+)"")"),"Animal products")</f>
        <v>Animal products</v>
      </c>
      <c r="D215" s="1" t="s">
        <v>11</v>
      </c>
      <c r="E215" s="1" t="s">
        <v>11</v>
      </c>
    </row>
    <row r="216" spans="1:5" ht="15.75" customHeight="1">
      <c r="A216" s="3">
        <v>50210</v>
      </c>
      <c r="B216" s="1" t="s">
        <v>225</v>
      </c>
      <c r="C216" s="1" t="str">
        <f ca="1">IFERROR(__xludf.DUMMYFUNCTION("REGEXEXTRACT(B216, ""^([^:]+)"")"),"Animal products")</f>
        <v>Animal products</v>
      </c>
      <c r="D216" s="1" t="s">
        <v>11</v>
      </c>
      <c r="E216" s="1" t="s">
        <v>11</v>
      </c>
    </row>
    <row r="217" spans="1:5" ht="15.75" customHeight="1">
      <c r="A217" s="3">
        <v>50290</v>
      </c>
      <c r="B217" s="1" t="s">
        <v>226</v>
      </c>
      <c r="C217" s="1" t="str">
        <f ca="1">IFERROR(__xludf.DUMMYFUNCTION("REGEXEXTRACT(B217, ""^([^:]+)"")"),"Animal products")</f>
        <v>Animal products</v>
      </c>
      <c r="D217" s="1" t="s">
        <v>11</v>
      </c>
      <c r="E217" s="1" t="s">
        <v>11</v>
      </c>
    </row>
    <row r="218" spans="1:5" ht="15.75" customHeight="1">
      <c r="A218" s="3">
        <v>50400</v>
      </c>
      <c r="B218" s="1" t="s">
        <v>227</v>
      </c>
      <c r="C218" s="1" t="str">
        <f ca="1">IFERROR(__xludf.DUMMYFUNCTION("REGEXEXTRACT(B218, ""^([^:]+)"")"),"Animal products")</f>
        <v>Animal products</v>
      </c>
      <c r="D218" s="1" t="s">
        <v>11</v>
      </c>
      <c r="E218" s="1" t="s">
        <v>11</v>
      </c>
    </row>
    <row r="219" spans="1:5" ht="15.75" customHeight="1">
      <c r="A219" s="3">
        <v>50510</v>
      </c>
      <c r="B219" s="1" t="s">
        <v>228</v>
      </c>
      <c r="C219" s="1" t="str">
        <f ca="1">IFERROR(__xludf.DUMMYFUNCTION("REGEXEXTRACT(B219, ""^([^:]+)"")"),"Animal products")</f>
        <v>Animal products</v>
      </c>
      <c r="D219" s="1" t="s">
        <v>11</v>
      </c>
      <c r="E219" s="1" t="s">
        <v>11</v>
      </c>
    </row>
    <row r="220" spans="1:5" ht="15.75" customHeight="1">
      <c r="A220" s="3">
        <v>50590</v>
      </c>
      <c r="B220" s="1" t="s">
        <v>229</v>
      </c>
      <c r="C220" s="1" t="str">
        <f ca="1">IFERROR(__xludf.DUMMYFUNCTION("REGEXEXTRACT(B220, ""^([^:]+)"")"),"Animal products")</f>
        <v>Animal products</v>
      </c>
      <c r="D220" s="1" t="s">
        <v>11</v>
      </c>
      <c r="E220" s="1" t="s">
        <v>11</v>
      </c>
    </row>
    <row r="221" spans="1:5" ht="15.75" customHeight="1">
      <c r="A221" s="3">
        <v>50610</v>
      </c>
      <c r="B221" s="1" t="s">
        <v>230</v>
      </c>
      <c r="C221" s="1" t="str">
        <f ca="1">IFERROR(__xludf.DUMMYFUNCTION("REGEXEXTRACT(B221, ""^([^:]+)"")"),"Animal products")</f>
        <v>Animal products</v>
      </c>
      <c r="D221" s="1" t="s">
        <v>11</v>
      </c>
      <c r="E221" s="1" t="s">
        <v>11</v>
      </c>
    </row>
    <row r="222" spans="1:5" ht="15.75" customHeight="1">
      <c r="A222" s="3">
        <v>50690</v>
      </c>
      <c r="B222" s="1" t="s">
        <v>231</v>
      </c>
      <c r="C222" s="1" t="str">
        <f ca="1">IFERROR(__xludf.DUMMYFUNCTION("REGEXEXTRACT(B222, ""^([^:]+)"")"),"Animal products")</f>
        <v>Animal products</v>
      </c>
      <c r="D222" s="1" t="s">
        <v>11</v>
      </c>
      <c r="E222" s="1" t="s">
        <v>11</v>
      </c>
    </row>
    <row r="223" spans="1:5" ht="15.75" customHeight="1">
      <c r="A223" s="3">
        <v>50710</v>
      </c>
      <c r="B223" s="1" t="s">
        <v>232</v>
      </c>
      <c r="C223" s="1" t="str">
        <f ca="1">IFERROR(__xludf.DUMMYFUNCTION("REGEXEXTRACT(B223, ""^([^:]+)"")"),"Animal products")</f>
        <v>Animal products</v>
      </c>
      <c r="D223" s="1" t="s">
        <v>11</v>
      </c>
      <c r="E223" s="1" t="s">
        <v>11</v>
      </c>
    </row>
    <row r="224" spans="1:5" ht="15.75" customHeight="1">
      <c r="A224" s="3">
        <v>50790</v>
      </c>
      <c r="B224" s="1" t="s">
        <v>233</v>
      </c>
      <c r="C224" s="1" t="str">
        <f ca="1">IFERROR(__xludf.DUMMYFUNCTION("REGEXEXTRACT(B224, ""^([^:]+)"")"),"Animal products")</f>
        <v>Animal products</v>
      </c>
      <c r="D224" s="1" t="s">
        <v>11</v>
      </c>
      <c r="E224" s="1" t="s">
        <v>11</v>
      </c>
    </row>
    <row r="225" spans="1:5" ht="15.75" customHeight="1">
      <c r="A225" s="3">
        <v>50800</v>
      </c>
      <c r="B225" s="1" t="s">
        <v>234</v>
      </c>
      <c r="C225" s="1" t="str">
        <f ca="1">IFERROR(__xludf.DUMMYFUNCTION("REGEXEXTRACT(B225, ""^([^:]+)"")"),"Animal products")</f>
        <v>Animal products</v>
      </c>
      <c r="D225" s="1" t="s">
        <v>11</v>
      </c>
      <c r="E225" s="1" t="s">
        <v>11</v>
      </c>
    </row>
    <row r="226" spans="1:5" ht="15.75" customHeight="1">
      <c r="A226" s="3">
        <v>51000</v>
      </c>
      <c r="B226" s="1" t="s">
        <v>235</v>
      </c>
      <c r="C226" s="1" t="str">
        <f ca="1">IFERROR(__xludf.DUMMYFUNCTION("REGEXEXTRACT(B226, ""^([^:]+)"")"),"Animal products")</f>
        <v>Animal products</v>
      </c>
      <c r="D226" s="1" t="s">
        <v>11</v>
      </c>
      <c r="E226" s="1" t="s">
        <v>11</v>
      </c>
    </row>
    <row r="227" spans="1:5" ht="15.75" customHeight="1">
      <c r="A227" s="3">
        <v>51110</v>
      </c>
      <c r="B227" s="1" t="s">
        <v>236</v>
      </c>
      <c r="C227" s="1" t="str">
        <f ca="1">IFERROR(__xludf.DUMMYFUNCTION("REGEXEXTRACT(B227, ""^([^:]+)"")"),"Animal products")</f>
        <v>Animal products</v>
      </c>
      <c r="D227" s="1" t="s">
        <v>11</v>
      </c>
      <c r="E227" s="1" t="s">
        <v>11</v>
      </c>
    </row>
    <row r="228" spans="1:5" ht="15.75" customHeight="1">
      <c r="A228" s="3">
        <v>51191</v>
      </c>
      <c r="B228" s="1" t="s">
        <v>237</v>
      </c>
      <c r="C228" s="1" t="str">
        <f ca="1">IFERROR(__xludf.DUMMYFUNCTION("REGEXEXTRACT(B228, ""^([^:]+)"")"),"Animal products")</f>
        <v>Animal products</v>
      </c>
      <c r="D228" s="1" t="s">
        <v>11</v>
      </c>
      <c r="E228" s="1" t="s">
        <v>11</v>
      </c>
    </row>
    <row r="229" spans="1:5" ht="15.75" customHeight="1">
      <c r="A229" s="3">
        <v>51199</v>
      </c>
      <c r="B229" s="1" t="s">
        <v>238</v>
      </c>
      <c r="C229" s="1" t="str">
        <f ca="1">IFERROR(__xludf.DUMMYFUNCTION("REGEXEXTRACT(B229, ""^([^:]+)"")"),"Animal products")</f>
        <v>Animal products</v>
      </c>
      <c r="D229" s="1" t="s">
        <v>11</v>
      </c>
      <c r="E229" s="1" t="s">
        <v>11</v>
      </c>
    </row>
    <row r="230" spans="1:5" ht="15.75" customHeight="1">
      <c r="A230" s="3">
        <v>60110</v>
      </c>
      <c r="B230" s="1" t="s">
        <v>239</v>
      </c>
      <c r="C230" s="1" t="str">
        <f ca="1">IFERROR(__xludf.DUMMYFUNCTION("REGEXEXTRACT(B230, ""^([^:]+)"")"),"Plants, live")</f>
        <v>Plants, live</v>
      </c>
      <c r="D230" s="1" t="s">
        <v>11</v>
      </c>
      <c r="E230" s="1" t="s">
        <v>11</v>
      </c>
    </row>
    <row r="231" spans="1:5" ht="15.75" customHeight="1">
      <c r="A231" s="3">
        <v>60120</v>
      </c>
      <c r="B231" s="1" t="s">
        <v>240</v>
      </c>
      <c r="C231" s="1" t="str">
        <f ca="1">IFERROR(__xludf.DUMMYFUNCTION("REGEXEXTRACT(B231, ""^([^:]+)"")"),"Plants, live")</f>
        <v>Plants, live</v>
      </c>
      <c r="D231" s="1" t="s">
        <v>11</v>
      </c>
      <c r="E231" s="1" t="s">
        <v>11</v>
      </c>
    </row>
    <row r="232" spans="1:5" ht="15.75" customHeight="1">
      <c r="A232" s="3">
        <v>60210</v>
      </c>
      <c r="B232" s="1" t="s">
        <v>241</v>
      </c>
      <c r="C232" s="1" t="str">
        <f ca="1">IFERROR(__xludf.DUMMYFUNCTION("REGEXEXTRACT(B232, ""^([^:]+)"")"),"Plants, live")</f>
        <v>Plants, live</v>
      </c>
      <c r="D232" s="1" t="s">
        <v>11</v>
      </c>
      <c r="E232" s="1" t="s">
        <v>11</v>
      </c>
    </row>
    <row r="233" spans="1:5" ht="15.75" customHeight="1">
      <c r="A233" s="3">
        <v>60220</v>
      </c>
      <c r="B233" s="1" t="s">
        <v>242</v>
      </c>
      <c r="C233" s="1" t="str">
        <f ca="1">IFERROR(__xludf.DUMMYFUNCTION("REGEXEXTRACT(B233, ""^([^:]+)"")"),"Plants, live")</f>
        <v>Plants, live</v>
      </c>
      <c r="D233" s="1" t="s">
        <v>11</v>
      </c>
      <c r="E233" s="1" t="s">
        <v>11</v>
      </c>
    </row>
    <row r="234" spans="1:5" ht="15.75" customHeight="1">
      <c r="A234" s="3">
        <v>60230</v>
      </c>
      <c r="B234" s="1" t="s">
        <v>243</v>
      </c>
      <c r="C234" s="1" t="str">
        <f ca="1">IFERROR(__xludf.DUMMYFUNCTION("REGEXEXTRACT(B234, ""^([^:]+)"")"),"Plants, live")</f>
        <v>Plants, live</v>
      </c>
      <c r="D234" s="1" t="s">
        <v>11</v>
      </c>
      <c r="E234" s="1" t="s">
        <v>11</v>
      </c>
    </row>
    <row r="235" spans="1:5" ht="15.75" customHeight="1">
      <c r="A235" s="3">
        <v>60240</v>
      </c>
      <c r="B235" s="1" t="s">
        <v>244</v>
      </c>
      <c r="C235" s="1" t="str">
        <f ca="1">IFERROR(__xludf.DUMMYFUNCTION("REGEXEXTRACT(B235, ""^([^:]+)"")"),"Plants, live")</f>
        <v>Plants, live</v>
      </c>
      <c r="D235" s="1" t="s">
        <v>11</v>
      </c>
      <c r="E235" s="1" t="s">
        <v>11</v>
      </c>
    </row>
    <row r="236" spans="1:5" ht="15.75" customHeight="1">
      <c r="A236" s="3">
        <v>60290</v>
      </c>
      <c r="B236" s="1" t="s">
        <v>245</v>
      </c>
      <c r="C236" s="1" t="str">
        <f ca="1">IFERROR(__xludf.DUMMYFUNCTION("REGEXEXTRACT(B236, ""^([^:]+)"")"),"Plants, live")</f>
        <v>Plants, live</v>
      </c>
      <c r="D236" s="1" t="s">
        <v>11</v>
      </c>
      <c r="E236" s="1" t="s">
        <v>11</v>
      </c>
    </row>
    <row r="237" spans="1:5" ht="15.75" customHeight="1">
      <c r="A237" s="3">
        <v>60311</v>
      </c>
      <c r="B237" s="1" t="s">
        <v>246</v>
      </c>
      <c r="C237" s="1" t="str">
        <f ca="1">IFERROR(__xludf.DUMMYFUNCTION("REGEXEXTRACT(B237, ""^([^:]+)"")"),"Flowers, cut")</f>
        <v>Flowers, cut</v>
      </c>
      <c r="D237" s="1" t="s">
        <v>11</v>
      </c>
      <c r="E237" s="1" t="s">
        <v>11</v>
      </c>
    </row>
    <row r="238" spans="1:5" ht="15.75" customHeight="1">
      <c r="A238" s="3">
        <v>60312</v>
      </c>
      <c r="B238" s="1" t="s">
        <v>247</v>
      </c>
      <c r="C238" s="1" t="str">
        <f ca="1">IFERROR(__xludf.DUMMYFUNCTION("REGEXEXTRACT(B238, ""^([^:]+)"")"),"Flowers, cut")</f>
        <v>Flowers, cut</v>
      </c>
      <c r="D238" s="1" t="s">
        <v>11</v>
      </c>
      <c r="E238" s="1" t="s">
        <v>11</v>
      </c>
    </row>
    <row r="239" spans="1:5" ht="15.75" customHeight="1">
      <c r="A239" s="3">
        <v>60313</v>
      </c>
      <c r="B239" s="1" t="s">
        <v>248</v>
      </c>
      <c r="C239" s="1" t="str">
        <f ca="1">IFERROR(__xludf.DUMMYFUNCTION("REGEXEXTRACT(B239, ""^([^:]+)"")"),"Flowers, cut")</f>
        <v>Flowers, cut</v>
      </c>
      <c r="D239" s="1" t="s">
        <v>11</v>
      </c>
      <c r="E239" s="1" t="s">
        <v>11</v>
      </c>
    </row>
    <row r="240" spans="1:5" ht="15.75" customHeight="1">
      <c r="A240" s="3">
        <v>60314</v>
      </c>
      <c r="B240" s="1" t="s">
        <v>249</v>
      </c>
      <c r="C240" s="1" t="str">
        <f ca="1">IFERROR(__xludf.DUMMYFUNCTION("REGEXEXTRACT(B240, ""^([^:]+)"")"),"Flowers, cut")</f>
        <v>Flowers, cut</v>
      </c>
      <c r="D240" s="1" t="s">
        <v>11</v>
      </c>
      <c r="E240" s="1" t="s">
        <v>11</v>
      </c>
    </row>
    <row r="241" spans="1:5" ht="15.75" customHeight="1">
      <c r="A241" s="3">
        <v>60319</v>
      </c>
      <c r="B241" s="1" t="s">
        <v>250</v>
      </c>
      <c r="C241" s="1" t="str">
        <f ca="1">IFERROR(__xludf.DUMMYFUNCTION("REGEXEXTRACT(B241, ""^([^:]+)"")"),"Flowers, cut")</f>
        <v>Flowers, cut</v>
      </c>
      <c r="D241" s="1" t="s">
        <v>11</v>
      </c>
      <c r="E241" s="1" t="s">
        <v>11</v>
      </c>
    </row>
    <row r="242" spans="1:5" ht="15.75" customHeight="1">
      <c r="A242" s="3">
        <v>60390</v>
      </c>
      <c r="B242" s="1" t="s">
        <v>251</v>
      </c>
      <c r="C242" s="1" t="str">
        <f ca="1">IFERROR(__xludf.DUMMYFUNCTION("REGEXEXTRACT(B242, ""^([^:]+)"")"),"Flowers")</f>
        <v>Flowers</v>
      </c>
      <c r="D242" s="1" t="s">
        <v>11</v>
      </c>
      <c r="E242" s="1" t="s">
        <v>11</v>
      </c>
    </row>
    <row r="243" spans="1:5" ht="15.75" customHeight="1">
      <c r="A243" s="3">
        <v>60410</v>
      </c>
      <c r="B243" s="1" t="s">
        <v>252</v>
      </c>
      <c r="C243" s="1" t="str">
        <f ca="1">IFERROR(__xludf.DUMMYFUNCTION("REGEXEXTRACT(B243, ""^([^:]+)"")"),"Mosses and lichens")</f>
        <v>Mosses and lichens</v>
      </c>
      <c r="D243" s="1" t="s">
        <v>11</v>
      </c>
      <c r="E243" s="1" t="s">
        <v>11</v>
      </c>
    </row>
    <row r="244" spans="1:5" ht="15.75" customHeight="1">
      <c r="A244" s="3">
        <v>60491</v>
      </c>
      <c r="B244" s="1" t="s">
        <v>253</v>
      </c>
      <c r="C244" s="1" t="str">
        <f ca="1">IFERROR(__xludf.DUMMYFUNCTION("REGEXEXTRACT(B244, ""^([^:]+)"")"),"Foliage, branches and other parts of plants, without flowers or flower buds, and grasses")</f>
        <v>Foliage, branches and other parts of plants, without flowers or flower buds, and grasses</v>
      </c>
      <c r="D244" s="1" t="s">
        <v>11</v>
      </c>
      <c r="E244" s="1" t="s">
        <v>11</v>
      </c>
    </row>
    <row r="245" spans="1:5" ht="15.75" customHeight="1">
      <c r="A245" s="3">
        <v>60499</v>
      </c>
      <c r="B245" s="1" t="s">
        <v>254</v>
      </c>
      <c r="C245" s="1" t="str">
        <f ca="1">IFERROR(__xludf.DUMMYFUNCTION("REGEXEXTRACT(B245, ""^([^:]+)"")"),"Foliage, branches and other parts of plants, without flowers or flower buds, and grasses")</f>
        <v>Foliage, branches and other parts of plants, without flowers or flower buds, and grasses</v>
      </c>
      <c r="D245" s="1" t="s">
        <v>11</v>
      </c>
      <c r="E245" s="1" t="s">
        <v>11</v>
      </c>
    </row>
    <row r="246" spans="1:5" ht="15.75" customHeight="1">
      <c r="A246" s="3">
        <v>70110</v>
      </c>
      <c r="B246" s="1" t="s">
        <v>255</v>
      </c>
      <c r="C246" s="1" t="str">
        <f ca="1">IFERROR(__xludf.DUMMYFUNCTION("REGEXEXTRACT(B246, ""^([^:]+)"")"),"Vegetables")</f>
        <v>Vegetables</v>
      </c>
      <c r="D246" s="1" t="s">
        <v>11</v>
      </c>
      <c r="E246" s="1" t="s">
        <v>11</v>
      </c>
    </row>
    <row r="247" spans="1:5" ht="15.75" customHeight="1">
      <c r="A247" s="3">
        <v>70190</v>
      </c>
      <c r="B247" s="1" t="s">
        <v>256</v>
      </c>
      <c r="C247" s="1" t="str">
        <f ca="1">IFERROR(__xludf.DUMMYFUNCTION("REGEXEXTRACT(B247, ""^([^:]+)"")"),"Vegetables")</f>
        <v>Vegetables</v>
      </c>
      <c r="D247" s="1" t="s">
        <v>11</v>
      </c>
      <c r="E247" s="1" t="s">
        <v>11</v>
      </c>
    </row>
    <row r="248" spans="1:5" ht="15.75" customHeight="1">
      <c r="A248" s="3">
        <v>70200</v>
      </c>
      <c r="B248" s="1" t="s">
        <v>257</v>
      </c>
      <c r="C248" s="1" t="str">
        <f ca="1">IFERROR(__xludf.DUMMYFUNCTION("REGEXEXTRACT(B248, ""^([^:]+)"")"),"Vegetables")</f>
        <v>Vegetables</v>
      </c>
      <c r="D248" s="1" t="s">
        <v>11</v>
      </c>
      <c r="E248" s="1" t="s">
        <v>11</v>
      </c>
    </row>
    <row r="249" spans="1:5" ht="15.75" customHeight="1">
      <c r="A249" s="3">
        <v>70310</v>
      </c>
      <c r="B249" s="1" t="s">
        <v>258</v>
      </c>
      <c r="C249" s="1" t="str">
        <f ca="1">IFERROR(__xludf.DUMMYFUNCTION("REGEXEXTRACT(B249, ""^([^:]+)"")"),"Vegetables, alliaceous")</f>
        <v>Vegetables, alliaceous</v>
      </c>
      <c r="D249" s="1" t="s">
        <v>11</v>
      </c>
      <c r="E249" s="1" t="s">
        <v>11</v>
      </c>
    </row>
    <row r="250" spans="1:5" ht="15.75" customHeight="1">
      <c r="A250" s="3">
        <v>70320</v>
      </c>
      <c r="B250" s="1" t="s">
        <v>259</v>
      </c>
      <c r="C250" s="1" t="str">
        <f ca="1">IFERROR(__xludf.DUMMYFUNCTION("REGEXEXTRACT(B250, ""^([^:]+)"")"),"Vegetables, alliaceous")</f>
        <v>Vegetables, alliaceous</v>
      </c>
      <c r="D250" s="1" t="s">
        <v>11</v>
      </c>
      <c r="E250" s="1" t="s">
        <v>11</v>
      </c>
    </row>
    <row r="251" spans="1:5" ht="15.75" customHeight="1">
      <c r="A251" s="3">
        <v>70390</v>
      </c>
      <c r="B251" s="1" t="s">
        <v>260</v>
      </c>
      <c r="C251" s="1" t="str">
        <f ca="1">IFERROR(__xludf.DUMMYFUNCTION("REGEXEXTRACT(B251, ""^([^:]+)"")"),"Vegetables, alliaceous")</f>
        <v>Vegetables, alliaceous</v>
      </c>
      <c r="D251" s="1" t="s">
        <v>11</v>
      </c>
      <c r="E251" s="1" t="s">
        <v>11</v>
      </c>
    </row>
    <row r="252" spans="1:5" ht="15.75" customHeight="1">
      <c r="A252" s="3">
        <v>70410</v>
      </c>
      <c r="B252" s="1" t="s">
        <v>261</v>
      </c>
      <c r="C252" s="1" t="str">
        <f ca="1">IFERROR(__xludf.DUMMYFUNCTION("REGEXEXTRACT(B252, ""^([^:]+)"")"),"Vegetables, brassica")</f>
        <v>Vegetables, brassica</v>
      </c>
      <c r="D252" s="1" t="s">
        <v>11</v>
      </c>
      <c r="E252" s="1" t="s">
        <v>11</v>
      </c>
    </row>
    <row r="253" spans="1:5" ht="15.75" customHeight="1">
      <c r="A253" s="3">
        <v>70420</v>
      </c>
      <c r="B253" s="1" t="s">
        <v>262</v>
      </c>
      <c r="C253" s="1" t="str">
        <f ca="1">IFERROR(__xludf.DUMMYFUNCTION("REGEXEXTRACT(B253, ""^([^:]+)"")"),"Vegetables, brassica")</f>
        <v>Vegetables, brassica</v>
      </c>
      <c r="D253" s="1" t="s">
        <v>11</v>
      </c>
      <c r="E253" s="1" t="s">
        <v>11</v>
      </c>
    </row>
    <row r="254" spans="1:5" ht="15.75" customHeight="1">
      <c r="A254" s="3">
        <v>70490</v>
      </c>
      <c r="B254" s="1" t="s">
        <v>263</v>
      </c>
      <c r="C254" s="1" t="str">
        <f ca="1">IFERROR(__xludf.DUMMYFUNCTION("REGEXEXTRACT(B254, ""^([^:]+)"")"),"Vegetables, brassica")</f>
        <v>Vegetables, brassica</v>
      </c>
      <c r="D254" s="1" t="s">
        <v>11</v>
      </c>
      <c r="E254" s="1" t="s">
        <v>11</v>
      </c>
    </row>
    <row r="255" spans="1:5" ht="15.75" customHeight="1">
      <c r="A255" s="3">
        <v>70511</v>
      </c>
      <c r="B255" s="1" t="s">
        <v>264</v>
      </c>
      <c r="C255" s="1" t="str">
        <f ca="1">IFERROR(__xludf.DUMMYFUNCTION("REGEXEXTRACT(B255, ""^([^:]+)"")"),"Vegetables")</f>
        <v>Vegetables</v>
      </c>
      <c r="D255" s="1" t="s">
        <v>11</v>
      </c>
      <c r="E255" s="1" t="s">
        <v>11</v>
      </c>
    </row>
    <row r="256" spans="1:5" ht="15.75" customHeight="1">
      <c r="A256" s="3">
        <v>70519</v>
      </c>
      <c r="B256" s="1" t="s">
        <v>265</v>
      </c>
      <c r="C256" s="1" t="str">
        <f ca="1">IFERROR(__xludf.DUMMYFUNCTION("REGEXEXTRACT(B256, ""^([^:]+)"")"),"Vegetables")</f>
        <v>Vegetables</v>
      </c>
      <c r="D256" s="1" t="s">
        <v>11</v>
      </c>
      <c r="E256" s="1" t="s">
        <v>11</v>
      </c>
    </row>
    <row r="257" spans="1:5" ht="15.75" customHeight="1">
      <c r="A257" s="3">
        <v>70521</v>
      </c>
      <c r="B257" s="1" t="s">
        <v>266</v>
      </c>
      <c r="C257" s="1" t="str">
        <f ca="1">IFERROR(__xludf.DUMMYFUNCTION("REGEXEXTRACT(B257, ""^([^:]+)"")"),"Vegetables")</f>
        <v>Vegetables</v>
      </c>
      <c r="D257" s="1" t="s">
        <v>11</v>
      </c>
      <c r="E257" s="1" t="s">
        <v>11</v>
      </c>
    </row>
    <row r="258" spans="1:5" ht="15.75" customHeight="1">
      <c r="A258" s="3">
        <v>70529</v>
      </c>
      <c r="B258" s="1" t="s">
        <v>267</v>
      </c>
      <c r="C258" s="1" t="str">
        <f ca="1">IFERROR(__xludf.DUMMYFUNCTION("REGEXEXTRACT(B258, ""^([^:]+)"")"),"Vegetables")</f>
        <v>Vegetables</v>
      </c>
      <c r="D258" s="1" t="s">
        <v>11</v>
      </c>
      <c r="E258" s="1" t="s">
        <v>11</v>
      </c>
    </row>
    <row r="259" spans="1:5" ht="15.75" customHeight="1">
      <c r="A259" s="3">
        <v>70610</v>
      </c>
      <c r="B259" s="1" t="s">
        <v>268</v>
      </c>
      <c r="C259" s="1" t="str">
        <f ca="1">IFERROR(__xludf.DUMMYFUNCTION("REGEXEXTRACT(B259, ""^([^:]+)"")"),"Vegetables, root")</f>
        <v>Vegetables, root</v>
      </c>
      <c r="D259" s="1" t="s">
        <v>11</v>
      </c>
      <c r="E259" s="1" t="s">
        <v>11</v>
      </c>
    </row>
    <row r="260" spans="1:5" ht="15.75" customHeight="1">
      <c r="A260" s="3">
        <v>70690</v>
      </c>
      <c r="B260" s="1" t="s">
        <v>269</v>
      </c>
      <c r="C260" s="1" t="str">
        <f ca="1">IFERROR(__xludf.DUMMYFUNCTION("REGEXEXTRACT(B260, ""^([^:]+)"")"),"Vegetables, root")</f>
        <v>Vegetables, root</v>
      </c>
      <c r="D260" s="1" t="s">
        <v>11</v>
      </c>
      <c r="E260" s="1" t="s">
        <v>11</v>
      </c>
    </row>
    <row r="261" spans="1:5" ht="15.75" customHeight="1">
      <c r="A261" s="3">
        <v>70700</v>
      </c>
      <c r="B261" s="1" t="s">
        <v>270</v>
      </c>
      <c r="C261" s="1" t="str">
        <f ca="1">IFERROR(__xludf.DUMMYFUNCTION("REGEXEXTRACT(B261, ""^([^:]+)"")"),"Vegetables")</f>
        <v>Vegetables</v>
      </c>
      <c r="D261" s="1" t="s">
        <v>11</v>
      </c>
      <c r="E261" s="1" t="s">
        <v>11</v>
      </c>
    </row>
    <row r="262" spans="1:5" ht="15.75" customHeight="1">
      <c r="A262" s="3">
        <v>70810</v>
      </c>
      <c r="B262" s="1" t="s">
        <v>271</v>
      </c>
      <c r="C262" s="1" t="str">
        <f ca="1">IFERROR(__xludf.DUMMYFUNCTION("REGEXEXTRACT(B262, ""^([^:]+)"")"),"Vegetables, leguminous")</f>
        <v>Vegetables, leguminous</v>
      </c>
      <c r="D262" s="1" t="s">
        <v>11</v>
      </c>
      <c r="E262" s="1" t="s">
        <v>11</v>
      </c>
    </row>
    <row r="263" spans="1:5" ht="15.75" customHeight="1">
      <c r="A263" s="3">
        <v>70820</v>
      </c>
      <c r="B263" s="1" t="s">
        <v>272</v>
      </c>
      <c r="C263" s="1" t="str">
        <f ca="1">IFERROR(__xludf.DUMMYFUNCTION("REGEXEXTRACT(B263, ""^([^:]+)"")"),"Vegetables, leguminous")</f>
        <v>Vegetables, leguminous</v>
      </c>
      <c r="D263" s="1" t="s">
        <v>11</v>
      </c>
      <c r="E263" s="1" t="s">
        <v>11</v>
      </c>
    </row>
    <row r="264" spans="1:5" ht="15.75" customHeight="1">
      <c r="A264" s="3">
        <v>70890</v>
      </c>
      <c r="B264" s="1" t="s">
        <v>273</v>
      </c>
      <c r="C264" s="1" t="str">
        <f ca="1">IFERROR(__xludf.DUMMYFUNCTION("REGEXEXTRACT(B264, ""^([^:]+)"")"),"Vegetables, leguminous")</f>
        <v>Vegetables, leguminous</v>
      </c>
      <c r="D264" s="1" t="s">
        <v>11</v>
      </c>
      <c r="E264" s="1" t="s">
        <v>11</v>
      </c>
    </row>
    <row r="265" spans="1:5" ht="15.75" customHeight="1">
      <c r="A265" s="3">
        <v>70920</v>
      </c>
      <c r="B265" s="1" t="s">
        <v>274</v>
      </c>
      <c r="C265" s="1" t="str">
        <f ca="1">IFERROR(__xludf.DUMMYFUNCTION("REGEXEXTRACT(B265, ""^([^:]+)"")"),"Vegetables")</f>
        <v>Vegetables</v>
      </c>
      <c r="D265" s="1" t="s">
        <v>11</v>
      </c>
      <c r="E265" s="1" t="s">
        <v>11</v>
      </c>
    </row>
    <row r="266" spans="1:5" ht="15.75" customHeight="1">
      <c r="A266" s="3">
        <v>70930</v>
      </c>
      <c r="B266" s="1" t="s">
        <v>275</v>
      </c>
      <c r="C266" s="1" t="str">
        <f ca="1">IFERROR(__xludf.DUMMYFUNCTION("REGEXEXTRACT(B266, ""^([^:]+)"")"),"Vegetables")</f>
        <v>Vegetables</v>
      </c>
      <c r="D266" s="1" t="s">
        <v>11</v>
      </c>
      <c r="E266" s="1" t="s">
        <v>11</v>
      </c>
    </row>
    <row r="267" spans="1:5" ht="15.75" customHeight="1">
      <c r="A267" s="3">
        <v>70940</v>
      </c>
      <c r="B267" s="1" t="s">
        <v>276</v>
      </c>
      <c r="C267" s="1" t="str">
        <f ca="1">IFERROR(__xludf.DUMMYFUNCTION("REGEXEXTRACT(B267, ""^([^:]+)"")"),"Vegetables")</f>
        <v>Vegetables</v>
      </c>
      <c r="D267" s="1" t="s">
        <v>11</v>
      </c>
      <c r="E267" s="1" t="s">
        <v>11</v>
      </c>
    </row>
    <row r="268" spans="1:5" ht="15.75" customHeight="1">
      <c r="A268" s="3">
        <v>70951</v>
      </c>
      <c r="B268" s="1" t="s">
        <v>277</v>
      </c>
      <c r="C268" s="1" t="str">
        <f ca="1">IFERROR(__xludf.DUMMYFUNCTION("REGEXEXTRACT(B268, ""^([^:]+)"")"),"Vegetables")</f>
        <v>Vegetables</v>
      </c>
      <c r="D268" s="1" t="s">
        <v>11</v>
      </c>
      <c r="E268" s="1" t="s">
        <v>11</v>
      </c>
    </row>
    <row r="269" spans="1:5" ht="15.75" customHeight="1">
      <c r="A269" s="3">
        <v>70959</v>
      </c>
      <c r="B269" s="1" t="s">
        <v>278</v>
      </c>
      <c r="C269" s="1" t="str">
        <f ca="1">IFERROR(__xludf.DUMMYFUNCTION("REGEXEXTRACT(B269, ""^([^:]+)"")"),"Vegetables")</f>
        <v>Vegetables</v>
      </c>
      <c r="D269" s="1" t="s">
        <v>11</v>
      </c>
      <c r="E269" s="1" t="s">
        <v>11</v>
      </c>
    </row>
    <row r="270" spans="1:5" ht="15.75" customHeight="1">
      <c r="A270" s="3">
        <v>70960</v>
      </c>
      <c r="B270" s="1" t="s">
        <v>279</v>
      </c>
      <c r="C270" s="1" t="str">
        <f ca="1">IFERROR(__xludf.DUMMYFUNCTION("REGEXEXTRACT(B270, ""^([^:]+)"")"),"Vegetables")</f>
        <v>Vegetables</v>
      </c>
      <c r="D270" s="1" t="s">
        <v>11</v>
      </c>
      <c r="E270" s="1" t="s">
        <v>11</v>
      </c>
    </row>
    <row r="271" spans="1:5" ht="15.75" customHeight="1">
      <c r="A271" s="3">
        <v>70970</v>
      </c>
      <c r="B271" s="1" t="s">
        <v>280</v>
      </c>
      <c r="C271" s="1" t="str">
        <f ca="1">IFERROR(__xludf.DUMMYFUNCTION("REGEXEXTRACT(B271, ""^([^:]+)"")"),"Vegetables")</f>
        <v>Vegetables</v>
      </c>
      <c r="D271" s="1" t="s">
        <v>11</v>
      </c>
      <c r="E271" s="1" t="s">
        <v>11</v>
      </c>
    </row>
    <row r="272" spans="1:5" ht="15.75" customHeight="1">
      <c r="A272" s="3">
        <v>70990</v>
      </c>
      <c r="B272" s="1" t="s">
        <v>281</v>
      </c>
      <c r="C272" s="1" t="str">
        <f ca="1">IFERROR(__xludf.DUMMYFUNCTION("REGEXEXTRACT(B272, ""^([^:]+)"")"),"Vegetables")</f>
        <v>Vegetables</v>
      </c>
      <c r="D272" s="1" t="s">
        <v>11</v>
      </c>
      <c r="E272" s="1" t="s">
        <v>11</v>
      </c>
    </row>
    <row r="273" spans="1:5" ht="15.75" customHeight="1">
      <c r="A273" s="3">
        <v>71010</v>
      </c>
      <c r="B273" s="1" t="s">
        <v>282</v>
      </c>
      <c r="C273" s="1" t="str">
        <f ca="1">IFERROR(__xludf.DUMMYFUNCTION("REGEXEXTRACT(B273, ""^([^:]+)"")"),"Vegetables")</f>
        <v>Vegetables</v>
      </c>
      <c r="D273" s="1" t="s">
        <v>11</v>
      </c>
      <c r="E273" s="1" t="s">
        <v>11</v>
      </c>
    </row>
    <row r="274" spans="1:5" ht="15.75" customHeight="1">
      <c r="A274" s="3">
        <v>71021</v>
      </c>
      <c r="B274" s="1" t="s">
        <v>283</v>
      </c>
      <c r="C274" s="1" t="str">
        <f ca="1">IFERROR(__xludf.DUMMYFUNCTION("REGEXEXTRACT(B274, ""^([^:]+)"")"),"Vegetables, leguminous")</f>
        <v>Vegetables, leguminous</v>
      </c>
      <c r="D274" s="1" t="s">
        <v>11</v>
      </c>
      <c r="E274" s="1" t="s">
        <v>11</v>
      </c>
    </row>
    <row r="275" spans="1:5" ht="15.75" customHeight="1">
      <c r="A275" s="3">
        <v>71022</v>
      </c>
      <c r="B275" s="1" t="s">
        <v>284</v>
      </c>
      <c r="C275" s="1" t="str">
        <f ca="1">IFERROR(__xludf.DUMMYFUNCTION("REGEXEXTRACT(B275, ""^([^:]+)"")"),"Vegetables, leguminous")</f>
        <v>Vegetables, leguminous</v>
      </c>
      <c r="D275" s="1" t="s">
        <v>11</v>
      </c>
      <c r="E275" s="1" t="s">
        <v>11</v>
      </c>
    </row>
    <row r="276" spans="1:5" ht="15.75" customHeight="1">
      <c r="A276" s="3">
        <v>71029</v>
      </c>
      <c r="B276" s="1" t="s">
        <v>285</v>
      </c>
      <c r="C276" s="1" t="str">
        <f ca="1">IFERROR(__xludf.DUMMYFUNCTION("REGEXEXTRACT(B276, ""^([^:]+)"")"),"Vegetables, leguminous")</f>
        <v>Vegetables, leguminous</v>
      </c>
      <c r="D276" s="1" t="s">
        <v>11</v>
      </c>
      <c r="E276" s="1" t="s">
        <v>11</v>
      </c>
    </row>
    <row r="277" spans="1:5" ht="15.75" customHeight="1">
      <c r="A277" s="3">
        <v>71030</v>
      </c>
      <c r="B277" s="1" t="s">
        <v>286</v>
      </c>
      <c r="C277" s="1" t="str">
        <f ca="1">IFERROR(__xludf.DUMMYFUNCTION("REGEXEXTRACT(B277, ""^([^:]+)"")"),"Vegetables")</f>
        <v>Vegetables</v>
      </c>
      <c r="D277" s="1" t="s">
        <v>11</v>
      </c>
      <c r="E277" s="1" t="s">
        <v>11</v>
      </c>
    </row>
    <row r="278" spans="1:5" ht="15.75" customHeight="1">
      <c r="A278" s="3">
        <v>71040</v>
      </c>
      <c r="B278" s="1" t="s">
        <v>287</v>
      </c>
      <c r="C278" s="1" t="str">
        <f ca="1">IFERROR(__xludf.DUMMYFUNCTION("REGEXEXTRACT(B278, ""^([^:]+)"")"),"Vegetables")</f>
        <v>Vegetables</v>
      </c>
      <c r="D278" s="1" t="s">
        <v>11</v>
      </c>
      <c r="E278" s="1" t="s">
        <v>11</v>
      </c>
    </row>
    <row r="279" spans="1:5" ht="15.75" customHeight="1">
      <c r="A279" s="3">
        <v>71080</v>
      </c>
      <c r="B279" s="1" t="s">
        <v>288</v>
      </c>
      <c r="C279" s="1" t="str">
        <f ca="1">IFERROR(__xludf.DUMMYFUNCTION("REGEXEXTRACT(B279, ""^([^:]+)"")"),"Vegetables")</f>
        <v>Vegetables</v>
      </c>
      <c r="D279" s="1" t="s">
        <v>11</v>
      </c>
      <c r="E279" s="1" t="s">
        <v>11</v>
      </c>
    </row>
    <row r="280" spans="1:5" ht="15.75" customHeight="1">
      <c r="A280" s="3">
        <v>71090</v>
      </c>
      <c r="B280" s="1" t="s">
        <v>289</v>
      </c>
      <c r="C280" s="1" t="str">
        <f ca="1">IFERROR(__xludf.DUMMYFUNCTION("REGEXEXTRACT(B280, ""^([^:]+)"")"),"Vegetable mixtures")</f>
        <v>Vegetable mixtures</v>
      </c>
      <c r="D280" s="1" t="s">
        <v>11</v>
      </c>
      <c r="E280" s="1" t="s">
        <v>11</v>
      </c>
    </row>
    <row r="281" spans="1:5" ht="15.75" customHeight="1">
      <c r="A281" s="3">
        <v>71120</v>
      </c>
      <c r="B281" s="1" t="s">
        <v>290</v>
      </c>
      <c r="C281" s="1" t="str">
        <f ca="1">IFERROR(__xludf.DUMMYFUNCTION("REGEXEXTRACT(B281, ""^([^:]+)"")"),"Vegetables")</f>
        <v>Vegetables</v>
      </c>
      <c r="D281" s="1" t="s">
        <v>11</v>
      </c>
      <c r="E281" s="1" t="s">
        <v>11</v>
      </c>
    </row>
    <row r="282" spans="1:5" ht="15.75" customHeight="1">
      <c r="A282" s="3">
        <v>71140</v>
      </c>
      <c r="B282" s="1" t="s">
        <v>291</v>
      </c>
      <c r="C282" s="1" t="str">
        <f ca="1">IFERROR(__xludf.DUMMYFUNCTION("REGEXEXTRACT(B282, ""^([^:]+)"")"),"Vegetables")</f>
        <v>Vegetables</v>
      </c>
      <c r="D282" s="1" t="s">
        <v>11</v>
      </c>
      <c r="E282" s="1" t="s">
        <v>11</v>
      </c>
    </row>
    <row r="283" spans="1:5" ht="15.75" customHeight="1">
      <c r="A283" s="3">
        <v>71151</v>
      </c>
      <c r="B283" s="1" t="s">
        <v>292</v>
      </c>
      <c r="C283" s="1" t="str">
        <f ca="1">IFERROR(__xludf.DUMMYFUNCTION("REGEXEXTRACT(B283, ""^([^:]+)"")"),"Vegetables")</f>
        <v>Vegetables</v>
      </c>
      <c r="D283" s="1" t="s">
        <v>11</v>
      </c>
      <c r="E283" s="1" t="s">
        <v>11</v>
      </c>
    </row>
    <row r="284" spans="1:5" ht="15.75" customHeight="1">
      <c r="A284" s="3">
        <v>71159</v>
      </c>
      <c r="B284" s="1" t="s">
        <v>293</v>
      </c>
      <c r="C284" s="1" t="str">
        <f ca="1">IFERROR(__xludf.DUMMYFUNCTION("REGEXEXTRACT(B284, ""^([^:]+)"")"),"Vegetables")</f>
        <v>Vegetables</v>
      </c>
      <c r="D284" s="1" t="s">
        <v>11</v>
      </c>
      <c r="E284" s="1" t="s">
        <v>11</v>
      </c>
    </row>
    <row r="285" spans="1:5" ht="15.75" customHeight="1">
      <c r="A285" s="3">
        <v>71190</v>
      </c>
      <c r="B285" s="1" t="s">
        <v>294</v>
      </c>
      <c r="C285" s="1" t="str">
        <f ca="1">IFERROR(__xludf.DUMMYFUNCTION("REGEXEXTRACT(B285, ""^([^:]+)"")"),"Vegetables and mixed vegetables")</f>
        <v>Vegetables and mixed vegetables</v>
      </c>
      <c r="D285" s="1" t="s">
        <v>11</v>
      </c>
      <c r="E285" s="1" t="s">
        <v>11</v>
      </c>
    </row>
    <row r="286" spans="1:5" ht="15.75" customHeight="1">
      <c r="A286" s="3">
        <v>71220</v>
      </c>
      <c r="B286" s="1" t="s">
        <v>295</v>
      </c>
      <c r="C286" s="1" t="str">
        <f ca="1">IFERROR(__xludf.DUMMYFUNCTION("REGEXEXTRACT(B286, ""^([^:]+)"")"),"Vegetables")</f>
        <v>Vegetables</v>
      </c>
      <c r="D286" s="1" t="s">
        <v>11</v>
      </c>
      <c r="E286" s="1" t="s">
        <v>11</v>
      </c>
    </row>
    <row r="287" spans="1:5" ht="15.75" customHeight="1">
      <c r="A287" s="3">
        <v>71231</v>
      </c>
      <c r="B287" s="1" t="s">
        <v>296</v>
      </c>
      <c r="C287" s="1" t="str">
        <f ca="1">IFERROR(__xludf.DUMMYFUNCTION("REGEXEXTRACT(B287, ""^([^:]+)"")"),"Vegetables")</f>
        <v>Vegetables</v>
      </c>
      <c r="D287" s="1" t="s">
        <v>11</v>
      </c>
      <c r="E287" s="1" t="s">
        <v>11</v>
      </c>
    </row>
    <row r="288" spans="1:5" ht="15.75" customHeight="1">
      <c r="A288" s="3">
        <v>71232</v>
      </c>
      <c r="B288" s="1" t="s">
        <v>297</v>
      </c>
      <c r="C288" s="1" t="str">
        <f ca="1">IFERROR(__xludf.DUMMYFUNCTION("REGEXEXTRACT(B288, ""^([^:]+)"")"),"Vegetables")</f>
        <v>Vegetables</v>
      </c>
      <c r="D288" s="1" t="s">
        <v>11</v>
      </c>
      <c r="E288" s="1" t="s">
        <v>11</v>
      </c>
    </row>
    <row r="289" spans="1:5" ht="15.75" customHeight="1">
      <c r="A289" s="3">
        <v>71233</v>
      </c>
      <c r="B289" s="1" t="s">
        <v>298</v>
      </c>
      <c r="C289" s="1" t="str">
        <f ca="1">IFERROR(__xludf.DUMMYFUNCTION("REGEXEXTRACT(B289, ""^([^:]+)"")"),"Vegetables")</f>
        <v>Vegetables</v>
      </c>
      <c r="D289" s="1" t="s">
        <v>11</v>
      </c>
      <c r="E289" s="1" t="s">
        <v>11</v>
      </c>
    </row>
    <row r="290" spans="1:5" ht="15.75" customHeight="1">
      <c r="A290" s="3">
        <v>71239</v>
      </c>
      <c r="B290" s="1" t="s">
        <v>299</v>
      </c>
      <c r="C290" s="1" t="str">
        <f ca="1">IFERROR(__xludf.DUMMYFUNCTION("REGEXEXTRACT(B290, ""^([^:]+)"")"),"Vegetables")</f>
        <v>Vegetables</v>
      </c>
      <c r="D290" s="1" t="s">
        <v>11</v>
      </c>
      <c r="E290" s="1" t="s">
        <v>11</v>
      </c>
    </row>
    <row r="291" spans="1:5" ht="15.75" customHeight="1">
      <c r="A291" s="3">
        <v>71290</v>
      </c>
      <c r="B291" s="1" t="s">
        <v>300</v>
      </c>
      <c r="C291" s="1" t="str">
        <f ca="1">IFERROR(__xludf.DUMMYFUNCTION("REGEXEXTRACT(B291, ""^([^:]+)"")"),"Vegetables")</f>
        <v>Vegetables</v>
      </c>
      <c r="D291" s="1" t="s">
        <v>11</v>
      </c>
      <c r="E291" s="1" t="s">
        <v>11</v>
      </c>
    </row>
    <row r="292" spans="1:5" ht="15.75" customHeight="1">
      <c r="A292" s="3">
        <v>71310</v>
      </c>
      <c r="B292" s="1" t="s">
        <v>301</v>
      </c>
      <c r="C292" s="1" t="str">
        <f ca="1">IFERROR(__xludf.DUMMYFUNCTION("REGEXEXTRACT(B292, ""^([^:]+)"")"),"Vegetables, leguminous")</f>
        <v>Vegetables, leguminous</v>
      </c>
      <c r="D292" s="1" t="s">
        <v>11</v>
      </c>
      <c r="E292" s="1" t="s">
        <v>11</v>
      </c>
    </row>
    <row r="293" spans="1:5" ht="15.75" customHeight="1">
      <c r="A293" s="3">
        <v>71320</v>
      </c>
      <c r="B293" s="1" t="s">
        <v>302</v>
      </c>
      <c r="C293" s="1" t="str">
        <f ca="1">IFERROR(__xludf.DUMMYFUNCTION("REGEXEXTRACT(B293, ""^([^:]+)"")"),"Vegetables, leguminous")</f>
        <v>Vegetables, leguminous</v>
      </c>
      <c r="D293" s="1" t="s">
        <v>11</v>
      </c>
      <c r="E293" s="1" t="s">
        <v>11</v>
      </c>
    </row>
    <row r="294" spans="1:5" ht="15.75" customHeight="1">
      <c r="A294" s="3">
        <v>71331</v>
      </c>
      <c r="B294" s="1" t="s">
        <v>303</v>
      </c>
      <c r="C294" s="1" t="str">
        <f ca="1">IFERROR(__xludf.DUMMYFUNCTION("REGEXEXTRACT(B294, ""^([^:]+)"")"),"Vegetables, leguminous")</f>
        <v>Vegetables, leguminous</v>
      </c>
      <c r="D294" s="1" t="s">
        <v>11</v>
      </c>
      <c r="E294" s="1" t="s">
        <v>11</v>
      </c>
    </row>
    <row r="295" spans="1:5" ht="15.75" customHeight="1">
      <c r="A295" s="3">
        <v>71332</v>
      </c>
      <c r="B295" s="1" t="s">
        <v>304</v>
      </c>
      <c r="C295" s="1" t="str">
        <f ca="1">IFERROR(__xludf.DUMMYFUNCTION("REGEXEXTRACT(B295, ""^([^:]+)"")"),"Vegetables, leguminous")</f>
        <v>Vegetables, leguminous</v>
      </c>
      <c r="D295" s="1" t="s">
        <v>11</v>
      </c>
      <c r="E295" s="1" t="s">
        <v>11</v>
      </c>
    </row>
    <row r="296" spans="1:5" ht="15.75" customHeight="1">
      <c r="A296" s="3">
        <v>71333</v>
      </c>
      <c r="B296" s="1" t="s">
        <v>305</v>
      </c>
      <c r="C296" s="1" t="str">
        <f ca="1">IFERROR(__xludf.DUMMYFUNCTION("REGEXEXTRACT(B296, ""^([^:]+)"")"),"Vegetables, leguminous")</f>
        <v>Vegetables, leguminous</v>
      </c>
      <c r="D296" s="1" t="s">
        <v>11</v>
      </c>
      <c r="E296" s="1" t="s">
        <v>11</v>
      </c>
    </row>
    <row r="297" spans="1:5" ht="15.75" customHeight="1">
      <c r="A297" s="3">
        <v>71339</v>
      </c>
      <c r="B297" s="1" t="s">
        <v>306</v>
      </c>
      <c r="C297" s="1" t="str">
        <f ca="1">IFERROR(__xludf.DUMMYFUNCTION("REGEXEXTRACT(B297, ""^([^:]+)"")"),"Vegetables, leguminous")</f>
        <v>Vegetables, leguminous</v>
      </c>
      <c r="D297" s="1" t="s">
        <v>11</v>
      </c>
      <c r="E297" s="1" t="s">
        <v>11</v>
      </c>
    </row>
    <row r="298" spans="1:5" ht="15.75" customHeight="1">
      <c r="A298" s="3">
        <v>71340</v>
      </c>
      <c r="B298" s="1" t="s">
        <v>307</v>
      </c>
      <c r="C298" s="1" t="str">
        <f ca="1">IFERROR(__xludf.DUMMYFUNCTION("REGEXEXTRACT(B298, ""^([^:]+)"")"),"Vegetables, leguminous")</f>
        <v>Vegetables, leguminous</v>
      </c>
      <c r="D298" s="1" t="s">
        <v>11</v>
      </c>
      <c r="E298" s="1" t="s">
        <v>11</v>
      </c>
    </row>
    <row r="299" spans="1:5" ht="15.75" customHeight="1">
      <c r="A299" s="3">
        <v>71350</v>
      </c>
      <c r="B299" s="1" t="s">
        <v>308</v>
      </c>
      <c r="C299" s="1" t="str">
        <f ca="1">IFERROR(__xludf.DUMMYFUNCTION("REGEXEXTRACT(B299, ""^([^:]+)"")"),"Vegetables, leguminous")</f>
        <v>Vegetables, leguminous</v>
      </c>
      <c r="D299" s="1" t="s">
        <v>11</v>
      </c>
      <c r="E299" s="1" t="s">
        <v>11</v>
      </c>
    </row>
    <row r="300" spans="1:5" ht="15.75" customHeight="1">
      <c r="A300" s="3">
        <v>71390</v>
      </c>
      <c r="B300" s="1" t="s">
        <v>309</v>
      </c>
      <c r="C300" s="1" t="str">
        <f ca="1">IFERROR(__xludf.DUMMYFUNCTION("REGEXEXTRACT(B300, ""^([^:]+)"")"),"Vegetables, leguminous")</f>
        <v>Vegetables, leguminous</v>
      </c>
      <c r="D300" s="1" t="s">
        <v>11</v>
      </c>
      <c r="E300" s="1" t="s">
        <v>11</v>
      </c>
    </row>
    <row r="301" spans="1:5" ht="15.75" customHeight="1">
      <c r="A301" s="3">
        <v>71410</v>
      </c>
      <c r="B301" s="1" t="s">
        <v>310</v>
      </c>
      <c r="C301" s="1" t="str">
        <f ca="1">IFERROR(__xludf.DUMMYFUNCTION("REGEXEXTRACT(B301, ""^([^:]+)"")"),"Vegetable roots and tubers")</f>
        <v>Vegetable roots and tubers</v>
      </c>
      <c r="D301" s="1" t="s">
        <v>11</v>
      </c>
      <c r="E301" s="1" t="s">
        <v>11</v>
      </c>
    </row>
    <row r="302" spans="1:5" ht="15.75" customHeight="1">
      <c r="A302" s="3">
        <v>71420</v>
      </c>
      <c r="B302" s="1" t="s">
        <v>311</v>
      </c>
      <c r="C302" s="1" t="str">
        <f ca="1">IFERROR(__xludf.DUMMYFUNCTION("REGEXEXTRACT(B302, ""^([^:]+)"")"),"Vegetable roots and tubers")</f>
        <v>Vegetable roots and tubers</v>
      </c>
      <c r="D302" s="1" t="s">
        <v>11</v>
      </c>
      <c r="E302" s="1" t="s">
        <v>11</v>
      </c>
    </row>
    <row r="303" spans="1:5" ht="15.75" customHeight="1">
      <c r="A303" s="3">
        <v>71490</v>
      </c>
      <c r="B303" s="1" t="s">
        <v>312</v>
      </c>
      <c r="C303" s="1" t="str">
        <f ca="1">IFERROR(__xludf.DUMMYFUNCTION("REGEXEXTRACT(B303, ""^([^:]+)"")"),"Vegetable roots and tubers")</f>
        <v>Vegetable roots and tubers</v>
      </c>
      <c r="D303" s="1" t="s">
        <v>11</v>
      </c>
      <c r="E303" s="1" t="s">
        <v>11</v>
      </c>
    </row>
    <row r="304" spans="1:5" ht="15.75" customHeight="1">
      <c r="A304" s="3">
        <v>80111</v>
      </c>
      <c r="B304" s="1" t="s">
        <v>313</v>
      </c>
      <c r="C304" s="1" t="str">
        <f ca="1">IFERROR(__xludf.DUMMYFUNCTION("REGEXEXTRACT(B304, ""^([^:]+)"")"),"Nuts, edible")</f>
        <v>Nuts, edible</v>
      </c>
      <c r="D304" s="1" t="s">
        <v>11</v>
      </c>
      <c r="E304" s="1" t="s">
        <v>11</v>
      </c>
    </row>
    <row r="305" spans="1:5" ht="15.75" customHeight="1">
      <c r="A305" s="3">
        <v>80119</v>
      </c>
      <c r="B305" s="1" t="s">
        <v>314</v>
      </c>
      <c r="C305" s="1" t="str">
        <f ca="1">IFERROR(__xludf.DUMMYFUNCTION("REGEXEXTRACT(B305, ""^([^:]+)"")"),"Nuts, edible")</f>
        <v>Nuts, edible</v>
      </c>
      <c r="D305" s="1" t="s">
        <v>11</v>
      </c>
      <c r="E305" s="1" t="s">
        <v>11</v>
      </c>
    </row>
    <row r="306" spans="1:5" ht="15.75" customHeight="1">
      <c r="A306" s="3">
        <v>80121</v>
      </c>
      <c r="B306" s="1" t="s">
        <v>315</v>
      </c>
      <c r="C306" s="1" t="str">
        <f ca="1">IFERROR(__xludf.DUMMYFUNCTION("REGEXEXTRACT(B306, ""^([^:]+)"")"),"Nuts, edible")</f>
        <v>Nuts, edible</v>
      </c>
      <c r="D306" s="1" t="s">
        <v>11</v>
      </c>
      <c r="E306" s="1" t="s">
        <v>11</v>
      </c>
    </row>
    <row r="307" spans="1:5" ht="15.75" customHeight="1">
      <c r="A307" s="3">
        <v>80122</v>
      </c>
      <c r="B307" s="1" t="s">
        <v>316</v>
      </c>
      <c r="C307" s="1" t="str">
        <f ca="1">IFERROR(__xludf.DUMMYFUNCTION("REGEXEXTRACT(B307, ""^([^:]+)"")"),"Nuts, edible")</f>
        <v>Nuts, edible</v>
      </c>
      <c r="D307" s="1" t="s">
        <v>11</v>
      </c>
      <c r="E307" s="1" t="s">
        <v>11</v>
      </c>
    </row>
    <row r="308" spans="1:5" ht="15.75" customHeight="1">
      <c r="A308" s="3">
        <v>80131</v>
      </c>
      <c r="B308" s="1" t="s">
        <v>317</v>
      </c>
      <c r="C308" s="1" t="str">
        <f ca="1">IFERROR(__xludf.DUMMYFUNCTION("REGEXEXTRACT(B308, ""^([^:]+)"")"),"Nuts, edible")</f>
        <v>Nuts, edible</v>
      </c>
      <c r="D308" s="1" t="s">
        <v>11</v>
      </c>
      <c r="E308" s="1" t="s">
        <v>11</v>
      </c>
    </row>
    <row r="309" spans="1:5" ht="15.75" customHeight="1">
      <c r="A309" s="3">
        <v>80132</v>
      </c>
      <c r="B309" s="1" t="s">
        <v>318</v>
      </c>
      <c r="C309" s="1" t="str">
        <f ca="1">IFERROR(__xludf.DUMMYFUNCTION("REGEXEXTRACT(B309, ""^([^:]+)"")"),"Nuts, edible")</f>
        <v>Nuts, edible</v>
      </c>
      <c r="D309" s="1" t="s">
        <v>11</v>
      </c>
      <c r="E309" s="1" t="s">
        <v>11</v>
      </c>
    </row>
    <row r="310" spans="1:5" ht="15.75" customHeight="1">
      <c r="A310" s="3">
        <v>80211</v>
      </c>
      <c r="B310" s="1" t="s">
        <v>319</v>
      </c>
      <c r="C310" s="1" t="str">
        <f ca="1">IFERROR(__xludf.DUMMYFUNCTION("REGEXEXTRACT(B310, ""^([^:]+)"")"),"Nuts, edible")</f>
        <v>Nuts, edible</v>
      </c>
      <c r="D310" s="1" t="s">
        <v>11</v>
      </c>
      <c r="E310" s="1" t="s">
        <v>11</v>
      </c>
    </row>
    <row r="311" spans="1:5" ht="15.75" customHeight="1">
      <c r="A311" s="3">
        <v>80212</v>
      </c>
      <c r="B311" s="1" t="s">
        <v>320</v>
      </c>
      <c r="C311" s="1" t="str">
        <f ca="1">IFERROR(__xludf.DUMMYFUNCTION("REGEXEXTRACT(B311, ""^([^:]+)"")"),"Nuts, edible")</f>
        <v>Nuts, edible</v>
      </c>
      <c r="D311" s="1" t="s">
        <v>11</v>
      </c>
      <c r="E311" s="1" t="s">
        <v>11</v>
      </c>
    </row>
    <row r="312" spans="1:5" ht="15.75" customHeight="1">
      <c r="A312" s="3">
        <v>80221</v>
      </c>
      <c r="B312" s="1" t="s">
        <v>321</v>
      </c>
      <c r="C312" s="1" t="str">
        <f ca="1">IFERROR(__xludf.DUMMYFUNCTION("REGEXEXTRACT(B312, ""^([^:]+)"")"),"Nuts, edible")</f>
        <v>Nuts, edible</v>
      </c>
      <c r="D312" s="1" t="s">
        <v>11</v>
      </c>
      <c r="E312" s="1" t="s">
        <v>11</v>
      </c>
    </row>
    <row r="313" spans="1:5" ht="15.75" customHeight="1">
      <c r="A313" s="3">
        <v>80222</v>
      </c>
      <c r="B313" s="1" t="s">
        <v>322</v>
      </c>
      <c r="C313" s="1" t="str">
        <f ca="1">IFERROR(__xludf.DUMMYFUNCTION("REGEXEXTRACT(B313, ""^([^:]+)"")"),"Nuts, edible")</f>
        <v>Nuts, edible</v>
      </c>
      <c r="D313" s="1" t="s">
        <v>11</v>
      </c>
      <c r="E313" s="1" t="s">
        <v>11</v>
      </c>
    </row>
    <row r="314" spans="1:5" ht="15.75" customHeight="1">
      <c r="A314" s="3">
        <v>80231</v>
      </c>
      <c r="B314" s="1" t="s">
        <v>323</v>
      </c>
      <c r="C314" s="1" t="str">
        <f ca="1">IFERROR(__xludf.DUMMYFUNCTION("REGEXEXTRACT(B314, ""^([^:]+)"")"),"Nuts, edible")</f>
        <v>Nuts, edible</v>
      </c>
      <c r="D314" s="1" t="s">
        <v>11</v>
      </c>
      <c r="E314" s="1" t="s">
        <v>11</v>
      </c>
    </row>
    <row r="315" spans="1:5" ht="15.75" customHeight="1">
      <c r="A315" s="3">
        <v>80232</v>
      </c>
      <c r="B315" s="1" t="s">
        <v>324</v>
      </c>
      <c r="C315" s="1" t="str">
        <f ca="1">IFERROR(__xludf.DUMMYFUNCTION("REGEXEXTRACT(B315, ""^([^:]+)"")"),"Nuts, edible")</f>
        <v>Nuts, edible</v>
      </c>
      <c r="D315" s="1" t="s">
        <v>11</v>
      </c>
      <c r="E315" s="1" t="s">
        <v>11</v>
      </c>
    </row>
    <row r="316" spans="1:5" ht="15.75" customHeight="1">
      <c r="A316" s="3">
        <v>80240</v>
      </c>
      <c r="B316" s="1" t="s">
        <v>325</v>
      </c>
      <c r="C316" s="1" t="str">
        <f ca="1">IFERROR(__xludf.DUMMYFUNCTION("REGEXEXTRACT(B316, ""^([^:]+)"")"),"Nuts, edible")</f>
        <v>Nuts, edible</v>
      </c>
      <c r="D316" s="1" t="s">
        <v>11</v>
      </c>
      <c r="E316" s="1" t="s">
        <v>11</v>
      </c>
    </row>
    <row r="317" spans="1:5" ht="15.75" customHeight="1">
      <c r="A317" s="3">
        <v>80250</v>
      </c>
      <c r="B317" s="1" t="s">
        <v>326</v>
      </c>
      <c r="C317" s="1" t="str">
        <f ca="1">IFERROR(__xludf.DUMMYFUNCTION("REGEXEXTRACT(B317, ""^([^:]+)"")"),"Nuts, edible")</f>
        <v>Nuts, edible</v>
      </c>
      <c r="D317" s="1" t="s">
        <v>11</v>
      </c>
      <c r="E317" s="1" t="s">
        <v>11</v>
      </c>
    </row>
    <row r="318" spans="1:5" ht="15.75" customHeight="1">
      <c r="A318" s="3">
        <v>80260</v>
      </c>
      <c r="B318" s="1" t="s">
        <v>327</v>
      </c>
      <c r="C318" s="1" t="str">
        <f ca="1">IFERROR(__xludf.DUMMYFUNCTION("REGEXEXTRACT(B318, ""^([^:]+)"")"),"Nuts, edible")</f>
        <v>Nuts, edible</v>
      </c>
      <c r="D318" s="1" t="s">
        <v>11</v>
      </c>
      <c r="E318" s="1" t="s">
        <v>11</v>
      </c>
    </row>
    <row r="319" spans="1:5" ht="15.75" customHeight="1">
      <c r="A319" s="3">
        <v>80290</v>
      </c>
      <c r="B319" s="1" t="s">
        <v>328</v>
      </c>
      <c r="C319" s="1" t="str">
        <f ca="1">IFERROR(__xludf.DUMMYFUNCTION("REGEXEXTRACT(B319, ""^([^:]+)"")"),"Nuts, edible")</f>
        <v>Nuts, edible</v>
      </c>
      <c r="D319" s="1" t="s">
        <v>11</v>
      </c>
      <c r="E319" s="1" t="s">
        <v>11</v>
      </c>
    </row>
    <row r="320" spans="1:5" ht="15.75" customHeight="1">
      <c r="A320" s="3">
        <v>80300</v>
      </c>
      <c r="B320" s="1" t="s">
        <v>329</v>
      </c>
      <c r="C320" s="1" t="str">
        <f ca="1">IFERROR(__xludf.DUMMYFUNCTION("REGEXEXTRACT(B320, ""^([^:]+)"")"),"Fruit, edible")</f>
        <v>Fruit, edible</v>
      </c>
      <c r="D320" s="1" t="s">
        <v>11</v>
      </c>
      <c r="E320" s="1" t="s">
        <v>11</v>
      </c>
    </row>
    <row r="321" spans="1:5" ht="15.75" customHeight="1">
      <c r="A321" s="3">
        <v>80410</v>
      </c>
      <c r="B321" s="1" t="s">
        <v>330</v>
      </c>
      <c r="C321" s="1" t="str">
        <f ca="1">IFERROR(__xludf.DUMMYFUNCTION("REGEXEXTRACT(B321, ""^([^:]+)"")"),"Fruit, edible")</f>
        <v>Fruit, edible</v>
      </c>
      <c r="D321" s="1" t="s">
        <v>11</v>
      </c>
      <c r="E321" s="1" t="s">
        <v>11</v>
      </c>
    </row>
    <row r="322" spans="1:5" ht="15.75" customHeight="1">
      <c r="A322" s="3">
        <v>80420</v>
      </c>
      <c r="B322" s="1" t="s">
        <v>331</v>
      </c>
      <c r="C322" s="1" t="str">
        <f ca="1">IFERROR(__xludf.DUMMYFUNCTION("REGEXEXTRACT(B322, ""^([^:]+)"")"),"Fruit, edible")</f>
        <v>Fruit, edible</v>
      </c>
      <c r="D322" s="1" t="s">
        <v>11</v>
      </c>
      <c r="E322" s="1" t="s">
        <v>11</v>
      </c>
    </row>
    <row r="323" spans="1:5" ht="15.75" customHeight="1">
      <c r="A323" s="3">
        <v>80430</v>
      </c>
      <c r="B323" s="1" t="s">
        <v>332</v>
      </c>
      <c r="C323" s="1" t="str">
        <f ca="1">IFERROR(__xludf.DUMMYFUNCTION("REGEXEXTRACT(B323, ""^([^:]+)"")"),"Fruit, edible")</f>
        <v>Fruit, edible</v>
      </c>
      <c r="D323" s="1" t="s">
        <v>11</v>
      </c>
      <c r="E323" s="1" t="s">
        <v>11</v>
      </c>
    </row>
    <row r="324" spans="1:5" ht="15.75" customHeight="1">
      <c r="A324" s="3">
        <v>80440</v>
      </c>
      <c r="B324" s="1" t="s">
        <v>333</v>
      </c>
      <c r="C324" s="1" t="str">
        <f ca="1">IFERROR(__xludf.DUMMYFUNCTION("REGEXEXTRACT(B324, ""^([^:]+)"")"),"Fruit, edible")</f>
        <v>Fruit, edible</v>
      </c>
      <c r="D324" s="1" t="s">
        <v>11</v>
      </c>
      <c r="E324" s="1" t="s">
        <v>11</v>
      </c>
    </row>
    <row r="325" spans="1:5" ht="15.75" customHeight="1">
      <c r="A325" s="3">
        <v>80450</v>
      </c>
      <c r="B325" s="1" t="s">
        <v>334</v>
      </c>
      <c r="C325" s="1" t="str">
        <f ca="1">IFERROR(__xludf.DUMMYFUNCTION("REGEXEXTRACT(B325, ""^([^:]+)"")"),"Fruit, edible")</f>
        <v>Fruit, edible</v>
      </c>
      <c r="D325" s="1" t="s">
        <v>11</v>
      </c>
      <c r="E325" s="1" t="s">
        <v>11</v>
      </c>
    </row>
    <row r="326" spans="1:5" ht="15.75" customHeight="1">
      <c r="A326" s="3">
        <v>80510</v>
      </c>
      <c r="B326" s="1" t="s">
        <v>335</v>
      </c>
      <c r="C326" s="1" t="str">
        <f ca="1">IFERROR(__xludf.DUMMYFUNCTION("REGEXEXTRACT(B326, ""^([^:]+)"")"),"Fruit, edible")</f>
        <v>Fruit, edible</v>
      </c>
      <c r="D326" s="1" t="s">
        <v>11</v>
      </c>
      <c r="E326" s="1" t="s">
        <v>11</v>
      </c>
    </row>
    <row r="327" spans="1:5" ht="15.75" customHeight="1">
      <c r="A327" s="3">
        <v>80520</v>
      </c>
      <c r="B327" s="1" t="s">
        <v>336</v>
      </c>
      <c r="C327" s="1" t="str">
        <f ca="1">IFERROR(__xludf.DUMMYFUNCTION("REGEXEXTRACT(B327, ""^([^:]+)"")"),"Fruit, edible")</f>
        <v>Fruit, edible</v>
      </c>
      <c r="D327" s="1" t="s">
        <v>11</v>
      </c>
      <c r="E327" s="1" t="s">
        <v>11</v>
      </c>
    </row>
    <row r="328" spans="1:5" ht="15.75" customHeight="1">
      <c r="A328" s="3">
        <v>80540</v>
      </c>
      <c r="B328" s="1" t="s">
        <v>337</v>
      </c>
      <c r="C328" s="1" t="str">
        <f ca="1">IFERROR(__xludf.DUMMYFUNCTION("REGEXEXTRACT(B328, ""^([^:]+)"")"),"Fruit, edible")</f>
        <v>Fruit, edible</v>
      </c>
      <c r="D328" s="1" t="s">
        <v>11</v>
      </c>
      <c r="E328" s="1" t="s">
        <v>11</v>
      </c>
    </row>
    <row r="329" spans="1:5" ht="15.75" customHeight="1">
      <c r="A329" s="3">
        <v>80550</v>
      </c>
      <c r="B329" s="1" t="s">
        <v>338</v>
      </c>
      <c r="C329" s="1" t="str">
        <f ca="1">IFERROR(__xludf.DUMMYFUNCTION("REGEXEXTRACT(B329, ""^([^:]+)"")"),"Fruit, edible")</f>
        <v>Fruit, edible</v>
      </c>
      <c r="D329" s="1" t="s">
        <v>11</v>
      </c>
      <c r="E329" s="1" t="s">
        <v>11</v>
      </c>
    </row>
    <row r="330" spans="1:5" ht="15.75" customHeight="1">
      <c r="A330" s="3">
        <v>80590</v>
      </c>
      <c r="B330" s="1" t="s">
        <v>339</v>
      </c>
      <c r="C330" s="1" t="str">
        <f ca="1">IFERROR(__xludf.DUMMYFUNCTION("REGEXEXTRACT(B330, ""^([^:]+)"")"),"Fruit, edible")</f>
        <v>Fruit, edible</v>
      </c>
      <c r="D330" s="1" t="s">
        <v>11</v>
      </c>
      <c r="E330" s="1" t="s">
        <v>11</v>
      </c>
    </row>
    <row r="331" spans="1:5" ht="15.75" customHeight="1">
      <c r="A331" s="3">
        <v>80610</v>
      </c>
      <c r="B331" s="1" t="s">
        <v>340</v>
      </c>
      <c r="C331" s="1" t="str">
        <f ca="1">IFERROR(__xludf.DUMMYFUNCTION("REGEXEXTRACT(B331, ""^([^:]+)"")"),"Fruit, edible")</f>
        <v>Fruit, edible</v>
      </c>
      <c r="D331" s="1" t="s">
        <v>11</v>
      </c>
      <c r="E331" s="1" t="s">
        <v>11</v>
      </c>
    </row>
    <row r="332" spans="1:5" ht="15.75" customHeight="1">
      <c r="A332" s="3">
        <v>80620</v>
      </c>
      <c r="B332" s="1" t="s">
        <v>341</v>
      </c>
      <c r="C332" s="1" t="str">
        <f ca="1">IFERROR(__xludf.DUMMYFUNCTION("REGEXEXTRACT(B332, ""^([^:]+)"")"),"Fruit, edible")</f>
        <v>Fruit, edible</v>
      </c>
      <c r="D332" s="1" t="s">
        <v>11</v>
      </c>
      <c r="E332" s="1" t="s">
        <v>11</v>
      </c>
    </row>
    <row r="333" spans="1:5" ht="15.75" customHeight="1">
      <c r="A333" s="3">
        <v>80711</v>
      </c>
      <c r="B333" s="1" t="s">
        <v>342</v>
      </c>
      <c r="C333" s="1" t="str">
        <f ca="1">IFERROR(__xludf.DUMMYFUNCTION("REGEXEXTRACT(B333, ""^([^:]+)"")"),"Fruit, edible")</f>
        <v>Fruit, edible</v>
      </c>
      <c r="D333" s="1" t="s">
        <v>11</v>
      </c>
      <c r="E333" s="1" t="s">
        <v>11</v>
      </c>
    </row>
    <row r="334" spans="1:5" ht="15.75" customHeight="1">
      <c r="A334" s="3">
        <v>80719</v>
      </c>
      <c r="B334" s="1" t="s">
        <v>343</v>
      </c>
      <c r="C334" s="1" t="str">
        <f ca="1">IFERROR(__xludf.DUMMYFUNCTION("REGEXEXTRACT(B334, ""^([^:]+)"")"),"Fruit, edible")</f>
        <v>Fruit, edible</v>
      </c>
      <c r="D334" s="1" t="s">
        <v>11</v>
      </c>
      <c r="E334" s="1" t="s">
        <v>11</v>
      </c>
    </row>
    <row r="335" spans="1:5" ht="15.75" customHeight="1">
      <c r="A335" s="3">
        <v>80720</v>
      </c>
      <c r="B335" s="1" t="s">
        <v>344</v>
      </c>
      <c r="C335" s="1" t="str">
        <f ca="1">IFERROR(__xludf.DUMMYFUNCTION("REGEXEXTRACT(B335, ""^([^:]+)"")"),"Fruit, edible")</f>
        <v>Fruit, edible</v>
      </c>
      <c r="D335" s="1" t="s">
        <v>11</v>
      </c>
      <c r="E335" s="1" t="s">
        <v>11</v>
      </c>
    </row>
    <row r="336" spans="1:5" ht="15.75" customHeight="1">
      <c r="A336" s="3">
        <v>80810</v>
      </c>
      <c r="B336" s="1" t="s">
        <v>345</v>
      </c>
      <c r="C336" s="1" t="str">
        <f ca="1">IFERROR(__xludf.DUMMYFUNCTION("REGEXEXTRACT(B336, ""^([^:]+)"")"),"Fruit, edible")</f>
        <v>Fruit, edible</v>
      </c>
      <c r="D336" s="1" t="s">
        <v>11</v>
      </c>
      <c r="E336" s="1" t="s">
        <v>11</v>
      </c>
    </row>
    <row r="337" spans="1:5" ht="15.75" customHeight="1">
      <c r="A337" s="3">
        <v>80820</v>
      </c>
      <c r="B337" s="1" t="s">
        <v>346</v>
      </c>
      <c r="C337" s="1" t="str">
        <f ca="1">IFERROR(__xludf.DUMMYFUNCTION("REGEXEXTRACT(B337, ""^([^:]+)"")"),"Fruit, edible")</f>
        <v>Fruit, edible</v>
      </c>
      <c r="D337" s="1" t="s">
        <v>11</v>
      </c>
      <c r="E337" s="1" t="s">
        <v>11</v>
      </c>
    </row>
    <row r="338" spans="1:5" ht="15.75" customHeight="1">
      <c r="A338" s="3">
        <v>80910</v>
      </c>
      <c r="B338" s="1" t="s">
        <v>347</v>
      </c>
      <c r="C338" s="1" t="str">
        <f ca="1">IFERROR(__xludf.DUMMYFUNCTION("REGEXEXTRACT(B338, ""^([^:]+)"")"),"Fruit, edible")</f>
        <v>Fruit, edible</v>
      </c>
      <c r="D338" s="1" t="s">
        <v>11</v>
      </c>
      <c r="E338" s="1" t="s">
        <v>11</v>
      </c>
    </row>
    <row r="339" spans="1:5" ht="15.75" customHeight="1">
      <c r="A339" s="3">
        <v>80920</v>
      </c>
      <c r="B339" s="1" t="s">
        <v>348</v>
      </c>
      <c r="C339" s="1" t="str">
        <f ca="1">IFERROR(__xludf.DUMMYFUNCTION("REGEXEXTRACT(B339, ""^([^:]+)"")"),"Fruit, edible")</f>
        <v>Fruit, edible</v>
      </c>
      <c r="D339" s="1" t="s">
        <v>11</v>
      </c>
      <c r="E339" s="1" t="s">
        <v>11</v>
      </c>
    </row>
    <row r="340" spans="1:5" ht="15.75" customHeight="1">
      <c r="A340" s="3">
        <v>80930</v>
      </c>
      <c r="B340" s="1" t="s">
        <v>349</v>
      </c>
      <c r="C340" s="1" t="str">
        <f ca="1">IFERROR(__xludf.DUMMYFUNCTION("REGEXEXTRACT(B340, ""^([^:]+)"")"),"Fruit, edible")</f>
        <v>Fruit, edible</v>
      </c>
      <c r="D340" s="1" t="s">
        <v>11</v>
      </c>
      <c r="E340" s="1" t="s">
        <v>11</v>
      </c>
    </row>
    <row r="341" spans="1:5" ht="15.75" customHeight="1">
      <c r="A341" s="3">
        <v>80940</v>
      </c>
      <c r="B341" s="1" t="s">
        <v>350</v>
      </c>
      <c r="C341" s="1" t="str">
        <f ca="1">IFERROR(__xludf.DUMMYFUNCTION("REGEXEXTRACT(B341, ""^([^:]+)"")"),"Fruit, edible")</f>
        <v>Fruit, edible</v>
      </c>
      <c r="D341" s="1" t="s">
        <v>11</v>
      </c>
      <c r="E341" s="1" t="s">
        <v>11</v>
      </c>
    </row>
    <row r="342" spans="1:5" ht="15.75" customHeight="1">
      <c r="A342" s="3">
        <v>81010</v>
      </c>
      <c r="B342" s="1" t="s">
        <v>351</v>
      </c>
      <c r="C342" s="1" t="str">
        <f ca="1">IFERROR(__xludf.DUMMYFUNCTION("REGEXEXTRACT(B342, ""^([^:]+)"")"),"Fruit, edible")</f>
        <v>Fruit, edible</v>
      </c>
      <c r="D342" s="1" t="s">
        <v>11</v>
      </c>
      <c r="E342" s="1" t="s">
        <v>11</v>
      </c>
    </row>
    <row r="343" spans="1:5" ht="15.75" customHeight="1">
      <c r="A343" s="3">
        <v>81020</v>
      </c>
      <c r="B343" s="1" t="s">
        <v>352</v>
      </c>
      <c r="C343" s="1" t="str">
        <f ca="1">IFERROR(__xludf.DUMMYFUNCTION("REGEXEXTRACT(B343, ""^([^:]+)"")"),"Fruit, edible")</f>
        <v>Fruit, edible</v>
      </c>
      <c r="D343" s="1" t="s">
        <v>11</v>
      </c>
      <c r="E343" s="1" t="s">
        <v>11</v>
      </c>
    </row>
    <row r="344" spans="1:5" ht="15.75" customHeight="1">
      <c r="A344" s="3">
        <v>81040</v>
      </c>
      <c r="B344" s="1" t="s">
        <v>353</v>
      </c>
      <c r="C344" s="1" t="str">
        <f ca="1">IFERROR(__xludf.DUMMYFUNCTION("REGEXEXTRACT(B344, ""^([^:]+)"")"),"Fruit, edible")</f>
        <v>Fruit, edible</v>
      </c>
      <c r="D344" s="1" t="s">
        <v>11</v>
      </c>
      <c r="E344" s="1" t="s">
        <v>11</v>
      </c>
    </row>
    <row r="345" spans="1:5" ht="15.75" customHeight="1">
      <c r="A345" s="3">
        <v>81050</v>
      </c>
      <c r="B345" s="1" t="s">
        <v>354</v>
      </c>
      <c r="C345" s="1" t="str">
        <f ca="1">IFERROR(__xludf.DUMMYFUNCTION("REGEXEXTRACT(B345, ""^([^:]+)"")"),"Fruit, edible")</f>
        <v>Fruit, edible</v>
      </c>
      <c r="D345" s="1" t="s">
        <v>11</v>
      </c>
      <c r="E345" s="1" t="s">
        <v>11</v>
      </c>
    </row>
    <row r="346" spans="1:5" ht="15.75" customHeight="1">
      <c r="A346" s="3">
        <v>81060</v>
      </c>
      <c r="B346" s="1" t="s">
        <v>355</v>
      </c>
      <c r="C346" s="1" t="str">
        <f ca="1">IFERROR(__xludf.DUMMYFUNCTION("REGEXEXTRACT(B346, ""^([^:]+)"")"),"Fruit, edible")</f>
        <v>Fruit, edible</v>
      </c>
      <c r="D346" s="1" t="s">
        <v>11</v>
      </c>
      <c r="E346" s="1" t="s">
        <v>11</v>
      </c>
    </row>
    <row r="347" spans="1:5" ht="15.75" customHeight="1">
      <c r="A347" s="3">
        <v>81090</v>
      </c>
      <c r="B347" s="1" t="s">
        <v>356</v>
      </c>
      <c r="C347" s="1" t="str">
        <f ca="1">IFERROR(__xludf.DUMMYFUNCTION("REGEXEXTRACT(B347, ""^([^:]+)"")"),"Fruit, edible")</f>
        <v>Fruit, edible</v>
      </c>
      <c r="D347" s="1" t="s">
        <v>11</v>
      </c>
      <c r="E347" s="1" t="s">
        <v>11</v>
      </c>
    </row>
    <row r="348" spans="1:5" ht="15.75" customHeight="1">
      <c r="A348" s="3">
        <v>81110</v>
      </c>
      <c r="B348" s="1" t="s">
        <v>357</v>
      </c>
      <c r="C348" s="1" t="str">
        <f ca="1">IFERROR(__xludf.DUMMYFUNCTION("REGEXEXTRACT(B348, ""^([^:]+)"")"),"Fruit, edible")</f>
        <v>Fruit, edible</v>
      </c>
      <c r="D348" s="1" t="s">
        <v>11</v>
      </c>
      <c r="E348" s="1" t="s">
        <v>11</v>
      </c>
    </row>
    <row r="349" spans="1:5" ht="15.75" customHeight="1">
      <c r="A349" s="3">
        <v>81120</v>
      </c>
      <c r="B349" s="1" t="s">
        <v>358</v>
      </c>
      <c r="C349" s="1" t="str">
        <f ca="1">IFERROR(__xludf.DUMMYFUNCTION("REGEXEXTRACT(B349, ""^([^:]+)"")"),"Fruit, edible")</f>
        <v>Fruit, edible</v>
      </c>
      <c r="D349" s="1" t="s">
        <v>11</v>
      </c>
      <c r="E349" s="1" t="s">
        <v>11</v>
      </c>
    </row>
    <row r="350" spans="1:5" ht="15.75" customHeight="1">
      <c r="A350" s="3">
        <v>81190</v>
      </c>
      <c r="B350" s="1" t="s">
        <v>359</v>
      </c>
      <c r="C350" s="1" t="str">
        <f ca="1">IFERROR(__xludf.DUMMYFUNCTION("REGEXEXTRACT(B350, ""^([^:]+)"")"),"Fruit, edible")</f>
        <v>Fruit, edible</v>
      </c>
      <c r="D350" s="1" t="s">
        <v>11</v>
      </c>
      <c r="E350" s="1" t="s">
        <v>11</v>
      </c>
    </row>
    <row r="351" spans="1:5" ht="15.75" customHeight="1">
      <c r="A351" s="3">
        <v>81210</v>
      </c>
      <c r="B351" s="1" t="s">
        <v>360</v>
      </c>
      <c r="C351" s="1" t="str">
        <f ca="1">IFERROR(__xludf.DUMMYFUNCTION("REGEXEXTRACT(B351, ""^([^:]+)"")"),"Fruit, edible")</f>
        <v>Fruit, edible</v>
      </c>
      <c r="D351" s="1" t="s">
        <v>11</v>
      </c>
      <c r="E351" s="1" t="s">
        <v>11</v>
      </c>
    </row>
    <row r="352" spans="1:5" ht="15.75" customHeight="1">
      <c r="A352" s="3">
        <v>81290</v>
      </c>
      <c r="B352" s="1" t="s">
        <v>361</v>
      </c>
      <c r="C352" s="1" t="str">
        <f ca="1">IFERROR(__xludf.DUMMYFUNCTION("REGEXEXTRACT(B352, ""^([^:]+)"")"),"Fruit, edible")</f>
        <v>Fruit, edible</v>
      </c>
      <c r="D352" s="1" t="s">
        <v>11</v>
      </c>
      <c r="E352" s="1" t="s">
        <v>11</v>
      </c>
    </row>
    <row r="353" spans="1:5" ht="15.75" customHeight="1">
      <c r="A353" s="3">
        <v>81310</v>
      </c>
      <c r="B353" s="1" t="s">
        <v>362</v>
      </c>
      <c r="C353" s="1" t="str">
        <f ca="1">IFERROR(__xludf.DUMMYFUNCTION("REGEXEXTRACT(B353, ""^([^:]+)"")"),"Fruit, edible")</f>
        <v>Fruit, edible</v>
      </c>
      <c r="D353" s="1" t="s">
        <v>11</v>
      </c>
      <c r="E353" s="1" t="s">
        <v>11</v>
      </c>
    </row>
    <row r="354" spans="1:5" ht="15.75" customHeight="1">
      <c r="A354" s="3">
        <v>81320</v>
      </c>
      <c r="B354" s="1" t="s">
        <v>363</v>
      </c>
      <c r="C354" s="1" t="str">
        <f ca="1">IFERROR(__xludf.DUMMYFUNCTION("REGEXEXTRACT(B354, ""^([^:]+)"")"),"Fruit, edible")</f>
        <v>Fruit, edible</v>
      </c>
      <c r="D354" s="1" t="s">
        <v>11</v>
      </c>
      <c r="E354" s="1" t="s">
        <v>11</v>
      </c>
    </row>
    <row r="355" spans="1:5" ht="15.75" customHeight="1">
      <c r="A355" s="3">
        <v>81330</v>
      </c>
      <c r="B355" s="1" t="s">
        <v>364</v>
      </c>
      <c r="C355" s="1" t="str">
        <f ca="1">IFERROR(__xludf.DUMMYFUNCTION("REGEXEXTRACT(B355, ""^([^:]+)"")"),"Fruit, edible")</f>
        <v>Fruit, edible</v>
      </c>
      <c r="D355" s="1" t="s">
        <v>11</v>
      </c>
      <c r="E355" s="1" t="s">
        <v>11</v>
      </c>
    </row>
    <row r="356" spans="1:5" ht="15.75" customHeight="1">
      <c r="A356" s="3">
        <v>81340</v>
      </c>
      <c r="B356" s="1" t="s">
        <v>365</v>
      </c>
      <c r="C356" s="1" t="str">
        <f ca="1">IFERROR(__xludf.DUMMYFUNCTION("REGEXEXTRACT(B356, ""^([^:]+)"")"),"Fruit, edible")</f>
        <v>Fruit, edible</v>
      </c>
      <c r="D356" s="1" t="s">
        <v>11</v>
      </c>
      <c r="E356" s="1" t="s">
        <v>11</v>
      </c>
    </row>
    <row r="357" spans="1:5" ht="15.75" customHeight="1">
      <c r="A357" s="3">
        <v>81350</v>
      </c>
      <c r="B357" s="1" t="s">
        <v>366</v>
      </c>
      <c r="C357" s="1" t="str">
        <f ca="1">IFERROR(__xludf.DUMMYFUNCTION("REGEXEXTRACT(B357, ""^([^:]+)"")"),"Nuts, edible")</f>
        <v>Nuts, edible</v>
      </c>
      <c r="D357" s="1" t="s">
        <v>11</v>
      </c>
      <c r="E357" s="1" t="s">
        <v>11</v>
      </c>
    </row>
    <row r="358" spans="1:5" ht="15.75" customHeight="1">
      <c r="A358" s="3">
        <v>81400</v>
      </c>
      <c r="B358" s="1" t="s">
        <v>367</v>
      </c>
      <c r="C358" s="1" t="str">
        <f ca="1">IFERROR(__xludf.DUMMYFUNCTION("REGEXEXTRACT(B358, ""^([^:]+)"")"),"Peel")</f>
        <v>Peel</v>
      </c>
      <c r="D358" s="1" t="s">
        <v>11</v>
      </c>
      <c r="E358" s="1" t="s">
        <v>11</v>
      </c>
    </row>
    <row r="359" spans="1:5" ht="15.75" customHeight="1">
      <c r="A359" s="3">
        <v>90111</v>
      </c>
      <c r="B359" s="1" t="s">
        <v>368</v>
      </c>
      <c r="C359" s="1" t="str">
        <f ca="1">IFERROR(__xludf.DUMMYFUNCTION("REGEXEXTRACT(B359, ""^([^:]+)"")"),"Coffee")</f>
        <v>Coffee</v>
      </c>
      <c r="D359" s="1" t="s">
        <v>11</v>
      </c>
      <c r="E359" s="1" t="s">
        <v>11</v>
      </c>
    </row>
    <row r="360" spans="1:5" ht="15.75" customHeight="1">
      <c r="A360" s="3">
        <v>90112</v>
      </c>
      <c r="B360" s="1" t="s">
        <v>369</v>
      </c>
      <c r="C360" s="1" t="str">
        <f ca="1">IFERROR(__xludf.DUMMYFUNCTION("REGEXEXTRACT(B360, ""^([^:]+)"")"),"Coffee")</f>
        <v>Coffee</v>
      </c>
      <c r="D360" s="1" t="s">
        <v>11</v>
      </c>
      <c r="E360" s="1" t="s">
        <v>11</v>
      </c>
    </row>
    <row r="361" spans="1:5" ht="15.75" customHeight="1">
      <c r="A361" s="3">
        <v>90121</v>
      </c>
      <c r="B361" s="1" t="s">
        <v>370</v>
      </c>
      <c r="C361" s="1" t="str">
        <f ca="1">IFERROR(__xludf.DUMMYFUNCTION("REGEXEXTRACT(B361, ""^([^:]+)"")"),"Coffee")</f>
        <v>Coffee</v>
      </c>
      <c r="D361" s="1" t="s">
        <v>11</v>
      </c>
      <c r="E361" s="1" t="s">
        <v>11</v>
      </c>
    </row>
    <row r="362" spans="1:5" ht="15.75" customHeight="1">
      <c r="A362" s="3">
        <v>90122</v>
      </c>
      <c r="B362" s="1" t="s">
        <v>371</v>
      </c>
      <c r="C362" s="1" t="str">
        <f ca="1">IFERROR(__xludf.DUMMYFUNCTION("REGEXEXTRACT(B362, ""^([^:]+)"")"),"Coffee")</f>
        <v>Coffee</v>
      </c>
      <c r="D362" s="1" t="s">
        <v>11</v>
      </c>
      <c r="E362" s="1" t="s">
        <v>11</v>
      </c>
    </row>
    <row r="363" spans="1:5" ht="15.75" customHeight="1">
      <c r="A363" s="3">
        <v>90190</v>
      </c>
      <c r="B363" s="1" t="s">
        <v>372</v>
      </c>
      <c r="C363" s="1" t="str">
        <f ca="1">IFERROR(__xludf.DUMMYFUNCTION("REGEXEXTRACT(B363, ""^([^:]+)"")"),"Coffee")</f>
        <v>Coffee</v>
      </c>
      <c r="D363" s="1" t="s">
        <v>11</v>
      </c>
      <c r="E363" s="1" t="s">
        <v>11</v>
      </c>
    </row>
    <row r="364" spans="1:5" ht="15.75" customHeight="1">
      <c r="A364" s="3">
        <v>90210</v>
      </c>
      <c r="B364" s="1" t="s">
        <v>373</v>
      </c>
      <c r="C364" s="1" t="str">
        <f ca="1">IFERROR(__xludf.DUMMYFUNCTION("REGEXEXTRACT(B364, ""^([^:]+)"")"),"Tea, green")</f>
        <v>Tea, green</v>
      </c>
      <c r="D364" s="1" t="s">
        <v>11</v>
      </c>
      <c r="E364" s="1" t="s">
        <v>11</v>
      </c>
    </row>
    <row r="365" spans="1:5" ht="15.75" customHeight="1">
      <c r="A365" s="3">
        <v>90220</v>
      </c>
      <c r="B365" s="1" t="s">
        <v>374</v>
      </c>
      <c r="C365" s="1" t="str">
        <f ca="1">IFERROR(__xludf.DUMMYFUNCTION("REGEXEXTRACT(B365, ""^([^:]+)"")"),"Tea, green")</f>
        <v>Tea, green</v>
      </c>
      <c r="D365" s="1" t="s">
        <v>11</v>
      </c>
      <c r="E365" s="1" t="s">
        <v>11</v>
      </c>
    </row>
    <row r="366" spans="1:5" ht="15.75" customHeight="1">
      <c r="A366" s="3">
        <v>90230</v>
      </c>
      <c r="B366" s="1" t="s">
        <v>375</v>
      </c>
      <c r="C366" s="1" t="str">
        <f ca="1">IFERROR(__xludf.DUMMYFUNCTION("REGEXEXTRACT(B366, ""^([^:]+)"")"),"Tea, black")</f>
        <v>Tea, black</v>
      </c>
      <c r="D366" s="1" t="s">
        <v>11</v>
      </c>
      <c r="E366" s="1" t="s">
        <v>11</v>
      </c>
    </row>
    <row r="367" spans="1:5" ht="15.75" customHeight="1">
      <c r="A367" s="3">
        <v>90240</v>
      </c>
      <c r="B367" s="1" t="s">
        <v>376</v>
      </c>
      <c r="C367" s="1" t="str">
        <f ca="1">IFERROR(__xludf.DUMMYFUNCTION("REGEXEXTRACT(B367, ""^([^:]+)"")"),"Tea, black")</f>
        <v>Tea, black</v>
      </c>
      <c r="D367" s="1" t="s">
        <v>11</v>
      </c>
      <c r="E367" s="1" t="s">
        <v>11</v>
      </c>
    </row>
    <row r="368" spans="1:5" ht="15.75" customHeight="1">
      <c r="A368" s="3">
        <v>90300</v>
      </c>
      <c r="B368" s="1" t="s">
        <v>377</v>
      </c>
      <c r="C368" s="1" t="str">
        <f ca="1">IFERROR(__xludf.DUMMYFUNCTION("REGEXEXTRACT(B368, ""^([^:]+)"")"),"Mate")</f>
        <v>Mate</v>
      </c>
      <c r="D368" s="1" t="s">
        <v>11</v>
      </c>
      <c r="E368" s="1" t="s">
        <v>11</v>
      </c>
    </row>
    <row r="369" spans="1:5" ht="15.75" customHeight="1">
      <c r="A369" s="3">
        <v>90411</v>
      </c>
      <c r="B369" s="1" t="s">
        <v>378</v>
      </c>
      <c r="C369" s="1" t="str">
        <f ca="1">IFERROR(__xludf.DUMMYFUNCTION("REGEXEXTRACT(B369, ""^([^:]+)"")"),"Spices")</f>
        <v>Spices</v>
      </c>
      <c r="D369" s="1" t="s">
        <v>11</v>
      </c>
      <c r="E369" s="1" t="s">
        <v>11</v>
      </c>
    </row>
    <row r="370" spans="1:5" ht="15.75" customHeight="1">
      <c r="A370" s="3">
        <v>90412</v>
      </c>
      <c r="B370" s="1" t="s">
        <v>379</v>
      </c>
      <c r="C370" s="1" t="str">
        <f ca="1">IFERROR(__xludf.DUMMYFUNCTION("REGEXEXTRACT(B370, ""^([^:]+)"")"),"Spices")</f>
        <v>Spices</v>
      </c>
      <c r="D370" s="1" t="s">
        <v>11</v>
      </c>
      <c r="E370" s="1" t="s">
        <v>11</v>
      </c>
    </row>
    <row r="371" spans="1:5" ht="15.75" customHeight="1">
      <c r="A371" s="3">
        <v>90420</v>
      </c>
      <c r="B371" s="1" t="s">
        <v>380</v>
      </c>
      <c r="C371" s="1" t="str">
        <f ca="1">IFERROR(__xludf.DUMMYFUNCTION("REGEXEXTRACT(B371, ""^([^:]+)"")"),"Spices")</f>
        <v>Spices</v>
      </c>
      <c r="D371" s="1" t="s">
        <v>11</v>
      </c>
      <c r="E371" s="1" t="s">
        <v>11</v>
      </c>
    </row>
    <row r="372" spans="1:5" ht="15.75" customHeight="1">
      <c r="A372" s="3">
        <v>90500</v>
      </c>
      <c r="B372" s="1" t="s">
        <v>381</v>
      </c>
      <c r="C372" s="1" t="str">
        <f ca="1">IFERROR(__xludf.DUMMYFUNCTION("REGEXEXTRACT(B372, ""^([^:]+)"")"),"Spices")</f>
        <v>Spices</v>
      </c>
      <c r="D372" s="1" t="s">
        <v>11</v>
      </c>
      <c r="E372" s="1" t="s">
        <v>11</v>
      </c>
    </row>
    <row r="373" spans="1:5" ht="15.75" customHeight="1">
      <c r="A373" s="3">
        <v>90611</v>
      </c>
      <c r="B373" s="1" t="s">
        <v>382</v>
      </c>
      <c r="C373" s="1" t="str">
        <f ca="1">IFERROR(__xludf.DUMMYFUNCTION("REGEXEXTRACT(B373, ""^([^:]+)"")"),"Spices")</f>
        <v>Spices</v>
      </c>
      <c r="D373" s="1" t="s">
        <v>11</v>
      </c>
      <c r="E373" s="1" t="s">
        <v>11</v>
      </c>
    </row>
    <row r="374" spans="1:5" ht="15.75" customHeight="1">
      <c r="A374" s="3">
        <v>90619</v>
      </c>
      <c r="B374" s="1" t="s">
        <v>383</v>
      </c>
      <c r="C374" s="1" t="str">
        <f ca="1">IFERROR(__xludf.DUMMYFUNCTION("REGEXEXTRACT(B374, ""^([^:]+)"")"),"Spices")</f>
        <v>Spices</v>
      </c>
      <c r="D374" s="1" t="s">
        <v>11</v>
      </c>
      <c r="E374" s="1" t="s">
        <v>11</v>
      </c>
    </row>
    <row r="375" spans="1:5" ht="15.75" customHeight="1">
      <c r="A375" s="3">
        <v>90620</v>
      </c>
      <c r="B375" s="1" t="s">
        <v>384</v>
      </c>
      <c r="C375" s="1" t="str">
        <f ca="1">IFERROR(__xludf.DUMMYFUNCTION("REGEXEXTRACT(B375, ""^([^:]+)"")"),"Spices")</f>
        <v>Spices</v>
      </c>
      <c r="D375" s="1" t="s">
        <v>11</v>
      </c>
      <c r="E375" s="1" t="s">
        <v>11</v>
      </c>
    </row>
    <row r="376" spans="1:5" ht="15.75" customHeight="1">
      <c r="A376" s="3">
        <v>90700</v>
      </c>
      <c r="B376" s="1" t="s">
        <v>385</v>
      </c>
      <c r="C376" s="1" t="str">
        <f ca="1">IFERROR(__xludf.DUMMYFUNCTION("REGEXEXTRACT(B376, ""^([^:]+)"")"),"Spices")</f>
        <v>Spices</v>
      </c>
      <c r="D376" s="1" t="s">
        <v>11</v>
      </c>
      <c r="E376" s="1" t="s">
        <v>11</v>
      </c>
    </row>
    <row r="377" spans="1:5" ht="15.75" customHeight="1">
      <c r="A377" s="3">
        <v>90810</v>
      </c>
      <c r="B377" s="1" t="s">
        <v>386</v>
      </c>
      <c r="C377" s="1" t="str">
        <f ca="1">IFERROR(__xludf.DUMMYFUNCTION("REGEXEXTRACT(B377, ""^([^:]+)"")"),"Spices")</f>
        <v>Spices</v>
      </c>
      <c r="D377" s="1" t="s">
        <v>11</v>
      </c>
      <c r="E377" s="1" t="s">
        <v>11</v>
      </c>
    </row>
    <row r="378" spans="1:5" ht="15.75" customHeight="1">
      <c r="A378" s="3">
        <v>90820</v>
      </c>
      <c r="B378" s="1" t="s">
        <v>387</v>
      </c>
      <c r="C378" s="1" t="str">
        <f ca="1">IFERROR(__xludf.DUMMYFUNCTION("REGEXEXTRACT(B378, ""^([^:]+)"")"),"Spices")</f>
        <v>Spices</v>
      </c>
      <c r="D378" s="1" t="s">
        <v>11</v>
      </c>
      <c r="E378" s="1" t="s">
        <v>11</v>
      </c>
    </row>
    <row r="379" spans="1:5" ht="15.75" customHeight="1">
      <c r="A379" s="3">
        <v>90830</v>
      </c>
      <c r="B379" s="1" t="s">
        <v>388</v>
      </c>
      <c r="C379" s="1" t="str">
        <f ca="1">IFERROR(__xludf.DUMMYFUNCTION("REGEXEXTRACT(B379, ""^([^:]+)"")"),"Spices")</f>
        <v>Spices</v>
      </c>
      <c r="D379" s="1" t="s">
        <v>11</v>
      </c>
      <c r="E379" s="1" t="s">
        <v>11</v>
      </c>
    </row>
    <row r="380" spans="1:5" ht="15.75" customHeight="1">
      <c r="A380" s="3">
        <v>90910</v>
      </c>
      <c r="B380" s="1" t="s">
        <v>389</v>
      </c>
      <c r="C380" s="1" t="str">
        <f ca="1">IFERROR(__xludf.DUMMYFUNCTION("REGEXEXTRACT(B380, ""^([^:]+)"")"),"Spices")</f>
        <v>Spices</v>
      </c>
      <c r="D380" s="1" t="s">
        <v>11</v>
      </c>
      <c r="E380" s="1" t="s">
        <v>11</v>
      </c>
    </row>
    <row r="381" spans="1:5" ht="15.75" customHeight="1">
      <c r="A381" s="3">
        <v>90920</v>
      </c>
      <c r="B381" s="1" t="s">
        <v>390</v>
      </c>
      <c r="C381" s="1" t="str">
        <f ca="1">IFERROR(__xludf.DUMMYFUNCTION("REGEXEXTRACT(B381, ""^([^:]+)"")"),"Spices")</f>
        <v>Spices</v>
      </c>
      <c r="D381" s="1" t="s">
        <v>11</v>
      </c>
      <c r="E381" s="1" t="s">
        <v>11</v>
      </c>
    </row>
    <row r="382" spans="1:5" ht="15.75" customHeight="1">
      <c r="A382" s="3">
        <v>90930</v>
      </c>
      <c r="B382" s="1" t="s">
        <v>391</v>
      </c>
      <c r="C382" s="1" t="str">
        <f ca="1">IFERROR(__xludf.DUMMYFUNCTION("REGEXEXTRACT(B382, ""^([^:]+)"")"),"Spices")</f>
        <v>Spices</v>
      </c>
      <c r="D382" s="1" t="s">
        <v>11</v>
      </c>
      <c r="E382" s="1" t="s">
        <v>11</v>
      </c>
    </row>
    <row r="383" spans="1:5" ht="15.75" customHeight="1">
      <c r="A383" s="3">
        <v>90940</v>
      </c>
      <c r="B383" s="1" t="s">
        <v>392</v>
      </c>
      <c r="C383" s="1" t="str">
        <f ca="1">IFERROR(__xludf.DUMMYFUNCTION("REGEXEXTRACT(B383, ""^([^:]+)"")"),"Spices")</f>
        <v>Spices</v>
      </c>
      <c r="D383" s="1" t="s">
        <v>11</v>
      </c>
      <c r="E383" s="1" t="s">
        <v>11</v>
      </c>
    </row>
    <row r="384" spans="1:5" ht="15.75" customHeight="1">
      <c r="A384" s="3">
        <v>90950</v>
      </c>
      <c r="B384" s="1" t="s">
        <v>393</v>
      </c>
      <c r="C384" s="1" t="str">
        <f ca="1">IFERROR(__xludf.DUMMYFUNCTION("REGEXEXTRACT(B384, ""^([^:]+)"")"),"Spices")</f>
        <v>Spices</v>
      </c>
      <c r="D384" s="1" t="s">
        <v>11</v>
      </c>
      <c r="E384" s="1" t="s">
        <v>11</v>
      </c>
    </row>
    <row r="385" spans="1:5" ht="15.75" customHeight="1">
      <c r="A385" s="3">
        <v>91010</v>
      </c>
      <c r="B385" s="1" t="s">
        <v>394</v>
      </c>
      <c r="C385" s="1" t="str">
        <f ca="1">IFERROR(__xludf.DUMMYFUNCTION("REGEXEXTRACT(B385, ""^([^:]+)"")"),"Spices")</f>
        <v>Spices</v>
      </c>
      <c r="D385" s="1" t="s">
        <v>11</v>
      </c>
      <c r="E385" s="1" t="s">
        <v>11</v>
      </c>
    </row>
    <row r="386" spans="1:5" ht="15.75" customHeight="1">
      <c r="A386" s="3">
        <v>91020</v>
      </c>
      <c r="B386" s="1" t="s">
        <v>395</v>
      </c>
      <c r="C386" s="1" t="str">
        <f ca="1">IFERROR(__xludf.DUMMYFUNCTION("REGEXEXTRACT(B386, ""^([^:]+)"")"),"Spices")</f>
        <v>Spices</v>
      </c>
      <c r="D386" s="1" t="s">
        <v>11</v>
      </c>
      <c r="E386" s="1" t="s">
        <v>11</v>
      </c>
    </row>
    <row r="387" spans="1:5" ht="15.75" customHeight="1">
      <c r="A387" s="3">
        <v>91030</v>
      </c>
      <c r="B387" s="1" t="s">
        <v>396</v>
      </c>
      <c r="C387" s="1" t="str">
        <f ca="1">IFERROR(__xludf.DUMMYFUNCTION("REGEXEXTRACT(B387, ""^([^:]+)"")"),"Spices")</f>
        <v>Spices</v>
      </c>
      <c r="D387" s="1" t="s">
        <v>11</v>
      </c>
      <c r="E387" s="1" t="s">
        <v>11</v>
      </c>
    </row>
    <row r="388" spans="1:5" ht="15.75" customHeight="1">
      <c r="A388" s="3">
        <v>91091</v>
      </c>
      <c r="B388" s="1" t="s">
        <v>397</v>
      </c>
      <c r="C388" s="1" t="str">
        <f ca="1">IFERROR(__xludf.DUMMYFUNCTION("REGEXEXTRACT(B388, ""^([^:]+)"")"),"Spices")</f>
        <v>Spices</v>
      </c>
      <c r="D388" s="1" t="s">
        <v>11</v>
      </c>
      <c r="E388" s="1" t="s">
        <v>11</v>
      </c>
    </row>
    <row r="389" spans="1:5" ht="15.75" customHeight="1">
      <c r="A389" s="3">
        <v>91099</v>
      </c>
      <c r="B389" s="1" t="s">
        <v>398</v>
      </c>
      <c r="C389" s="1" t="str">
        <f ca="1">IFERROR(__xludf.DUMMYFUNCTION("REGEXEXTRACT(B389, ""^([^:]+)"")"),"Spices")</f>
        <v>Spices</v>
      </c>
      <c r="D389" s="1" t="s">
        <v>11</v>
      </c>
      <c r="E389" s="1" t="s">
        <v>11</v>
      </c>
    </row>
    <row r="390" spans="1:5" ht="15.75" customHeight="1">
      <c r="A390" s="1">
        <v>100110</v>
      </c>
      <c r="B390" s="1" t="s">
        <v>399</v>
      </c>
      <c r="C390" s="1" t="str">
        <f ca="1">IFERROR(__xludf.DUMMYFUNCTION("REGEXEXTRACT(B390, ""^([^:]+)"")"),"Cereals")</f>
        <v>Cereals</v>
      </c>
      <c r="D390" s="1" t="s">
        <v>11</v>
      </c>
      <c r="E390" s="1" t="s">
        <v>11</v>
      </c>
    </row>
    <row r="391" spans="1:5" ht="15.75" customHeight="1">
      <c r="A391" s="1">
        <v>100190</v>
      </c>
      <c r="B391" s="1" t="s">
        <v>400</v>
      </c>
      <c r="C391" s="1" t="str">
        <f ca="1">IFERROR(__xludf.DUMMYFUNCTION("REGEXEXTRACT(B391, ""^([^:]+)"")"),"Cereals")</f>
        <v>Cereals</v>
      </c>
      <c r="D391" s="1" t="s">
        <v>11</v>
      </c>
      <c r="E391" s="1" t="s">
        <v>11</v>
      </c>
    </row>
    <row r="392" spans="1:5" ht="15.75" customHeight="1">
      <c r="A392" s="1">
        <v>100200</v>
      </c>
      <c r="B392" s="1" t="s">
        <v>401</v>
      </c>
      <c r="C392" s="1" t="str">
        <f ca="1">IFERROR(__xludf.DUMMYFUNCTION("REGEXEXTRACT(B392, ""^([^:]+)"")"),"Cereals")</f>
        <v>Cereals</v>
      </c>
      <c r="D392" s="1" t="s">
        <v>11</v>
      </c>
      <c r="E392" s="1" t="s">
        <v>11</v>
      </c>
    </row>
    <row r="393" spans="1:5" ht="15.75" customHeight="1">
      <c r="A393" s="1">
        <v>100300</v>
      </c>
      <c r="B393" s="1" t="s">
        <v>402</v>
      </c>
      <c r="C393" s="1" t="str">
        <f ca="1">IFERROR(__xludf.DUMMYFUNCTION("REGEXEXTRACT(B393, ""^([^:]+)"")"),"Cereals")</f>
        <v>Cereals</v>
      </c>
      <c r="D393" s="1" t="s">
        <v>11</v>
      </c>
      <c r="E393" s="1" t="s">
        <v>11</v>
      </c>
    </row>
    <row r="394" spans="1:5" ht="15.75" customHeight="1">
      <c r="A394" s="1">
        <v>100400</v>
      </c>
      <c r="B394" s="1" t="s">
        <v>403</v>
      </c>
      <c r="C394" s="1" t="str">
        <f ca="1">IFERROR(__xludf.DUMMYFUNCTION("REGEXEXTRACT(B394, ""^([^:]+)"")"),"Cereals")</f>
        <v>Cereals</v>
      </c>
      <c r="D394" s="1" t="s">
        <v>11</v>
      </c>
      <c r="E394" s="1" t="s">
        <v>11</v>
      </c>
    </row>
    <row r="395" spans="1:5" ht="15.75" customHeight="1">
      <c r="A395" s="1">
        <v>100510</v>
      </c>
      <c r="B395" s="1" t="s">
        <v>404</v>
      </c>
      <c r="C395" s="1" t="str">
        <f ca="1">IFERROR(__xludf.DUMMYFUNCTION("REGEXEXTRACT(B395, ""^([^:]+)"")"),"Cereals")</f>
        <v>Cereals</v>
      </c>
      <c r="D395" s="1" t="s">
        <v>11</v>
      </c>
      <c r="E395" s="1" t="s">
        <v>11</v>
      </c>
    </row>
    <row r="396" spans="1:5" ht="15.75" customHeight="1">
      <c r="A396" s="1">
        <v>100590</v>
      </c>
      <c r="B396" s="1" t="s">
        <v>405</v>
      </c>
      <c r="C396" s="1" t="str">
        <f ca="1">IFERROR(__xludf.DUMMYFUNCTION("REGEXEXTRACT(B396, ""^([^:]+)"")"),"Cereals")</f>
        <v>Cereals</v>
      </c>
      <c r="D396" s="1" t="s">
        <v>11</v>
      </c>
      <c r="E396" s="1" t="s">
        <v>11</v>
      </c>
    </row>
    <row r="397" spans="1:5" ht="15.75" customHeight="1">
      <c r="A397" s="1">
        <v>100610</v>
      </c>
      <c r="B397" s="1" t="s">
        <v>406</v>
      </c>
      <c r="C397" s="1" t="str">
        <f ca="1">IFERROR(__xludf.DUMMYFUNCTION("REGEXEXTRACT(B397, ""^([^:]+)"")"),"Cereals")</f>
        <v>Cereals</v>
      </c>
      <c r="D397" s="1" t="s">
        <v>11</v>
      </c>
      <c r="E397" s="1" t="s">
        <v>11</v>
      </c>
    </row>
    <row r="398" spans="1:5" ht="15.75" customHeight="1">
      <c r="A398" s="1">
        <v>100620</v>
      </c>
      <c r="B398" s="1" t="s">
        <v>407</v>
      </c>
      <c r="C398" s="1" t="str">
        <f ca="1">IFERROR(__xludf.DUMMYFUNCTION("REGEXEXTRACT(B398, ""^([^:]+)"")"),"Cereals")</f>
        <v>Cereals</v>
      </c>
      <c r="D398" s="1" t="s">
        <v>11</v>
      </c>
      <c r="E398" s="1" t="s">
        <v>11</v>
      </c>
    </row>
    <row r="399" spans="1:5" ht="15.75" customHeight="1">
      <c r="A399" s="1">
        <v>100630</v>
      </c>
      <c r="B399" s="1" t="s">
        <v>408</v>
      </c>
      <c r="C399" s="1" t="str">
        <f ca="1">IFERROR(__xludf.DUMMYFUNCTION("REGEXEXTRACT(B399, ""^([^:]+)"")"),"Cereals")</f>
        <v>Cereals</v>
      </c>
      <c r="D399" s="1" t="s">
        <v>11</v>
      </c>
      <c r="E399" s="1" t="s">
        <v>11</v>
      </c>
    </row>
    <row r="400" spans="1:5" ht="15.75" customHeight="1">
      <c r="A400" s="1">
        <v>100640</v>
      </c>
      <c r="B400" s="1" t="s">
        <v>409</v>
      </c>
      <c r="C400" s="1" t="str">
        <f ca="1">IFERROR(__xludf.DUMMYFUNCTION("REGEXEXTRACT(B400, ""^([^:]+)"")"),"Cereals")</f>
        <v>Cereals</v>
      </c>
      <c r="D400" s="1" t="s">
        <v>11</v>
      </c>
      <c r="E400" s="1" t="s">
        <v>11</v>
      </c>
    </row>
    <row r="401" spans="1:5" ht="15.75" customHeight="1">
      <c r="A401" s="1">
        <v>100700</v>
      </c>
      <c r="B401" s="1" t="s">
        <v>410</v>
      </c>
      <c r="C401" s="1" t="str">
        <f ca="1">IFERROR(__xludf.DUMMYFUNCTION("REGEXEXTRACT(B401, ""^([^:]+)"")"),"Cereals")</f>
        <v>Cereals</v>
      </c>
      <c r="D401" s="1" t="s">
        <v>11</v>
      </c>
      <c r="E401" s="1" t="s">
        <v>11</v>
      </c>
    </row>
    <row r="402" spans="1:5" ht="15.75" customHeight="1">
      <c r="A402" s="1">
        <v>100810</v>
      </c>
      <c r="B402" s="1" t="s">
        <v>411</v>
      </c>
      <c r="C402" s="1" t="str">
        <f ca="1">IFERROR(__xludf.DUMMYFUNCTION("REGEXEXTRACT(B402, ""^([^:]+)"")"),"Cereals")</f>
        <v>Cereals</v>
      </c>
      <c r="D402" s="1" t="s">
        <v>11</v>
      </c>
      <c r="E402" s="1" t="s">
        <v>11</v>
      </c>
    </row>
    <row r="403" spans="1:5" ht="15.75" customHeight="1">
      <c r="A403" s="1">
        <v>100820</v>
      </c>
      <c r="B403" s="1" t="s">
        <v>412</v>
      </c>
      <c r="C403" s="1" t="str">
        <f ca="1">IFERROR(__xludf.DUMMYFUNCTION("REGEXEXTRACT(B403, ""^([^:]+)"")"),"Cereals")</f>
        <v>Cereals</v>
      </c>
      <c r="D403" s="1" t="s">
        <v>11</v>
      </c>
      <c r="E403" s="1" t="s">
        <v>11</v>
      </c>
    </row>
    <row r="404" spans="1:5" ht="15.75" customHeight="1">
      <c r="A404" s="1">
        <v>100830</v>
      </c>
      <c r="B404" s="1" t="s">
        <v>413</v>
      </c>
      <c r="C404" s="1" t="str">
        <f ca="1">IFERROR(__xludf.DUMMYFUNCTION("REGEXEXTRACT(B404, ""^([^:]+)"")"),"Cereals")</f>
        <v>Cereals</v>
      </c>
      <c r="D404" s="1" t="s">
        <v>11</v>
      </c>
      <c r="E404" s="1" t="s">
        <v>11</v>
      </c>
    </row>
    <row r="405" spans="1:5" ht="15.75" customHeight="1">
      <c r="A405" s="1">
        <v>100890</v>
      </c>
      <c r="B405" s="1" t="s">
        <v>414</v>
      </c>
      <c r="C405" s="1" t="str">
        <f ca="1">IFERROR(__xludf.DUMMYFUNCTION("REGEXEXTRACT(B405, ""^([^:]+)"")"),"Cereals")</f>
        <v>Cereals</v>
      </c>
      <c r="D405" s="1" t="s">
        <v>11</v>
      </c>
      <c r="E405" s="1" t="s">
        <v>11</v>
      </c>
    </row>
    <row r="406" spans="1:5" ht="15.75" customHeight="1">
      <c r="A406" s="1">
        <v>110100</v>
      </c>
      <c r="B406" s="1" t="s">
        <v>415</v>
      </c>
      <c r="C406" s="1" t="str">
        <f ca="1">IFERROR(__xludf.DUMMYFUNCTION("REGEXEXTRACT(B406, ""^([^:]+)"")"),"Wheat or meslin flour")</f>
        <v>Wheat or meslin flour</v>
      </c>
      <c r="D406" s="1" t="s">
        <v>11</v>
      </c>
      <c r="E406" s="1" t="s">
        <v>11</v>
      </c>
    </row>
    <row r="407" spans="1:5" ht="15.75" customHeight="1">
      <c r="A407" s="1">
        <v>110210</v>
      </c>
      <c r="B407" s="1" t="s">
        <v>416</v>
      </c>
      <c r="C407" s="1" t="str">
        <f ca="1">IFERROR(__xludf.DUMMYFUNCTION("REGEXEXTRACT(B407, ""^([^:]+)"")"),"Cereal flour")</f>
        <v>Cereal flour</v>
      </c>
      <c r="D407" s="1" t="s">
        <v>11</v>
      </c>
      <c r="E407" s="1" t="s">
        <v>11</v>
      </c>
    </row>
    <row r="408" spans="1:5" ht="15.75" customHeight="1">
      <c r="A408" s="1">
        <v>110220</v>
      </c>
      <c r="B408" s="1" t="s">
        <v>417</v>
      </c>
      <c r="C408" s="1" t="str">
        <f ca="1">IFERROR(__xludf.DUMMYFUNCTION("REGEXEXTRACT(B408, ""^([^:]+)"")"),"Cereal flour")</f>
        <v>Cereal flour</v>
      </c>
      <c r="D408" s="1" t="s">
        <v>11</v>
      </c>
      <c r="E408" s="1" t="s">
        <v>11</v>
      </c>
    </row>
    <row r="409" spans="1:5" ht="15.75" customHeight="1">
      <c r="A409" s="1">
        <v>110290</v>
      </c>
      <c r="B409" s="1" t="s">
        <v>418</v>
      </c>
      <c r="C409" s="1" t="str">
        <f ca="1">IFERROR(__xludf.DUMMYFUNCTION("REGEXEXTRACT(B409, ""^([^:]+)"")"),"Cereal flours")</f>
        <v>Cereal flours</v>
      </c>
      <c r="D409" s="1" t="s">
        <v>11</v>
      </c>
      <c r="E409" s="1" t="s">
        <v>11</v>
      </c>
    </row>
    <row r="410" spans="1:5" ht="15.75" customHeight="1">
      <c r="A410" s="1">
        <v>110311</v>
      </c>
      <c r="B410" s="1" t="s">
        <v>419</v>
      </c>
      <c r="C410" s="1" t="str">
        <f ca="1">IFERROR(__xludf.DUMMYFUNCTION("REGEXEXTRACT(B410, ""^([^:]+)"")"),"Cereal groats and meal")</f>
        <v>Cereal groats and meal</v>
      </c>
      <c r="D410" s="1" t="s">
        <v>11</v>
      </c>
      <c r="E410" s="1" t="s">
        <v>11</v>
      </c>
    </row>
    <row r="411" spans="1:5" ht="15.75" customHeight="1">
      <c r="A411" s="1">
        <v>110313</v>
      </c>
      <c r="B411" s="1" t="s">
        <v>420</v>
      </c>
      <c r="C411" s="1" t="str">
        <f ca="1">IFERROR(__xludf.DUMMYFUNCTION("REGEXEXTRACT(B411, ""^([^:]+)"")"),"Cereal groats and meal")</f>
        <v>Cereal groats and meal</v>
      </c>
      <c r="D411" s="1" t="s">
        <v>11</v>
      </c>
      <c r="E411" s="1" t="s">
        <v>11</v>
      </c>
    </row>
    <row r="412" spans="1:5" ht="15.75" customHeight="1">
      <c r="A412" s="1">
        <v>110319</v>
      </c>
      <c r="B412" s="1" t="s">
        <v>421</v>
      </c>
      <c r="C412" s="1" t="str">
        <f ca="1">IFERROR(__xludf.DUMMYFUNCTION("REGEXEXTRACT(B412, ""^([^:]+)"")"),"Cereal groats and meal")</f>
        <v>Cereal groats and meal</v>
      </c>
      <c r="D412" s="1" t="s">
        <v>11</v>
      </c>
      <c r="E412" s="1" t="s">
        <v>11</v>
      </c>
    </row>
    <row r="413" spans="1:5" ht="15.75" customHeight="1">
      <c r="A413" s="1">
        <v>110320</v>
      </c>
      <c r="B413" s="1" t="s">
        <v>422</v>
      </c>
      <c r="C413" s="1" t="str">
        <f ca="1">IFERROR(__xludf.DUMMYFUNCTION("REGEXEXTRACT(B413, ""^([^:]+)"")"),"Cereal pellets")</f>
        <v>Cereal pellets</v>
      </c>
      <c r="D413" s="1" t="s">
        <v>11</v>
      </c>
      <c r="E413" s="1" t="s">
        <v>11</v>
      </c>
    </row>
    <row r="414" spans="1:5" ht="15.75" customHeight="1">
      <c r="A414" s="1">
        <v>110412</v>
      </c>
      <c r="B414" s="1" t="s">
        <v>423</v>
      </c>
      <c r="C414" s="1" t="str">
        <f ca="1">IFERROR(__xludf.DUMMYFUNCTION("REGEXEXTRACT(B414, ""^([^:]+)"")"),"Cereal grains")</f>
        <v>Cereal grains</v>
      </c>
      <c r="D414" s="1" t="s">
        <v>11</v>
      </c>
      <c r="E414" s="1" t="s">
        <v>11</v>
      </c>
    </row>
    <row r="415" spans="1:5" ht="15.75" customHeight="1">
      <c r="A415" s="1">
        <v>110419</v>
      </c>
      <c r="B415" s="1" t="s">
        <v>424</v>
      </c>
      <c r="C415" s="1" t="str">
        <f ca="1">IFERROR(__xludf.DUMMYFUNCTION("REGEXEXTRACT(B415, ""^([^:]+)"")"),"Cereal grains")</f>
        <v>Cereal grains</v>
      </c>
      <c r="D415" s="1" t="s">
        <v>11</v>
      </c>
      <c r="E415" s="1" t="s">
        <v>11</v>
      </c>
    </row>
    <row r="416" spans="1:5" ht="15.75" customHeight="1">
      <c r="A416" s="1">
        <v>110422</v>
      </c>
      <c r="B416" s="1" t="s">
        <v>425</v>
      </c>
      <c r="C416" s="1" t="str">
        <f ca="1">IFERROR(__xludf.DUMMYFUNCTION("REGEXEXTRACT(B416, ""^([^:]+)"")"),"Cereal grains")</f>
        <v>Cereal grains</v>
      </c>
      <c r="D416" s="1" t="s">
        <v>11</v>
      </c>
      <c r="E416" s="1" t="s">
        <v>11</v>
      </c>
    </row>
    <row r="417" spans="1:5" ht="15.75" customHeight="1">
      <c r="A417" s="1">
        <v>110423</v>
      </c>
      <c r="B417" s="1" t="s">
        <v>426</v>
      </c>
      <c r="C417" s="1" t="str">
        <f ca="1">IFERROR(__xludf.DUMMYFUNCTION("REGEXEXTRACT(B417, ""^([^:]+)"")"),"Cereal grains")</f>
        <v>Cereal grains</v>
      </c>
      <c r="D417" s="1" t="s">
        <v>11</v>
      </c>
      <c r="E417" s="1" t="s">
        <v>11</v>
      </c>
    </row>
    <row r="418" spans="1:5" ht="15.75" customHeight="1">
      <c r="A418" s="1">
        <v>110429</v>
      </c>
      <c r="B418" s="1" t="s">
        <v>427</v>
      </c>
      <c r="C418" s="1" t="str">
        <f ca="1">IFERROR(__xludf.DUMMYFUNCTION("REGEXEXTRACT(B418, ""^([^:]+)"")"),"Cereal grains")</f>
        <v>Cereal grains</v>
      </c>
      <c r="D418" s="1" t="s">
        <v>11</v>
      </c>
      <c r="E418" s="1" t="s">
        <v>11</v>
      </c>
    </row>
    <row r="419" spans="1:5" ht="15.75" customHeight="1">
      <c r="A419" s="1">
        <v>110430</v>
      </c>
      <c r="B419" s="1" t="s">
        <v>428</v>
      </c>
      <c r="C419" s="1" t="str">
        <f ca="1">IFERROR(__xludf.DUMMYFUNCTION("REGEXEXTRACT(B419, ""^([^:]+)"")"),"Cereal")</f>
        <v>Cereal</v>
      </c>
      <c r="D419" s="1" t="s">
        <v>11</v>
      </c>
      <c r="E419" s="1" t="s">
        <v>11</v>
      </c>
    </row>
    <row r="420" spans="1:5" ht="15.75" customHeight="1">
      <c r="A420" s="1">
        <v>110510</v>
      </c>
      <c r="B420" s="1" t="s">
        <v>429</v>
      </c>
      <c r="C420" s="1" t="str">
        <f ca="1">IFERROR(__xludf.DUMMYFUNCTION("REGEXEXTRACT(B420, ""^([^:]+)"")"),"Flour, meal and powder")</f>
        <v>Flour, meal and powder</v>
      </c>
      <c r="D420" s="1" t="s">
        <v>11</v>
      </c>
      <c r="E420" s="1" t="s">
        <v>11</v>
      </c>
    </row>
    <row r="421" spans="1:5" ht="15.75" customHeight="1">
      <c r="A421" s="1">
        <v>110520</v>
      </c>
      <c r="B421" s="1" t="s">
        <v>430</v>
      </c>
      <c r="C421" s="1" t="str">
        <f ca="1">IFERROR(__xludf.DUMMYFUNCTION("REGEXEXTRACT(B421, ""^([^:]+)"")"),"Flakes, granules and pellets")</f>
        <v>Flakes, granules and pellets</v>
      </c>
      <c r="D421" s="1" t="s">
        <v>11</v>
      </c>
      <c r="E421" s="1" t="s">
        <v>11</v>
      </c>
    </row>
    <row r="422" spans="1:5" ht="15.75" customHeight="1">
      <c r="A422" s="1">
        <v>110610</v>
      </c>
      <c r="B422" s="1" t="s">
        <v>431</v>
      </c>
      <c r="C422" s="1" t="str">
        <f ca="1">IFERROR(__xludf.DUMMYFUNCTION("REGEXEXTRACT(B422, ""^([^:]+)"")"),"Flour, meal and powder")</f>
        <v>Flour, meal and powder</v>
      </c>
      <c r="D422" s="1" t="s">
        <v>11</v>
      </c>
      <c r="E422" s="1" t="s">
        <v>11</v>
      </c>
    </row>
    <row r="423" spans="1:5" ht="15.75" customHeight="1">
      <c r="A423" s="1">
        <v>110620</v>
      </c>
      <c r="B423" s="1" t="s">
        <v>432</v>
      </c>
      <c r="C423" s="1" t="str">
        <f ca="1">IFERROR(__xludf.DUMMYFUNCTION("REGEXEXTRACT(B423, ""^([^:]+)"")"),"Flour, meal and powder")</f>
        <v>Flour, meal and powder</v>
      </c>
      <c r="D423" s="1" t="s">
        <v>11</v>
      </c>
      <c r="E423" s="1" t="s">
        <v>11</v>
      </c>
    </row>
    <row r="424" spans="1:5" ht="15.75" customHeight="1">
      <c r="A424" s="1">
        <v>110630</v>
      </c>
      <c r="B424" s="1" t="s">
        <v>433</v>
      </c>
      <c r="C424" s="1" t="str">
        <f ca="1">IFERROR(__xludf.DUMMYFUNCTION("REGEXEXTRACT(B424, ""^([^:]+)"")"),"Flour, meal and powder")</f>
        <v>Flour, meal and powder</v>
      </c>
      <c r="D424" s="1" t="s">
        <v>11</v>
      </c>
      <c r="E424" s="1" t="s">
        <v>11</v>
      </c>
    </row>
    <row r="425" spans="1:5" ht="15.75" customHeight="1">
      <c r="A425" s="1">
        <v>110710</v>
      </c>
      <c r="B425" s="1" t="s">
        <v>434</v>
      </c>
      <c r="C425" s="1" t="str">
        <f ca="1">IFERROR(__xludf.DUMMYFUNCTION("REGEXEXTRACT(B425, ""^([^:]+)"")"),"Malt")</f>
        <v>Malt</v>
      </c>
      <c r="D425" s="1" t="s">
        <v>11</v>
      </c>
      <c r="E425" s="1" t="s">
        <v>11</v>
      </c>
    </row>
    <row r="426" spans="1:5" ht="15.75" customHeight="1">
      <c r="A426" s="1">
        <v>110720</v>
      </c>
      <c r="B426" s="1" t="s">
        <v>435</v>
      </c>
      <c r="C426" s="1" t="str">
        <f ca="1">IFERROR(__xludf.DUMMYFUNCTION("REGEXEXTRACT(B426, ""^([^:]+)"")"),"Malt")</f>
        <v>Malt</v>
      </c>
      <c r="D426" s="1" t="s">
        <v>11</v>
      </c>
      <c r="E426" s="1" t="s">
        <v>11</v>
      </c>
    </row>
    <row r="427" spans="1:5" ht="15.75" customHeight="1">
      <c r="A427" s="1">
        <v>110811</v>
      </c>
      <c r="B427" s="1" t="s">
        <v>436</v>
      </c>
      <c r="C427" s="1" t="str">
        <f ca="1">IFERROR(__xludf.DUMMYFUNCTION("REGEXEXTRACT(B427, ""^([^:]+)"")"),"Starch")</f>
        <v>Starch</v>
      </c>
      <c r="D427" s="1" t="s">
        <v>11</v>
      </c>
      <c r="E427" s="1" t="s">
        <v>11</v>
      </c>
    </row>
    <row r="428" spans="1:5" ht="15.75" customHeight="1">
      <c r="A428" s="1">
        <v>110812</v>
      </c>
      <c r="B428" s="1" t="s">
        <v>437</v>
      </c>
      <c r="C428" s="1" t="str">
        <f ca="1">IFERROR(__xludf.DUMMYFUNCTION("REGEXEXTRACT(B428, ""^([^:]+)"")"),"Starch")</f>
        <v>Starch</v>
      </c>
      <c r="D428" s="1" t="s">
        <v>11</v>
      </c>
      <c r="E428" s="1" t="s">
        <v>11</v>
      </c>
    </row>
    <row r="429" spans="1:5" ht="15.75" customHeight="1">
      <c r="A429" s="1">
        <v>110813</v>
      </c>
      <c r="B429" s="1" t="s">
        <v>438</v>
      </c>
      <c r="C429" s="1" t="str">
        <f ca="1">IFERROR(__xludf.DUMMYFUNCTION("REGEXEXTRACT(B429, ""^([^:]+)"")"),"Starch")</f>
        <v>Starch</v>
      </c>
      <c r="D429" s="1" t="s">
        <v>11</v>
      </c>
      <c r="E429" s="1" t="s">
        <v>11</v>
      </c>
    </row>
    <row r="430" spans="1:5" ht="15.75" customHeight="1">
      <c r="A430" s="1">
        <v>110814</v>
      </c>
      <c r="B430" s="1" t="s">
        <v>439</v>
      </c>
      <c r="C430" s="1" t="str">
        <f ca="1">IFERROR(__xludf.DUMMYFUNCTION("REGEXEXTRACT(B430, ""^([^:]+)"")"),"Starch")</f>
        <v>Starch</v>
      </c>
      <c r="D430" s="1" t="s">
        <v>11</v>
      </c>
      <c r="E430" s="1" t="s">
        <v>11</v>
      </c>
    </row>
    <row r="431" spans="1:5" ht="15.75" customHeight="1">
      <c r="A431" s="1">
        <v>110819</v>
      </c>
      <c r="B431" s="1" t="s">
        <v>440</v>
      </c>
      <c r="C431" s="1" t="str">
        <f ca="1">IFERROR(__xludf.DUMMYFUNCTION("REGEXEXTRACT(B431, ""^([^:]+)"")"),"Starch")</f>
        <v>Starch</v>
      </c>
      <c r="D431" s="1" t="s">
        <v>11</v>
      </c>
      <c r="E431" s="1" t="s">
        <v>11</v>
      </c>
    </row>
    <row r="432" spans="1:5" ht="15.75" customHeight="1">
      <c r="A432" s="1">
        <v>110820</v>
      </c>
      <c r="B432" s="1" t="s">
        <v>441</v>
      </c>
      <c r="C432" s="1" t="str">
        <f ca="1">IFERROR(__xludf.DUMMYFUNCTION("REGEXEXTRACT(B432, ""^([^:]+)"")"),"Inulin")</f>
        <v>Inulin</v>
      </c>
      <c r="D432" s="1" t="s">
        <v>11</v>
      </c>
      <c r="E432" s="1" t="s">
        <v>11</v>
      </c>
    </row>
    <row r="433" spans="1:5" ht="15.75" customHeight="1">
      <c r="A433" s="1">
        <v>110900</v>
      </c>
      <c r="B433" s="1" t="s">
        <v>442</v>
      </c>
      <c r="C433" s="1" t="str">
        <f ca="1">IFERROR(__xludf.DUMMYFUNCTION("REGEXEXTRACT(B433, ""^([^:]+)"")"),"Wheat gluten")</f>
        <v>Wheat gluten</v>
      </c>
      <c r="D433" s="1" t="s">
        <v>11</v>
      </c>
      <c r="E433" s="1" t="s">
        <v>11</v>
      </c>
    </row>
    <row r="434" spans="1:5" ht="15.75" customHeight="1">
      <c r="A434" s="1">
        <v>120100</v>
      </c>
      <c r="B434" s="1" t="s">
        <v>443</v>
      </c>
      <c r="C434" s="1" t="str">
        <f ca="1">IFERROR(__xludf.DUMMYFUNCTION("REGEXEXTRACT(B434, ""^([^:]+)"")"),"Soya beans")</f>
        <v>Soya beans</v>
      </c>
      <c r="D434" s="1" t="s">
        <v>11</v>
      </c>
      <c r="E434" s="1" t="s">
        <v>11</v>
      </c>
    </row>
    <row r="435" spans="1:5" ht="15.75" customHeight="1">
      <c r="A435" s="1">
        <v>120210</v>
      </c>
      <c r="B435" s="1" t="s">
        <v>444</v>
      </c>
      <c r="C435" s="1" t="str">
        <f ca="1">IFERROR(__xludf.DUMMYFUNCTION("REGEXEXTRACT(B435, ""^([^:]+)"")"),"Ground-nuts")</f>
        <v>Ground-nuts</v>
      </c>
      <c r="D435" s="1" t="s">
        <v>11</v>
      </c>
      <c r="E435" s="1" t="s">
        <v>11</v>
      </c>
    </row>
    <row r="436" spans="1:5" ht="15.75" customHeight="1">
      <c r="A436" s="1">
        <v>120220</v>
      </c>
      <c r="B436" s="1" t="s">
        <v>445</v>
      </c>
      <c r="C436" s="1" t="str">
        <f ca="1">IFERROR(__xludf.DUMMYFUNCTION("REGEXEXTRACT(B436, ""^([^:]+)"")"),"Ground-nuts")</f>
        <v>Ground-nuts</v>
      </c>
      <c r="D436" s="1" t="s">
        <v>11</v>
      </c>
      <c r="E436" s="1" t="s">
        <v>11</v>
      </c>
    </row>
    <row r="437" spans="1:5" ht="15.75" customHeight="1">
      <c r="A437" s="1">
        <v>120300</v>
      </c>
      <c r="B437" s="1" t="s">
        <v>446</v>
      </c>
      <c r="C437" s="1" t="str">
        <f ca="1">IFERROR(__xludf.DUMMYFUNCTION("REGEXEXTRACT(B437, ""^([^:]+)"")"),"Copra")</f>
        <v>Copra</v>
      </c>
      <c r="D437" s="1" t="s">
        <v>11</v>
      </c>
      <c r="E437" s="1" t="s">
        <v>11</v>
      </c>
    </row>
    <row r="438" spans="1:5" ht="15.75" customHeight="1">
      <c r="A438" s="1">
        <v>120400</v>
      </c>
      <c r="B438" s="1" t="s">
        <v>447</v>
      </c>
      <c r="C438" s="1" t="str">
        <f ca="1">IFERROR(__xludf.DUMMYFUNCTION("REGEXEXTRACT(B438, ""^([^:]+)"")"),"Oil seeds")</f>
        <v>Oil seeds</v>
      </c>
      <c r="D438" s="1" t="s">
        <v>11</v>
      </c>
      <c r="E438" s="1" t="s">
        <v>11</v>
      </c>
    </row>
    <row r="439" spans="1:5" ht="15.75" customHeight="1">
      <c r="A439" s="1">
        <v>120510</v>
      </c>
      <c r="B439" s="1" t="s">
        <v>448</v>
      </c>
      <c r="C439" s="1" t="str">
        <f ca="1">IFERROR(__xludf.DUMMYFUNCTION("REGEXEXTRACT(B439, ""^([^:]+)"")"),"Oil seeds")</f>
        <v>Oil seeds</v>
      </c>
      <c r="D439" s="1" t="s">
        <v>11</v>
      </c>
      <c r="E439" s="1" t="s">
        <v>11</v>
      </c>
    </row>
    <row r="440" spans="1:5" ht="15.75" customHeight="1">
      <c r="A440" s="1">
        <v>120590</v>
      </c>
      <c r="B440" s="1" t="s">
        <v>449</v>
      </c>
      <c r="C440" s="1" t="str">
        <f ca="1">IFERROR(__xludf.DUMMYFUNCTION("REGEXEXTRACT(B440, ""^([^:]+)"")"),"Oil seeds")</f>
        <v>Oil seeds</v>
      </c>
      <c r="D440" s="1" t="s">
        <v>11</v>
      </c>
      <c r="E440" s="1" t="s">
        <v>11</v>
      </c>
    </row>
    <row r="441" spans="1:5" ht="15.75" customHeight="1">
      <c r="A441" s="1">
        <v>120600</v>
      </c>
      <c r="B441" s="1" t="s">
        <v>450</v>
      </c>
      <c r="C441" s="1" t="str">
        <f ca="1">IFERROR(__xludf.DUMMYFUNCTION("REGEXEXTRACT(B441, ""^([^:]+)"")"),"Oil seeds")</f>
        <v>Oil seeds</v>
      </c>
      <c r="D441" s="1" t="s">
        <v>11</v>
      </c>
      <c r="E441" s="1" t="s">
        <v>11</v>
      </c>
    </row>
    <row r="442" spans="1:5" ht="15.75" customHeight="1">
      <c r="A442" s="1">
        <v>120720</v>
      </c>
      <c r="B442" s="1" t="s">
        <v>451</v>
      </c>
      <c r="C442" s="1" t="str">
        <f ca="1">IFERROR(__xludf.DUMMYFUNCTION("REGEXEXTRACT(B442, ""^([^:]+)"")"),"Oil seeds")</f>
        <v>Oil seeds</v>
      </c>
      <c r="D442" s="1" t="s">
        <v>11</v>
      </c>
      <c r="E442" s="1" t="s">
        <v>11</v>
      </c>
    </row>
    <row r="443" spans="1:5" ht="15.75" customHeight="1">
      <c r="A443" s="1">
        <v>120740</v>
      </c>
      <c r="B443" s="1" t="s">
        <v>452</v>
      </c>
      <c r="C443" s="1" t="str">
        <f ca="1">IFERROR(__xludf.DUMMYFUNCTION("REGEXEXTRACT(B443, ""^([^:]+)"")"),"Oil seeds")</f>
        <v>Oil seeds</v>
      </c>
      <c r="D443" s="1" t="s">
        <v>11</v>
      </c>
      <c r="E443" s="1" t="s">
        <v>11</v>
      </c>
    </row>
    <row r="444" spans="1:5" ht="15.75" customHeight="1">
      <c r="A444" s="1">
        <v>120750</v>
      </c>
      <c r="B444" s="1" t="s">
        <v>453</v>
      </c>
      <c r="C444" s="1" t="str">
        <f ca="1">IFERROR(__xludf.DUMMYFUNCTION("REGEXEXTRACT(B444, ""^([^:]+)"")"),"Oil seeds")</f>
        <v>Oil seeds</v>
      </c>
      <c r="D444" s="1" t="s">
        <v>11</v>
      </c>
      <c r="E444" s="1" t="s">
        <v>11</v>
      </c>
    </row>
    <row r="445" spans="1:5" ht="15.75" customHeight="1">
      <c r="A445" s="1">
        <v>120791</v>
      </c>
      <c r="B445" s="1" t="s">
        <v>454</v>
      </c>
      <c r="C445" s="1" t="str">
        <f ca="1">IFERROR(__xludf.DUMMYFUNCTION("REGEXEXTRACT(B445, ""^([^:]+)"")"),"Oil seeds")</f>
        <v>Oil seeds</v>
      </c>
      <c r="D445" s="1" t="s">
        <v>11</v>
      </c>
      <c r="E445" s="1" t="s">
        <v>11</v>
      </c>
    </row>
    <row r="446" spans="1:5" ht="15.75" customHeight="1">
      <c r="A446" s="1">
        <v>120799</v>
      </c>
      <c r="B446" s="1" t="s">
        <v>455</v>
      </c>
      <c r="C446" s="1" t="str">
        <f ca="1">IFERROR(__xludf.DUMMYFUNCTION("REGEXEXTRACT(B446, ""^([^:]+)"")"),"Oil seeds and oleaginous fruits")</f>
        <v>Oil seeds and oleaginous fruits</v>
      </c>
      <c r="D446" s="1" t="s">
        <v>11</v>
      </c>
      <c r="E446" s="1" t="s">
        <v>11</v>
      </c>
    </row>
    <row r="447" spans="1:5" ht="15.75" customHeight="1">
      <c r="A447" s="1">
        <v>120810</v>
      </c>
      <c r="B447" s="1" t="s">
        <v>456</v>
      </c>
      <c r="C447" s="1" t="str">
        <f ca="1">IFERROR(__xludf.DUMMYFUNCTION("REGEXEXTRACT(B447, ""^([^:]+)"")"),"Flours and meals")</f>
        <v>Flours and meals</v>
      </c>
      <c r="D447" s="1" t="s">
        <v>11</v>
      </c>
      <c r="E447" s="1" t="s">
        <v>11</v>
      </c>
    </row>
    <row r="448" spans="1:5" ht="15.75" customHeight="1">
      <c r="A448" s="1">
        <v>120890</v>
      </c>
      <c r="B448" s="1" t="s">
        <v>457</v>
      </c>
      <c r="C448" s="1" t="str">
        <f ca="1">IFERROR(__xludf.DUMMYFUNCTION("REGEXEXTRACT(B448, ""^([^:]+)"")"),"Flours and meals of oil seeds or oleaginous fruits")</f>
        <v>Flours and meals of oil seeds or oleaginous fruits</v>
      </c>
      <c r="D448" s="1" t="s">
        <v>11</v>
      </c>
      <c r="E448" s="1" t="s">
        <v>11</v>
      </c>
    </row>
    <row r="449" spans="1:5" ht="15.75" customHeight="1">
      <c r="A449" s="1">
        <v>120910</v>
      </c>
      <c r="B449" s="1" t="s">
        <v>458</v>
      </c>
      <c r="C449" s="1" t="str">
        <f ca="1">IFERROR(__xludf.DUMMYFUNCTION("REGEXEXTRACT(B449, ""^([^:]+)"")"),"Seed")</f>
        <v>Seed</v>
      </c>
      <c r="D449" s="1" t="s">
        <v>11</v>
      </c>
      <c r="E449" s="1" t="s">
        <v>11</v>
      </c>
    </row>
    <row r="450" spans="1:5" ht="15.75" customHeight="1">
      <c r="A450" s="1">
        <v>120921</v>
      </c>
      <c r="B450" s="1" t="s">
        <v>459</v>
      </c>
      <c r="C450" s="1" t="str">
        <f ca="1">IFERROR(__xludf.DUMMYFUNCTION("REGEXEXTRACT(B450, ""^([^:]+)"")"),"Seed")</f>
        <v>Seed</v>
      </c>
      <c r="D450" s="1" t="s">
        <v>11</v>
      </c>
      <c r="E450" s="1" t="s">
        <v>11</v>
      </c>
    </row>
    <row r="451" spans="1:5" ht="15.75" customHeight="1">
      <c r="A451" s="1">
        <v>120922</v>
      </c>
      <c r="B451" s="1" t="s">
        <v>460</v>
      </c>
      <c r="C451" s="1" t="str">
        <f ca="1">IFERROR(__xludf.DUMMYFUNCTION("REGEXEXTRACT(B451, ""^([^:]+)"")"),"Seed")</f>
        <v>Seed</v>
      </c>
      <c r="D451" s="1" t="s">
        <v>11</v>
      </c>
      <c r="E451" s="1" t="s">
        <v>11</v>
      </c>
    </row>
    <row r="452" spans="1:5" ht="15.75" customHeight="1">
      <c r="A452" s="1">
        <v>120923</v>
      </c>
      <c r="B452" s="1" t="s">
        <v>461</v>
      </c>
      <c r="C452" s="1" t="str">
        <f ca="1">IFERROR(__xludf.DUMMYFUNCTION("REGEXEXTRACT(B452, ""^([^:]+)"")"),"Seed")</f>
        <v>Seed</v>
      </c>
      <c r="D452" s="1" t="s">
        <v>11</v>
      </c>
      <c r="E452" s="1" t="s">
        <v>11</v>
      </c>
    </row>
    <row r="453" spans="1:5" ht="15.75" customHeight="1">
      <c r="A453" s="1">
        <v>120924</v>
      </c>
      <c r="B453" s="1" t="s">
        <v>462</v>
      </c>
      <c r="C453" s="1" t="str">
        <f ca="1">IFERROR(__xludf.DUMMYFUNCTION("REGEXEXTRACT(B453, ""^([^:]+)"")"),"Seed")</f>
        <v>Seed</v>
      </c>
      <c r="D453" s="1" t="s">
        <v>11</v>
      </c>
      <c r="E453" s="1" t="s">
        <v>11</v>
      </c>
    </row>
    <row r="454" spans="1:5" ht="15.75" customHeight="1">
      <c r="A454" s="1">
        <v>120925</v>
      </c>
      <c r="B454" s="1" t="s">
        <v>463</v>
      </c>
      <c r="C454" s="1" t="str">
        <f ca="1">IFERROR(__xludf.DUMMYFUNCTION("REGEXEXTRACT(B454, ""^([^:]+)"")"),"Seed")</f>
        <v>Seed</v>
      </c>
      <c r="D454" s="1" t="s">
        <v>11</v>
      </c>
      <c r="E454" s="1" t="s">
        <v>11</v>
      </c>
    </row>
    <row r="455" spans="1:5" ht="15.75" customHeight="1">
      <c r="A455" s="1">
        <v>120929</v>
      </c>
      <c r="B455" s="1" t="s">
        <v>464</v>
      </c>
      <c r="C455" s="1" t="str">
        <f ca="1">IFERROR(__xludf.DUMMYFUNCTION("REGEXEXTRACT(B455, ""^([^:]+)"")"),"Seed")</f>
        <v>Seed</v>
      </c>
      <c r="D455" s="1" t="s">
        <v>11</v>
      </c>
      <c r="E455" s="1" t="s">
        <v>11</v>
      </c>
    </row>
    <row r="456" spans="1:5" ht="15.75" customHeight="1">
      <c r="A456" s="1">
        <v>120930</v>
      </c>
      <c r="B456" s="1" t="s">
        <v>465</v>
      </c>
      <c r="C456" s="1" t="str">
        <f ca="1">IFERROR(__xludf.DUMMYFUNCTION("REGEXEXTRACT(B456, ""^([^:]+)"")"),"Seed")</f>
        <v>Seed</v>
      </c>
      <c r="D456" s="1" t="s">
        <v>11</v>
      </c>
      <c r="E456" s="1" t="s">
        <v>11</v>
      </c>
    </row>
    <row r="457" spans="1:5" ht="15.75" customHeight="1">
      <c r="A457" s="1">
        <v>120991</v>
      </c>
      <c r="B457" s="1" t="s">
        <v>466</v>
      </c>
      <c r="C457" s="1" t="str">
        <f ca="1">IFERROR(__xludf.DUMMYFUNCTION("REGEXEXTRACT(B457, ""^([^:]+)"")"),"Seed")</f>
        <v>Seed</v>
      </c>
      <c r="D457" s="1" t="s">
        <v>11</v>
      </c>
      <c r="E457" s="1" t="s">
        <v>11</v>
      </c>
    </row>
    <row r="458" spans="1:5" ht="15.75" customHeight="1">
      <c r="A458" s="1">
        <v>120999</v>
      </c>
      <c r="B458" s="1" t="s">
        <v>467</v>
      </c>
      <c r="C458" s="1" t="str">
        <f ca="1">IFERROR(__xludf.DUMMYFUNCTION("REGEXEXTRACT(B458, ""^([^:]+)"")"),"Seed")</f>
        <v>Seed</v>
      </c>
      <c r="D458" s="1" t="s">
        <v>11</v>
      </c>
      <c r="E458" s="1" t="s">
        <v>11</v>
      </c>
    </row>
    <row r="459" spans="1:5" ht="15.75" customHeight="1">
      <c r="A459" s="1">
        <v>121010</v>
      </c>
      <c r="B459" s="1" t="s">
        <v>468</v>
      </c>
      <c r="C459" s="1" t="str">
        <f ca="1">IFERROR(__xludf.DUMMYFUNCTION("REGEXEXTRACT(B459, ""^([^:]+)"")"),"Hop cones")</f>
        <v>Hop cones</v>
      </c>
      <c r="D459" s="1" t="s">
        <v>11</v>
      </c>
      <c r="E459" s="1" t="s">
        <v>11</v>
      </c>
    </row>
    <row r="460" spans="1:5" ht="15.75" customHeight="1">
      <c r="A460" s="1">
        <v>121020</v>
      </c>
      <c r="B460" s="1" t="s">
        <v>469</v>
      </c>
      <c r="C460" s="1" t="str">
        <f ca="1">IFERROR(__xludf.DUMMYFUNCTION("REGEXEXTRACT(B460, ""^([^:]+)"")"),"Hop cones")</f>
        <v>Hop cones</v>
      </c>
      <c r="D460" s="1" t="s">
        <v>11</v>
      </c>
      <c r="E460" s="1" t="s">
        <v>11</v>
      </c>
    </row>
    <row r="461" spans="1:5" ht="15.75" customHeight="1">
      <c r="A461" s="1">
        <v>121120</v>
      </c>
      <c r="B461" s="1" t="s">
        <v>470</v>
      </c>
      <c r="C461" s="1" t="str">
        <f ca="1">IFERROR(__xludf.DUMMYFUNCTION("REGEXEXTRACT(B461, ""^([^:]+)"")"),"Ginseng roots, used primarily in perfumery, in pharmacy or for insecticidal, fungicidal or similar purposes")</f>
        <v>Ginseng roots, used primarily in perfumery, in pharmacy or for insecticidal, fungicidal or similar purposes</v>
      </c>
      <c r="D461" s="1" t="s">
        <v>11</v>
      </c>
      <c r="E461" s="1" t="s">
        <v>11</v>
      </c>
    </row>
    <row r="462" spans="1:5" ht="15.75" customHeight="1">
      <c r="A462" s="1">
        <v>121130</v>
      </c>
      <c r="B462" s="1" t="s">
        <v>471</v>
      </c>
      <c r="C462" s="1" t="str">
        <f ca="1">IFERROR(__xludf.DUMMYFUNCTION("REGEXEXTRACT(B462, ""^([^:]+)"")"),"Coca leaf")</f>
        <v>Coca leaf</v>
      </c>
      <c r="D462" s="1" t="s">
        <v>11</v>
      </c>
      <c r="E462" s="1" t="s">
        <v>11</v>
      </c>
    </row>
    <row r="463" spans="1:5" ht="15.75" customHeight="1">
      <c r="A463" s="1">
        <v>121140</v>
      </c>
      <c r="B463" s="1" t="s">
        <v>472</v>
      </c>
      <c r="C463" s="1" t="str">
        <f ca="1">IFERROR(__xludf.DUMMYFUNCTION("REGEXEXTRACT(B463, ""^([^:]+)"")"),"Poppy straw")</f>
        <v>Poppy straw</v>
      </c>
      <c r="D463" s="1" t="s">
        <v>11</v>
      </c>
      <c r="E463" s="1" t="s">
        <v>11</v>
      </c>
    </row>
    <row r="464" spans="1:5" ht="15.75" customHeight="1">
      <c r="A464" s="1">
        <v>121190</v>
      </c>
      <c r="B464" s="1" t="s">
        <v>473</v>
      </c>
      <c r="C464" s="1" t="str">
        <f ca="1">IFERROR(__xludf.DUMMYFUNCTION("REGEXEXTRACT(B464, ""^([^:]+)"")"),"Plants and parts (including seeds and fruits) n.e.c. in heading no. 1211, used primarily in perfumery, pharmacy or for insecticidal, fungicidal purposes")</f>
        <v>Plants and parts (including seeds and fruits) n.e.c. in heading no. 1211, used primarily in perfumery, pharmacy or for insecticidal, fungicidal purposes</v>
      </c>
      <c r="D464" s="1" t="s">
        <v>11</v>
      </c>
      <c r="E464" s="1" t="s">
        <v>11</v>
      </c>
    </row>
    <row r="465" spans="1:5" ht="15.75" customHeight="1">
      <c r="A465" s="1">
        <v>121220</v>
      </c>
      <c r="B465" s="1" t="s">
        <v>474</v>
      </c>
      <c r="C465" s="1" t="str">
        <f ca="1">IFERROR(__xludf.DUMMYFUNCTION("REGEXEXTRACT(B465, ""^([^:]+)"")"),"Seaweeds and other algae")</f>
        <v>Seaweeds and other algae</v>
      </c>
      <c r="D465" s="1" t="s">
        <v>11</v>
      </c>
      <c r="E465" s="1" t="s">
        <v>11</v>
      </c>
    </row>
    <row r="466" spans="1:5" ht="15.75" customHeight="1">
      <c r="A466" s="1">
        <v>121291</v>
      </c>
      <c r="B466" s="1" t="s">
        <v>475</v>
      </c>
      <c r="C466" s="1" t="str">
        <f ca="1">IFERROR(__xludf.DUMMYFUNCTION("REGEXEXTRACT(B466, ""^([^:]+)"")"),"Sugar beet")</f>
        <v>Sugar beet</v>
      </c>
      <c r="D466" s="1" t="s">
        <v>11</v>
      </c>
      <c r="E466" s="1" t="s">
        <v>11</v>
      </c>
    </row>
    <row r="467" spans="1:5" ht="15.75" customHeight="1">
      <c r="A467" s="1">
        <v>121299</v>
      </c>
      <c r="B467" s="1" t="s">
        <v>476</v>
      </c>
      <c r="C467" s="1" t="str">
        <f ca="1">IFERROR(__xludf.DUMMYFUNCTION("REGEXEXTRACT(B467, ""^([^:]+)"")"),"Vegetable products (including unroasted chicory roots, chicorium intybus sativum variety)")</f>
        <v>Vegetable products (including unroasted chicory roots, chicorium intybus sativum variety)</v>
      </c>
      <c r="D467" s="1" t="s">
        <v>11</v>
      </c>
      <c r="E467" s="1" t="s">
        <v>11</v>
      </c>
    </row>
    <row r="468" spans="1:5" ht="15.75" customHeight="1">
      <c r="A468" s="1">
        <v>121300</v>
      </c>
      <c r="B468" s="1" t="s">
        <v>477</v>
      </c>
      <c r="C468" s="1" t="str">
        <f ca="1">IFERROR(__xludf.DUMMYFUNCTION("REGEXEXTRACT(B468, ""^([^:]+)"")"),"Cereal straw and husks")</f>
        <v>Cereal straw and husks</v>
      </c>
      <c r="D468" s="1" t="s">
        <v>11</v>
      </c>
      <c r="E468" s="1" t="s">
        <v>11</v>
      </c>
    </row>
    <row r="469" spans="1:5" ht="15.75" customHeight="1">
      <c r="A469" s="1">
        <v>121410</v>
      </c>
      <c r="B469" s="1" t="s">
        <v>478</v>
      </c>
      <c r="C469" s="1" t="str">
        <f ca="1">IFERROR(__xludf.DUMMYFUNCTION("REGEXEXTRACT(B469, ""^([^:]+)"")"),"Lucerne (alfalfa) meal and pellets")</f>
        <v>Lucerne (alfalfa) meal and pellets</v>
      </c>
      <c r="D469" s="1" t="s">
        <v>11</v>
      </c>
      <c r="E469" s="1" t="s">
        <v>11</v>
      </c>
    </row>
    <row r="470" spans="1:5" ht="15.75" customHeight="1">
      <c r="A470" s="1">
        <v>121490</v>
      </c>
      <c r="B470" s="1" t="s">
        <v>479</v>
      </c>
      <c r="C470" s="1" t="str">
        <f ca="1">IFERROR(__xludf.DUMMYFUNCTION("REGEXEXTRACT(B470, ""^([^:]+)"")"),"Forage products including swedes, mangolds, fodder roots, hay, sainfoin, clover, forage kale, lupines, vetches etc., pelletised or otherwise")</f>
        <v>Forage products including swedes, mangolds, fodder roots, hay, sainfoin, clover, forage kale, lupines, vetches etc., pelletised or otherwise</v>
      </c>
      <c r="D470" s="1" t="s">
        <v>11</v>
      </c>
      <c r="E470" s="1" t="s">
        <v>11</v>
      </c>
    </row>
    <row r="471" spans="1:5" ht="15.75" customHeight="1">
      <c r="A471" s="1">
        <v>130120</v>
      </c>
      <c r="B471" s="1" t="s">
        <v>480</v>
      </c>
      <c r="C471" s="1" t="str">
        <f ca="1">IFERROR(__xludf.DUMMYFUNCTION("REGEXEXTRACT(B471, ""^([^:]+)"")"),"Gum Arabic")</f>
        <v>Gum Arabic</v>
      </c>
      <c r="D471" s="1" t="s">
        <v>11</v>
      </c>
      <c r="E471" s="1" t="s">
        <v>11</v>
      </c>
    </row>
    <row r="472" spans="1:5" ht="15.75" customHeight="1">
      <c r="A472" s="1">
        <v>130190</v>
      </c>
      <c r="B472" s="1" t="s">
        <v>481</v>
      </c>
      <c r="C472" s="1" t="str">
        <f ca="1">IFERROR(__xludf.DUMMYFUNCTION("REGEXEXTRACT(B472, ""^([^:]+)"")"),"Natural gums, resins, gum-resins and oleoresins, n.e.c. in heading no. 1301")</f>
        <v>Natural gums, resins, gum-resins and oleoresins, n.e.c. in heading no. 1301</v>
      </c>
      <c r="D472" s="1" t="s">
        <v>11</v>
      </c>
      <c r="E472" s="1" t="s">
        <v>11</v>
      </c>
    </row>
    <row r="473" spans="1:5" ht="15.75" customHeight="1">
      <c r="A473" s="1">
        <v>130211</v>
      </c>
      <c r="B473" s="1" t="s">
        <v>482</v>
      </c>
      <c r="C473" s="1" t="str">
        <f ca="1">IFERROR(__xludf.DUMMYFUNCTION("REGEXEXTRACT(B473, ""^([^:]+)"")"),"Vegetable saps and extracts")</f>
        <v>Vegetable saps and extracts</v>
      </c>
      <c r="D473" s="1" t="s">
        <v>11</v>
      </c>
      <c r="E473" s="1" t="s">
        <v>11</v>
      </c>
    </row>
    <row r="474" spans="1:5" ht="15.75" customHeight="1">
      <c r="A474" s="1">
        <v>130212</v>
      </c>
      <c r="B474" s="1" t="s">
        <v>483</v>
      </c>
      <c r="C474" s="1" t="str">
        <f ca="1">IFERROR(__xludf.DUMMYFUNCTION("REGEXEXTRACT(B474, ""^([^:]+)"")"),"Vegetable saps and extracts")</f>
        <v>Vegetable saps and extracts</v>
      </c>
      <c r="D474" s="1" t="s">
        <v>11</v>
      </c>
      <c r="E474" s="1" t="s">
        <v>11</v>
      </c>
    </row>
    <row r="475" spans="1:5" ht="15.75" customHeight="1">
      <c r="A475" s="1">
        <v>130213</v>
      </c>
      <c r="B475" s="1" t="s">
        <v>484</v>
      </c>
      <c r="C475" s="1" t="str">
        <f ca="1">IFERROR(__xludf.DUMMYFUNCTION("REGEXEXTRACT(B475, ""^([^:]+)"")"),"Vegetable saps and extracts")</f>
        <v>Vegetable saps and extracts</v>
      </c>
      <c r="D475" s="1" t="s">
        <v>11</v>
      </c>
      <c r="E475" s="1" t="s">
        <v>11</v>
      </c>
    </row>
    <row r="476" spans="1:5" ht="15.75" customHeight="1">
      <c r="A476" s="1">
        <v>130219</v>
      </c>
      <c r="B476" s="1" t="s">
        <v>485</v>
      </c>
      <c r="C476" s="1" t="str">
        <f ca="1">IFERROR(__xludf.DUMMYFUNCTION("REGEXEXTRACT(B476, ""^([^:]+)"")"),"Vegetable saps and extracts")</f>
        <v>Vegetable saps and extracts</v>
      </c>
      <c r="D476" s="1" t="s">
        <v>11</v>
      </c>
      <c r="E476" s="1" t="s">
        <v>11</v>
      </c>
    </row>
    <row r="477" spans="1:5" ht="15.75" customHeight="1">
      <c r="A477" s="1">
        <v>130220</v>
      </c>
      <c r="B477" s="1" t="s">
        <v>486</v>
      </c>
      <c r="C477" s="1" t="str">
        <f ca="1">IFERROR(__xludf.DUMMYFUNCTION("REGEXEXTRACT(B477, ""^([^:]+)"")"),"Pectic substances")</f>
        <v>Pectic substances</v>
      </c>
      <c r="D477" s="1" t="s">
        <v>11</v>
      </c>
      <c r="E477" s="1" t="s">
        <v>11</v>
      </c>
    </row>
    <row r="478" spans="1:5" ht="15.75" customHeight="1">
      <c r="A478" s="1">
        <v>130231</v>
      </c>
      <c r="B478" s="1" t="s">
        <v>487</v>
      </c>
      <c r="C478" s="1" t="str">
        <f ca="1">IFERROR(__xludf.DUMMYFUNCTION("REGEXEXTRACT(B478, ""^([^:]+)"")"),"Mucilages and thickeners")</f>
        <v>Mucilages and thickeners</v>
      </c>
      <c r="D478" s="1" t="s">
        <v>11</v>
      </c>
      <c r="E478" s="1" t="s">
        <v>11</v>
      </c>
    </row>
    <row r="479" spans="1:5" ht="15.75" customHeight="1">
      <c r="A479" s="1">
        <v>130232</v>
      </c>
      <c r="B479" s="1" t="s">
        <v>488</v>
      </c>
      <c r="C479" s="1" t="str">
        <f ca="1">IFERROR(__xludf.DUMMYFUNCTION("REGEXEXTRACT(B479, ""^([^:]+)"")"),"Mucilages and thickeners")</f>
        <v>Mucilages and thickeners</v>
      </c>
      <c r="D479" s="1" t="s">
        <v>11</v>
      </c>
      <c r="E479" s="1" t="s">
        <v>11</v>
      </c>
    </row>
    <row r="480" spans="1:5" ht="15.75" customHeight="1">
      <c r="A480" s="1">
        <v>130239</v>
      </c>
      <c r="B480" s="1" t="s">
        <v>489</v>
      </c>
      <c r="C480" s="1" t="str">
        <f ca="1">IFERROR(__xludf.DUMMYFUNCTION("REGEXEXTRACT(B480, ""^([^:]+)"")"),"Mucilages and thickeners")</f>
        <v>Mucilages and thickeners</v>
      </c>
      <c r="D480" s="1" t="s">
        <v>11</v>
      </c>
      <c r="E480" s="1" t="s">
        <v>11</v>
      </c>
    </row>
    <row r="481" spans="1:5" ht="15.75" customHeight="1">
      <c r="A481" s="1">
        <v>140110</v>
      </c>
      <c r="B481" s="1" t="s">
        <v>490</v>
      </c>
      <c r="C481" s="1" t="str">
        <f ca="1">IFERROR(__xludf.DUMMYFUNCTION("REGEXEXTRACT(B481, ""^([^:]+)"")"),"Bamboo used primarily for plaiting")</f>
        <v>Bamboo used primarily for plaiting</v>
      </c>
      <c r="D481" s="1" t="s">
        <v>11</v>
      </c>
      <c r="E481" s="1" t="s">
        <v>11</v>
      </c>
    </row>
    <row r="482" spans="1:5" ht="15.75" customHeight="1">
      <c r="A482" s="1">
        <v>140120</v>
      </c>
      <c r="B482" s="1" t="s">
        <v>491</v>
      </c>
      <c r="C482" s="1" t="str">
        <f ca="1">IFERROR(__xludf.DUMMYFUNCTION("REGEXEXTRACT(B482, ""^([^:]+)"")"),"Rattans used primarily for plaiting")</f>
        <v>Rattans used primarily for plaiting</v>
      </c>
      <c r="D482" s="1" t="s">
        <v>11</v>
      </c>
      <c r="E482" s="1" t="s">
        <v>11</v>
      </c>
    </row>
    <row r="483" spans="1:5" ht="15.75" customHeight="1">
      <c r="A483" s="1">
        <v>140190</v>
      </c>
      <c r="B483" s="1" t="s">
        <v>492</v>
      </c>
      <c r="C483" s="1" t="str">
        <f ca="1">IFERROR(__xludf.DUMMYFUNCTION("REGEXEXTRACT(B483, ""^([^:]+)"")"),"Vegetable materials of a kind used primarily for plaiting")</f>
        <v>Vegetable materials of a kind used primarily for plaiting</v>
      </c>
      <c r="D483" s="1" t="s">
        <v>11</v>
      </c>
      <c r="E483" s="1" t="s">
        <v>11</v>
      </c>
    </row>
    <row r="484" spans="1:5" ht="15.75" customHeight="1">
      <c r="A484" s="1">
        <v>140420</v>
      </c>
      <c r="B484" s="1" t="s">
        <v>493</v>
      </c>
      <c r="C484" s="1" t="str">
        <f ca="1">IFERROR(__xludf.DUMMYFUNCTION("REGEXEXTRACT(B484, ""^([^:]+)"")"),"Vegetable products")</f>
        <v>Vegetable products</v>
      </c>
      <c r="D484" s="1" t="s">
        <v>11</v>
      </c>
      <c r="E484" s="1" t="s">
        <v>11</v>
      </c>
    </row>
    <row r="485" spans="1:5" ht="15.75" customHeight="1">
      <c r="A485" s="1">
        <v>140490</v>
      </c>
      <c r="B485" s="1" t="s">
        <v>494</v>
      </c>
      <c r="C485" s="1" t="str">
        <f ca="1">IFERROR(__xludf.DUMMYFUNCTION("REGEXEXTRACT(B485, ""^([^:]+)"")"),"Vegetable products")</f>
        <v>Vegetable products</v>
      </c>
      <c r="D485" s="1" t="s">
        <v>11</v>
      </c>
      <c r="E485" s="1" t="s">
        <v>11</v>
      </c>
    </row>
    <row r="486" spans="1:5" ht="15.75" customHeight="1">
      <c r="A486" s="1">
        <v>150100</v>
      </c>
      <c r="B486" s="1" t="s">
        <v>495</v>
      </c>
      <c r="C486" s="1" t="str">
        <f ca="1">IFERROR(__xludf.DUMMYFUNCTION("REGEXEXTRACT(B486, ""^([^:]+)"")"),"Animal fat")</f>
        <v>Animal fat</v>
      </c>
      <c r="D486" s="1" t="s">
        <v>11</v>
      </c>
      <c r="E486" s="1" t="s">
        <v>11</v>
      </c>
    </row>
    <row r="487" spans="1:5" ht="15.75" customHeight="1">
      <c r="A487" s="1">
        <v>150200</v>
      </c>
      <c r="B487" s="1" t="s">
        <v>496</v>
      </c>
      <c r="C487" s="1" t="str">
        <f ca="1">IFERROR(__xludf.DUMMYFUNCTION("REGEXEXTRACT(B487, ""^([^:]+)"")"),"Fats of bovine animals, sheep or goats")</f>
        <v>Fats of bovine animals, sheep or goats</v>
      </c>
      <c r="D487" s="1" t="s">
        <v>11</v>
      </c>
      <c r="E487" s="1" t="s">
        <v>11</v>
      </c>
    </row>
    <row r="488" spans="1:5" ht="15.75" customHeight="1">
      <c r="A488" s="1">
        <v>150300</v>
      </c>
      <c r="B488" s="1" t="s">
        <v>497</v>
      </c>
      <c r="C488" s="1" t="str">
        <f ca="1">IFERROR(__xludf.DUMMYFUNCTION("REGEXEXTRACT(B488, ""^([^:]+)"")"),"Lard stearin, lard oil, oleostearin, oleo-oil and tallow oil")</f>
        <v>Lard stearin, lard oil, oleostearin, oleo-oil and tallow oil</v>
      </c>
      <c r="D488" s="1" t="s">
        <v>11</v>
      </c>
      <c r="E488" s="1" t="s">
        <v>11</v>
      </c>
    </row>
    <row r="489" spans="1:5" ht="15.75" customHeight="1">
      <c r="A489" s="1">
        <v>150410</v>
      </c>
      <c r="B489" s="1" t="s">
        <v>498</v>
      </c>
      <c r="C489" s="1" t="str">
        <f ca="1">IFERROR(__xludf.DUMMYFUNCTION("REGEXEXTRACT(B489, ""^([^:]+)"")"),"Oils of fish")</f>
        <v>Oils of fish</v>
      </c>
      <c r="D489" s="1" t="s">
        <v>11</v>
      </c>
      <c r="E489" s="1" t="s">
        <v>11</v>
      </c>
    </row>
    <row r="490" spans="1:5" ht="15.75" customHeight="1">
      <c r="A490" s="1">
        <v>150420</v>
      </c>
      <c r="B490" s="1" t="s">
        <v>499</v>
      </c>
      <c r="C490" s="1" t="str">
        <f ca="1">IFERROR(__xludf.DUMMYFUNCTION("REGEXEXTRACT(B490, ""^([^:]+)"")"),"Fats and oils and their fractions")</f>
        <v>Fats and oils and their fractions</v>
      </c>
      <c r="D490" s="1" t="s">
        <v>11</v>
      </c>
      <c r="E490" s="1" t="s">
        <v>11</v>
      </c>
    </row>
    <row r="491" spans="1:5" ht="15.75" customHeight="1">
      <c r="A491" s="1">
        <v>150430</v>
      </c>
      <c r="B491" s="1" t="s">
        <v>500</v>
      </c>
      <c r="C491" s="1" t="str">
        <f ca="1">IFERROR(__xludf.DUMMYFUNCTION("REGEXEXTRACT(B491, ""^([^:]+)"")"),"Fats and oils and their fractions")</f>
        <v>Fats and oils and their fractions</v>
      </c>
      <c r="D491" s="1" t="s">
        <v>11</v>
      </c>
      <c r="E491" s="1" t="s">
        <v>11</v>
      </c>
    </row>
    <row r="492" spans="1:5" ht="15.75" customHeight="1">
      <c r="A492" s="1">
        <v>150500</v>
      </c>
      <c r="B492" s="1" t="s">
        <v>501</v>
      </c>
      <c r="C492" s="1" t="str">
        <f ca="1">IFERROR(__xludf.DUMMYFUNCTION("REGEXEXTRACT(B492, ""^([^:]+)"")"),"Wool grease and fatty substances derived therefrom (including lanolin)")</f>
        <v>Wool grease and fatty substances derived therefrom (including lanolin)</v>
      </c>
      <c r="D492" s="1" t="s">
        <v>11</v>
      </c>
      <c r="E492" s="1" t="s">
        <v>11</v>
      </c>
    </row>
    <row r="493" spans="1:5" ht="15.75" customHeight="1">
      <c r="A493" s="1">
        <v>150600</v>
      </c>
      <c r="B493" s="1" t="s">
        <v>502</v>
      </c>
      <c r="C493" s="1" t="str">
        <f ca="1">IFERROR(__xludf.DUMMYFUNCTION("REGEXEXTRACT(B493, ""^([^:]+)"")"),"Animal fats and oils and their fractions")</f>
        <v>Animal fats and oils and their fractions</v>
      </c>
      <c r="D493" s="1" t="s">
        <v>11</v>
      </c>
      <c r="E493" s="1" t="s">
        <v>11</v>
      </c>
    </row>
    <row r="494" spans="1:5" ht="15.75" customHeight="1">
      <c r="A494" s="1">
        <v>150710</v>
      </c>
      <c r="B494" s="1" t="s">
        <v>503</v>
      </c>
      <c r="C494" s="1" t="str">
        <f ca="1">IFERROR(__xludf.DUMMYFUNCTION("REGEXEXTRACT(B494, ""^([^:]+)"")"),"Vegetable oils")</f>
        <v>Vegetable oils</v>
      </c>
      <c r="D494" s="1" t="s">
        <v>11</v>
      </c>
      <c r="E494" s="1" t="s">
        <v>11</v>
      </c>
    </row>
    <row r="495" spans="1:5" ht="15.75" customHeight="1">
      <c r="A495" s="1">
        <v>150790</v>
      </c>
      <c r="B495" s="1" t="s">
        <v>504</v>
      </c>
      <c r="C495" s="1" t="str">
        <f ca="1">IFERROR(__xludf.DUMMYFUNCTION("REGEXEXTRACT(B495, ""^([^:]+)"")"),"Vegetable oils")</f>
        <v>Vegetable oils</v>
      </c>
      <c r="D495" s="1" t="s">
        <v>11</v>
      </c>
      <c r="E495" s="1" t="s">
        <v>11</v>
      </c>
    </row>
    <row r="496" spans="1:5" ht="15.75" customHeight="1">
      <c r="A496" s="1">
        <v>150810</v>
      </c>
      <c r="B496" s="1" t="s">
        <v>505</v>
      </c>
      <c r="C496" s="1" t="str">
        <f ca="1">IFERROR(__xludf.DUMMYFUNCTION("REGEXEXTRACT(B496, ""^([^:]+)"")"),"Vegetable oils")</f>
        <v>Vegetable oils</v>
      </c>
      <c r="D496" s="1" t="s">
        <v>11</v>
      </c>
      <c r="E496" s="1" t="s">
        <v>11</v>
      </c>
    </row>
    <row r="497" spans="1:5" ht="15.75" customHeight="1">
      <c r="A497" s="1">
        <v>150890</v>
      </c>
      <c r="B497" s="1" t="s">
        <v>506</v>
      </c>
      <c r="C497" s="1" t="str">
        <f ca="1">IFERROR(__xludf.DUMMYFUNCTION("REGEXEXTRACT(B497, ""^([^:]+)"")"),"Vegetable oils")</f>
        <v>Vegetable oils</v>
      </c>
      <c r="D497" s="1" t="s">
        <v>11</v>
      </c>
      <c r="E497" s="1" t="s">
        <v>11</v>
      </c>
    </row>
    <row r="498" spans="1:5" ht="15.75" customHeight="1">
      <c r="A498" s="1">
        <v>150910</v>
      </c>
      <c r="B498" s="1" t="s">
        <v>507</v>
      </c>
      <c r="C498" s="1" t="str">
        <f ca="1">IFERROR(__xludf.DUMMYFUNCTION("REGEXEXTRACT(B498, ""^([^:]+)"")"),"Vegetable oils")</f>
        <v>Vegetable oils</v>
      </c>
      <c r="D498" s="1" t="s">
        <v>11</v>
      </c>
      <c r="E498" s="1" t="s">
        <v>11</v>
      </c>
    </row>
    <row r="499" spans="1:5" ht="15.75" customHeight="1">
      <c r="A499" s="1">
        <v>150990</v>
      </c>
      <c r="B499" s="1" t="s">
        <v>508</v>
      </c>
      <c r="C499" s="1" t="str">
        <f ca="1">IFERROR(__xludf.DUMMYFUNCTION("REGEXEXTRACT(B499, ""^([^:]+)"")"),"Vegetable oils")</f>
        <v>Vegetable oils</v>
      </c>
      <c r="D499" s="1" t="s">
        <v>11</v>
      </c>
      <c r="E499" s="1" t="s">
        <v>11</v>
      </c>
    </row>
    <row r="500" spans="1:5" ht="15.75" customHeight="1">
      <c r="A500" s="1">
        <v>151000</v>
      </c>
      <c r="B500" s="1" t="s">
        <v>509</v>
      </c>
      <c r="C500" s="1" t="str">
        <f ca="1">IFERROR(__xludf.DUMMYFUNCTION("REGEXEXTRACT(B500, ""^([^:]+)"")"),"Vegetable oils")</f>
        <v>Vegetable oils</v>
      </c>
      <c r="D500" s="1" t="s">
        <v>11</v>
      </c>
      <c r="E500" s="1" t="s">
        <v>11</v>
      </c>
    </row>
    <row r="501" spans="1:5" ht="15.75" customHeight="1">
      <c r="A501" s="1">
        <v>151110</v>
      </c>
      <c r="B501" s="1" t="s">
        <v>510</v>
      </c>
      <c r="C501" s="1" t="str">
        <f ca="1">IFERROR(__xludf.DUMMYFUNCTION("REGEXEXTRACT(B501, ""^([^:]+)"")"),"Vegetable oils")</f>
        <v>Vegetable oils</v>
      </c>
      <c r="D501" s="1" t="s">
        <v>11</v>
      </c>
      <c r="E501" s="1" t="s">
        <v>11</v>
      </c>
    </row>
    <row r="502" spans="1:5" ht="15.75" customHeight="1">
      <c r="A502" s="1">
        <v>151190</v>
      </c>
      <c r="B502" s="1" t="s">
        <v>511</v>
      </c>
      <c r="C502" s="1" t="str">
        <f ca="1">IFERROR(__xludf.DUMMYFUNCTION("REGEXEXTRACT(B502, ""^([^:]+)"")"),"Vegetable oils")</f>
        <v>Vegetable oils</v>
      </c>
      <c r="D502" s="1" t="s">
        <v>11</v>
      </c>
      <c r="E502" s="1" t="s">
        <v>11</v>
      </c>
    </row>
    <row r="503" spans="1:5" ht="15.75" customHeight="1">
      <c r="A503" s="1">
        <v>151211</v>
      </c>
      <c r="B503" s="1" t="s">
        <v>512</v>
      </c>
      <c r="C503" s="1" t="str">
        <f ca="1">IFERROR(__xludf.DUMMYFUNCTION("REGEXEXTRACT(B503, ""^([^:]+)"")"),"Vegetable oils")</f>
        <v>Vegetable oils</v>
      </c>
      <c r="D503" s="1" t="s">
        <v>11</v>
      </c>
      <c r="E503" s="1" t="s">
        <v>11</v>
      </c>
    </row>
    <row r="504" spans="1:5" ht="15.75" customHeight="1">
      <c r="A504" s="1">
        <v>151219</v>
      </c>
      <c r="B504" s="1" t="s">
        <v>513</v>
      </c>
      <c r="C504" s="1" t="str">
        <f ca="1">IFERROR(__xludf.DUMMYFUNCTION("REGEXEXTRACT(B504, ""^([^:]+)"")"),"Vegetable oils")</f>
        <v>Vegetable oils</v>
      </c>
      <c r="D504" s="1" t="s">
        <v>11</v>
      </c>
      <c r="E504" s="1" t="s">
        <v>11</v>
      </c>
    </row>
    <row r="505" spans="1:5" ht="15.75" customHeight="1">
      <c r="A505" s="1">
        <v>151221</v>
      </c>
      <c r="B505" s="1" t="s">
        <v>514</v>
      </c>
      <c r="C505" s="1" t="str">
        <f ca="1">IFERROR(__xludf.DUMMYFUNCTION("REGEXEXTRACT(B505, ""^([^:]+)"")"),"Vegetable oils")</f>
        <v>Vegetable oils</v>
      </c>
      <c r="D505" s="1" t="s">
        <v>11</v>
      </c>
      <c r="E505" s="1" t="s">
        <v>11</v>
      </c>
    </row>
    <row r="506" spans="1:5" ht="15.75" customHeight="1">
      <c r="A506" s="1">
        <v>151229</v>
      </c>
      <c r="B506" s="1" t="s">
        <v>515</v>
      </c>
      <c r="C506" s="1" t="str">
        <f ca="1">IFERROR(__xludf.DUMMYFUNCTION("REGEXEXTRACT(B506, ""^([^:]+)"")"),"Vegetable oils")</f>
        <v>Vegetable oils</v>
      </c>
      <c r="D506" s="1" t="s">
        <v>11</v>
      </c>
      <c r="E506" s="1" t="s">
        <v>11</v>
      </c>
    </row>
    <row r="507" spans="1:5" ht="15.75" customHeight="1">
      <c r="A507" s="1">
        <v>151311</v>
      </c>
      <c r="B507" s="1" t="s">
        <v>516</v>
      </c>
      <c r="C507" s="1" t="str">
        <f ca="1">IFERROR(__xludf.DUMMYFUNCTION("REGEXEXTRACT(B507, ""^([^:]+)"")"),"Vegetable oils")</f>
        <v>Vegetable oils</v>
      </c>
      <c r="D507" s="1" t="s">
        <v>11</v>
      </c>
      <c r="E507" s="1" t="s">
        <v>11</v>
      </c>
    </row>
    <row r="508" spans="1:5" ht="15.75" customHeight="1">
      <c r="A508" s="1">
        <v>151319</v>
      </c>
      <c r="B508" s="1" t="s">
        <v>517</v>
      </c>
      <c r="C508" s="1" t="str">
        <f ca="1">IFERROR(__xludf.DUMMYFUNCTION("REGEXEXTRACT(B508, ""^([^:]+)"")"),"Vegetable oils")</f>
        <v>Vegetable oils</v>
      </c>
      <c r="D508" s="1" t="s">
        <v>11</v>
      </c>
      <c r="E508" s="1" t="s">
        <v>11</v>
      </c>
    </row>
    <row r="509" spans="1:5" ht="15.75" customHeight="1">
      <c r="A509" s="1">
        <v>151321</v>
      </c>
      <c r="B509" s="1" t="s">
        <v>518</v>
      </c>
      <c r="C509" s="1" t="str">
        <f ca="1">IFERROR(__xludf.DUMMYFUNCTION("REGEXEXTRACT(B509, ""^([^:]+)"")"),"Vegetable oils")</f>
        <v>Vegetable oils</v>
      </c>
      <c r="D509" s="1" t="s">
        <v>11</v>
      </c>
      <c r="E509" s="1" t="s">
        <v>11</v>
      </c>
    </row>
    <row r="510" spans="1:5" ht="15.75" customHeight="1">
      <c r="A510" s="1">
        <v>151329</v>
      </c>
      <c r="B510" s="1" t="s">
        <v>519</v>
      </c>
      <c r="C510" s="1" t="str">
        <f ca="1">IFERROR(__xludf.DUMMYFUNCTION("REGEXEXTRACT(B510, ""^([^:]+)"")"),"Vegetable oils")</f>
        <v>Vegetable oils</v>
      </c>
      <c r="D510" s="1" t="s">
        <v>11</v>
      </c>
      <c r="E510" s="1" t="s">
        <v>11</v>
      </c>
    </row>
    <row r="511" spans="1:5" ht="15.75" customHeight="1">
      <c r="A511" s="1">
        <v>151411</v>
      </c>
      <c r="B511" s="1" t="s">
        <v>520</v>
      </c>
      <c r="C511" s="1" t="str">
        <f ca="1">IFERROR(__xludf.DUMMYFUNCTION("REGEXEXTRACT(B511, ""^([^:]+)"")"),"Vegetable oils")</f>
        <v>Vegetable oils</v>
      </c>
      <c r="D511" s="1" t="s">
        <v>11</v>
      </c>
      <c r="E511" s="1" t="s">
        <v>11</v>
      </c>
    </row>
    <row r="512" spans="1:5" ht="15.75" customHeight="1">
      <c r="A512" s="1">
        <v>151419</v>
      </c>
      <c r="B512" s="1" t="s">
        <v>521</v>
      </c>
      <c r="C512" s="1" t="str">
        <f ca="1">IFERROR(__xludf.DUMMYFUNCTION("REGEXEXTRACT(B512, ""^([^:]+)"")"),"Vegetable oils")</f>
        <v>Vegetable oils</v>
      </c>
      <c r="D512" s="1" t="s">
        <v>11</v>
      </c>
      <c r="E512" s="1" t="s">
        <v>11</v>
      </c>
    </row>
    <row r="513" spans="1:5" ht="15.75" customHeight="1">
      <c r="A513" s="1">
        <v>151491</v>
      </c>
      <c r="B513" s="1" t="s">
        <v>522</v>
      </c>
      <c r="C513" s="1" t="str">
        <f ca="1">IFERROR(__xludf.DUMMYFUNCTION("REGEXEXTRACT(B513, ""^([^:]+)"")"),"Vegetable oils")</f>
        <v>Vegetable oils</v>
      </c>
      <c r="D513" s="1" t="s">
        <v>11</v>
      </c>
      <c r="E513" s="1" t="s">
        <v>11</v>
      </c>
    </row>
    <row r="514" spans="1:5" ht="15.75" customHeight="1">
      <c r="A514" s="1">
        <v>151499</v>
      </c>
      <c r="B514" s="1" t="s">
        <v>523</v>
      </c>
      <c r="C514" s="1" t="str">
        <f ca="1">IFERROR(__xludf.DUMMYFUNCTION("REGEXEXTRACT(B514, ""^([^:]+)"")"),"Vegetable oils")</f>
        <v>Vegetable oils</v>
      </c>
      <c r="D514" s="1" t="s">
        <v>11</v>
      </c>
      <c r="E514" s="1" t="s">
        <v>11</v>
      </c>
    </row>
    <row r="515" spans="1:5" ht="15.75" customHeight="1">
      <c r="A515" s="1">
        <v>151511</v>
      </c>
      <c r="B515" s="1" t="s">
        <v>524</v>
      </c>
      <c r="C515" s="1" t="str">
        <f ca="1">IFERROR(__xludf.DUMMYFUNCTION("REGEXEXTRACT(B515, ""^([^:]+)"")"),"Vegetable oils")</f>
        <v>Vegetable oils</v>
      </c>
      <c r="D515" s="1" t="s">
        <v>11</v>
      </c>
      <c r="E515" s="1" t="s">
        <v>11</v>
      </c>
    </row>
    <row r="516" spans="1:5" ht="15.75" customHeight="1">
      <c r="A516" s="1">
        <v>151519</v>
      </c>
      <c r="B516" s="1" t="s">
        <v>525</v>
      </c>
      <c r="C516" s="1" t="str">
        <f ca="1">IFERROR(__xludf.DUMMYFUNCTION("REGEXEXTRACT(B516, ""^([^:]+)"")"),"Vegetable oils")</f>
        <v>Vegetable oils</v>
      </c>
      <c r="D516" s="1" t="s">
        <v>11</v>
      </c>
      <c r="E516" s="1" t="s">
        <v>11</v>
      </c>
    </row>
    <row r="517" spans="1:5" ht="15.75" customHeight="1">
      <c r="A517" s="1">
        <v>151521</v>
      </c>
      <c r="B517" s="1" t="s">
        <v>526</v>
      </c>
      <c r="C517" s="1" t="str">
        <f ca="1">IFERROR(__xludf.DUMMYFUNCTION("REGEXEXTRACT(B517, ""^([^:]+)"")"),"Vegetable oils")</f>
        <v>Vegetable oils</v>
      </c>
      <c r="D517" s="1" t="s">
        <v>11</v>
      </c>
      <c r="E517" s="1" t="s">
        <v>11</v>
      </c>
    </row>
    <row r="518" spans="1:5" ht="15.75" customHeight="1">
      <c r="A518" s="1">
        <v>151529</v>
      </c>
      <c r="B518" s="1" t="s">
        <v>527</v>
      </c>
      <c r="C518" s="1" t="str">
        <f ca="1">IFERROR(__xludf.DUMMYFUNCTION("REGEXEXTRACT(B518, ""^([^:]+)"")"),"Vegetable oils")</f>
        <v>Vegetable oils</v>
      </c>
      <c r="D518" s="1" t="s">
        <v>11</v>
      </c>
      <c r="E518" s="1" t="s">
        <v>11</v>
      </c>
    </row>
    <row r="519" spans="1:5" ht="15.75" customHeight="1">
      <c r="A519" s="1">
        <v>151530</v>
      </c>
      <c r="B519" s="1" t="s">
        <v>528</v>
      </c>
      <c r="C519" s="1" t="str">
        <f ca="1">IFERROR(__xludf.DUMMYFUNCTION("REGEXEXTRACT(B519, ""^([^:]+)"")"),"Vegetable oils")</f>
        <v>Vegetable oils</v>
      </c>
      <c r="D519" s="1" t="s">
        <v>11</v>
      </c>
      <c r="E519" s="1" t="s">
        <v>11</v>
      </c>
    </row>
    <row r="520" spans="1:5" ht="15.75" customHeight="1">
      <c r="A520" s="1">
        <v>151550</v>
      </c>
      <c r="B520" s="1" t="s">
        <v>529</v>
      </c>
      <c r="C520" s="1" t="str">
        <f ca="1">IFERROR(__xludf.DUMMYFUNCTION("REGEXEXTRACT(B520, ""^([^:]+)"")"),"Vegetable oils")</f>
        <v>Vegetable oils</v>
      </c>
      <c r="D520" s="1" t="s">
        <v>11</v>
      </c>
      <c r="E520" s="1" t="s">
        <v>11</v>
      </c>
    </row>
    <row r="521" spans="1:5" ht="15.75" customHeight="1">
      <c r="A521" s="1">
        <v>151590</v>
      </c>
      <c r="B521" s="1" t="s">
        <v>530</v>
      </c>
      <c r="C521" s="1" t="str">
        <f ca="1">IFERROR(__xludf.DUMMYFUNCTION("REGEXEXTRACT(B521, ""^([^:]+)"")"),"Vegetable fats and oils and their fractions")</f>
        <v>Vegetable fats and oils and their fractions</v>
      </c>
      <c r="D521" s="1" t="s">
        <v>11</v>
      </c>
      <c r="E521" s="1" t="s">
        <v>11</v>
      </c>
    </row>
    <row r="522" spans="1:5" ht="15.75" customHeight="1">
      <c r="A522" s="1">
        <v>151610</v>
      </c>
      <c r="B522" s="1" t="s">
        <v>531</v>
      </c>
      <c r="C522" s="1" t="str">
        <f ca="1">IFERROR(__xludf.DUMMYFUNCTION("REGEXEXTRACT(B522, ""^([^:]+)"")"),"Animal fats and oils and their fractions")</f>
        <v>Animal fats and oils and their fractions</v>
      </c>
      <c r="D522" s="1" t="s">
        <v>11</v>
      </c>
      <c r="E522" s="1" t="s">
        <v>11</v>
      </c>
    </row>
    <row r="523" spans="1:5" ht="15.75" customHeight="1">
      <c r="A523" s="1">
        <v>151620</v>
      </c>
      <c r="B523" s="1" t="s">
        <v>532</v>
      </c>
      <c r="C523" s="1" t="str">
        <f ca="1">IFERROR(__xludf.DUMMYFUNCTION("REGEXEXTRACT(B523, ""^([^:]+)"")"),"Vegetable fats and oils and their fractions")</f>
        <v>Vegetable fats and oils and their fractions</v>
      </c>
      <c r="D523" s="1" t="s">
        <v>11</v>
      </c>
      <c r="E523" s="1" t="s">
        <v>11</v>
      </c>
    </row>
    <row r="524" spans="1:5" ht="15.75" customHeight="1">
      <c r="A524" s="1">
        <v>151710</v>
      </c>
      <c r="B524" s="1" t="s">
        <v>533</v>
      </c>
      <c r="C524" s="1" t="str">
        <f ca="1">IFERROR(__xludf.DUMMYFUNCTION("REGEXEXTRACT(B524, ""^([^:]+)"")"),"Margarine")</f>
        <v>Margarine</v>
      </c>
      <c r="D524" s="1" t="s">
        <v>11</v>
      </c>
      <c r="E524" s="1" t="s">
        <v>11</v>
      </c>
    </row>
    <row r="525" spans="1:5" ht="15.75" customHeight="1">
      <c r="A525" s="1">
        <v>151790</v>
      </c>
      <c r="B525" s="1" t="s">
        <v>534</v>
      </c>
      <c r="C525" s="1" t="str">
        <f ca="1">IFERROR(__xludf.DUMMYFUNCTION("REGEXEXTRACT(B525, ""^([^:]+)"")"),"Edible mixtures or preparations of animal or vegetable fats or oils or of fractions of different fats or oils of this chapter, other than edible fats or oils of heading no. 1516")</f>
        <v>Edible mixtures or preparations of animal or vegetable fats or oils or of fractions of different fats or oils of this chapter, other than edible fats or oils of heading no. 1516</v>
      </c>
      <c r="D525" s="1" t="s">
        <v>11</v>
      </c>
      <c r="E525" s="1" t="s">
        <v>11</v>
      </c>
    </row>
    <row r="526" spans="1:5" ht="15.75" customHeight="1">
      <c r="A526" s="1">
        <v>151800</v>
      </c>
      <c r="B526" s="1" t="s">
        <v>535</v>
      </c>
      <c r="C526" s="1" t="str">
        <f ca="1">IFERROR(__xludf.DUMMYFUNCTION("REGEXEXTRACT(B526, ""^([^:]+)"")"),"Animal or vegetable fats and oils and their fractions")</f>
        <v>Animal or vegetable fats and oils and their fractions</v>
      </c>
      <c r="D526" s="1" t="s">
        <v>11</v>
      </c>
      <c r="E526" s="1" t="s">
        <v>11</v>
      </c>
    </row>
    <row r="527" spans="1:5" ht="15.75" customHeight="1">
      <c r="A527" s="1">
        <v>152000</v>
      </c>
      <c r="B527" s="1" t="s">
        <v>536</v>
      </c>
      <c r="C527" s="1" t="str">
        <f ca="1">IFERROR(__xludf.DUMMYFUNCTION("REGEXEXTRACT(B527, ""^([^:]+)"")"),"Glycerol, crude")</f>
        <v>Glycerol, crude</v>
      </c>
      <c r="D527" s="1" t="s">
        <v>11</v>
      </c>
      <c r="E527" s="1" t="s">
        <v>11</v>
      </c>
    </row>
    <row r="528" spans="1:5" ht="15.75" customHeight="1">
      <c r="A528" s="1">
        <v>152110</v>
      </c>
      <c r="B528" s="1" t="s">
        <v>537</v>
      </c>
      <c r="C528" s="1" t="str">
        <f ca="1">IFERROR(__xludf.DUMMYFUNCTION("REGEXEXTRACT(B528, ""^([^:]+)"")"),"Vegetable waxes (other than triglycerides)")</f>
        <v>Vegetable waxes (other than triglycerides)</v>
      </c>
      <c r="D528" s="1" t="s">
        <v>11</v>
      </c>
      <c r="E528" s="1" t="s">
        <v>11</v>
      </c>
    </row>
    <row r="529" spans="1:5" ht="15.75" customHeight="1">
      <c r="A529" s="1">
        <v>152190</v>
      </c>
      <c r="B529" s="1" t="s">
        <v>538</v>
      </c>
      <c r="C529" s="1" t="str">
        <f ca="1">IFERROR(__xludf.DUMMYFUNCTION("REGEXEXTRACT(B529, ""^([^:]+)"")"),"Waxes, other than vegetable, n.e.c. in heading no. 1521")</f>
        <v>Waxes, other than vegetable, n.e.c. in heading no. 1521</v>
      </c>
      <c r="D529" s="1" t="s">
        <v>11</v>
      </c>
      <c r="E529" s="1" t="s">
        <v>11</v>
      </c>
    </row>
    <row r="530" spans="1:5" ht="15.75" customHeight="1">
      <c r="A530" s="1">
        <v>152200</v>
      </c>
      <c r="B530" s="1" t="s">
        <v>539</v>
      </c>
      <c r="C530" s="1" t="str">
        <f ca="1">IFERROR(__xludf.DUMMYFUNCTION("REGEXEXTRACT(B530, ""^([^:]+)"")"),"Degras")</f>
        <v>Degras</v>
      </c>
      <c r="D530" s="1" t="s">
        <v>11</v>
      </c>
      <c r="E530" s="1" t="s">
        <v>11</v>
      </c>
    </row>
    <row r="531" spans="1:5" ht="15.75" customHeight="1">
      <c r="A531" s="1">
        <v>160100</v>
      </c>
      <c r="B531" s="1" t="s">
        <v>540</v>
      </c>
      <c r="C531" s="1" t="str">
        <f ca="1">IFERROR(__xludf.DUMMYFUNCTION("REGEXEXTRACT(B531, ""^([^:]+)"")"),"Meat preparations")</f>
        <v>Meat preparations</v>
      </c>
      <c r="D531" s="1" t="s">
        <v>11</v>
      </c>
      <c r="E531" s="1" t="s">
        <v>11</v>
      </c>
    </row>
    <row r="532" spans="1:5" ht="15.75" customHeight="1">
      <c r="A532" s="1">
        <v>160210</v>
      </c>
      <c r="B532" s="1" t="s">
        <v>541</v>
      </c>
      <c r="C532" s="1" t="str">
        <f ca="1">IFERROR(__xludf.DUMMYFUNCTION("REGEXEXTRACT(B532, ""^([^:]+)"")"),"Meat preparations")</f>
        <v>Meat preparations</v>
      </c>
      <c r="D532" s="1" t="s">
        <v>11</v>
      </c>
      <c r="E532" s="1" t="s">
        <v>11</v>
      </c>
    </row>
    <row r="533" spans="1:5" ht="15.75" customHeight="1">
      <c r="A533" s="1">
        <v>160220</v>
      </c>
      <c r="B533" s="1" t="s">
        <v>542</v>
      </c>
      <c r="C533" s="1" t="str">
        <f ca="1">IFERROR(__xludf.DUMMYFUNCTION("REGEXEXTRACT(B533, ""^([^:]+)"")"),"Meat preparations")</f>
        <v>Meat preparations</v>
      </c>
      <c r="D533" s="1" t="s">
        <v>11</v>
      </c>
      <c r="E533" s="1" t="s">
        <v>11</v>
      </c>
    </row>
    <row r="534" spans="1:5" ht="15.75" customHeight="1">
      <c r="A534" s="1">
        <v>160231</v>
      </c>
      <c r="B534" s="1" t="s">
        <v>543</v>
      </c>
      <c r="C534" s="1" t="str">
        <f ca="1">IFERROR(__xludf.DUMMYFUNCTION("REGEXEXTRACT(B534, ""^([^:]+)"")"),"Meat preparations")</f>
        <v>Meat preparations</v>
      </c>
      <c r="D534" s="1" t="s">
        <v>11</v>
      </c>
      <c r="E534" s="1" t="s">
        <v>11</v>
      </c>
    </row>
    <row r="535" spans="1:5" ht="15.75" customHeight="1">
      <c r="A535" s="1">
        <v>160232</v>
      </c>
      <c r="B535" s="1" t="s">
        <v>544</v>
      </c>
      <c r="C535" s="1" t="str">
        <f ca="1">IFERROR(__xludf.DUMMYFUNCTION("REGEXEXTRACT(B535, ""^([^:]+)"")"),"Meat preparations")</f>
        <v>Meat preparations</v>
      </c>
      <c r="D535" s="1" t="s">
        <v>11</v>
      </c>
      <c r="E535" s="1" t="s">
        <v>11</v>
      </c>
    </row>
    <row r="536" spans="1:5" ht="15.75" customHeight="1">
      <c r="A536" s="1">
        <v>160239</v>
      </c>
      <c r="B536" s="1" t="s">
        <v>545</v>
      </c>
      <c r="C536" s="1" t="str">
        <f ca="1">IFERROR(__xludf.DUMMYFUNCTION("REGEXEXTRACT(B536, ""^([^:]+)"")"),"Meat preparations")</f>
        <v>Meat preparations</v>
      </c>
      <c r="D536" s="1" t="s">
        <v>11</v>
      </c>
      <c r="E536" s="1" t="s">
        <v>11</v>
      </c>
    </row>
    <row r="537" spans="1:5" ht="15.75" customHeight="1">
      <c r="A537" s="1">
        <v>160241</v>
      </c>
      <c r="B537" s="1" t="s">
        <v>546</v>
      </c>
      <c r="C537" s="1" t="str">
        <f ca="1">IFERROR(__xludf.DUMMYFUNCTION("REGEXEXTRACT(B537, ""^([^:]+)"")"),"Meat preparations")</f>
        <v>Meat preparations</v>
      </c>
      <c r="D537" s="1" t="s">
        <v>11</v>
      </c>
      <c r="E537" s="1" t="s">
        <v>11</v>
      </c>
    </row>
    <row r="538" spans="1:5" ht="15.75" customHeight="1">
      <c r="A538" s="1">
        <v>160242</v>
      </c>
      <c r="B538" s="1" t="s">
        <v>547</v>
      </c>
      <c r="C538" s="1" t="str">
        <f ca="1">IFERROR(__xludf.DUMMYFUNCTION("REGEXEXTRACT(B538, ""^([^:]+)"")"),"Meat preparations")</f>
        <v>Meat preparations</v>
      </c>
      <c r="D538" s="1" t="s">
        <v>11</v>
      </c>
      <c r="E538" s="1" t="s">
        <v>11</v>
      </c>
    </row>
    <row r="539" spans="1:5" ht="15.75" customHeight="1">
      <c r="A539" s="1">
        <v>160249</v>
      </c>
      <c r="B539" s="1" t="s">
        <v>548</v>
      </c>
      <c r="C539" s="1" t="str">
        <f ca="1">IFERROR(__xludf.DUMMYFUNCTION("REGEXEXTRACT(B539, ""^([^:]+)"")"),"Meat preparations")</f>
        <v>Meat preparations</v>
      </c>
      <c r="D539" s="1" t="s">
        <v>11</v>
      </c>
      <c r="E539" s="1" t="s">
        <v>11</v>
      </c>
    </row>
    <row r="540" spans="1:5" ht="15.75" customHeight="1">
      <c r="A540" s="1">
        <v>160250</v>
      </c>
      <c r="B540" s="1" t="s">
        <v>549</v>
      </c>
      <c r="C540" s="1" t="str">
        <f ca="1">IFERROR(__xludf.DUMMYFUNCTION("REGEXEXTRACT(B540, ""^([^:]+)"")"),"Meat preparations")</f>
        <v>Meat preparations</v>
      </c>
      <c r="D540" s="1" t="s">
        <v>11</v>
      </c>
      <c r="E540" s="1" t="s">
        <v>11</v>
      </c>
    </row>
    <row r="541" spans="1:5" ht="15.75" customHeight="1">
      <c r="A541" s="1">
        <v>160290</v>
      </c>
      <c r="B541" s="1" t="s">
        <v>550</v>
      </c>
      <c r="C541" s="1" t="str">
        <f ca="1">IFERROR(__xludf.DUMMYFUNCTION("REGEXEXTRACT(B541, ""^([^:]+)"")"),"Meat preparations")</f>
        <v>Meat preparations</v>
      </c>
      <c r="D541" s="1" t="s">
        <v>11</v>
      </c>
      <c r="E541" s="1" t="s">
        <v>11</v>
      </c>
    </row>
    <row r="542" spans="1:5" ht="15.75" customHeight="1">
      <c r="A542" s="1">
        <v>160300</v>
      </c>
      <c r="B542" s="1" t="s">
        <v>551</v>
      </c>
      <c r="C542" s="1" t="str">
        <f ca="1">IFERROR(__xludf.DUMMYFUNCTION("REGEXEXTRACT(B542, ""^([^:]+)"")"),"Extracts and juices")</f>
        <v>Extracts and juices</v>
      </c>
      <c r="D542" s="1" t="s">
        <v>11</v>
      </c>
      <c r="E542" s="1" t="s">
        <v>11</v>
      </c>
    </row>
    <row r="543" spans="1:5" ht="15.75" customHeight="1">
      <c r="A543" s="1">
        <v>160411</v>
      </c>
      <c r="B543" s="1" t="s">
        <v>552</v>
      </c>
      <c r="C543" s="1" t="str">
        <f ca="1">IFERROR(__xludf.DUMMYFUNCTION("REGEXEXTRACT(B543, ""^([^:]+)"")"),"Fish preparations")</f>
        <v>Fish preparations</v>
      </c>
      <c r="D543" s="1" t="s">
        <v>11</v>
      </c>
      <c r="E543" s="1" t="s">
        <v>11</v>
      </c>
    </row>
    <row r="544" spans="1:5" ht="15.75" customHeight="1">
      <c r="A544" s="1">
        <v>160412</v>
      </c>
      <c r="B544" s="1" t="s">
        <v>553</v>
      </c>
      <c r="C544" s="1" t="str">
        <f ca="1">IFERROR(__xludf.DUMMYFUNCTION("REGEXEXTRACT(B544, ""^([^:]+)"")"),"Fish preparations")</f>
        <v>Fish preparations</v>
      </c>
      <c r="D544" s="1" t="s">
        <v>11</v>
      </c>
      <c r="E544" s="1" t="s">
        <v>11</v>
      </c>
    </row>
    <row r="545" spans="1:5" ht="15.75" customHeight="1">
      <c r="A545" s="1">
        <v>160413</v>
      </c>
      <c r="B545" s="1" t="s">
        <v>554</v>
      </c>
      <c r="C545" s="1" t="str">
        <f ca="1">IFERROR(__xludf.DUMMYFUNCTION("REGEXEXTRACT(B545, ""^([^:]+)"")"),"Fish preparations")</f>
        <v>Fish preparations</v>
      </c>
      <c r="D545" s="1" t="s">
        <v>11</v>
      </c>
      <c r="E545" s="1" t="s">
        <v>11</v>
      </c>
    </row>
    <row r="546" spans="1:5" ht="15.75" customHeight="1">
      <c r="A546" s="1">
        <v>160414</v>
      </c>
      <c r="B546" s="1" t="s">
        <v>555</v>
      </c>
      <c r="C546" s="1" t="str">
        <f ca="1">IFERROR(__xludf.DUMMYFUNCTION("REGEXEXTRACT(B546, ""^([^:]+)"")"),"Fish preparations")</f>
        <v>Fish preparations</v>
      </c>
      <c r="D546" s="1" t="s">
        <v>11</v>
      </c>
      <c r="E546" s="1" t="s">
        <v>11</v>
      </c>
    </row>
    <row r="547" spans="1:5" ht="15.75" customHeight="1">
      <c r="A547" s="1">
        <v>160415</v>
      </c>
      <c r="B547" s="1" t="s">
        <v>556</v>
      </c>
      <c r="C547" s="1" t="str">
        <f ca="1">IFERROR(__xludf.DUMMYFUNCTION("REGEXEXTRACT(B547, ""^([^:]+)"")"),"Fish preparations")</f>
        <v>Fish preparations</v>
      </c>
      <c r="D547" s="1" t="s">
        <v>11</v>
      </c>
      <c r="E547" s="1" t="s">
        <v>11</v>
      </c>
    </row>
    <row r="548" spans="1:5" ht="15.75" customHeight="1">
      <c r="A548" s="1">
        <v>160416</v>
      </c>
      <c r="B548" s="1" t="s">
        <v>557</v>
      </c>
      <c r="C548" s="1" t="str">
        <f ca="1">IFERROR(__xludf.DUMMYFUNCTION("REGEXEXTRACT(B548, ""^([^:]+)"")"),"Fish preparations")</f>
        <v>Fish preparations</v>
      </c>
      <c r="D548" s="1" t="s">
        <v>11</v>
      </c>
      <c r="E548" s="1" t="s">
        <v>11</v>
      </c>
    </row>
    <row r="549" spans="1:5" ht="15.75" customHeight="1">
      <c r="A549" s="1">
        <v>160419</v>
      </c>
      <c r="B549" s="1" t="s">
        <v>558</v>
      </c>
      <c r="C549" s="1" t="str">
        <f ca="1">IFERROR(__xludf.DUMMYFUNCTION("REGEXEXTRACT(B549, ""^([^:]+)"")"),"Fish preparations")</f>
        <v>Fish preparations</v>
      </c>
      <c r="D549" s="1" t="s">
        <v>11</v>
      </c>
      <c r="E549" s="1" t="s">
        <v>11</v>
      </c>
    </row>
    <row r="550" spans="1:5" ht="15.75" customHeight="1">
      <c r="A550" s="1">
        <v>160420</v>
      </c>
      <c r="B550" s="1" t="s">
        <v>559</v>
      </c>
      <c r="C550" s="1" t="str">
        <f ca="1">IFERROR(__xludf.DUMMYFUNCTION("REGEXEXTRACT(B550, ""^([^:]+)"")"),"Fish preparations")</f>
        <v>Fish preparations</v>
      </c>
      <c r="D550" s="1" t="s">
        <v>11</v>
      </c>
      <c r="E550" s="1" t="s">
        <v>11</v>
      </c>
    </row>
    <row r="551" spans="1:5" ht="15.75" customHeight="1">
      <c r="A551" s="1">
        <v>160430</v>
      </c>
      <c r="B551" s="1" t="s">
        <v>560</v>
      </c>
      <c r="C551" s="1" t="str">
        <f ca="1">IFERROR(__xludf.DUMMYFUNCTION("REGEXEXTRACT(B551, ""^([^:]+)"")"),"Fish preparations")</f>
        <v>Fish preparations</v>
      </c>
      <c r="D551" s="1" t="s">
        <v>11</v>
      </c>
      <c r="E551" s="1" t="s">
        <v>11</v>
      </c>
    </row>
    <row r="552" spans="1:5" ht="15.75" customHeight="1">
      <c r="A552" s="1">
        <v>160510</v>
      </c>
      <c r="B552" s="1" t="s">
        <v>561</v>
      </c>
      <c r="C552" s="1" t="str">
        <f ca="1">IFERROR(__xludf.DUMMYFUNCTION("REGEXEXTRACT(B552, ""^([^:]+)"")"),"Crustacean preparations")</f>
        <v>Crustacean preparations</v>
      </c>
      <c r="D552" s="1" t="s">
        <v>11</v>
      </c>
      <c r="E552" s="1" t="s">
        <v>11</v>
      </c>
    </row>
    <row r="553" spans="1:5" ht="15.75" customHeight="1">
      <c r="A553" s="1">
        <v>160520</v>
      </c>
      <c r="B553" s="1" t="s">
        <v>562</v>
      </c>
      <c r="C553" s="1" t="str">
        <f ca="1">IFERROR(__xludf.DUMMYFUNCTION("REGEXEXTRACT(B553, ""^([^:]+)"")"),"Crustacean preparations")</f>
        <v>Crustacean preparations</v>
      </c>
      <c r="D553" s="1" t="s">
        <v>11</v>
      </c>
      <c r="E553" s="1" t="s">
        <v>11</v>
      </c>
    </row>
    <row r="554" spans="1:5" ht="15.75" customHeight="1">
      <c r="A554" s="1">
        <v>160530</v>
      </c>
      <c r="B554" s="1" t="s">
        <v>563</v>
      </c>
      <c r="C554" s="1" t="str">
        <f ca="1">IFERROR(__xludf.DUMMYFUNCTION("REGEXEXTRACT(B554, ""^([^:]+)"")"),"Crustacean preparations")</f>
        <v>Crustacean preparations</v>
      </c>
      <c r="D554" s="1" t="s">
        <v>11</v>
      </c>
      <c r="E554" s="1" t="s">
        <v>11</v>
      </c>
    </row>
    <row r="555" spans="1:5" ht="15.75" customHeight="1">
      <c r="A555" s="1">
        <v>160540</v>
      </c>
      <c r="B555" s="1" t="s">
        <v>564</v>
      </c>
      <c r="C555" s="1" t="str">
        <f ca="1">IFERROR(__xludf.DUMMYFUNCTION("REGEXEXTRACT(B555, ""^([^:]+)"")"),"Crustacean preparations")</f>
        <v>Crustacean preparations</v>
      </c>
      <c r="D555" s="1" t="s">
        <v>11</v>
      </c>
      <c r="E555" s="1" t="s">
        <v>11</v>
      </c>
    </row>
    <row r="556" spans="1:5" ht="15.75" customHeight="1">
      <c r="A556" s="1">
        <v>160590</v>
      </c>
      <c r="B556" s="1" t="s">
        <v>565</v>
      </c>
      <c r="C556" s="1" t="str">
        <f ca="1">IFERROR(__xludf.DUMMYFUNCTION("REGEXEXTRACT(B556, ""^([^:]+)"")"),"Molluscs and other aquatic invertebrates")</f>
        <v>Molluscs and other aquatic invertebrates</v>
      </c>
      <c r="D556" s="1" t="s">
        <v>11</v>
      </c>
      <c r="E556" s="1" t="s">
        <v>11</v>
      </c>
    </row>
    <row r="557" spans="1:5" ht="15.75" customHeight="1">
      <c r="A557" s="1">
        <v>170111</v>
      </c>
      <c r="B557" s="1" t="s">
        <v>566</v>
      </c>
      <c r="C557" s="1" t="str">
        <f ca="1">IFERROR(__xludf.DUMMYFUNCTION("REGEXEXTRACT(B557, ""^([^:]+)"")"),"Sugars")</f>
        <v>Sugars</v>
      </c>
      <c r="D557" s="1" t="s">
        <v>11</v>
      </c>
      <c r="E557" s="1" t="s">
        <v>11</v>
      </c>
    </row>
    <row r="558" spans="1:5" ht="15.75" customHeight="1">
      <c r="A558" s="1">
        <v>170112</v>
      </c>
      <c r="B558" s="1" t="s">
        <v>567</v>
      </c>
      <c r="C558" s="1" t="str">
        <f ca="1">IFERROR(__xludf.DUMMYFUNCTION("REGEXEXTRACT(B558, ""^([^:]+)"")"),"Sugars")</f>
        <v>Sugars</v>
      </c>
      <c r="D558" s="1" t="s">
        <v>11</v>
      </c>
      <c r="E558" s="1" t="s">
        <v>11</v>
      </c>
    </row>
    <row r="559" spans="1:5" ht="15.75" customHeight="1">
      <c r="A559" s="1">
        <v>170191</v>
      </c>
      <c r="B559" s="1" t="s">
        <v>568</v>
      </c>
      <c r="C559" s="1" t="str">
        <f ca="1">IFERROR(__xludf.DUMMYFUNCTION("REGEXEXTRACT(B559, ""^([^:]+)"")"),"Sucrose")</f>
        <v>Sucrose</v>
      </c>
      <c r="D559" s="1" t="s">
        <v>11</v>
      </c>
      <c r="E559" s="1" t="s">
        <v>11</v>
      </c>
    </row>
    <row r="560" spans="1:5" ht="15.75" customHeight="1">
      <c r="A560" s="1">
        <v>170199</v>
      </c>
      <c r="B560" s="1" t="s">
        <v>569</v>
      </c>
      <c r="C560" s="1" t="str">
        <f ca="1">IFERROR(__xludf.DUMMYFUNCTION("REGEXEXTRACT(B560, ""^([^:]+)"")"),"Sucrose")</f>
        <v>Sucrose</v>
      </c>
      <c r="D560" s="1" t="s">
        <v>11</v>
      </c>
      <c r="E560" s="1" t="s">
        <v>11</v>
      </c>
    </row>
    <row r="561" spans="1:5" ht="15.75" customHeight="1">
      <c r="A561" s="1">
        <v>170211</v>
      </c>
      <c r="B561" s="1" t="s">
        <v>570</v>
      </c>
      <c r="C561" s="1" t="str">
        <f ca="1">IFERROR(__xludf.DUMMYFUNCTION("REGEXEXTRACT(B561, ""^([^:]+)"")"),"Sugars")</f>
        <v>Sugars</v>
      </c>
      <c r="D561" s="1" t="s">
        <v>11</v>
      </c>
      <c r="E561" s="1" t="s">
        <v>11</v>
      </c>
    </row>
    <row r="562" spans="1:5" ht="15.75" customHeight="1">
      <c r="A562" s="1">
        <v>170219</v>
      </c>
      <c r="B562" s="1" t="s">
        <v>571</v>
      </c>
      <c r="C562" s="1" t="str">
        <f ca="1">IFERROR(__xludf.DUMMYFUNCTION("REGEXEXTRACT(B562, ""^([^:]+)"")"),"Sugars")</f>
        <v>Sugars</v>
      </c>
      <c r="D562" s="1" t="s">
        <v>11</v>
      </c>
      <c r="E562" s="1" t="s">
        <v>11</v>
      </c>
    </row>
    <row r="563" spans="1:5" ht="15.75" customHeight="1">
      <c r="A563" s="1">
        <v>170220</v>
      </c>
      <c r="B563" s="1" t="s">
        <v>572</v>
      </c>
      <c r="C563" s="1" t="str">
        <f ca="1">IFERROR(__xludf.DUMMYFUNCTION("REGEXEXTRACT(B563, ""^([^:]+)"")"),"Sugars")</f>
        <v>Sugars</v>
      </c>
      <c r="D563" s="1" t="s">
        <v>11</v>
      </c>
      <c r="E563" s="1" t="s">
        <v>11</v>
      </c>
    </row>
    <row r="564" spans="1:5" ht="15.75" customHeight="1">
      <c r="A564" s="1">
        <v>170230</v>
      </c>
      <c r="B564" s="1" t="s">
        <v>573</v>
      </c>
      <c r="C564" s="1" t="str">
        <f ca="1">IFERROR(__xludf.DUMMYFUNCTION("REGEXEXTRACT(B564, ""^([^:]+)"")"),"Sugars")</f>
        <v>Sugars</v>
      </c>
      <c r="D564" s="1" t="s">
        <v>11</v>
      </c>
      <c r="E564" s="1" t="s">
        <v>11</v>
      </c>
    </row>
    <row r="565" spans="1:5" ht="15.75" customHeight="1">
      <c r="A565" s="1">
        <v>170240</v>
      </c>
      <c r="B565" s="1" t="s">
        <v>574</v>
      </c>
      <c r="C565" s="1" t="str">
        <f ca="1">IFERROR(__xludf.DUMMYFUNCTION("REGEXEXTRACT(B565, ""^([^:]+)"")"),"Sugars")</f>
        <v>Sugars</v>
      </c>
      <c r="D565" s="1" t="s">
        <v>11</v>
      </c>
      <c r="E565" s="1" t="s">
        <v>11</v>
      </c>
    </row>
    <row r="566" spans="1:5" ht="15.75" customHeight="1">
      <c r="A566" s="1">
        <v>170250</v>
      </c>
      <c r="B566" s="1" t="s">
        <v>575</v>
      </c>
      <c r="C566" s="1" t="str">
        <f ca="1">IFERROR(__xludf.DUMMYFUNCTION("REGEXEXTRACT(B566, ""^([^:]+)"")"),"Sugars")</f>
        <v>Sugars</v>
      </c>
      <c r="D566" s="1" t="s">
        <v>11</v>
      </c>
      <c r="E566" s="1" t="s">
        <v>11</v>
      </c>
    </row>
    <row r="567" spans="1:5" ht="15.75" customHeight="1">
      <c r="A567" s="1">
        <v>170260</v>
      </c>
      <c r="B567" s="1" t="s">
        <v>576</v>
      </c>
      <c r="C567" s="1" t="str">
        <f ca="1">IFERROR(__xludf.DUMMYFUNCTION("REGEXEXTRACT(B567, ""^([^:]+)"")"),"Sugars")</f>
        <v>Sugars</v>
      </c>
      <c r="D567" s="1" t="s">
        <v>11</v>
      </c>
      <c r="E567" s="1" t="s">
        <v>11</v>
      </c>
    </row>
    <row r="568" spans="1:5" ht="15.75" customHeight="1">
      <c r="A568" s="1">
        <v>170290</v>
      </c>
      <c r="B568" s="1" t="s">
        <v>577</v>
      </c>
      <c r="C568" s="1" t="str">
        <f ca="1">IFERROR(__xludf.DUMMYFUNCTION("REGEXEXTRACT(B568, ""^([^:]+)"")"),"Sugars")</f>
        <v>Sugars</v>
      </c>
      <c r="D568" s="1" t="s">
        <v>11</v>
      </c>
      <c r="E568" s="1" t="s">
        <v>11</v>
      </c>
    </row>
    <row r="569" spans="1:5" ht="15.75" customHeight="1">
      <c r="A569" s="1">
        <v>170310</v>
      </c>
      <c r="B569" s="1" t="s">
        <v>578</v>
      </c>
      <c r="C569" s="1" t="str">
        <f ca="1">IFERROR(__xludf.DUMMYFUNCTION("REGEXEXTRACT(B569, ""^([^:]+)"")"),"Sugars")</f>
        <v>Sugars</v>
      </c>
      <c r="D569" s="1" t="s">
        <v>11</v>
      </c>
      <c r="E569" s="1" t="s">
        <v>11</v>
      </c>
    </row>
    <row r="570" spans="1:5" ht="15.75" customHeight="1">
      <c r="A570" s="1">
        <v>170390</v>
      </c>
      <c r="B570" s="1" t="s">
        <v>579</v>
      </c>
      <c r="C570" s="1" t="str">
        <f ca="1">IFERROR(__xludf.DUMMYFUNCTION("REGEXEXTRACT(B570, ""^([^:]+)"")"),"Sugars")</f>
        <v>Sugars</v>
      </c>
      <c r="D570" s="1" t="s">
        <v>11</v>
      </c>
      <c r="E570" s="1" t="s">
        <v>11</v>
      </c>
    </row>
    <row r="571" spans="1:5" ht="15.75" customHeight="1">
      <c r="A571" s="1">
        <v>170410</v>
      </c>
      <c r="B571" s="1" t="s">
        <v>580</v>
      </c>
      <c r="C571" s="1" t="str">
        <f ca="1">IFERROR(__xludf.DUMMYFUNCTION("REGEXEXTRACT(B571, ""^([^:]+)"")"),"Sugar confectionery")</f>
        <v>Sugar confectionery</v>
      </c>
      <c r="D571" s="1" t="s">
        <v>11</v>
      </c>
      <c r="E571" s="1" t="s">
        <v>11</v>
      </c>
    </row>
    <row r="572" spans="1:5" ht="15.75" customHeight="1">
      <c r="A572" s="1">
        <v>170490</v>
      </c>
      <c r="B572" s="1" t="s">
        <v>581</v>
      </c>
      <c r="C572" s="1" t="str">
        <f ca="1">IFERROR(__xludf.DUMMYFUNCTION("REGEXEXTRACT(B572, ""^([^:]+)"")"),"Sugar confectionery")</f>
        <v>Sugar confectionery</v>
      </c>
      <c r="D572" s="1" t="s">
        <v>11</v>
      </c>
      <c r="E572" s="1" t="s">
        <v>11</v>
      </c>
    </row>
    <row r="573" spans="1:5" ht="15.75" customHeight="1">
      <c r="A573" s="1">
        <v>180100</v>
      </c>
      <c r="B573" s="1" t="s">
        <v>582</v>
      </c>
      <c r="C573" s="1" t="str">
        <f ca="1">IFERROR(__xludf.DUMMYFUNCTION("REGEXEXTRACT(B573, ""^([^:]+)"")"),"Cocoa beans")</f>
        <v>Cocoa beans</v>
      </c>
      <c r="D573" s="1" t="s">
        <v>11</v>
      </c>
      <c r="E573" s="1" t="s">
        <v>11</v>
      </c>
    </row>
    <row r="574" spans="1:5" ht="15.75" customHeight="1">
      <c r="A574" s="1">
        <v>180200</v>
      </c>
      <c r="B574" s="1" t="s">
        <v>583</v>
      </c>
      <c r="C574" s="1" t="str">
        <f ca="1">IFERROR(__xludf.DUMMYFUNCTION("REGEXEXTRACT(B574, ""^([^:]+)"")"),"Cocoa")</f>
        <v>Cocoa</v>
      </c>
      <c r="D574" s="1" t="s">
        <v>11</v>
      </c>
      <c r="E574" s="1" t="s">
        <v>11</v>
      </c>
    </row>
    <row r="575" spans="1:5" ht="15.75" customHeight="1">
      <c r="A575" s="1">
        <v>180310</v>
      </c>
      <c r="B575" s="1" t="s">
        <v>584</v>
      </c>
      <c r="C575" s="1" t="str">
        <f ca="1">IFERROR(__xludf.DUMMYFUNCTION("REGEXEXTRACT(B575, ""^([^:]+)"")"),"Cocoa")</f>
        <v>Cocoa</v>
      </c>
      <c r="D575" s="1" t="s">
        <v>11</v>
      </c>
      <c r="E575" s="1" t="s">
        <v>11</v>
      </c>
    </row>
    <row r="576" spans="1:5" ht="15.75" customHeight="1">
      <c r="A576" s="1">
        <v>180320</v>
      </c>
      <c r="B576" s="1" t="s">
        <v>585</v>
      </c>
      <c r="C576" s="1" t="str">
        <f ca="1">IFERROR(__xludf.DUMMYFUNCTION("REGEXEXTRACT(B576, ""^([^:]+)"")"),"Cocoa")</f>
        <v>Cocoa</v>
      </c>
      <c r="D576" s="1" t="s">
        <v>11</v>
      </c>
      <c r="E576" s="1" t="s">
        <v>11</v>
      </c>
    </row>
    <row r="577" spans="1:5" ht="15.75" customHeight="1">
      <c r="A577" s="1">
        <v>180400</v>
      </c>
      <c r="B577" s="1" t="s">
        <v>586</v>
      </c>
      <c r="C577" s="1" t="str">
        <f ca="1">IFERROR(__xludf.DUMMYFUNCTION("REGEXEXTRACT(B577, ""^([^:]+)"")"),"Cocoa")</f>
        <v>Cocoa</v>
      </c>
      <c r="D577" s="1" t="s">
        <v>11</v>
      </c>
      <c r="E577" s="1" t="s">
        <v>11</v>
      </c>
    </row>
    <row r="578" spans="1:5" ht="15.75" customHeight="1">
      <c r="A578" s="1">
        <v>180500</v>
      </c>
      <c r="B578" s="1" t="s">
        <v>587</v>
      </c>
      <c r="C578" s="1" t="str">
        <f ca="1">IFERROR(__xludf.DUMMYFUNCTION("REGEXEXTRACT(B578, ""^([^:]+)"")"),"Cocoa")</f>
        <v>Cocoa</v>
      </c>
      <c r="D578" s="1" t="s">
        <v>11</v>
      </c>
      <c r="E578" s="1" t="s">
        <v>11</v>
      </c>
    </row>
    <row r="579" spans="1:5" ht="15.75" customHeight="1">
      <c r="A579" s="1">
        <v>180610</v>
      </c>
      <c r="B579" s="1" t="s">
        <v>588</v>
      </c>
      <c r="C579" s="1" t="str">
        <f ca="1">IFERROR(__xludf.DUMMYFUNCTION("REGEXEXTRACT(B579, ""^([^:]+)"")"),"Cocoa")</f>
        <v>Cocoa</v>
      </c>
      <c r="D579" s="1" t="s">
        <v>11</v>
      </c>
      <c r="E579" s="1" t="s">
        <v>11</v>
      </c>
    </row>
    <row r="580" spans="1:5" ht="15.75" customHeight="1">
      <c r="A580" s="1">
        <v>180620</v>
      </c>
      <c r="B580" s="1" t="s">
        <v>589</v>
      </c>
      <c r="C580" s="1" t="str">
        <f ca="1">IFERROR(__xludf.DUMMYFUNCTION("REGEXEXTRACT(B580, ""^([^:]+)"")"),"Chocolate &amp; other food preparations containing cocoa")</f>
        <v>Chocolate &amp; other food preparations containing cocoa</v>
      </c>
      <c r="D580" s="1" t="s">
        <v>11</v>
      </c>
      <c r="E580" s="1" t="s">
        <v>11</v>
      </c>
    </row>
    <row r="581" spans="1:5" ht="15.75" customHeight="1">
      <c r="A581" s="1">
        <v>180631</v>
      </c>
      <c r="B581" s="1" t="s">
        <v>590</v>
      </c>
      <c r="C581" s="1" t="str">
        <f ca="1">IFERROR(__xludf.DUMMYFUNCTION("REGEXEXTRACT(B581, ""^([^:]+)"")"),"Chocolate and other food preparations containing cocoa")</f>
        <v>Chocolate and other food preparations containing cocoa</v>
      </c>
      <c r="D581" s="1" t="s">
        <v>11</v>
      </c>
      <c r="E581" s="1" t="s">
        <v>11</v>
      </c>
    </row>
    <row r="582" spans="1:5" ht="15.75" customHeight="1">
      <c r="A582" s="1">
        <v>180632</v>
      </c>
      <c r="B582" s="1" t="s">
        <v>591</v>
      </c>
      <c r="C582" s="1" t="str">
        <f ca="1">IFERROR(__xludf.DUMMYFUNCTION("REGEXEXTRACT(B582, ""^([^:]+)"")"),"Chocolate and other food preparations containing cocoa")</f>
        <v>Chocolate and other food preparations containing cocoa</v>
      </c>
      <c r="D582" s="1" t="s">
        <v>11</v>
      </c>
      <c r="E582" s="1" t="s">
        <v>11</v>
      </c>
    </row>
    <row r="583" spans="1:5" ht="15.75" customHeight="1">
      <c r="A583" s="1">
        <v>180690</v>
      </c>
      <c r="B583" s="1" t="s">
        <v>592</v>
      </c>
      <c r="C583" s="1" t="str">
        <f ca="1">IFERROR(__xludf.DUMMYFUNCTION("REGEXEXTRACT(B583, ""^([^:]+)"")"),"Chocolate and other food preparations containing cocoa")</f>
        <v>Chocolate and other food preparations containing cocoa</v>
      </c>
      <c r="D583" s="1" t="s">
        <v>11</v>
      </c>
      <c r="E583" s="1" t="s">
        <v>11</v>
      </c>
    </row>
    <row r="584" spans="1:5" ht="15.75" customHeight="1">
      <c r="A584" s="1">
        <v>190110</v>
      </c>
      <c r="B584" s="1" t="s">
        <v>593</v>
      </c>
      <c r="C584" s="1" t="str">
        <f ca="1">IFERROR(__xludf.DUMMYFUNCTION("REGEXEXTRACT(B584, ""^([^:]+)"")"),"Food preparations")</f>
        <v>Food preparations</v>
      </c>
      <c r="D584" s="1" t="s">
        <v>11</v>
      </c>
      <c r="E584" s="1" t="s">
        <v>11</v>
      </c>
    </row>
    <row r="585" spans="1:5" ht="15.75" customHeight="1">
      <c r="A585" s="1">
        <v>190120</v>
      </c>
      <c r="B585" s="1" t="s">
        <v>594</v>
      </c>
      <c r="C585" s="1" t="str">
        <f ca="1">IFERROR(__xludf.DUMMYFUNCTION("REGEXEXTRACT(B585, ""^([^:]+)"")"),"Food preparations")</f>
        <v>Food preparations</v>
      </c>
      <c r="D585" s="1" t="s">
        <v>11</v>
      </c>
      <c r="E585" s="1" t="s">
        <v>11</v>
      </c>
    </row>
    <row r="586" spans="1:5" ht="15.75" customHeight="1">
      <c r="A586" s="1">
        <v>190190</v>
      </c>
      <c r="B586" s="1" t="s">
        <v>595</v>
      </c>
      <c r="C586" s="1" t="str">
        <f ca="1">IFERROR(__xludf.DUMMYFUNCTION("REGEXEXTRACT(B586, ""^([^:]+)"")"),"Food preparations")</f>
        <v>Food preparations</v>
      </c>
      <c r="D586" s="1" t="s">
        <v>11</v>
      </c>
      <c r="E586" s="1" t="s">
        <v>11</v>
      </c>
    </row>
    <row r="587" spans="1:5" ht="15.75" customHeight="1">
      <c r="A587" s="1">
        <v>190211</v>
      </c>
      <c r="B587" s="1" t="s">
        <v>596</v>
      </c>
      <c r="C587" s="1" t="str">
        <f ca="1">IFERROR(__xludf.DUMMYFUNCTION("REGEXEXTRACT(B587, ""^([^:]+)"")"),"Food preparations")</f>
        <v>Food preparations</v>
      </c>
      <c r="D587" s="1" t="s">
        <v>11</v>
      </c>
      <c r="E587" s="1" t="s">
        <v>11</v>
      </c>
    </row>
    <row r="588" spans="1:5" ht="15.75" customHeight="1">
      <c r="A588" s="1">
        <v>190219</v>
      </c>
      <c r="B588" s="1" t="s">
        <v>597</v>
      </c>
      <c r="C588" s="1" t="str">
        <f ca="1">IFERROR(__xludf.DUMMYFUNCTION("REGEXEXTRACT(B588, ""^([^:]+)"")"),"Food preparations")</f>
        <v>Food preparations</v>
      </c>
      <c r="D588" s="1" t="s">
        <v>11</v>
      </c>
      <c r="E588" s="1" t="s">
        <v>11</v>
      </c>
    </row>
    <row r="589" spans="1:5" ht="15.75" customHeight="1">
      <c r="A589" s="1">
        <v>190220</v>
      </c>
      <c r="B589" s="1" t="s">
        <v>598</v>
      </c>
      <c r="C589" s="1" t="str">
        <f ca="1">IFERROR(__xludf.DUMMYFUNCTION("REGEXEXTRACT(B589, ""^([^:]+)"")"),"Food preparations")</f>
        <v>Food preparations</v>
      </c>
      <c r="D589" s="1" t="s">
        <v>11</v>
      </c>
      <c r="E589" s="1" t="s">
        <v>11</v>
      </c>
    </row>
    <row r="590" spans="1:5" ht="15.75" customHeight="1">
      <c r="A590" s="1">
        <v>190230</v>
      </c>
      <c r="B590" s="1" t="s">
        <v>599</v>
      </c>
      <c r="C590" s="1" t="str">
        <f ca="1">IFERROR(__xludf.DUMMYFUNCTION("REGEXEXTRACT(B590, ""^([^:]+)"")"),"Food preparations")</f>
        <v>Food preparations</v>
      </c>
      <c r="D590" s="1" t="s">
        <v>11</v>
      </c>
      <c r="E590" s="1" t="s">
        <v>11</v>
      </c>
    </row>
    <row r="591" spans="1:5" ht="15.75" customHeight="1">
      <c r="A591" s="1">
        <v>190240</v>
      </c>
      <c r="B591" s="1" t="s">
        <v>600</v>
      </c>
      <c r="C591" s="1" t="str">
        <f ca="1">IFERROR(__xludf.DUMMYFUNCTION("REGEXEXTRACT(B591, ""^([^:]+)"")"),"Food preparations")</f>
        <v>Food preparations</v>
      </c>
      <c r="D591" s="1" t="s">
        <v>11</v>
      </c>
      <c r="E591" s="1" t="s">
        <v>11</v>
      </c>
    </row>
    <row r="592" spans="1:5" ht="15.75" customHeight="1">
      <c r="A592" s="1">
        <v>190300</v>
      </c>
      <c r="B592" s="1" t="s">
        <v>601</v>
      </c>
      <c r="C592" s="1" t="str">
        <f ca="1">IFERROR(__xludf.DUMMYFUNCTION("REGEXEXTRACT(B592, ""^([^:]+)"")"),"Food preparations")</f>
        <v>Food preparations</v>
      </c>
      <c r="D592" s="1" t="s">
        <v>11</v>
      </c>
      <c r="E592" s="1" t="s">
        <v>11</v>
      </c>
    </row>
    <row r="593" spans="1:5" ht="15.75" customHeight="1">
      <c r="A593" s="1">
        <v>190410</v>
      </c>
      <c r="B593" s="1" t="s">
        <v>602</v>
      </c>
      <c r="C593" s="1" t="str">
        <f ca="1">IFERROR(__xludf.DUMMYFUNCTION("REGEXEXTRACT(B593, ""^([^:]+)"")"),"Food preparations")</f>
        <v>Food preparations</v>
      </c>
      <c r="D593" s="1" t="s">
        <v>11</v>
      </c>
      <c r="E593" s="1" t="s">
        <v>11</v>
      </c>
    </row>
    <row r="594" spans="1:5" ht="15.75" customHeight="1">
      <c r="A594" s="1">
        <v>190420</v>
      </c>
      <c r="B594" s="1" t="s">
        <v>603</v>
      </c>
      <c r="C594" s="1" t="str">
        <f ca="1">IFERROR(__xludf.DUMMYFUNCTION("REGEXEXTRACT(B594, ""^([^:]+)"")"),"Food preparations")</f>
        <v>Food preparations</v>
      </c>
      <c r="D594" s="1" t="s">
        <v>11</v>
      </c>
      <c r="E594" s="1" t="s">
        <v>11</v>
      </c>
    </row>
    <row r="595" spans="1:5" ht="15.75" customHeight="1">
      <c r="A595" s="1">
        <v>190430</v>
      </c>
      <c r="B595" s="1" t="s">
        <v>604</v>
      </c>
      <c r="C595" s="1" t="str">
        <f ca="1">IFERROR(__xludf.DUMMYFUNCTION("REGEXEXTRACT(B595, ""^([^:]+)"")"),"Prepared foods obtained by the swelling or roasting of cereals or cereal products (egg corn flakes)")</f>
        <v>Prepared foods obtained by the swelling or roasting of cereals or cereal products (egg corn flakes)</v>
      </c>
      <c r="D595" s="1" t="s">
        <v>11</v>
      </c>
      <c r="E595" s="1" t="s">
        <v>11</v>
      </c>
    </row>
    <row r="596" spans="1:5" ht="15.75" customHeight="1">
      <c r="A596" s="1">
        <v>190490</v>
      </c>
      <c r="B596" s="1" t="s">
        <v>605</v>
      </c>
      <c r="C596" s="1" t="str">
        <f ca="1">IFERROR(__xludf.DUMMYFUNCTION("REGEXEXTRACT(B596, ""^([^:]+)"")"),"Food preparations")</f>
        <v>Food preparations</v>
      </c>
      <c r="D596" s="1" t="s">
        <v>11</v>
      </c>
      <c r="E596" s="1" t="s">
        <v>11</v>
      </c>
    </row>
    <row r="597" spans="1:5" ht="15.75" customHeight="1">
      <c r="A597" s="1">
        <v>190510</v>
      </c>
      <c r="B597" s="1" t="s">
        <v>606</v>
      </c>
      <c r="C597" s="1" t="str">
        <f ca="1">IFERROR(__xludf.DUMMYFUNCTION("REGEXEXTRACT(B597, ""^([^:]+)"")"),"Food preparations")</f>
        <v>Food preparations</v>
      </c>
      <c r="D597" s="1" t="s">
        <v>11</v>
      </c>
      <c r="E597" s="1" t="s">
        <v>11</v>
      </c>
    </row>
    <row r="598" spans="1:5" ht="15.75" customHeight="1">
      <c r="A598" s="1">
        <v>190520</v>
      </c>
      <c r="B598" s="1" t="s">
        <v>607</v>
      </c>
      <c r="C598" s="1" t="str">
        <f ca="1">IFERROR(__xludf.DUMMYFUNCTION("REGEXEXTRACT(B598, ""^([^:]+)"")"),"Food preparations")</f>
        <v>Food preparations</v>
      </c>
      <c r="D598" s="1" t="s">
        <v>11</v>
      </c>
      <c r="E598" s="1" t="s">
        <v>11</v>
      </c>
    </row>
    <row r="599" spans="1:5" ht="15.75" customHeight="1">
      <c r="A599" s="1">
        <v>190531</v>
      </c>
      <c r="B599" s="1" t="s">
        <v>608</v>
      </c>
      <c r="C599" s="1" t="str">
        <f ca="1">IFERROR(__xludf.DUMMYFUNCTION("REGEXEXTRACT(B599, ""^([^:]+)"")"),"Food preparations")</f>
        <v>Food preparations</v>
      </c>
      <c r="D599" s="1" t="s">
        <v>11</v>
      </c>
      <c r="E599" s="1" t="s">
        <v>11</v>
      </c>
    </row>
    <row r="600" spans="1:5" ht="15.75" customHeight="1">
      <c r="A600" s="1">
        <v>190532</v>
      </c>
      <c r="B600" s="1" t="s">
        <v>609</v>
      </c>
      <c r="C600" s="1" t="str">
        <f ca="1">IFERROR(__xludf.DUMMYFUNCTION("REGEXEXTRACT(B600, ""^([^:]+)"")"),"Food preparations")</f>
        <v>Food preparations</v>
      </c>
      <c r="D600" s="1" t="s">
        <v>11</v>
      </c>
      <c r="E600" s="1" t="s">
        <v>11</v>
      </c>
    </row>
    <row r="601" spans="1:5" ht="15.75" customHeight="1">
      <c r="A601" s="1">
        <v>190540</v>
      </c>
      <c r="B601" s="1" t="s">
        <v>610</v>
      </c>
      <c r="C601" s="1" t="str">
        <f ca="1">IFERROR(__xludf.DUMMYFUNCTION("REGEXEXTRACT(B601, ""^([^:]+)"")"),"Food preparations")</f>
        <v>Food preparations</v>
      </c>
      <c r="D601" s="1" t="s">
        <v>11</v>
      </c>
      <c r="E601" s="1" t="s">
        <v>11</v>
      </c>
    </row>
    <row r="602" spans="1:5" ht="15.75" customHeight="1">
      <c r="A602" s="1">
        <v>190590</v>
      </c>
      <c r="B602" s="1" t="s">
        <v>611</v>
      </c>
      <c r="C602" s="1" t="str">
        <f ca="1">IFERROR(__xludf.DUMMYFUNCTION("REGEXEXTRACT(B602, ""^([^:]+)"")"),"Food preparations")</f>
        <v>Food preparations</v>
      </c>
      <c r="D602" s="1" t="s">
        <v>11</v>
      </c>
      <c r="E602" s="1" t="s">
        <v>11</v>
      </c>
    </row>
    <row r="603" spans="1:5" ht="15.75" customHeight="1">
      <c r="A603" s="1">
        <v>200110</v>
      </c>
      <c r="B603" s="1" t="s">
        <v>612</v>
      </c>
      <c r="C603" s="1" t="str">
        <f ca="1">IFERROR(__xludf.DUMMYFUNCTION("REGEXEXTRACT(B603, ""^([^:]+)"")"),"Vegetable preparations")</f>
        <v>Vegetable preparations</v>
      </c>
      <c r="D603" s="1" t="s">
        <v>11</v>
      </c>
      <c r="E603" s="1" t="s">
        <v>11</v>
      </c>
    </row>
    <row r="604" spans="1:5" ht="15.75" customHeight="1">
      <c r="A604" s="1">
        <v>200190</v>
      </c>
      <c r="B604" s="1" t="s">
        <v>613</v>
      </c>
      <c r="C604" s="1" t="str">
        <f ca="1">IFERROR(__xludf.DUMMYFUNCTION("REGEXEXTRACT(B604, ""^([^:]+)"")"),"Vegetable preparations")</f>
        <v>Vegetable preparations</v>
      </c>
      <c r="D604" s="1" t="s">
        <v>11</v>
      </c>
      <c r="E604" s="1" t="s">
        <v>11</v>
      </c>
    </row>
    <row r="605" spans="1:5" ht="15.75" customHeight="1">
      <c r="A605" s="1">
        <v>200210</v>
      </c>
      <c r="B605" s="1" t="s">
        <v>614</v>
      </c>
      <c r="C605" s="1" t="str">
        <f ca="1">IFERROR(__xludf.DUMMYFUNCTION("REGEXEXTRACT(B605, ""^([^:]+)"")"),"Vegetable preparations")</f>
        <v>Vegetable preparations</v>
      </c>
      <c r="D605" s="1" t="s">
        <v>11</v>
      </c>
      <c r="E605" s="1" t="s">
        <v>11</v>
      </c>
    </row>
    <row r="606" spans="1:5" ht="15.75" customHeight="1">
      <c r="A606" s="1">
        <v>200290</v>
      </c>
      <c r="B606" s="1" t="s">
        <v>615</v>
      </c>
      <c r="C606" s="1" t="str">
        <f ca="1">IFERROR(__xludf.DUMMYFUNCTION("REGEXEXTRACT(B606, ""^([^:]+)"")"),"Vegetable preparations")</f>
        <v>Vegetable preparations</v>
      </c>
      <c r="D606" s="1" t="s">
        <v>11</v>
      </c>
      <c r="E606" s="1" t="s">
        <v>11</v>
      </c>
    </row>
    <row r="607" spans="1:5" ht="15.75" customHeight="1">
      <c r="A607" s="1">
        <v>200310</v>
      </c>
      <c r="B607" s="1" t="s">
        <v>616</v>
      </c>
      <c r="C607" s="1" t="str">
        <f ca="1">IFERROR(__xludf.DUMMYFUNCTION("REGEXEXTRACT(B607, ""^([^:]+)"")"),"Vegetable preparations")</f>
        <v>Vegetable preparations</v>
      </c>
      <c r="D607" s="1" t="s">
        <v>11</v>
      </c>
      <c r="E607" s="1" t="s">
        <v>11</v>
      </c>
    </row>
    <row r="608" spans="1:5" ht="15.75" customHeight="1">
      <c r="A608" s="1">
        <v>200320</v>
      </c>
      <c r="B608" s="1" t="s">
        <v>617</v>
      </c>
      <c r="C608" s="1" t="str">
        <f ca="1">IFERROR(__xludf.DUMMYFUNCTION("REGEXEXTRACT(B608, ""^([^:]+)"")"),"Vegetable preparations")</f>
        <v>Vegetable preparations</v>
      </c>
      <c r="D608" s="1" t="s">
        <v>11</v>
      </c>
      <c r="E608" s="1" t="s">
        <v>11</v>
      </c>
    </row>
    <row r="609" spans="1:5" ht="15.75" customHeight="1">
      <c r="A609" s="1">
        <v>200390</v>
      </c>
      <c r="B609" s="1" t="s">
        <v>618</v>
      </c>
      <c r="C609" s="1" t="str">
        <f ca="1">IFERROR(__xludf.DUMMYFUNCTION("REGEXEXTRACT(B609, ""^([^:]+)"")"),"Vegetable preparations")</f>
        <v>Vegetable preparations</v>
      </c>
      <c r="D609" s="1" t="s">
        <v>11</v>
      </c>
      <c r="E609" s="1" t="s">
        <v>11</v>
      </c>
    </row>
    <row r="610" spans="1:5" ht="15.75" customHeight="1">
      <c r="A610" s="1">
        <v>200410</v>
      </c>
      <c r="B610" s="1" t="s">
        <v>619</v>
      </c>
      <c r="C610" s="1" t="str">
        <f ca="1">IFERROR(__xludf.DUMMYFUNCTION("REGEXEXTRACT(B610, ""^([^:]+)"")"),"Vegetable preparations")</f>
        <v>Vegetable preparations</v>
      </c>
      <c r="D610" s="1" t="s">
        <v>11</v>
      </c>
      <c r="E610" s="1" t="s">
        <v>11</v>
      </c>
    </row>
    <row r="611" spans="1:5" ht="15.75" customHeight="1">
      <c r="A611" s="1">
        <v>200490</v>
      </c>
      <c r="B611" s="1" t="s">
        <v>620</v>
      </c>
      <c r="C611" s="1" t="str">
        <f ca="1">IFERROR(__xludf.DUMMYFUNCTION("REGEXEXTRACT(B611, ""^([^:]+)"")"),"Vegetable preparations")</f>
        <v>Vegetable preparations</v>
      </c>
      <c r="D611" s="1" t="s">
        <v>11</v>
      </c>
      <c r="E611" s="1" t="s">
        <v>11</v>
      </c>
    </row>
    <row r="612" spans="1:5" ht="15.75" customHeight="1">
      <c r="A612" s="1">
        <v>200510</v>
      </c>
      <c r="B612" s="1" t="s">
        <v>621</v>
      </c>
      <c r="C612" s="1" t="str">
        <f ca="1">IFERROR(__xludf.DUMMYFUNCTION("REGEXEXTRACT(B612, ""^([^:]+)"")"),"Vegetable preparations")</f>
        <v>Vegetable preparations</v>
      </c>
      <c r="D612" s="1" t="s">
        <v>11</v>
      </c>
      <c r="E612" s="1" t="s">
        <v>11</v>
      </c>
    </row>
    <row r="613" spans="1:5" ht="15.75" customHeight="1">
      <c r="A613" s="1">
        <v>200520</v>
      </c>
      <c r="B613" s="1" t="s">
        <v>622</v>
      </c>
      <c r="C613" s="1" t="str">
        <f ca="1">IFERROR(__xludf.DUMMYFUNCTION("REGEXEXTRACT(B613, ""^([^:]+)"")"),"Vegetable preparations")</f>
        <v>Vegetable preparations</v>
      </c>
      <c r="D613" s="1" t="s">
        <v>11</v>
      </c>
      <c r="E613" s="1" t="s">
        <v>11</v>
      </c>
    </row>
    <row r="614" spans="1:5" ht="15.75" customHeight="1">
      <c r="A614" s="1">
        <v>200540</v>
      </c>
      <c r="B614" s="1" t="s">
        <v>623</v>
      </c>
      <c r="C614" s="1" t="str">
        <f ca="1">IFERROR(__xludf.DUMMYFUNCTION("REGEXEXTRACT(B614, ""^([^:]+)"")"),"Vegetable preparations")</f>
        <v>Vegetable preparations</v>
      </c>
      <c r="D614" s="1" t="s">
        <v>11</v>
      </c>
      <c r="E614" s="1" t="s">
        <v>11</v>
      </c>
    </row>
    <row r="615" spans="1:5" ht="15.75" customHeight="1">
      <c r="A615" s="1">
        <v>200551</v>
      </c>
      <c r="B615" s="1" t="s">
        <v>624</v>
      </c>
      <c r="C615" s="1" t="str">
        <f ca="1">IFERROR(__xludf.DUMMYFUNCTION("REGEXEXTRACT(B615, ""^([^:]+)"")"),"Vegetable preparations")</f>
        <v>Vegetable preparations</v>
      </c>
      <c r="D615" s="1" t="s">
        <v>11</v>
      </c>
      <c r="E615" s="1" t="s">
        <v>11</v>
      </c>
    </row>
    <row r="616" spans="1:5" ht="15.75" customHeight="1">
      <c r="A616" s="1">
        <v>200559</v>
      </c>
      <c r="B616" s="1" t="s">
        <v>625</v>
      </c>
      <c r="C616" s="1" t="str">
        <f ca="1">IFERROR(__xludf.DUMMYFUNCTION("REGEXEXTRACT(B616, ""^([^:]+)"")"),"Vegetable preparations")</f>
        <v>Vegetable preparations</v>
      </c>
      <c r="D616" s="1" t="s">
        <v>11</v>
      </c>
      <c r="E616" s="1" t="s">
        <v>11</v>
      </c>
    </row>
    <row r="617" spans="1:5" ht="15.75" customHeight="1">
      <c r="A617" s="1">
        <v>200560</v>
      </c>
      <c r="B617" s="1" t="s">
        <v>626</v>
      </c>
      <c r="C617" s="1" t="str">
        <f ca="1">IFERROR(__xludf.DUMMYFUNCTION("REGEXEXTRACT(B617, ""^([^:]+)"")"),"Vegetable preparations")</f>
        <v>Vegetable preparations</v>
      </c>
      <c r="D617" s="1" t="s">
        <v>11</v>
      </c>
      <c r="E617" s="1" t="s">
        <v>11</v>
      </c>
    </row>
    <row r="618" spans="1:5" ht="15.75" customHeight="1">
      <c r="A618" s="1">
        <v>200570</v>
      </c>
      <c r="B618" s="1" t="s">
        <v>627</v>
      </c>
      <c r="C618" s="1" t="str">
        <f ca="1">IFERROR(__xludf.DUMMYFUNCTION("REGEXEXTRACT(B618, ""^([^:]+)"")"),"Vegetable preparations")</f>
        <v>Vegetable preparations</v>
      </c>
      <c r="D618" s="1" t="s">
        <v>11</v>
      </c>
      <c r="E618" s="1" t="s">
        <v>11</v>
      </c>
    </row>
    <row r="619" spans="1:5" ht="15.75" customHeight="1">
      <c r="A619" s="1">
        <v>200580</v>
      </c>
      <c r="B619" s="1" t="s">
        <v>628</v>
      </c>
      <c r="C619" s="1" t="str">
        <f ca="1">IFERROR(__xludf.DUMMYFUNCTION("REGEXEXTRACT(B619, ""^([^:]+)"")"),"Vegetable preparations")</f>
        <v>Vegetable preparations</v>
      </c>
      <c r="D619" s="1" t="s">
        <v>11</v>
      </c>
      <c r="E619" s="1" t="s">
        <v>11</v>
      </c>
    </row>
    <row r="620" spans="1:5" ht="15.75" customHeight="1">
      <c r="A620" s="1">
        <v>200591</v>
      </c>
      <c r="B620" s="1" t="s">
        <v>629</v>
      </c>
      <c r="C620" s="1" t="str">
        <f ca="1">IFERROR(__xludf.DUMMYFUNCTION("REGEXEXTRACT(B620, ""^([^:]+)"")"),"Vegetable preparations")</f>
        <v>Vegetable preparations</v>
      </c>
      <c r="D620" s="1" t="s">
        <v>11</v>
      </c>
      <c r="E620" s="1" t="s">
        <v>11</v>
      </c>
    </row>
    <row r="621" spans="1:5" ht="15.75" customHeight="1">
      <c r="A621" s="1">
        <v>200599</v>
      </c>
      <c r="B621" s="1" t="s">
        <v>630</v>
      </c>
      <c r="C621" s="1" t="str">
        <f ca="1">IFERROR(__xludf.DUMMYFUNCTION("REGEXEXTRACT(B621, ""^([^:]+)"")"),"Vegetable preparations")</f>
        <v>Vegetable preparations</v>
      </c>
      <c r="D621" s="1" t="s">
        <v>11</v>
      </c>
      <c r="E621" s="1" t="s">
        <v>11</v>
      </c>
    </row>
    <row r="622" spans="1:5" ht="15.75" customHeight="1">
      <c r="A622" s="1">
        <v>200600</v>
      </c>
      <c r="B622" s="1" t="s">
        <v>631</v>
      </c>
      <c r="C622" s="1" t="str">
        <f ca="1">IFERROR(__xludf.DUMMYFUNCTION("REGEXEXTRACT(B622, ""^([^:]+)"")"),"Vegetables, fruit, nuts, fruit-peel and other parts of plants, preserved by sugar (drained, glace or crystallised)")</f>
        <v>Vegetables, fruit, nuts, fruit-peel and other parts of plants, preserved by sugar (drained, glace or crystallised)</v>
      </c>
      <c r="D622" s="1" t="s">
        <v>11</v>
      </c>
      <c r="E622" s="1" t="s">
        <v>11</v>
      </c>
    </row>
    <row r="623" spans="1:5" ht="15.75" customHeight="1">
      <c r="A623" s="1">
        <v>200710</v>
      </c>
      <c r="B623" s="1" t="s">
        <v>632</v>
      </c>
      <c r="C623" s="1" t="str">
        <f ca="1">IFERROR(__xludf.DUMMYFUNCTION("REGEXEXTRACT(B623, ""^([^:]+)"")"),"Jams, fruit jellies, marmalades, fruit or nut puree and fruit or nut pastes")</f>
        <v>Jams, fruit jellies, marmalades, fruit or nut puree and fruit or nut pastes</v>
      </c>
      <c r="D623" s="1" t="s">
        <v>11</v>
      </c>
      <c r="E623" s="1" t="s">
        <v>11</v>
      </c>
    </row>
    <row r="624" spans="1:5" ht="15.75" customHeight="1">
      <c r="A624" s="1">
        <v>200791</v>
      </c>
      <c r="B624" s="1" t="s">
        <v>633</v>
      </c>
      <c r="C624" s="1" t="str">
        <f ca="1">IFERROR(__xludf.DUMMYFUNCTION("REGEXEXTRACT(B624, ""^([^:]+)"")"),"Jams, jellies, marmalades, purees and pastes")</f>
        <v>Jams, jellies, marmalades, purees and pastes</v>
      </c>
      <c r="D624" s="1" t="s">
        <v>11</v>
      </c>
      <c r="E624" s="1" t="s">
        <v>11</v>
      </c>
    </row>
    <row r="625" spans="1:5" ht="15.75" customHeight="1">
      <c r="A625" s="1">
        <v>200799</v>
      </c>
      <c r="B625" s="1" t="s">
        <v>634</v>
      </c>
      <c r="C625" s="1" t="str">
        <f ca="1">IFERROR(__xludf.DUMMYFUNCTION("REGEXEXTRACT(B625, ""^([^:]+)"")"),"Jams, fruit jellies, marmalades, purees and pastes")</f>
        <v>Jams, fruit jellies, marmalades, purees and pastes</v>
      </c>
      <c r="D625" s="1" t="s">
        <v>11</v>
      </c>
      <c r="E625" s="1" t="s">
        <v>11</v>
      </c>
    </row>
    <row r="626" spans="1:5" ht="15.75" customHeight="1">
      <c r="A626" s="1">
        <v>200811</v>
      </c>
      <c r="B626" s="1" t="s">
        <v>635</v>
      </c>
      <c r="C626" s="1" t="str">
        <f ca="1">IFERROR(__xludf.DUMMYFUNCTION("REGEXEXTRACT(B626, ""^([^:]+)"")"),"Nuts")</f>
        <v>Nuts</v>
      </c>
      <c r="D626" s="1" t="s">
        <v>11</v>
      </c>
      <c r="E626" s="1" t="s">
        <v>11</v>
      </c>
    </row>
    <row r="627" spans="1:5" ht="15.75" customHeight="1">
      <c r="A627" s="1">
        <v>200819</v>
      </c>
      <c r="B627" s="1" t="s">
        <v>636</v>
      </c>
      <c r="C627" s="1" t="str">
        <f ca="1">IFERROR(__xludf.DUMMYFUNCTION("REGEXEXTRACT(B627, ""^([^:]+)"")"),"Nuts and other seeds")</f>
        <v>Nuts and other seeds</v>
      </c>
      <c r="D627" s="1" t="s">
        <v>11</v>
      </c>
      <c r="E627" s="1" t="s">
        <v>11</v>
      </c>
    </row>
    <row r="628" spans="1:5" ht="15.75" customHeight="1">
      <c r="A628" s="1">
        <v>200820</v>
      </c>
      <c r="B628" s="1" t="s">
        <v>637</v>
      </c>
      <c r="C628" s="1" t="str">
        <f ca="1">IFERROR(__xludf.DUMMYFUNCTION("REGEXEXTRACT(B628, ""^([^:]+)"")"),"Fruit")</f>
        <v>Fruit</v>
      </c>
      <c r="D628" s="1" t="s">
        <v>11</v>
      </c>
      <c r="E628" s="1" t="s">
        <v>11</v>
      </c>
    </row>
    <row r="629" spans="1:5" ht="15.75" customHeight="1">
      <c r="A629" s="1">
        <v>200830</v>
      </c>
      <c r="B629" s="1" t="s">
        <v>638</v>
      </c>
      <c r="C629" s="1" t="str">
        <f ca="1">IFERROR(__xludf.DUMMYFUNCTION("REGEXEXTRACT(B629, ""^([^:]+)"")"),"Fruit")</f>
        <v>Fruit</v>
      </c>
      <c r="D629" s="1" t="s">
        <v>11</v>
      </c>
      <c r="E629" s="1" t="s">
        <v>11</v>
      </c>
    </row>
    <row r="630" spans="1:5" ht="15.75" customHeight="1">
      <c r="A630" s="1">
        <v>200840</v>
      </c>
      <c r="B630" s="1" t="s">
        <v>639</v>
      </c>
      <c r="C630" s="1" t="str">
        <f ca="1">IFERROR(__xludf.DUMMYFUNCTION("REGEXEXTRACT(B630, ""^([^:]+)"")"),"Fruit")</f>
        <v>Fruit</v>
      </c>
      <c r="D630" s="1" t="s">
        <v>11</v>
      </c>
      <c r="E630" s="1" t="s">
        <v>11</v>
      </c>
    </row>
    <row r="631" spans="1:5" ht="15.75" customHeight="1">
      <c r="A631" s="1">
        <v>200850</v>
      </c>
      <c r="B631" s="1" t="s">
        <v>640</v>
      </c>
      <c r="C631" s="1" t="str">
        <f ca="1">IFERROR(__xludf.DUMMYFUNCTION("REGEXEXTRACT(B631, ""^([^:]+)"")"),"Fruit")</f>
        <v>Fruit</v>
      </c>
      <c r="D631" s="1" t="s">
        <v>11</v>
      </c>
      <c r="E631" s="1" t="s">
        <v>11</v>
      </c>
    </row>
    <row r="632" spans="1:5" ht="15.75" customHeight="1">
      <c r="A632" s="1">
        <v>200860</v>
      </c>
      <c r="B632" s="1" t="s">
        <v>641</v>
      </c>
      <c r="C632" s="1" t="str">
        <f ca="1">IFERROR(__xludf.DUMMYFUNCTION("REGEXEXTRACT(B632, ""^([^:]+)"")"),"Fruit")</f>
        <v>Fruit</v>
      </c>
      <c r="D632" s="1" t="s">
        <v>11</v>
      </c>
      <c r="E632" s="1" t="s">
        <v>11</v>
      </c>
    </row>
    <row r="633" spans="1:5" ht="15.75" customHeight="1">
      <c r="A633" s="1">
        <v>200870</v>
      </c>
      <c r="B633" s="1" t="s">
        <v>642</v>
      </c>
      <c r="C633" s="1" t="str">
        <f ca="1">IFERROR(__xludf.DUMMYFUNCTION("REGEXEXTRACT(B633, ""^([^:]+)"")"),"Fruit")</f>
        <v>Fruit</v>
      </c>
      <c r="D633" s="1" t="s">
        <v>11</v>
      </c>
      <c r="E633" s="1" t="s">
        <v>11</v>
      </c>
    </row>
    <row r="634" spans="1:5" ht="15.75" customHeight="1">
      <c r="A634" s="1">
        <v>200880</v>
      </c>
      <c r="B634" s="1" t="s">
        <v>643</v>
      </c>
      <c r="C634" s="1" t="str">
        <f ca="1">IFERROR(__xludf.DUMMYFUNCTION("REGEXEXTRACT(B634, ""^([^:]+)"")"),"Fruit")</f>
        <v>Fruit</v>
      </c>
      <c r="D634" s="1" t="s">
        <v>11</v>
      </c>
      <c r="E634" s="1" t="s">
        <v>11</v>
      </c>
    </row>
    <row r="635" spans="1:5" ht="15.75" customHeight="1">
      <c r="A635" s="1">
        <v>200891</v>
      </c>
      <c r="B635" s="1" t="s">
        <v>644</v>
      </c>
      <c r="C635" s="1" t="str">
        <f ca="1">IFERROR(__xludf.DUMMYFUNCTION("REGEXEXTRACT(B635, ""^([^:]+)"")"),"Palm hearts")</f>
        <v>Palm hearts</v>
      </c>
      <c r="D635" s="1" t="s">
        <v>11</v>
      </c>
      <c r="E635" s="1" t="s">
        <v>11</v>
      </c>
    </row>
    <row r="636" spans="1:5" ht="15.75" customHeight="1">
      <c r="A636" s="1">
        <v>200892</v>
      </c>
      <c r="B636" s="1" t="s">
        <v>645</v>
      </c>
      <c r="C636" s="1" t="str">
        <f ca="1">IFERROR(__xludf.DUMMYFUNCTION("REGEXEXTRACT(B636, ""^([^:]+)"")"),"Fruit, nuts and other edible parts of plants")</f>
        <v>Fruit, nuts and other edible parts of plants</v>
      </c>
      <c r="D636" s="1" t="s">
        <v>11</v>
      </c>
      <c r="E636" s="1" t="s">
        <v>11</v>
      </c>
    </row>
    <row r="637" spans="1:5" ht="15.75" customHeight="1">
      <c r="A637" s="1">
        <v>200899</v>
      </c>
      <c r="B637" s="1" t="s">
        <v>646</v>
      </c>
      <c r="C637" s="1" t="str">
        <f ca="1">IFERROR(__xludf.DUMMYFUNCTION("REGEXEXTRACT(B637, ""^([^:]+)"")"),"Fruit, nuts and other edible parts of plants")</f>
        <v>Fruit, nuts and other edible parts of plants</v>
      </c>
      <c r="D637" s="1" t="s">
        <v>11</v>
      </c>
      <c r="E637" s="1" t="s">
        <v>11</v>
      </c>
    </row>
    <row r="638" spans="1:5" ht="15.75" customHeight="1">
      <c r="A638" s="1">
        <v>200911</v>
      </c>
      <c r="B638" s="1" t="s">
        <v>647</v>
      </c>
      <c r="C638" s="1" t="str">
        <f ca="1">IFERROR(__xludf.DUMMYFUNCTION("REGEXEXTRACT(B638, ""^([^:]+)"")"),"Juice")</f>
        <v>Juice</v>
      </c>
      <c r="D638" s="1" t="s">
        <v>11</v>
      </c>
      <c r="E638" s="1" t="s">
        <v>11</v>
      </c>
    </row>
    <row r="639" spans="1:5" ht="15.75" customHeight="1">
      <c r="A639" s="1">
        <v>200912</v>
      </c>
      <c r="B639" s="1" t="s">
        <v>648</v>
      </c>
      <c r="C639" s="1" t="str">
        <f ca="1">IFERROR(__xludf.DUMMYFUNCTION("REGEXEXTRACT(B639, ""^([^:]+)"")"),"Juice")</f>
        <v>Juice</v>
      </c>
      <c r="D639" s="1" t="s">
        <v>11</v>
      </c>
      <c r="E639" s="1" t="s">
        <v>11</v>
      </c>
    </row>
    <row r="640" spans="1:5" ht="15.75" customHeight="1">
      <c r="A640" s="1">
        <v>200919</v>
      </c>
      <c r="B640" s="1" t="s">
        <v>649</v>
      </c>
      <c r="C640" s="1" t="str">
        <f ca="1">IFERROR(__xludf.DUMMYFUNCTION("REGEXEXTRACT(B640, ""^([^:]+)"")"),"Juice")</f>
        <v>Juice</v>
      </c>
      <c r="D640" s="1" t="s">
        <v>11</v>
      </c>
      <c r="E640" s="1" t="s">
        <v>11</v>
      </c>
    </row>
    <row r="641" spans="1:5" ht="15.75" customHeight="1">
      <c r="A641" s="1">
        <v>200921</v>
      </c>
      <c r="B641" s="1" t="s">
        <v>650</v>
      </c>
      <c r="C641" s="1" t="str">
        <f ca="1">IFERROR(__xludf.DUMMYFUNCTION("REGEXEXTRACT(B641, ""^([^:]+)"")"),"Juice")</f>
        <v>Juice</v>
      </c>
      <c r="D641" s="1" t="s">
        <v>11</v>
      </c>
      <c r="E641" s="1" t="s">
        <v>11</v>
      </c>
    </row>
    <row r="642" spans="1:5" ht="15.75" customHeight="1">
      <c r="A642" s="1">
        <v>200929</v>
      </c>
      <c r="B642" s="1" t="s">
        <v>651</v>
      </c>
      <c r="C642" s="1" t="str">
        <f ca="1">IFERROR(__xludf.DUMMYFUNCTION("REGEXEXTRACT(B642, ""^([^:]+)"")"),"Juice")</f>
        <v>Juice</v>
      </c>
      <c r="D642" s="1" t="s">
        <v>11</v>
      </c>
      <c r="E642" s="1" t="s">
        <v>11</v>
      </c>
    </row>
    <row r="643" spans="1:5" ht="15.75" customHeight="1">
      <c r="A643" s="1">
        <v>200931</v>
      </c>
      <c r="B643" s="1" t="s">
        <v>652</v>
      </c>
      <c r="C643" s="1" t="str">
        <f ca="1">IFERROR(__xludf.DUMMYFUNCTION("REGEXEXTRACT(B643, ""^([^:]+)"")"),"Juice")</f>
        <v>Juice</v>
      </c>
      <c r="D643" s="1" t="s">
        <v>11</v>
      </c>
      <c r="E643" s="1" t="s">
        <v>11</v>
      </c>
    </row>
    <row r="644" spans="1:5" ht="15.75" customHeight="1">
      <c r="A644" s="1">
        <v>200939</v>
      </c>
      <c r="B644" s="1" t="s">
        <v>653</v>
      </c>
      <c r="C644" s="1" t="str">
        <f ca="1">IFERROR(__xludf.DUMMYFUNCTION("REGEXEXTRACT(B644, ""^([^:]+)"")"),"Juice")</f>
        <v>Juice</v>
      </c>
      <c r="D644" s="1" t="s">
        <v>11</v>
      </c>
      <c r="E644" s="1" t="s">
        <v>11</v>
      </c>
    </row>
    <row r="645" spans="1:5" ht="15.75" customHeight="1">
      <c r="A645" s="1">
        <v>200941</v>
      </c>
      <c r="B645" s="1" t="s">
        <v>654</v>
      </c>
      <c r="C645" s="1" t="str">
        <f ca="1">IFERROR(__xludf.DUMMYFUNCTION("REGEXEXTRACT(B645, ""^([^:]+)"")"),"Juice")</f>
        <v>Juice</v>
      </c>
      <c r="D645" s="1" t="s">
        <v>11</v>
      </c>
      <c r="E645" s="1" t="s">
        <v>11</v>
      </c>
    </row>
    <row r="646" spans="1:5" ht="15.75" customHeight="1">
      <c r="A646" s="1">
        <v>200949</v>
      </c>
      <c r="B646" s="1" t="s">
        <v>655</v>
      </c>
      <c r="C646" s="1" t="str">
        <f ca="1">IFERROR(__xludf.DUMMYFUNCTION("REGEXEXTRACT(B646, ""^([^:]+)"")"),"Juice")</f>
        <v>Juice</v>
      </c>
      <c r="D646" s="1" t="s">
        <v>11</v>
      </c>
      <c r="E646" s="1" t="s">
        <v>11</v>
      </c>
    </row>
    <row r="647" spans="1:5" ht="15.75" customHeight="1">
      <c r="A647" s="1">
        <v>200950</v>
      </c>
      <c r="B647" s="1" t="s">
        <v>656</v>
      </c>
      <c r="C647" s="1" t="str">
        <f ca="1">IFERROR(__xludf.DUMMYFUNCTION("REGEXEXTRACT(B647, ""^([^:]+)"")"),"Juice")</f>
        <v>Juice</v>
      </c>
      <c r="D647" s="1" t="s">
        <v>11</v>
      </c>
      <c r="E647" s="1" t="s">
        <v>11</v>
      </c>
    </row>
    <row r="648" spans="1:5" ht="15.75" customHeight="1">
      <c r="A648" s="1">
        <v>200961</v>
      </c>
      <c r="B648" s="1" t="s">
        <v>657</v>
      </c>
      <c r="C648" s="1" t="str">
        <f ca="1">IFERROR(__xludf.DUMMYFUNCTION("REGEXEXTRACT(B648, ""^([^:]+)"")"),"Juice")</f>
        <v>Juice</v>
      </c>
      <c r="D648" s="1" t="s">
        <v>11</v>
      </c>
      <c r="E648" s="1" t="s">
        <v>11</v>
      </c>
    </row>
    <row r="649" spans="1:5" ht="15.75" customHeight="1">
      <c r="A649" s="1">
        <v>200969</v>
      </c>
      <c r="B649" s="1" t="s">
        <v>658</v>
      </c>
      <c r="C649" s="1" t="str">
        <f ca="1">IFERROR(__xludf.DUMMYFUNCTION("REGEXEXTRACT(B649, ""^([^:]+)"")"),"Juice")</f>
        <v>Juice</v>
      </c>
      <c r="D649" s="1" t="s">
        <v>11</v>
      </c>
      <c r="E649" s="1" t="s">
        <v>11</v>
      </c>
    </row>
    <row r="650" spans="1:5" ht="15.75" customHeight="1">
      <c r="A650" s="1">
        <v>200971</v>
      </c>
      <c r="B650" s="1" t="s">
        <v>659</v>
      </c>
      <c r="C650" s="1" t="str">
        <f ca="1">IFERROR(__xludf.DUMMYFUNCTION("REGEXEXTRACT(B650, ""^([^:]+)"")"),"Juice")</f>
        <v>Juice</v>
      </c>
      <c r="D650" s="1" t="s">
        <v>11</v>
      </c>
      <c r="E650" s="1" t="s">
        <v>11</v>
      </c>
    </row>
    <row r="651" spans="1:5" ht="15.75" customHeight="1">
      <c r="A651" s="1">
        <v>200979</v>
      </c>
      <c r="B651" s="1" t="s">
        <v>660</v>
      </c>
      <c r="C651" s="1" t="str">
        <f ca="1">IFERROR(__xludf.DUMMYFUNCTION("REGEXEXTRACT(B651, ""^([^:]+)"")"),"Juice")</f>
        <v>Juice</v>
      </c>
      <c r="D651" s="1" t="s">
        <v>11</v>
      </c>
      <c r="E651" s="1" t="s">
        <v>11</v>
      </c>
    </row>
    <row r="652" spans="1:5" ht="15.75" customHeight="1">
      <c r="A652" s="1">
        <v>200980</v>
      </c>
      <c r="B652" s="1" t="s">
        <v>661</v>
      </c>
      <c r="C652" s="1" t="str">
        <f ca="1">IFERROR(__xludf.DUMMYFUNCTION("REGEXEXTRACT(B652, ""^([^:]+)"")"),"Juice")</f>
        <v>Juice</v>
      </c>
      <c r="D652" s="1" t="s">
        <v>11</v>
      </c>
      <c r="E652" s="1" t="s">
        <v>11</v>
      </c>
    </row>
    <row r="653" spans="1:5" ht="15.75" customHeight="1">
      <c r="A653" s="1">
        <v>200990</v>
      </c>
      <c r="B653" s="1" t="s">
        <v>662</v>
      </c>
      <c r="C653" s="1" t="str">
        <f ca="1">IFERROR(__xludf.DUMMYFUNCTION("REGEXEXTRACT(B653, ""^([^:]+)"")"),"Juices")</f>
        <v>Juices</v>
      </c>
      <c r="D653" s="1" t="s">
        <v>11</v>
      </c>
      <c r="E653" s="1" t="s">
        <v>11</v>
      </c>
    </row>
    <row r="654" spans="1:5" ht="15.75" customHeight="1">
      <c r="A654" s="1">
        <v>210111</v>
      </c>
      <c r="B654" s="1" t="s">
        <v>663</v>
      </c>
      <c r="C654" s="1" t="str">
        <f ca="1">IFERROR(__xludf.DUMMYFUNCTION("REGEXEXTRACT(B654, ""^([^:]+)"")"),"Extracts, essences and concentrates")</f>
        <v>Extracts, essences and concentrates</v>
      </c>
      <c r="D654" s="1" t="s">
        <v>11</v>
      </c>
      <c r="E654" s="1" t="s">
        <v>11</v>
      </c>
    </row>
    <row r="655" spans="1:5" ht="15.75" customHeight="1">
      <c r="A655" s="1">
        <v>210112</v>
      </c>
      <c r="B655" s="1" t="s">
        <v>664</v>
      </c>
      <c r="C655" s="1" t="str">
        <f ca="1">IFERROR(__xludf.DUMMYFUNCTION("REGEXEXTRACT(B655, ""^([^:]+)"")"),"Preparations with a basis of extracts, essences or concentrates or with a basis of coffee")</f>
        <v>Preparations with a basis of extracts, essences or concentrates or with a basis of coffee</v>
      </c>
      <c r="D655" s="1" t="s">
        <v>11</v>
      </c>
      <c r="E655" s="1" t="s">
        <v>11</v>
      </c>
    </row>
    <row r="656" spans="1:5" ht="15.75" customHeight="1">
      <c r="A656" s="1">
        <v>210120</v>
      </c>
      <c r="B656" s="1" t="s">
        <v>665</v>
      </c>
      <c r="C656" s="1" t="str">
        <f ca="1">IFERROR(__xludf.DUMMYFUNCTION("REGEXEXTRACT(B656, ""^([^:]+)"")"),"Extracts, essences and concentrates")</f>
        <v>Extracts, essences and concentrates</v>
      </c>
      <c r="D656" s="1" t="s">
        <v>11</v>
      </c>
      <c r="E656" s="1" t="s">
        <v>11</v>
      </c>
    </row>
    <row r="657" spans="1:5" ht="15.75" customHeight="1">
      <c r="A657" s="1">
        <v>210130</v>
      </c>
      <c r="B657" s="1" t="s">
        <v>666</v>
      </c>
      <c r="C657" s="1" t="str">
        <f ca="1">IFERROR(__xludf.DUMMYFUNCTION("REGEXEXTRACT(B657, ""^([^:]+)"")"),"Chicory, roasted and other roasted coffee substitutes")</f>
        <v>Chicory, roasted and other roasted coffee substitutes</v>
      </c>
      <c r="D657" s="1" t="s">
        <v>11</v>
      </c>
      <c r="E657" s="1" t="s">
        <v>11</v>
      </c>
    </row>
    <row r="658" spans="1:5" ht="15.75" customHeight="1">
      <c r="A658" s="1">
        <v>210210</v>
      </c>
      <c r="B658" s="1" t="s">
        <v>667</v>
      </c>
      <c r="C658" s="1" t="str">
        <f ca="1">IFERROR(__xludf.DUMMYFUNCTION("REGEXEXTRACT(B658, ""^([^:]+)"")"),"Yeasts")</f>
        <v>Yeasts</v>
      </c>
      <c r="D658" s="1" t="s">
        <v>11</v>
      </c>
      <c r="E658" s="1" t="s">
        <v>11</v>
      </c>
    </row>
    <row r="659" spans="1:5" ht="15.75" customHeight="1">
      <c r="A659" s="1">
        <v>210220</v>
      </c>
      <c r="B659" s="1" t="s">
        <v>668</v>
      </c>
      <c r="C659" s="1" t="str">
        <f ca="1">IFERROR(__xludf.DUMMYFUNCTION("REGEXEXTRACT(B659, ""^([^:]+)"")"),"Yeasts")</f>
        <v>Yeasts</v>
      </c>
      <c r="D659" s="1" t="s">
        <v>11</v>
      </c>
      <c r="E659" s="1" t="s">
        <v>11</v>
      </c>
    </row>
    <row r="660" spans="1:5" ht="15.75" customHeight="1">
      <c r="A660" s="1">
        <v>210230</v>
      </c>
      <c r="B660" s="1" t="s">
        <v>669</v>
      </c>
      <c r="C660" s="1" t="str">
        <f ca="1">IFERROR(__xludf.DUMMYFUNCTION("REGEXEXTRACT(B660, ""^([^:]+)"")"),"Baking powders")</f>
        <v>Baking powders</v>
      </c>
      <c r="D660" s="1" t="s">
        <v>11</v>
      </c>
      <c r="E660" s="1" t="s">
        <v>11</v>
      </c>
    </row>
    <row r="661" spans="1:5" ht="15.75" customHeight="1">
      <c r="A661" s="1">
        <v>210310</v>
      </c>
      <c r="B661" s="1" t="s">
        <v>670</v>
      </c>
      <c r="C661" s="1" t="str">
        <f ca="1">IFERROR(__xludf.DUMMYFUNCTION("REGEXEXTRACT(B661, ""^([^:]+)"")"),"Sauces")</f>
        <v>Sauces</v>
      </c>
      <c r="D661" s="1" t="s">
        <v>11</v>
      </c>
      <c r="E661" s="1" t="s">
        <v>11</v>
      </c>
    </row>
    <row r="662" spans="1:5" ht="15.75" customHeight="1">
      <c r="A662" s="1">
        <v>210320</v>
      </c>
      <c r="B662" s="1" t="s">
        <v>671</v>
      </c>
      <c r="C662" s="1" t="str">
        <f ca="1">IFERROR(__xludf.DUMMYFUNCTION("REGEXEXTRACT(B662, ""^([^:]+)"")"),"Sauces")</f>
        <v>Sauces</v>
      </c>
      <c r="D662" s="1" t="s">
        <v>11</v>
      </c>
      <c r="E662" s="1" t="s">
        <v>11</v>
      </c>
    </row>
    <row r="663" spans="1:5" ht="15.75" customHeight="1">
      <c r="A663" s="1">
        <v>210330</v>
      </c>
      <c r="B663" s="1" t="s">
        <v>672</v>
      </c>
      <c r="C663" s="1" t="str">
        <f ca="1">IFERROR(__xludf.DUMMYFUNCTION("REGEXEXTRACT(B663, ""^([^:]+)"")"),"Mustard flour and meal and prepared mustard")</f>
        <v>Mustard flour and meal and prepared mustard</v>
      </c>
      <c r="D663" s="1" t="s">
        <v>11</v>
      </c>
      <c r="E663" s="1" t="s">
        <v>11</v>
      </c>
    </row>
    <row r="664" spans="1:5" ht="15.75" customHeight="1">
      <c r="A664" s="1">
        <v>210390</v>
      </c>
      <c r="B664" s="1" t="s">
        <v>673</v>
      </c>
      <c r="C664" s="1" t="str">
        <f ca="1">IFERROR(__xludf.DUMMYFUNCTION("REGEXEXTRACT(B664, ""^([^:]+)"")"),"Sauces and preparations therefor")</f>
        <v>Sauces and preparations therefor</v>
      </c>
      <c r="D664" s="1" t="s">
        <v>11</v>
      </c>
      <c r="E664" s="1" t="s">
        <v>11</v>
      </c>
    </row>
    <row r="665" spans="1:5" ht="15.75" customHeight="1">
      <c r="A665" s="1">
        <v>210410</v>
      </c>
      <c r="B665" s="1" t="s">
        <v>674</v>
      </c>
      <c r="C665" s="1" t="str">
        <f ca="1">IFERROR(__xludf.DUMMYFUNCTION("REGEXEXTRACT(B665, ""^([^:]+)"")"),"Soups and broths and preparations therefor")</f>
        <v>Soups and broths and preparations therefor</v>
      </c>
      <c r="D665" s="1" t="s">
        <v>11</v>
      </c>
      <c r="E665" s="1" t="s">
        <v>11</v>
      </c>
    </row>
    <row r="666" spans="1:5" ht="15.75" customHeight="1">
      <c r="A666" s="1">
        <v>210420</v>
      </c>
      <c r="B666" s="1" t="s">
        <v>675</v>
      </c>
      <c r="C666" s="1" t="str">
        <f ca="1">IFERROR(__xludf.DUMMYFUNCTION("REGEXEXTRACT(B666, ""^([^:]+)"")"),"Homogenised composite food preparations")</f>
        <v>Homogenised composite food preparations</v>
      </c>
      <c r="D666" s="1" t="s">
        <v>11</v>
      </c>
      <c r="E666" s="1" t="s">
        <v>11</v>
      </c>
    </row>
    <row r="667" spans="1:5" ht="15.75" customHeight="1">
      <c r="A667" s="1">
        <v>210500</v>
      </c>
      <c r="B667" s="1" t="s">
        <v>676</v>
      </c>
      <c r="C667" s="1" t="str">
        <f ca="1">IFERROR(__xludf.DUMMYFUNCTION("REGEXEXTRACT(B667, ""^([^:]+)"")"),"Ice cream and other edible ice")</f>
        <v>Ice cream and other edible ice</v>
      </c>
      <c r="D667" s="1" t="s">
        <v>11</v>
      </c>
      <c r="E667" s="1" t="s">
        <v>11</v>
      </c>
    </row>
    <row r="668" spans="1:5" ht="15.75" customHeight="1">
      <c r="A668" s="1">
        <v>210610</v>
      </c>
      <c r="B668" s="1" t="s">
        <v>677</v>
      </c>
      <c r="C668" s="1" t="str">
        <f ca="1">IFERROR(__xludf.DUMMYFUNCTION("REGEXEXTRACT(B668, ""^([^:]+)"")"),"Protein")</f>
        <v>Protein</v>
      </c>
      <c r="D668" s="1" t="s">
        <v>11</v>
      </c>
      <c r="E668" s="1" t="s">
        <v>11</v>
      </c>
    </row>
    <row r="669" spans="1:5" ht="15.75" customHeight="1">
      <c r="A669" s="1">
        <v>210690</v>
      </c>
      <c r="B669" s="1" t="s">
        <v>678</v>
      </c>
      <c r="C669" s="1" t="str">
        <f ca="1">IFERROR(__xludf.DUMMYFUNCTION("REGEXEXTRACT(B669, ""^([^:]+)"")"),"Food preparations")</f>
        <v>Food preparations</v>
      </c>
      <c r="D669" s="1" t="s">
        <v>11</v>
      </c>
      <c r="E669" s="1" t="s">
        <v>11</v>
      </c>
    </row>
    <row r="670" spans="1:5" ht="15.75" customHeight="1">
      <c r="A670" s="1">
        <v>220110</v>
      </c>
      <c r="B670" s="1" t="s">
        <v>679</v>
      </c>
      <c r="C670" s="1" t="str">
        <f ca="1">IFERROR(__xludf.DUMMYFUNCTION("REGEXEXTRACT(B670, ""^([^:]+)"")"),"Waters")</f>
        <v>Waters</v>
      </c>
      <c r="D670" s="1" t="s">
        <v>11</v>
      </c>
      <c r="E670" s="1" t="s">
        <v>11</v>
      </c>
    </row>
    <row r="671" spans="1:5" ht="15.75" customHeight="1">
      <c r="A671" s="1">
        <v>220190</v>
      </c>
      <c r="B671" s="1" t="s">
        <v>680</v>
      </c>
      <c r="C671" s="1" t="str">
        <f ca="1">IFERROR(__xludf.DUMMYFUNCTION("REGEXEXTRACT(B671, ""^([^:]+)"")"),"Waters")</f>
        <v>Waters</v>
      </c>
      <c r="D671" s="1" t="s">
        <v>11</v>
      </c>
      <c r="E671" s="1" t="s">
        <v>11</v>
      </c>
    </row>
    <row r="672" spans="1:5" ht="15.75" customHeight="1">
      <c r="A672" s="1">
        <v>220210</v>
      </c>
      <c r="B672" s="1" t="s">
        <v>681</v>
      </c>
      <c r="C672" s="1" t="str">
        <f ca="1">IFERROR(__xludf.DUMMYFUNCTION("REGEXEXTRACT(B672, ""^([^:]+)"")"),"Waters")</f>
        <v>Waters</v>
      </c>
      <c r="D672" s="1" t="s">
        <v>11</v>
      </c>
      <c r="E672" s="1" t="s">
        <v>11</v>
      </c>
    </row>
    <row r="673" spans="1:5" ht="15.75" customHeight="1">
      <c r="A673" s="1">
        <v>220290</v>
      </c>
      <c r="B673" s="1" t="s">
        <v>682</v>
      </c>
      <c r="C673" s="1" t="str">
        <f ca="1">IFERROR(__xludf.DUMMYFUNCTION("REGEXEXTRACT(B673, ""^([^:]+)"")"),"Non-alcoholic beverages")</f>
        <v>Non-alcoholic beverages</v>
      </c>
      <c r="D673" s="1" t="s">
        <v>11</v>
      </c>
      <c r="E673" s="1" t="s">
        <v>11</v>
      </c>
    </row>
    <row r="674" spans="1:5" ht="15.75" customHeight="1">
      <c r="A674" s="1">
        <v>220300</v>
      </c>
      <c r="B674" s="1" t="s">
        <v>683</v>
      </c>
      <c r="C674" s="1" t="str">
        <f ca="1">IFERROR(__xludf.DUMMYFUNCTION("REGEXEXTRACT(B674, ""^([^:]+)"")"),"Beer")</f>
        <v>Beer</v>
      </c>
      <c r="D674" s="1" t="s">
        <v>11</v>
      </c>
      <c r="E674" s="1" t="s">
        <v>11</v>
      </c>
    </row>
    <row r="675" spans="1:5" ht="15.75" customHeight="1">
      <c r="A675" s="1">
        <v>220410</v>
      </c>
      <c r="B675" s="1" t="s">
        <v>684</v>
      </c>
      <c r="C675" s="1" t="str">
        <f ca="1">IFERROR(__xludf.DUMMYFUNCTION("REGEXEXTRACT(B675, ""^([^:]+)"")"),"Wine")</f>
        <v>Wine</v>
      </c>
      <c r="D675" s="1" t="s">
        <v>11</v>
      </c>
      <c r="E675" s="1" t="s">
        <v>11</v>
      </c>
    </row>
    <row r="676" spans="1:5" ht="15.75" customHeight="1">
      <c r="A676" s="1">
        <v>220421</v>
      </c>
      <c r="B676" s="1" t="s">
        <v>685</v>
      </c>
      <c r="C676" s="1" t="str">
        <f ca="1">IFERROR(__xludf.DUMMYFUNCTION("REGEXEXTRACT(B676, ""^([^:]+)"")"),"Wine")</f>
        <v>Wine</v>
      </c>
      <c r="D676" s="1" t="s">
        <v>11</v>
      </c>
      <c r="E676" s="1" t="s">
        <v>11</v>
      </c>
    </row>
    <row r="677" spans="1:5" ht="15.75" customHeight="1">
      <c r="A677" s="1">
        <v>220429</v>
      </c>
      <c r="B677" s="1" t="s">
        <v>686</v>
      </c>
      <c r="C677" s="1" t="str">
        <f ca="1">IFERROR(__xludf.DUMMYFUNCTION("REGEXEXTRACT(B677, ""^([^:]+)"")"),"Wine")</f>
        <v>Wine</v>
      </c>
      <c r="D677" s="1" t="s">
        <v>11</v>
      </c>
      <c r="E677" s="1" t="s">
        <v>11</v>
      </c>
    </row>
    <row r="678" spans="1:5" ht="15.75" customHeight="1">
      <c r="A678" s="1">
        <v>220430</v>
      </c>
      <c r="B678" s="1" t="s">
        <v>687</v>
      </c>
      <c r="C678" s="1" t="str">
        <f ca="1">IFERROR(__xludf.DUMMYFUNCTION("REGEXEXTRACT(B678, ""^([^:]+)"")"),"Grape must")</f>
        <v>Grape must</v>
      </c>
      <c r="D678" s="1" t="s">
        <v>11</v>
      </c>
      <c r="E678" s="1" t="s">
        <v>11</v>
      </c>
    </row>
    <row r="679" spans="1:5" ht="15.75" customHeight="1">
      <c r="A679" s="1">
        <v>220510</v>
      </c>
      <c r="B679" s="1" t="s">
        <v>688</v>
      </c>
      <c r="C679" s="1" t="str">
        <f ca="1">IFERROR(__xludf.DUMMYFUNCTION("REGEXEXTRACT(B679, ""^([^:]+)"")"),"Vermouth and other wine of fresh grapes, flavoured with plants or aromatic substances, in containers holding 2 litres or less")</f>
        <v>Vermouth and other wine of fresh grapes, flavoured with plants or aromatic substances, in containers holding 2 litres or less</v>
      </c>
      <c r="D679" s="1" t="s">
        <v>11</v>
      </c>
      <c r="E679" s="1" t="s">
        <v>11</v>
      </c>
    </row>
    <row r="680" spans="1:5" ht="15.75" customHeight="1">
      <c r="A680" s="1">
        <v>220590</v>
      </c>
      <c r="B680" s="1" t="s">
        <v>689</v>
      </c>
      <c r="C680" s="1" t="str">
        <f ca="1">IFERROR(__xludf.DUMMYFUNCTION("REGEXEXTRACT(B680, ""^([^:]+)"")"),"Vermouth and other wine of fresh grapes, flavoured with plants or aromatic substances, in containers holding more than 2 litres")</f>
        <v>Vermouth and other wine of fresh grapes, flavoured with plants or aromatic substances, in containers holding more than 2 litres</v>
      </c>
      <c r="D680" s="1" t="s">
        <v>11</v>
      </c>
      <c r="E680" s="1" t="s">
        <v>11</v>
      </c>
    </row>
    <row r="681" spans="1:5" ht="15.75" customHeight="1">
      <c r="A681" s="1">
        <v>220600</v>
      </c>
      <c r="B681" s="1" t="s">
        <v>690</v>
      </c>
      <c r="C681" s="1" t="str">
        <f ca="1">IFERROR(__xludf.DUMMYFUNCTION("REGEXEXTRACT(B681, ""^([^:]+)"")"),"Beverages, fermented")</f>
        <v>Beverages, fermented</v>
      </c>
      <c r="D681" s="1" t="s">
        <v>11</v>
      </c>
      <c r="E681" s="1" t="s">
        <v>11</v>
      </c>
    </row>
    <row r="682" spans="1:5" ht="15.75" customHeight="1">
      <c r="A682" s="1">
        <v>220710</v>
      </c>
      <c r="B682" s="1" t="s">
        <v>691</v>
      </c>
      <c r="C682" s="1" t="str">
        <f ca="1">IFERROR(__xludf.DUMMYFUNCTION("REGEXEXTRACT(B682, ""^([^:]+)"")"),"Undenatured ethyl alcohol")</f>
        <v>Undenatured ethyl alcohol</v>
      </c>
      <c r="D682" s="1" t="s">
        <v>11</v>
      </c>
      <c r="E682" s="1" t="s">
        <v>11</v>
      </c>
    </row>
    <row r="683" spans="1:5" ht="15.75" customHeight="1">
      <c r="A683" s="1">
        <v>220720</v>
      </c>
      <c r="B683" s="1" t="s">
        <v>692</v>
      </c>
      <c r="C683" s="1" t="str">
        <f ca="1">IFERROR(__xludf.DUMMYFUNCTION("REGEXEXTRACT(B683, ""^([^:]+)"")"),"Ethyl alcohol and other spirits")</f>
        <v>Ethyl alcohol and other spirits</v>
      </c>
      <c r="D683" s="1" t="s">
        <v>11</v>
      </c>
      <c r="E683" s="1" t="s">
        <v>11</v>
      </c>
    </row>
    <row r="684" spans="1:5" ht="15.75" customHeight="1">
      <c r="A684" s="1">
        <v>220820</v>
      </c>
      <c r="B684" s="1" t="s">
        <v>693</v>
      </c>
      <c r="C684" s="1" t="str">
        <f ca="1">IFERROR(__xludf.DUMMYFUNCTION("REGEXEXTRACT(B684, ""^([^:]+)"")"),"Spirits obtained by distilling grape wine or grape marc")</f>
        <v>Spirits obtained by distilling grape wine or grape marc</v>
      </c>
      <c r="D684" s="1" t="s">
        <v>11</v>
      </c>
      <c r="E684" s="1" t="s">
        <v>11</v>
      </c>
    </row>
    <row r="685" spans="1:5" ht="15.75" customHeight="1">
      <c r="A685" s="1">
        <v>220830</v>
      </c>
      <c r="B685" s="1" t="s">
        <v>694</v>
      </c>
      <c r="C685" s="1" t="str">
        <f ca="1">IFERROR(__xludf.DUMMYFUNCTION("REGEXEXTRACT(B685, ""^([^:]+)"")"),"Whiskies")</f>
        <v>Whiskies</v>
      </c>
      <c r="D685" s="1" t="s">
        <v>11</v>
      </c>
      <c r="E685" s="1" t="s">
        <v>11</v>
      </c>
    </row>
    <row r="686" spans="1:5" ht="15.75" customHeight="1">
      <c r="A686" s="1">
        <v>220840</v>
      </c>
      <c r="B686" s="1" t="s">
        <v>695</v>
      </c>
      <c r="C686" s="1" t="str">
        <f ca="1">IFERROR(__xludf.DUMMYFUNCTION("REGEXEXTRACT(B686, ""^([^:]+)"")"),"Rum and other spirits obtained by distilling fermented sugar-cane products")</f>
        <v>Rum and other spirits obtained by distilling fermented sugar-cane products</v>
      </c>
      <c r="D686" s="1" t="s">
        <v>11</v>
      </c>
      <c r="E686" s="1" t="s">
        <v>11</v>
      </c>
    </row>
    <row r="687" spans="1:5" ht="15.75" customHeight="1">
      <c r="A687" s="1">
        <v>220850</v>
      </c>
      <c r="B687" s="1" t="s">
        <v>696</v>
      </c>
      <c r="C687" s="1" t="str">
        <f ca="1">IFERROR(__xludf.DUMMYFUNCTION("REGEXEXTRACT(B687, ""^([^:]+)"")"),"Gin and geneva")</f>
        <v>Gin and geneva</v>
      </c>
      <c r="D687" s="1" t="s">
        <v>11</v>
      </c>
      <c r="E687" s="1" t="s">
        <v>11</v>
      </c>
    </row>
    <row r="688" spans="1:5" ht="15.75" customHeight="1">
      <c r="A688" s="1">
        <v>220860</v>
      </c>
      <c r="B688" s="1" t="s">
        <v>697</v>
      </c>
      <c r="C688" s="1" t="str">
        <f ca="1">IFERROR(__xludf.DUMMYFUNCTION("REGEXEXTRACT(B688, ""^([^:]+)"")"),"Vodka")</f>
        <v>Vodka</v>
      </c>
      <c r="D688" s="1" t="s">
        <v>11</v>
      </c>
      <c r="E688" s="1" t="s">
        <v>11</v>
      </c>
    </row>
    <row r="689" spans="1:5" ht="15.75" customHeight="1">
      <c r="A689" s="1">
        <v>220870</v>
      </c>
      <c r="B689" s="1" t="s">
        <v>698</v>
      </c>
      <c r="C689" s="1" t="str">
        <f ca="1">IFERROR(__xludf.DUMMYFUNCTION("REGEXEXTRACT(B689, ""^([^:]+)"")"),"Liqueurs and cordials")</f>
        <v>Liqueurs and cordials</v>
      </c>
      <c r="D689" s="1" t="s">
        <v>11</v>
      </c>
      <c r="E689" s="1" t="s">
        <v>11</v>
      </c>
    </row>
    <row r="690" spans="1:5" ht="15.75" customHeight="1">
      <c r="A690" s="1">
        <v>220890</v>
      </c>
      <c r="B690" s="1" t="s">
        <v>699</v>
      </c>
      <c r="C690" s="1" t="str">
        <f ca="1">IFERROR(__xludf.DUMMYFUNCTION("REGEXEXTRACT(B690, ""^([^:]+)"")"),"Spirits, liqueurs and other spirituous beverages")</f>
        <v>Spirits, liqueurs and other spirituous beverages</v>
      </c>
      <c r="D690" s="1" t="s">
        <v>11</v>
      </c>
      <c r="E690" s="1" t="s">
        <v>11</v>
      </c>
    </row>
    <row r="691" spans="1:5" ht="15.75" customHeight="1">
      <c r="A691" s="1">
        <v>220900</v>
      </c>
      <c r="B691" s="1" t="s">
        <v>700</v>
      </c>
      <c r="C691" s="1" t="str">
        <f ca="1">IFERROR(__xludf.DUMMYFUNCTION("REGEXEXTRACT(B691, ""^([^:]+)"")"),"Vinegar and substitutes for vinegar")</f>
        <v>Vinegar and substitutes for vinegar</v>
      </c>
      <c r="D691" s="1" t="s">
        <v>11</v>
      </c>
      <c r="E691" s="1" t="s">
        <v>11</v>
      </c>
    </row>
    <row r="692" spans="1:5" ht="15.75" customHeight="1">
      <c r="A692" s="1">
        <v>230110</v>
      </c>
      <c r="B692" s="1" t="s">
        <v>701</v>
      </c>
      <c r="C692" s="1" t="str">
        <f ca="1">IFERROR(__xludf.DUMMYFUNCTION("REGEXEXTRACT(B692, ""^([^:]+)"")"),"Flours, meals and pellets")</f>
        <v>Flours, meals and pellets</v>
      </c>
      <c r="D692" s="1" t="s">
        <v>11</v>
      </c>
      <c r="E692" s="1" t="s">
        <v>11</v>
      </c>
    </row>
    <row r="693" spans="1:5" ht="15.75" customHeight="1">
      <c r="A693" s="1">
        <v>230120</v>
      </c>
      <c r="B693" s="1" t="s">
        <v>702</v>
      </c>
      <c r="C693" s="1" t="str">
        <f ca="1">IFERROR(__xludf.DUMMYFUNCTION("REGEXEXTRACT(B693, ""^([^:]+)"")"),"Flours, meals and pellets")</f>
        <v>Flours, meals and pellets</v>
      </c>
      <c r="D693" s="1" t="s">
        <v>11</v>
      </c>
      <c r="E693" s="1" t="s">
        <v>11</v>
      </c>
    </row>
    <row r="694" spans="1:5" ht="15.75" customHeight="1">
      <c r="A694" s="1">
        <v>230210</v>
      </c>
      <c r="B694" s="1" t="s">
        <v>703</v>
      </c>
      <c r="C694" s="1" t="str">
        <f ca="1">IFERROR(__xludf.DUMMYFUNCTION("REGEXEXTRACT(B694, ""^([^:]+)"")"),"Bran, sharps and other residues")</f>
        <v>Bran, sharps and other residues</v>
      </c>
      <c r="D694" s="1" t="s">
        <v>11</v>
      </c>
      <c r="E694" s="1" t="s">
        <v>11</v>
      </c>
    </row>
    <row r="695" spans="1:5" ht="15.75" customHeight="1">
      <c r="A695" s="1">
        <v>230230</v>
      </c>
      <c r="B695" s="1" t="s">
        <v>704</v>
      </c>
      <c r="C695" s="1" t="str">
        <f ca="1">IFERROR(__xludf.DUMMYFUNCTION("REGEXEXTRACT(B695, ""^([^:]+)"")"),"Bran, sharps and other residues")</f>
        <v>Bran, sharps and other residues</v>
      </c>
      <c r="D695" s="1" t="s">
        <v>11</v>
      </c>
      <c r="E695" s="1" t="s">
        <v>11</v>
      </c>
    </row>
    <row r="696" spans="1:5" ht="15.75" customHeight="1">
      <c r="A696" s="1">
        <v>230240</v>
      </c>
      <c r="B696" s="1" t="s">
        <v>705</v>
      </c>
      <c r="C696" s="1" t="str">
        <f ca="1">IFERROR(__xludf.DUMMYFUNCTION("REGEXEXTRACT(B696, ""^([^:]+)"")"),"Bran, sharps and other residues")</f>
        <v>Bran, sharps and other residues</v>
      </c>
      <c r="D696" s="1" t="s">
        <v>11</v>
      </c>
      <c r="E696" s="1" t="s">
        <v>11</v>
      </c>
    </row>
    <row r="697" spans="1:5" ht="15.75" customHeight="1">
      <c r="A697" s="1">
        <v>230250</v>
      </c>
      <c r="B697" s="1" t="s">
        <v>706</v>
      </c>
      <c r="C697" s="1" t="str">
        <f ca="1">IFERROR(__xludf.DUMMYFUNCTION("REGEXEXTRACT(B697, ""^([^:]+)"")"),"Bran, sharps and other residues")</f>
        <v>Bran, sharps and other residues</v>
      </c>
      <c r="D697" s="1" t="s">
        <v>11</v>
      </c>
      <c r="E697" s="1" t="s">
        <v>11</v>
      </c>
    </row>
    <row r="698" spans="1:5" ht="15.75" customHeight="1">
      <c r="A698" s="1">
        <v>230310</v>
      </c>
      <c r="B698" s="1" t="s">
        <v>707</v>
      </c>
      <c r="C698" s="1" t="str">
        <f ca="1">IFERROR(__xludf.DUMMYFUNCTION("REGEXEXTRACT(B698, ""^([^:]+)"")"),"Residues of starch manufacture and similar residues")</f>
        <v>Residues of starch manufacture and similar residues</v>
      </c>
      <c r="D698" s="1" t="s">
        <v>11</v>
      </c>
      <c r="E698" s="1" t="s">
        <v>11</v>
      </c>
    </row>
    <row r="699" spans="1:5" ht="15.75" customHeight="1">
      <c r="A699" s="1">
        <v>230320</v>
      </c>
      <c r="B699" s="1" t="s">
        <v>708</v>
      </c>
      <c r="C699" s="1" t="str">
        <f ca="1">IFERROR(__xludf.DUMMYFUNCTION("REGEXEXTRACT(B699, ""^([^:]+)"")"),"Beet-pulp, bagasse and other waste of sugar manufacture")</f>
        <v>Beet-pulp, bagasse and other waste of sugar manufacture</v>
      </c>
      <c r="D699" s="1" t="s">
        <v>11</v>
      </c>
      <c r="E699" s="1" t="s">
        <v>11</v>
      </c>
    </row>
    <row r="700" spans="1:5" ht="15.75" customHeight="1">
      <c r="A700" s="1">
        <v>230330</v>
      </c>
      <c r="B700" s="1" t="s">
        <v>709</v>
      </c>
      <c r="C700" s="1" t="str">
        <f ca="1">IFERROR(__xludf.DUMMYFUNCTION("REGEXEXTRACT(B700, ""^([^:]+)"")"),"Brewing or distilling dregs and waste")</f>
        <v>Brewing or distilling dregs and waste</v>
      </c>
      <c r="D700" s="1" t="s">
        <v>11</v>
      </c>
      <c r="E700" s="1" t="s">
        <v>11</v>
      </c>
    </row>
    <row r="701" spans="1:5" ht="15.75" customHeight="1">
      <c r="A701" s="1">
        <v>230400</v>
      </c>
      <c r="B701" s="1" t="s">
        <v>710</v>
      </c>
      <c r="C701" s="1" t="str">
        <f ca="1">IFERROR(__xludf.DUMMYFUNCTION("REGEXEXTRACT(B701, ""^([^:]+)"")"),"Oil-cake and other solid residues")</f>
        <v>Oil-cake and other solid residues</v>
      </c>
      <c r="D701" s="1" t="s">
        <v>11</v>
      </c>
      <c r="E701" s="1" t="s">
        <v>11</v>
      </c>
    </row>
    <row r="702" spans="1:5" ht="15.75" customHeight="1">
      <c r="A702" s="1">
        <v>230500</v>
      </c>
      <c r="B702" s="1" t="s">
        <v>711</v>
      </c>
      <c r="C702" s="1" t="str">
        <f ca="1">IFERROR(__xludf.DUMMYFUNCTION("REGEXEXTRACT(B702, ""^([^:]+)"")"),"Oil-cake and other solid residues")</f>
        <v>Oil-cake and other solid residues</v>
      </c>
      <c r="D702" s="1" t="s">
        <v>11</v>
      </c>
      <c r="E702" s="1" t="s">
        <v>11</v>
      </c>
    </row>
    <row r="703" spans="1:5" ht="15.75" customHeight="1">
      <c r="A703" s="1">
        <v>230610</v>
      </c>
      <c r="B703" s="1" t="s">
        <v>712</v>
      </c>
      <c r="C703" s="1" t="str">
        <f ca="1">IFERROR(__xludf.DUMMYFUNCTION("REGEXEXTRACT(B703, ""^([^:]+)"")"),"Oil-cake and other solid residues")</f>
        <v>Oil-cake and other solid residues</v>
      </c>
      <c r="D703" s="1" t="s">
        <v>11</v>
      </c>
      <c r="E703" s="1" t="s">
        <v>11</v>
      </c>
    </row>
    <row r="704" spans="1:5" ht="15.75" customHeight="1">
      <c r="A704" s="1">
        <v>230620</v>
      </c>
      <c r="B704" s="1" t="s">
        <v>713</v>
      </c>
      <c r="C704" s="1" t="str">
        <f ca="1">IFERROR(__xludf.DUMMYFUNCTION("REGEXEXTRACT(B704, ""^([^:]+)"")"),"Oil-cake and other solid residues")</f>
        <v>Oil-cake and other solid residues</v>
      </c>
      <c r="D704" s="1" t="s">
        <v>11</v>
      </c>
      <c r="E704" s="1" t="s">
        <v>11</v>
      </c>
    </row>
    <row r="705" spans="1:5" ht="15.75" customHeight="1">
      <c r="A705" s="1">
        <v>230630</v>
      </c>
      <c r="B705" s="1" t="s">
        <v>714</v>
      </c>
      <c r="C705" s="1" t="str">
        <f ca="1">IFERROR(__xludf.DUMMYFUNCTION("REGEXEXTRACT(B705, ""^([^:]+)"")"),"Oil-cake and other solid residues")</f>
        <v>Oil-cake and other solid residues</v>
      </c>
      <c r="D705" s="1" t="s">
        <v>11</v>
      </c>
      <c r="E705" s="1" t="s">
        <v>11</v>
      </c>
    </row>
    <row r="706" spans="1:5" ht="15.75" customHeight="1">
      <c r="A706" s="1">
        <v>230641</v>
      </c>
      <c r="B706" s="1" t="s">
        <v>715</v>
      </c>
      <c r="C706" s="1" t="str">
        <f ca="1">IFERROR(__xludf.DUMMYFUNCTION("REGEXEXTRACT(B706, ""^([^:]+)"")"),"Oil-cake and other solid residues")</f>
        <v>Oil-cake and other solid residues</v>
      </c>
      <c r="D706" s="1" t="s">
        <v>11</v>
      </c>
      <c r="E706" s="1" t="s">
        <v>11</v>
      </c>
    </row>
    <row r="707" spans="1:5" ht="15.75" customHeight="1">
      <c r="A707" s="1">
        <v>230649</v>
      </c>
      <c r="B707" s="1" t="s">
        <v>716</v>
      </c>
      <c r="C707" s="1" t="str">
        <f ca="1">IFERROR(__xludf.DUMMYFUNCTION("REGEXEXTRACT(B707, ""^([^:]+)"")"),"Oil-cake and other solid residues")</f>
        <v>Oil-cake and other solid residues</v>
      </c>
      <c r="D707" s="1" t="s">
        <v>11</v>
      </c>
      <c r="E707" s="1" t="s">
        <v>11</v>
      </c>
    </row>
    <row r="708" spans="1:5" ht="15.75" customHeight="1">
      <c r="A708" s="1">
        <v>230650</v>
      </c>
      <c r="B708" s="1" t="s">
        <v>717</v>
      </c>
      <c r="C708" s="1" t="str">
        <f ca="1">IFERROR(__xludf.DUMMYFUNCTION("REGEXEXTRACT(B708, ""^([^:]+)"")"),"Oil-cake and other solid residues")</f>
        <v>Oil-cake and other solid residues</v>
      </c>
      <c r="D708" s="1" t="s">
        <v>11</v>
      </c>
      <c r="E708" s="1" t="s">
        <v>11</v>
      </c>
    </row>
    <row r="709" spans="1:5" ht="15.75" customHeight="1">
      <c r="A709" s="1">
        <v>230660</v>
      </c>
      <c r="B709" s="1" t="s">
        <v>718</v>
      </c>
      <c r="C709" s="1" t="str">
        <f ca="1">IFERROR(__xludf.DUMMYFUNCTION("REGEXEXTRACT(B709, ""^([^:]+)"")"),"Oil-cake and other solid residues")</f>
        <v>Oil-cake and other solid residues</v>
      </c>
      <c r="D709" s="1" t="s">
        <v>11</v>
      </c>
      <c r="E709" s="1" t="s">
        <v>11</v>
      </c>
    </row>
    <row r="710" spans="1:5" ht="15.75" customHeight="1">
      <c r="A710" s="1">
        <v>230690</v>
      </c>
      <c r="B710" s="1" t="s">
        <v>719</v>
      </c>
      <c r="C710" s="1" t="str">
        <f ca="1">IFERROR(__xludf.DUMMYFUNCTION("REGEXEXTRACT(B710, ""^([^:]+)"")"),"Oil-cake and other solid residues")</f>
        <v>Oil-cake and other solid residues</v>
      </c>
      <c r="D710" s="1" t="s">
        <v>11</v>
      </c>
      <c r="E710" s="1" t="s">
        <v>11</v>
      </c>
    </row>
    <row r="711" spans="1:5" ht="15.75" customHeight="1">
      <c r="A711" s="1">
        <v>230700</v>
      </c>
      <c r="B711" s="1" t="s">
        <v>720</v>
      </c>
      <c r="C711" s="1" t="str">
        <f ca="1">IFERROR(__xludf.DUMMYFUNCTION("REGEXEXTRACT(B711, ""^([^:]+)"")"),"Wine lees")</f>
        <v>Wine lees</v>
      </c>
      <c r="D711" s="1" t="s">
        <v>11</v>
      </c>
      <c r="E711" s="1" t="s">
        <v>11</v>
      </c>
    </row>
    <row r="712" spans="1:5" ht="15.75" customHeight="1">
      <c r="A712" s="1">
        <v>230800</v>
      </c>
      <c r="B712" s="1" t="s">
        <v>721</v>
      </c>
      <c r="C712" s="1" t="str">
        <f ca="1">IFERROR(__xludf.DUMMYFUNCTION("REGEXEXTRACT(B712, ""^([^:]+)"")"),"Vegetable materials and vegetable waste, vegetable residues and by-products")</f>
        <v>Vegetable materials and vegetable waste, vegetable residues and by-products</v>
      </c>
      <c r="D712" s="1" t="s">
        <v>11</v>
      </c>
      <c r="E712" s="1" t="s">
        <v>11</v>
      </c>
    </row>
    <row r="713" spans="1:5" ht="15.75" customHeight="1">
      <c r="A713" s="1">
        <v>230910</v>
      </c>
      <c r="B713" s="1" t="s">
        <v>722</v>
      </c>
      <c r="C713" s="1" t="str">
        <f ca="1">IFERROR(__xludf.DUMMYFUNCTION("REGEXEXTRACT(B713, ""^([^:]+)"")"),"Dog or cat food")</f>
        <v>Dog or cat food</v>
      </c>
      <c r="D713" s="1" t="s">
        <v>11</v>
      </c>
      <c r="E713" s="1" t="s">
        <v>11</v>
      </c>
    </row>
    <row r="714" spans="1:5" ht="15.75" customHeight="1">
      <c r="A714" s="1">
        <v>230990</v>
      </c>
      <c r="B714" s="1" t="s">
        <v>723</v>
      </c>
      <c r="C714" s="1" t="str">
        <f ca="1">IFERROR(__xludf.DUMMYFUNCTION("REGEXEXTRACT(B714, ""^([^:]+)"")"),"Dog or cat food")</f>
        <v>Dog or cat food</v>
      </c>
      <c r="D714" s="1" t="s">
        <v>11</v>
      </c>
      <c r="E714" s="1" t="s">
        <v>11</v>
      </c>
    </row>
    <row r="715" spans="1:5" ht="15.75" customHeight="1">
      <c r="A715" s="1">
        <v>240110</v>
      </c>
      <c r="B715" s="1" t="s">
        <v>724</v>
      </c>
      <c r="C715" s="1" t="str">
        <f ca="1">IFERROR(__xludf.DUMMYFUNCTION("REGEXEXTRACT(B715, ""^([^:]+)"")"),"Tobacco, (not stemmed or stripped)")</f>
        <v>Tobacco, (not stemmed or stripped)</v>
      </c>
      <c r="D715" s="1" t="s">
        <v>11</v>
      </c>
      <c r="E715" s="1" t="s">
        <v>11</v>
      </c>
    </row>
    <row r="716" spans="1:5" ht="15.75" customHeight="1">
      <c r="A716" s="1">
        <v>240120</v>
      </c>
      <c r="B716" s="1" t="s">
        <v>725</v>
      </c>
      <c r="C716" s="1" t="str">
        <f ca="1">IFERROR(__xludf.DUMMYFUNCTION("REGEXEXTRACT(B716, ""^([^:]+)"")"),"Tobacco")</f>
        <v>Tobacco</v>
      </c>
      <c r="D716" s="1" t="s">
        <v>11</v>
      </c>
      <c r="E716" s="1" t="s">
        <v>11</v>
      </c>
    </row>
    <row r="717" spans="1:5" ht="15.75" customHeight="1">
      <c r="A717" s="1">
        <v>240130</v>
      </c>
      <c r="B717" s="1" t="s">
        <v>726</v>
      </c>
      <c r="C717" s="1" t="str">
        <f ca="1">IFERROR(__xludf.DUMMYFUNCTION("REGEXEXTRACT(B717, ""^([^:]+)"")"),"Tobacco refuse")</f>
        <v>Tobacco refuse</v>
      </c>
      <c r="D717" s="1" t="s">
        <v>11</v>
      </c>
      <c r="E717" s="1" t="s">
        <v>11</v>
      </c>
    </row>
    <row r="718" spans="1:5" ht="15.75" customHeight="1">
      <c r="A718" s="1">
        <v>240210</v>
      </c>
      <c r="B718" s="1" t="s">
        <v>727</v>
      </c>
      <c r="C718" s="1" t="str">
        <f ca="1">IFERROR(__xludf.DUMMYFUNCTION("REGEXEXTRACT(B718, ""^([^:]+)"")"),"Cigars, cheroots and cigarillos")</f>
        <v>Cigars, cheroots and cigarillos</v>
      </c>
      <c r="D718" s="1" t="s">
        <v>11</v>
      </c>
      <c r="E718" s="1" t="s">
        <v>11</v>
      </c>
    </row>
    <row r="719" spans="1:5" ht="15.75" customHeight="1">
      <c r="A719" s="1">
        <v>240220</v>
      </c>
      <c r="B719" s="1" t="s">
        <v>728</v>
      </c>
      <c r="C719" s="1" t="str">
        <f ca="1">IFERROR(__xludf.DUMMYFUNCTION("REGEXEXTRACT(B719, ""^([^:]+)"")"),"Cigarettes")</f>
        <v>Cigarettes</v>
      </c>
      <c r="D719" s="1" t="s">
        <v>11</v>
      </c>
      <c r="E719" s="1" t="s">
        <v>11</v>
      </c>
    </row>
    <row r="720" spans="1:5" ht="15.75" customHeight="1">
      <c r="A720" s="1">
        <v>240290</v>
      </c>
      <c r="B720" s="1" t="s">
        <v>729</v>
      </c>
      <c r="C720" s="1" t="str">
        <f ca="1">IFERROR(__xludf.DUMMYFUNCTION("REGEXEXTRACT(B720, ""^([^:]+)"")"),"Cigars, cigarillos and cheroots")</f>
        <v>Cigars, cigarillos and cheroots</v>
      </c>
      <c r="D720" s="1" t="s">
        <v>11</v>
      </c>
      <c r="E720" s="1" t="s">
        <v>11</v>
      </c>
    </row>
    <row r="721" spans="1:5" ht="15.75" customHeight="1">
      <c r="A721" s="1">
        <v>240310</v>
      </c>
      <c r="B721" s="1" t="s">
        <v>730</v>
      </c>
      <c r="C721" s="1" t="str">
        <f ca="1">IFERROR(__xludf.DUMMYFUNCTION("REGEXEXTRACT(B721, ""^([^:]+)"")"),"Tobacco, smoking")</f>
        <v>Tobacco, smoking</v>
      </c>
      <c r="D721" s="1" t="s">
        <v>11</v>
      </c>
      <c r="E721" s="1" t="s">
        <v>11</v>
      </c>
    </row>
    <row r="722" spans="1:5" ht="15.75" customHeight="1">
      <c r="A722" s="1">
        <v>240391</v>
      </c>
      <c r="B722" s="1" t="s">
        <v>731</v>
      </c>
      <c r="C722" s="1" t="str">
        <f ca="1">IFERROR(__xludf.DUMMYFUNCTION("REGEXEXTRACT(B722, ""^([^:]+)"")"),"Tobacco")</f>
        <v>Tobacco</v>
      </c>
      <c r="D722" s="1" t="s">
        <v>11</v>
      </c>
      <c r="E722" s="1" t="s">
        <v>11</v>
      </c>
    </row>
    <row r="723" spans="1:5" ht="15.75" customHeight="1">
      <c r="A723" s="1">
        <v>240399</v>
      </c>
      <c r="B723" s="1" t="s">
        <v>732</v>
      </c>
      <c r="C723" s="1" t="str">
        <f ca="1">IFERROR(__xludf.DUMMYFUNCTION("REGEXEXTRACT(B723, ""^([^:]+)"")"),"Tobacco")</f>
        <v>Tobacco</v>
      </c>
      <c r="D723" s="1" t="s">
        <v>11</v>
      </c>
      <c r="E723" s="1" t="s">
        <v>11</v>
      </c>
    </row>
    <row r="724" spans="1:5" ht="15.75" customHeight="1">
      <c r="A724" s="1">
        <v>250100</v>
      </c>
      <c r="B724" s="1" t="s">
        <v>733</v>
      </c>
      <c r="C724" s="1" t="str">
        <f ca="1">IFERROR(__xludf.DUMMYFUNCTION("REGEXEXTRACT(B724, ""^([^:]+)"")"),"Salt (including table salt and denatured salt)")</f>
        <v>Salt (including table salt and denatured salt)</v>
      </c>
      <c r="D724" s="1" t="s">
        <v>11</v>
      </c>
      <c r="E724" s="1" t="s">
        <v>11</v>
      </c>
    </row>
    <row r="725" spans="1:5" ht="15.75" customHeight="1">
      <c r="A725" s="1">
        <v>250200</v>
      </c>
      <c r="B725" s="1" t="s">
        <v>734</v>
      </c>
      <c r="C725" s="1" t="str">
        <f ca="1">IFERROR(__xludf.DUMMYFUNCTION("REGEXEXTRACT(B725, ""^([^:]+)"")"),"Iron pyrites")</f>
        <v>Iron pyrites</v>
      </c>
      <c r="D725" s="1" t="s">
        <v>11</v>
      </c>
      <c r="E725" s="1" t="s">
        <v>11</v>
      </c>
    </row>
    <row r="726" spans="1:5" ht="15.75" customHeight="1">
      <c r="A726" s="1">
        <v>250300</v>
      </c>
      <c r="B726" s="1" t="s">
        <v>735</v>
      </c>
      <c r="C726" s="1" t="str">
        <f ca="1">IFERROR(__xludf.DUMMYFUNCTION("REGEXEXTRACT(B726, ""^([^:]+)"")"),"Sulphur of all kinds")</f>
        <v>Sulphur of all kinds</v>
      </c>
      <c r="D726" s="1" t="s">
        <v>11</v>
      </c>
      <c r="E726" s="1" t="s">
        <v>11</v>
      </c>
    </row>
    <row r="727" spans="1:5" ht="15.75" customHeight="1">
      <c r="A727" s="1">
        <v>250410</v>
      </c>
      <c r="B727" s="1" t="s">
        <v>736</v>
      </c>
      <c r="C727" s="1" t="str">
        <f ca="1">IFERROR(__xludf.DUMMYFUNCTION("REGEXEXTRACT(B727, ""^([^:]+)"")"),"Graphite")</f>
        <v>Graphite</v>
      </c>
      <c r="D727" s="1" t="s">
        <v>11</v>
      </c>
      <c r="E727" s="1" t="s">
        <v>11</v>
      </c>
    </row>
    <row r="728" spans="1:5" ht="15.75" customHeight="1">
      <c r="A728" s="1">
        <v>250490</v>
      </c>
      <c r="B728" s="1" t="s">
        <v>737</v>
      </c>
      <c r="C728" s="1" t="str">
        <f ca="1">IFERROR(__xludf.DUMMYFUNCTION("REGEXEXTRACT(B728, ""^([^:]+)"")"),"Graphite")</f>
        <v>Graphite</v>
      </c>
      <c r="D728" s="1" t="s">
        <v>11</v>
      </c>
      <c r="E728" s="1" t="s">
        <v>11</v>
      </c>
    </row>
    <row r="729" spans="1:5" ht="15.75" customHeight="1">
      <c r="A729" s="1">
        <v>250510</v>
      </c>
      <c r="B729" s="1" t="s">
        <v>738</v>
      </c>
      <c r="C729" s="1" t="str">
        <f ca="1">IFERROR(__xludf.DUMMYFUNCTION("REGEXEXTRACT(B729, ""^([^:]+)"")"),"Sands")</f>
        <v>Sands</v>
      </c>
      <c r="D729" s="1" t="s">
        <v>11</v>
      </c>
      <c r="E729" s="1" t="s">
        <v>11</v>
      </c>
    </row>
    <row r="730" spans="1:5" ht="15.75" customHeight="1">
      <c r="A730" s="1">
        <v>250590</v>
      </c>
      <c r="B730" s="1" t="s">
        <v>739</v>
      </c>
      <c r="C730" s="1" t="str">
        <f ca="1">IFERROR(__xludf.DUMMYFUNCTION("REGEXEXTRACT(B730, ""^([^:]+)"")"),"Sands")</f>
        <v>Sands</v>
      </c>
      <c r="D730" s="1" t="s">
        <v>11</v>
      </c>
      <c r="E730" s="1" t="s">
        <v>11</v>
      </c>
    </row>
    <row r="731" spans="1:5" ht="15.75" customHeight="1">
      <c r="A731" s="1">
        <v>250610</v>
      </c>
      <c r="B731" s="1" t="s">
        <v>740</v>
      </c>
      <c r="C731" s="1" t="str">
        <f ca="1">IFERROR(__xludf.DUMMYFUNCTION("REGEXEXTRACT(B731, ""^([^:]+)"")"),"Quartz")</f>
        <v>Quartz</v>
      </c>
      <c r="D731" s="1" t="s">
        <v>11</v>
      </c>
      <c r="E731" s="1" t="s">
        <v>11</v>
      </c>
    </row>
    <row r="732" spans="1:5" ht="15.75" customHeight="1">
      <c r="A732" s="1">
        <v>250620</v>
      </c>
      <c r="B732" s="1" t="s">
        <v>741</v>
      </c>
      <c r="C732" s="1" t="str">
        <f ca="1">IFERROR(__xludf.DUMMYFUNCTION("REGEXEXTRACT(B732, ""^([^:]+)"")"),"Quartzite")</f>
        <v>Quartzite</v>
      </c>
      <c r="D732" s="1" t="s">
        <v>11</v>
      </c>
      <c r="E732" s="1" t="s">
        <v>11</v>
      </c>
    </row>
    <row r="733" spans="1:5" ht="15.75" customHeight="1">
      <c r="A733" s="1">
        <v>250700</v>
      </c>
      <c r="B733" s="1" t="s">
        <v>742</v>
      </c>
      <c r="C733" s="1" t="str">
        <f ca="1">IFERROR(__xludf.DUMMYFUNCTION("REGEXEXTRACT(B733, ""^([^:]+)"")"),"Kaolin and other kaolinic clays")</f>
        <v>Kaolin and other kaolinic clays</v>
      </c>
      <c r="D733" s="1" t="s">
        <v>11</v>
      </c>
      <c r="E733" s="1" t="s">
        <v>11</v>
      </c>
    </row>
    <row r="734" spans="1:5" ht="15.75" customHeight="1">
      <c r="A734" s="1">
        <v>250810</v>
      </c>
      <c r="B734" s="1" t="s">
        <v>743</v>
      </c>
      <c r="C734" s="1" t="str">
        <f ca="1">IFERROR(__xludf.DUMMYFUNCTION("REGEXEXTRACT(B734, ""^([^:]+)"")"),"Clays (excluding expanded clays of heading no. 6806)")</f>
        <v>Clays (excluding expanded clays of heading no. 6806)</v>
      </c>
      <c r="D734" s="1" t="s">
        <v>11</v>
      </c>
      <c r="E734" s="1" t="s">
        <v>11</v>
      </c>
    </row>
    <row r="735" spans="1:5" ht="15.75" customHeight="1">
      <c r="A735" s="1">
        <v>250830</v>
      </c>
      <c r="B735" s="1" t="s">
        <v>744</v>
      </c>
      <c r="C735" s="1" t="str">
        <f ca="1">IFERROR(__xludf.DUMMYFUNCTION("REGEXEXTRACT(B735, ""^([^:]+)"")"),"Clays (excluding expanded clays of heading no. 6806)")</f>
        <v>Clays (excluding expanded clays of heading no. 6806)</v>
      </c>
      <c r="D735" s="1" t="s">
        <v>11</v>
      </c>
      <c r="E735" s="1" t="s">
        <v>11</v>
      </c>
    </row>
    <row r="736" spans="1:5" ht="15.75" customHeight="1">
      <c r="A736" s="1">
        <v>250840</v>
      </c>
      <c r="B736" s="1" t="s">
        <v>745</v>
      </c>
      <c r="C736" s="1" t="str">
        <f ca="1">IFERROR(__xludf.DUMMYFUNCTION("REGEXEXTRACT(B736, ""^([^:]+)"")"),"Clays (excluding expanded clays of heading no. 6806)")</f>
        <v>Clays (excluding expanded clays of heading no. 6806)</v>
      </c>
      <c r="D736" s="1" t="s">
        <v>11</v>
      </c>
      <c r="E736" s="1" t="s">
        <v>11</v>
      </c>
    </row>
    <row r="737" spans="1:5" ht="15.75" customHeight="1">
      <c r="A737" s="1">
        <v>250850</v>
      </c>
      <c r="B737" s="1" t="s">
        <v>746</v>
      </c>
      <c r="C737" s="1" t="str">
        <f ca="1">IFERROR(__xludf.DUMMYFUNCTION("REGEXEXTRACT(B737, ""^([^:]+)"")"),"Clays (excluding expanded clays of heading no. 6806)")</f>
        <v>Clays (excluding expanded clays of heading no. 6806)</v>
      </c>
      <c r="D737" s="1" t="s">
        <v>11</v>
      </c>
      <c r="E737" s="1" t="s">
        <v>11</v>
      </c>
    </row>
    <row r="738" spans="1:5" ht="15.75" customHeight="1">
      <c r="A738" s="1">
        <v>250860</v>
      </c>
      <c r="B738" s="1" t="s">
        <v>747</v>
      </c>
      <c r="C738" s="1" t="str">
        <f ca="1">IFERROR(__xludf.DUMMYFUNCTION("REGEXEXTRACT(B738, ""^([^:]+)"")"),"Clays (excluding expanded clays of heading no. 6806)")</f>
        <v>Clays (excluding expanded clays of heading no. 6806)</v>
      </c>
      <c r="D738" s="1" t="s">
        <v>11</v>
      </c>
      <c r="E738" s="1" t="s">
        <v>11</v>
      </c>
    </row>
    <row r="739" spans="1:5" ht="15.75" customHeight="1">
      <c r="A739" s="1">
        <v>250870</v>
      </c>
      <c r="B739" s="1" t="s">
        <v>748</v>
      </c>
      <c r="C739" s="1" t="str">
        <f ca="1">IFERROR(__xludf.DUMMYFUNCTION("REGEXEXTRACT(B739, ""^([^:]+)"")"),"Clays (excluding expanded clays of heading no. 6806)")</f>
        <v>Clays (excluding expanded clays of heading no. 6806)</v>
      </c>
      <c r="D739" s="1" t="s">
        <v>11</v>
      </c>
      <c r="E739" s="1" t="s">
        <v>11</v>
      </c>
    </row>
    <row r="740" spans="1:5" ht="15.75" customHeight="1">
      <c r="A740" s="1">
        <v>250900</v>
      </c>
      <c r="B740" s="1" t="s">
        <v>749</v>
      </c>
      <c r="C740" s="1" t="str">
        <f ca="1">IFERROR(__xludf.DUMMYFUNCTION("REGEXEXTRACT(B740, ""^([^:]+)"")"),"Chalk")</f>
        <v>Chalk</v>
      </c>
      <c r="D740" s="1" t="s">
        <v>11</v>
      </c>
      <c r="E740" s="1" t="s">
        <v>11</v>
      </c>
    </row>
    <row r="741" spans="1:5" ht="15.75" customHeight="1">
      <c r="A741" s="1">
        <v>251010</v>
      </c>
      <c r="B741" s="1" t="s">
        <v>750</v>
      </c>
      <c r="C741" s="1" t="str">
        <f ca="1">IFERROR(__xludf.DUMMYFUNCTION("REGEXEXTRACT(B741, ""^([^:]+)"")"),"Natural calcium phosphates, natural aluminium calcium phosphates and phosphatic chalk")</f>
        <v>Natural calcium phosphates, natural aluminium calcium phosphates and phosphatic chalk</v>
      </c>
      <c r="D741" s="1" t="s">
        <v>11</v>
      </c>
      <c r="E741" s="1" t="s">
        <v>11</v>
      </c>
    </row>
    <row r="742" spans="1:5" ht="15.75" customHeight="1">
      <c r="A742" s="1">
        <v>251020</v>
      </c>
      <c r="B742" s="1" t="s">
        <v>751</v>
      </c>
      <c r="C742" s="1" t="str">
        <f ca="1">IFERROR(__xludf.DUMMYFUNCTION("REGEXEXTRACT(B742, ""^([^:]+)"")"),"Natural calcium phosphates, natural aluminium calcium phosphates and phosphatic chalk")</f>
        <v>Natural calcium phosphates, natural aluminium calcium phosphates and phosphatic chalk</v>
      </c>
      <c r="D742" s="1" t="s">
        <v>11</v>
      </c>
      <c r="E742" s="1" t="s">
        <v>11</v>
      </c>
    </row>
    <row r="743" spans="1:5" ht="15.75" customHeight="1">
      <c r="A743" s="1">
        <v>251110</v>
      </c>
      <c r="B743" s="1" t="s">
        <v>752</v>
      </c>
      <c r="C743" s="1" t="str">
        <f ca="1">IFERROR(__xludf.DUMMYFUNCTION("REGEXEXTRACT(B743, ""^([^:]+)"")"),"Barium sulphate (barytes)")</f>
        <v>Barium sulphate (barytes)</v>
      </c>
      <c r="D743" s="1" t="s">
        <v>11</v>
      </c>
      <c r="E743" s="1" t="s">
        <v>11</v>
      </c>
    </row>
    <row r="744" spans="1:5" ht="15.75" customHeight="1">
      <c r="A744" s="1">
        <v>251120</v>
      </c>
      <c r="B744" s="1" t="s">
        <v>753</v>
      </c>
      <c r="C744" s="1" t="str">
        <f ca="1">IFERROR(__xludf.DUMMYFUNCTION("REGEXEXTRACT(B744, ""^([^:]+)"")"),"Barium carbonate (witherite)")</f>
        <v>Barium carbonate (witherite)</v>
      </c>
      <c r="D744" s="1" t="s">
        <v>11</v>
      </c>
      <c r="E744" s="1" t="s">
        <v>11</v>
      </c>
    </row>
    <row r="745" spans="1:5" ht="15.75" customHeight="1">
      <c r="A745" s="1">
        <v>251200</v>
      </c>
      <c r="B745" s="1" t="s">
        <v>754</v>
      </c>
      <c r="C745" s="1" t="str">
        <f ca="1">IFERROR(__xludf.DUMMYFUNCTION("REGEXEXTRACT(B745, ""^([^:]+)"")"),"Siliceous fossil meals (egg kieselguhr, tripolite and diatomite) and similar siliceous earths")</f>
        <v>Siliceous fossil meals (egg kieselguhr, tripolite and diatomite) and similar siliceous earths</v>
      </c>
      <c r="D745" s="1" t="s">
        <v>11</v>
      </c>
      <c r="E745" s="1" t="s">
        <v>11</v>
      </c>
    </row>
    <row r="746" spans="1:5" ht="15.75" customHeight="1">
      <c r="A746" s="1">
        <v>251310</v>
      </c>
      <c r="B746" s="1" t="s">
        <v>755</v>
      </c>
      <c r="C746" s="1" t="str">
        <f ca="1">IFERROR(__xludf.DUMMYFUNCTION("REGEXEXTRACT(B746, ""^([^:]+)"")"),"Pumice stone, whether or not heat treated")</f>
        <v>Pumice stone, whether or not heat treated</v>
      </c>
      <c r="D746" s="1" t="s">
        <v>11</v>
      </c>
      <c r="E746" s="1" t="s">
        <v>11</v>
      </c>
    </row>
    <row r="747" spans="1:5" ht="15.75" customHeight="1">
      <c r="A747" s="1">
        <v>251320</v>
      </c>
      <c r="B747" s="1" t="s">
        <v>756</v>
      </c>
      <c r="C747" s="1" t="str">
        <f ca="1">IFERROR(__xludf.DUMMYFUNCTION("REGEXEXTRACT(B747, ""^([^:]+)"")"),"Emery, natural corundum, natural garnet and other natural abrasives, whether or not heat-treated")</f>
        <v>Emery, natural corundum, natural garnet and other natural abrasives, whether or not heat-treated</v>
      </c>
      <c r="D747" s="1" t="s">
        <v>11</v>
      </c>
      <c r="E747" s="1" t="s">
        <v>11</v>
      </c>
    </row>
    <row r="748" spans="1:5" ht="15.75" customHeight="1">
      <c r="A748" s="1">
        <v>251400</v>
      </c>
      <c r="B748" s="1" t="s">
        <v>757</v>
      </c>
      <c r="C748" s="1" t="str">
        <f ca="1">IFERROR(__xludf.DUMMYFUNCTION("REGEXEXTRACT(B748, ""^([^:]+)"")"),"Slate")</f>
        <v>Slate</v>
      </c>
      <c r="D748" s="1" t="s">
        <v>11</v>
      </c>
      <c r="E748" s="1" t="s">
        <v>11</v>
      </c>
    </row>
    <row r="749" spans="1:5" ht="15.75" customHeight="1">
      <c r="A749" s="1">
        <v>251511</v>
      </c>
      <c r="B749" s="1" t="s">
        <v>758</v>
      </c>
      <c r="C749" s="1" t="str">
        <f ca="1">IFERROR(__xludf.DUMMYFUNCTION("REGEXEXTRACT(B749, ""^([^:]+)"")"),"Marble and travertine")</f>
        <v>Marble and travertine</v>
      </c>
      <c r="D749" s="1" t="s">
        <v>11</v>
      </c>
      <c r="E749" s="1" t="s">
        <v>11</v>
      </c>
    </row>
    <row r="750" spans="1:5" ht="15.75" customHeight="1">
      <c r="A750" s="1">
        <v>251512</v>
      </c>
      <c r="B750" s="1" t="s">
        <v>759</v>
      </c>
      <c r="C750" s="1" t="str">
        <f ca="1">IFERROR(__xludf.DUMMYFUNCTION("REGEXEXTRACT(B750, ""^([^:]+)"")"),"Marble and travertine")</f>
        <v>Marble and travertine</v>
      </c>
      <c r="D750" s="1" t="s">
        <v>11</v>
      </c>
      <c r="E750" s="1" t="s">
        <v>11</v>
      </c>
    </row>
    <row r="751" spans="1:5" ht="15.75" customHeight="1">
      <c r="A751" s="1">
        <v>251520</v>
      </c>
      <c r="B751" s="1" t="s">
        <v>760</v>
      </c>
      <c r="C751" s="1" t="str">
        <f ca="1">IFERROR(__xludf.DUMMYFUNCTION("REGEXEXTRACT(B751, ""^([^:]+)"")"),"Ecaussine and other calcareous monumental or building stone")</f>
        <v>Ecaussine and other calcareous monumental or building stone</v>
      </c>
      <c r="D751" s="1" t="s">
        <v>11</v>
      </c>
      <c r="E751" s="1" t="s">
        <v>11</v>
      </c>
    </row>
    <row r="752" spans="1:5" ht="15.75" customHeight="1">
      <c r="A752" s="1">
        <v>251611</v>
      </c>
      <c r="B752" s="1" t="s">
        <v>761</v>
      </c>
      <c r="C752" s="1" t="str">
        <f ca="1">IFERROR(__xludf.DUMMYFUNCTION("REGEXEXTRACT(B752, ""^([^:]+)"")"),"Granite")</f>
        <v>Granite</v>
      </c>
      <c r="D752" s="1" t="s">
        <v>11</v>
      </c>
      <c r="E752" s="1" t="s">
        <v>11</v>
      </c>
    </row>
    <row r="753" spans="1:5" ht="15.75" customHeight="1">
      <c r="A753" s="1">
        <v>251612</v>
      </c>
      <c r="B753" s="1" t="s">
        <v>762</v>
      </c>
      <c r="C753" s="1" t="str">
        <f ca="1">IFERROR(__xludf.DUMMYFUNCTION("REGEXEXTRACT(B753, ""^([^:]+)"")"),"Granite")</f>
        <v>Granite</v>
      </c>
      <c r="D753" s="1" t="s">
        <v>11</v>
      </c>
      <c r="E753" s="1" t="s">
        <v>11</v>
      </c>
    </row>
    <row r="754" spans="1:5" ht="15.75" customHeight="1">
      <c r="A754" s="1">
        <v>251620</v>
      </c>
      <c r="B754" s="1" t="s">
        <v>763</v>
      </c>
      <c r="C754" s="1" t="str">
        <f ca="1">IFERROR(__xludf.DUMMYFUNCTION("REGEXEXTRACT(B754, ""^([^:]+)"")"),"Sandstone")</f>
        <v>Sandstone</v>
      </c>
      <c r="D754" s="1" t="s">
        <v>11</v>
      </c>
      <c r="E754" s="1" t="s">
        <v>11</v>
      </c>
    </row>
    <row r="755" spans="1:5" ht="15.75" customHeight="1">
      <c r="A755" s="1">
        <v>251690</v>
      </c>
      <c r="B755" s="1" t="s">
        <v>764</v>
      </c>
      <c r="C755" s="1" t="str">
        <f ca="1">IFERROR(__xludf.DUMMYFUNCTION("REGEXEXTRACT(B755, ""^([^:]+)"")"),"Monumental or building stone")</f>
        <v>Monumental or building stone</v>
      </c>
      <c r="D755" s="1" t="s">
        <v>11</v>
      </c>
      <c r="E755" s="1" t="s">
        <v>11</v>
      </c>
    </row>
    <row r="756" spans="1:5" ht="15.75" customHeight="1">
      <c r="A756" s="1">
        <v>251710</v>
      </c>
      <c r="B756" s="1" t="s">
        <v>765</v>
      </c>
      <c r="C756" s="1" t="str">
        <f ca="1">IFERROR(__xludf.DUMMYFUNCTION("REGEXEXTRACT(B756, ""^([^:]+)"")"),"Pebbles, gravel, broken or crushed stone")</f>
        <v>Pebbles, gravel, broken or crushed stone</v>
      </c>
      <c r="D756" s="1" t="s">
        <v>11</v>
      </c>
      <c r="E756" s="1" t="s">
        <v>11</v>
      </c>
    </row>
    <row r="757" spans="1:5" ht="15.75" customHeight="1">
      <c r="A757" s="1">
        <v>251720</v>
      </c>
      <c r="B757" s="1" t="s">
        <v>766</v>
      </c>
      <c r="C757" s="1" t="str">
        <f ca="1">IFERROR(__xludf.DUMMYFUNCTION("REGEXEXTRACT(B757, ""^([^:]+)"")"),"Macadam of slag, dross or similar industrial waste")</f>
        <v>Macadam of slag, dross or similar industrial waste</v>
      </c>
      <c r="D757" s="1" t="s">
        <v>11</v>
      </c>
      <c r="E757" s="1" t="s">
        <v>11</v>
      </c>
    </row>
    <row r="758" spans="1:5" ht="15.75" customHeight="1">
      <c r="A758" s="1">
        <v>251730</v>
      </c>
      <c r="B758" s="1" t="s">
        <v>767</v>
      </c>
      <c r="C758" s="1" t="str">
        <f ca="1">IFERROR(__xludf.DUMMYFUNCTION("REGEXEXTRACT(B758, ""^([^:]+)"")"),"Tarred macadam")</f>
        <v>Tarred macadam</v>
      </c>
      <c r="D758" s="1" t="s">
        <v>11</v>
      </c>
      <c r="E758" s="1" t="s">
        <v>11</v>
      </c>
    </row>
    <row r="759" spans="1:5" ht="15.75" customHeight="1">
      <c r="A759" s="1">
        <v>251741</v>
      </c>
      <c r="B759" s="1" t="s">
        <v>768</v>
      </c>
      <c r="C759" s="1" t="str">
        <f ca="1">IFERROR(__xludf.DUMMYFUNCTION("REGEXEXTRACT(B759, ""^([^:]+)"")"),"Stones")</f>
        <v>Stones</v>
      </c>
      <c r="D759" s="1" t="s">
        <v>11</v>
      </c>
      <c r="E759" s="1" t="s">
        <v>11</v>
      </c>
    </row>
    <row r="760" spans="1:5" ht="15.75" customHeight="1">
      <c r="A760" s="1">
        <v>251749</v>
      </c>
      <c r="B760" s="1" t="s">
        <v>769</v>
      </c>
      <c r="C760" s="1" t="str">
        <f ca="1">IFERROR(__xludf.DUMMYFUNCTION("REGEXEXTRACT(B760, ""^([^:]+)"")"),"Stones")</f>
        <v>Stones</v>
      </c>
      <c r="D760" s="1" t="s">
        <v>11</v>
      </c>
      <c r="E760" s="1" t="s">
        <v>11</v>
      </c>
    </row>
    <row r="761" spans="1:5" ht="15.75" customHeight="1">
      <c r="A761" s="1">
        <v>251810</v>
      </c>
      <c r="B761" s="1" t="s">
        <v>770</v>
      </c>
      <c r="C761" s="1" t="str">
        <f ca="1">IFERROR(__xludf.DUMMYFUNCTION("REGEXEXTRACT(B761, ""^([^:]+)"")"),"Dolomite, not calcined or sintered")</f>
        <v>Dolomite, not calcined or sintered</v>
      </c>
      <c r="D761" s="1" t="s">
        <v>11</v>
      </c>
      <c r="E761" s="1" t="s">
        <v>11</v>
      </c>
    </row>
    <row r="762" spans="1:5" ht="15.75" customHeight="1">
      <c r="A762" s="1">
        <v>251820</v>
      </c>
      <c r="B762" s="1" t="s">
        <v>771</v>
      </c>
      <c r="C762" s="1" t="str">
        <f ca="1">IFERROR(__xludf.DUMMYFUNCTION("REGEXEXTRACT(B762, ""^([^:]+)"")"),"Dolomite, calcined or sintered")</f>
        <v>Dolomite, calcined or sintered</v>
      </c>
      <c r="D762" s="1" t="s">
        <v>11</v>
      </c>
      <c r="E762" s="1" t="s">
        <v>11</v>
      </c>
    </row>
    <row r="763" spans="1:5" ht="15.75" customHeight="1">
      <c r="A763" s="1">
        <v>251830</v>
      </c>
      <c r="B763" s="1" t="s">
        <v>772</v>
      </c>
      <c r="C763" s="1" t="str">
        <f ca="1">IFERROR(__xludf.DUMMYFUNCTION("REGEXEXTRACT(B763, ""^([^:]+)"")"),"Dolomite ramming mix")</f>
        <v>Dolomite ramming mix</v>
      </c>
      <c r="D763" s="1" t="s">
        <v>11</v>
      </c>
      <c r="E763" s="1" t="s">
        <v>11</v>
      </c>
    </row>
    <row r="764" spans="1:5" ht="15.75" customHeight="1">
      <c r="A764" s="1">
        <v>251910</v>
      </c>
      <c r="B764" s="1" t="s">
        <v>773</v>
      </c>
      <c r="C764" s="1" t="str">
        <f ca="1">IFERROR(__xludf.DUMMYFUNCTION("REGEXEXTRACT(B764, ""^([^:]+)"")"),"Magnesium carbonate (magnesite)")</f>
        <v>Magnesium carbonate (magnesite)</v>
      </c>
      <c r="D764" s="1" t="s">
        <v>11</v>
      </c>
      <c r="E764" s="1" t="s">
        <v>11</v>
      </c>
    </row>
    <row r="765" spans="1:5" ht="15.75" customHeight="1">
      <c r="A765" s="1">
        <v>251990</v>
      </c>
      <c r="B765" s="1" t="s">
        <v>774</v>
      </c>
      <c r="C765" s="1" t="str">
        <f ca="1">IFERROR(__xludf.DUMMYFUNCTION("REGEXEXTRACT(B765, ""^([^:]+)"")"),"Magnesia, fused or dead-burned (sintered)")</f>
        <v>Magnesia, fused or dead-burned (sintered)</v>
      </c>
      <c r="D765" s="1" t="s">
        <v>11</v>
      </c>
      <c r="E765" s="1" t="s">
        <v>11</v>
      </c>
    </row>
    <row r="766" spans="1:5" ht="15.75" customHeight="1">
      <c r="A766" s="1">
        <v>252010</v>
      </c>
      <c r="B766" s="1" t="s">
        <v>775</v>
      </c>
      <c r="C766" s="1" t="str">
        <f ca="1">IFERROR(__xludf.DUMMYFUNCTION("REGEXEXTRACT(B766, ""^([^:]+)"")"),"Gypsum")</f>
        <v>Gypsum</v>
      </c>
      <c r="D766" s="1" t="s">
        <v>11</v>
      </c>
      <c r="E766" s="1" t="s">
        <v>11</v>
      </c>
    </row>
    <row r="767" spans="1:5" ht="15.75" customHeight="1">
      <c r="A767" s="1">
        <v>252020</v>
      </c>
      <c r="B767" s="1" t="s">
        <v>776</v>
      </c>
      <c r="C767" s="1" t="str">
        <f ca="1">IFERROR(__xludf.DUMMYFUNCTION("REGEXEXTRACT(B767, ""^([^:]+)"")"),"Plasters")</f>
        <v>Plasters</v>
      </c>
      <c r="D767" s="1" t="s">
        <v>11</v>
      </c>
      <c r="E767" s="1" t="s">
        <v>11</v>
      </c>
    </row>
    <row r="768" spans="1:5" ht="15.75" customHeight="1">
      <c r="A768" s="1">
        <v>252100</v>
      </c>
      <c r="B768" s="1" t="s">
        <v>777</v>
      </c>
      <c r="C768" s="1" t="str">
        <f ca="1">IFERROR(__xludf.DUMMYFUNCTION("REGEXEXTRACT(B768, ""^([^:]+)"")"),"Limestone flux")</f>
        <v>Limestone flux</v>
      </c>
      <c r="D768" s="1" t="s">
        <v>11</v>
      </c>
      <c r="E768" s="1" t="s">
        <v>11</v>
      </c>
    </row>
    <row r="769" spans="1:5" ht="15.75" customHeight="1">
      <c r="A769" s="1">
        <v>252210</v>
      </c>
      <c r="B769" s="1" t="s">
        <v>778</v>
      </c>
      <c r="C769" s="1" t="str">
        <f ca="1">IFERROR(__xludf.DUMMYFUNCTION("REGEXEXTRACT(B769, ""^([^:]+)"")"),"Quicklime")</f>
        <v>Quicklime</v>
      </c>
      <c r="D769" s="1" t="s">
        <v>11</v>
      </c>
      <c r="E769" s="1" t="s">
        <v>11</v>
      </c>
    </row>
    <row r="770" spans="1:5" ht="15.75" customHeight="1">
      <c r="A770" s="1">
        <v>252220</v>
      </c>
      <c r="B770" s="1" t="s">
        <v>779</v>
      </c>
      <c r="C770" s="1" t="str">
        <f ca="1">IFERROR(__xludf.DUMMYFUNCTION("REGEXEXTRACT(B770, ""^([^:]+)"")"),"Slaked lime")</f>
        <v>Slaked lime</v>
      </c>
      <c r="D770" s="1" t="s">
        <v>11</v>
      </c>
      <c r="E770" s="1" t="s">
        <v>11</v>
      </c>
    </row>
    <row r="771" spans="1:5" ht="15.75" customHeight="1">
      <c r="A771" s="1">
        <v>252230</v>
      </c>
      <c r="B771" s="1" t="s">
        <v>780</v>
      </c>
      <c r="C771" s="1" t="str">
        <f ca="1">IFERROR(__xludf.DUMMYFUNCTION("REGEXEXTRACT(B771, ""^([^:]+)"")"),"Hydraulic lime")</f>
        <v>Hydraulic lime</v>
      </c>
      <c r="D771" s="1" t="s">
        <v>11</v>
      </c>
      <c r="E771" s="1" t="s">
        <v>11</v>
      </c>
    </row>
    <row r="772" spans="1:5" ht="15.75" customHeight="1">
      <c r="A772" s="1">
        <v>252310</v>
      </c>
      <c r="B772" s="1" t="s">
        <v>781</v>
      </c>
      <c r="C772" s="1" t="str">
        <f ca="1">IFERROR(__xludf.DUMMYFUNCTION("REGEXEXTRACT(B772, ""^([^:]+)"")"),"Cement clinkers (whether or not coloured)")</f>
        <v>Cement clinkers (whether or not coloured)</v>
      </c>
      <c r="D772" s="1" t="s">
        <v>11</v>
      </c>
      <c r="E772" s="1" t="s">
        <v>11</v>
      </c>
    </row>
    <row r="773" spans="1:5" ht="15.75" customHeight="1">
      <c r="A773" s="1">
        <v>252321</v>
      </c>
      <c r="B773" s="1" t="s">
        <v>782</v>
      </c>
      <c r="C773" s="1" t="str">
        <f ca="1">IFERROR(__xludf.DUMMYFUNCTION("REGEXEXTRACT(B773, ""^([^:]+)"")"),"Cement")</f>
        <v>Cement</v>
      </c>
      <c r="D773" s="1" t="s">
        <v>11</v>
      </c>
      <c r="E773" s="1" t="s">
        <v>11</v>
      </c>
    </row>
    <row r="774" spans="1:5" ht="15.75" customHeight="1">
      <c r="A774" s="1">
        <v>252329</v>
      </c>
      <c r="B774" s="1" t="s">
        <v>783</v>
      </c>
      <c r="C774" s="1" t="str">
        <f ca="1">IFERROR(__xludf.DUMMYFUNCTION("REGEXEXTRACT(B774, ""^([^:]+)"")"),"Cement")</f>
        <v>Cement</v>
      </c>
      <c r="D774" s="1" t="s">
        <v>11</v>
      </c>
      <c r="E774" s="1" t="s">
        <v>11</v>
      </c>
    </row>
    <row r="775" spans="1:5" ht="15.75" customHeight="1">
      <c r="A775" s="1">
        <v>252330</v>
      </c>
      <c r="B775" s="1" t="s">
        <v>784</v>
      </c>
      <c r="C775" s="1" t="str">
        <f ca="1">IFERROR(__xludf.DUMMYFUNCTION("REGEXEXTRACT(B775, ""^([^:]+)"")"),"Cement")</f>
        <v>Cement</v>
      </c>
      <c r="D775" s="1" t="s">
        <v>11</v>
      </c>
      <c r="E775" s="1" t="s">
        <v>11</v>
      </c>
    </row>
    <row r="776" spans="1:5" ht="15.75" customHeight="1">
      <c r="A776" s="1">
        <v>252390</v>
      </c>
      <c r="B776" s="1" t="s">
        <v>785</v>
      </c>
      <c r="C776" s="1" t="str">
        <f ca="1">IFERROR(__xludf.DUMMYFUNCTION("REGEXEXTRACT(B776, ""^([^:]+)"")"),"Cement")</f>
        <v>Cement</v>
      </c>
      <c r="D776" s="1" t="s">
        <v>11</v>
      </c>
      <c r="E776" s="1" t="s">
        <v>11</v>
      </c>
    </row>
    <row r="777" spans="1:5" ht="15.75" customHeight="1">
      <c r="A777" s="1">
        <v>252410</v>
      </c>
      <c r="B777" s="1" t="s">
        <v>786</v>
      </c>
      <c r="C777" s="1" t="str">
        <f ca="1">IFERROR(__xludf.DUMMYFUNCTION("REGEXEXTRACT(B777, ""^([^:]+)"")"),"Asbestos")</f>
        <v>Asbestos</v>
      </c>
      <c r="D777" s="1" t="s">
        <v>11</v>
      </c>
      <c r="E777" s="1" t="s">
        <v>11</v>
      </c>
    </row>
    <row r="778" spans="1:5" ht="15.75" customHeight="1">
      <c r="A778" s="1">
        <v>252490</v>
      </c>
      <c r="B778" s="1" t="s">
        <v>787</v>
      </c>
      <c r="C778" s="1" t="str">
        <f ca="1">IFERROR(__xludf.DUMMYFUNCTION("REGEXEXTRACT(B778, ""^([^:]+)"")"),"Asbestos")</f>
        <v>Asbestos</v>
      </c>
      <c r="D778" s="1" t="s">
        <v>11</v>
      </c>
      <c r="E778" s="1" t="s">
        <v>11</v>
      </c>
    </row>
    <row r="779" spans="1:5" ht="15.75" customHeight="1">
      <c r="A779" s="1">
        <v>252510</v>
      </c>
      <c r="B779" s="1" t="s">
        <v>788</v>
      </c>
      <c r="C779" s="1" t="str">
        <f ca="1">IFERROR(__xludf.DUMMYFUNCTION("REGEXEXTRACT(B779, ""^([^:]+)"")"),"Mica")</f>
        <v>Mica</v>
      </c>
      <c r="D779" s="1" t="s">
        <v>11</v>
      </c>
      <c r="E779" s="1" t="s">
        <v>11</v>
      </c>
    </row>
    <row r="780" spans="1:5" ht="15.75" customHeight="1">
      <c r="A780" s="1">
        <v>252520</v>
      </c>
      <c r="B780" s="1" t="s">
        <v>789</v>
      </c>
      <c r="C780" s="1" t="str">
        <f ca="1">IFERROR(__xludf.DUMMYFUNCTION("REGEXEXTRACT(B780, ""^([^:]+)"")"),"Mica")</f>
        <v>Mica</v>
      </c>
      <c r="D780" s="1" t="s">
        <v>11</v>
      </c>
      <c r="E780" s="1" t="s">
        <v>11</v>
      </c>
    </row>
    <row r="781" spans="1:5" ht="15.75" customHeight="1">
      <c r="A781" s="1">
        <v>252530</v>
      </c>
      <c r="B781" s="1" t="s">
        <v>790</v>
      </c>
      <c r="C781" s="1" t="str">
        <f ca="1">IFERROR(__xludf.DUMMYFUNCTION("REGEXEXTRACT(B781, ""^([^:]+)"")"),"Mica")</f>
        <v>Mica</v>
      </c>
      <c r="D781" s="1" t="s">
        <v>11</v>
      </c>
      <c r="E781" s="1" t="s">
        <v>11</v>
      </c>
    </row>
    <row r="782" spans="1:5" ht="15.75" customHeight="1">
      <c r="A782" s="1">
        <v>252610</v>
      </c>
      <c r="B782" s="1" t="s">
        <v>791</v>
      </c>
      <c r="C782" s="1" t="str">
        <f ca="1">IFERROR(__xludf.DUMMYFUNCTION("REGEXEXTRACT(B782, ""^([^:]+)"")"),"Steatite")</f>
        <v>Steatite</v>
      </c>
      <c r="D782" s="1" t="s">
        <v>11</v>
      </c>
      <c r="E782" s="1" t="s">
        <v>11</v>
      </c>
    </row>
    <row r="783" spans="1:5" ht="15.75" customHeight="1">
      <c r="A783" s="1">
        <v>252620</v>
      </c>
      <c r="B783" s="1" t="s">
        <v>792</v>
      </c>
      <c r="C783" s="1" t="str">
        <f ca="1">IFERROR(__xludf.DUMMYFUNCTION("REGEXEXTRACT(B783, ""^([^:]+)"")"),"Steatite")</f>
        <v>Steatite</v>
      </c>
      <c r="D783" s="1" t="s">
        <v>11</v>
      </c>
      <c r="E783" s="1" t="s">
        <v>11</v>
      </c>
    </row>
    <row r="784" spans="1:5" ht="15.75" customHeight="1">
      <c r="A784" s="1">
        <v>252810</v>
      </c>
      <c r="B784" s="1" t="s">
        <v>793</v>
      </c>
      <c r="C784" s="1" t="str">
        <f ca="1">IFERROR(__xludf.DUMMYFUNCTION("REGEXEXTRACT(B784, ""^([^:]+)"")"),"Sodium borates")</f>
        <v>Sodium borates</v>
      </c>
      <c r="D784" s="1" t="s">
        <v>11</v>
      </c>
      <c r="E784" s="1" t="s">
        <v>11</v>
      </c>
    </row>
    <row r="785" spans="1:5" ht="15.75" customHeight="1">
      <c r="A785" s="1">
        <v>252890</v>
      </c>
      <c r="B785" s="1" t="s">
        <v>794</v>
      </c>
      <c r="C785" s="1" t="str">
        <f ca="1">IFERROR(__xludf.DUMMYFUNCTION("REGEXEXTRACT(B785, ""^([^:]+)"")"),"Borates")</f>
        <v>Borates</v>
      </c>
      <c r="D785" s="1" t="s">
        <v>11</v>
      </c>
      <c r="E785" s="1" t="s">
        <v>11</v>
      </c>
    </row>
    <row r="786" spans="1:5" ht="15.75" customHeight="1">
      <c r="A786" s="1">
        <v>252910</v>
      </c>
      <c r="B786" s="1" t="s">
        <v>795</v>
      </c>
      <c r="C786" s="1" t="str">
        <f ca="1">IFERROR(__xludf.DUMMYFUNCTION("REGEXEXTRACT(B786, ""^([^:]+)"")"),"Feldspar")</f>
        <v>Feldspar</v>
      </c>
      <c r="D786" s="1" t="s">
        <v>11</v>
      </c>
      <c r="E786" s="1" t="s">
        <v>11</v>
      </c>
    </row>
    <row r="787" spans="1:5" ht="15.75" customHeight="1">
      <c r="A787" s="1">
        <v>252921</v>
      </c>
      <c r="B787" s="1" t="s">
        <v>796</v>
      </c>
      <c r="C787" s="1" t="str">
        <f ca="1">IFERROR(__xludf.DUMMYFUNCTION("REGEXEXTRACT(B787, ""^([^:]+)"")"),"Fluorspar")</f>
        <v>Fluorspar</v>
      </c>
      <c r="D787" s="1" t="s">
        <v>11</v>
      </c>
      <c r="E787" s="1" t="s">
        <v>11</v>
      </c>
    </row>
    <row r="788" spans="1:5" ht="15.75" customHeight="1">
      <c r="A788" s="1">
        <v>252922</v>
      </c>
      <c r="B788" s="1" t="s">
        <v>797</v>
      </c>
      <c r="C788" s="1" t="str">
        <f ca="1">IFERROR(__xludf.DUMMYFUNCTION("REGEXEXTRACT(B788, ""^([^:]+)"")"),"Fluorspar")</f>
        <v>Fluorspar</v>
      </c>
      <c r="D788" s="1" t="s">
        <v>11</v>
      </c>
      <c r="E788" s="1" t="s">
        <v>11</v>
      </c>
    </row>
    <row r="789" spans="1:5" ht="15.75" customHeight="1">
      <c r="A789" s="1">
        <v>252930</v>
      </c>
      <c r="B789" s="1" t="s">
        <v>798</v>
      </c>
      <c r="C789" s="1" t="str">
        <f ca="1">IFERROR(__xludf.DUMMYFUNCTION("REGEXEXTRACT(B789, ""^([^:]+)"")"),"Leucite")</f>
        <v>Leucite</v>
      </c>
      <c r="D789" s="1" t="s">
        <v>11</v>
      </c>
      <c r="E789" s="1" t="s">
        <v>11</v>
      </c>
    </row>
    <row r="790" spans="1:5" ht="15.75" customHeight="1">
      <c r="A790" s="1">
        <v>253010</v>
      </c>
      <c r="B790" s="1" t="s">
        <v>799</v>
      </c>
      <c r="C790" s="1" t="str">
        <f ca="1">IFERROR(__xludf.DUMMYFUNCTION("REGEXEXTRACT(B790, ""^([^:]+)"")"),"Vermiculite, perlite and chlorites")</f>
        <v>Vermiculite, perlite and chlorites</v>
      </c>
      <c r="D790" s="1" t="s">
        <v>11</v>
      </c>
      <c r="E790" s="1" t="s">
        <v>11</v>
      </c>
    </row>
    <row r="791" spans="1:5" ht="15.75" customHeight="1">
      <c r="A791" s="1">
        <v>253020</v>
      </c>
      <c r="B791" s="1" t="s">
        <v>800</v>
      </c>
      <c r="C791" s="1" t="str">
        <f ca="1">IFERROR(__xludf.DUMMYFUNCTION("REGEXEXTRACT(B791, ""^([^:]+)"")"),"Kieserite, epsomite (natural magnesium sulphates)")</f>
        <v>Kieserite, epsomite (natural magnesium sulphates)</v>
      </c>
      <c r="D791" s="1" t="s">
        <v>11</v>
      </c>
      <c r="E791" s="1" t="s">
        <v>11</v>
      </c>
    </row>
    <row r="792" spans="1:5" ht="15.75" customHeight="1">
      <c r="A792" s="1">
        <v>253090</v>
      </c>
      <c r="B792" s="1" t="s">
        <v>801</v>
      </c>
      <c r="C792" s="1" t="str">
        <f ca="1">IFERROR(__xludf.DUMMYFUNCTION("REGEXEXTRACT(B792, ""^([^:]+)"")"),"Mineral substances")</f>
        <v>Mineral substances</v>
      </c>
      <c r="D792" s="1" t="s">
        <v>11</v>
      </c>
      <c r="E792" s="1" t="s">
        <v>11</v>
      </c>
    </row>
    <row r="793" spans="1:5" ht="15.75" customHeight="1">
      <c r="A793" s="1">
        <v>260111</v>
      </c>
      <c r="B793" s="1" t="s">
        <v>802</v>
      </c>
      <c r="C793" s="1" t="str">
        <f ca="1">IFERROR(__xludf.DUMMYFUNCTION("REGEXEXTRACT(B793, ""^([^:]+)"")"),"Iron ores and concentrates")</f>
        <v>Iron ores and concentrates</v>
      </c>
      <c r="D793" s="1" t="s">
        <v>11</v>
      </c>
      <c r="E793" s="1" t="s">
        <v>11</v>
      </c>
    </row>
    <row r="794" spans="1:5" ht="15.75" customHeight="1">
      <c r="A794" s="1">
        <v>260112</v>
      </c>
      <c r="B794" s="1" t="s">
        <v>803</v>
      </c>
      <c r="C794" s="1" t="str">
        <f ca="1">IFERROR(__xludf.DUMMYFUNCTION("REGEXEXTRACT(B794, ""^([^:]+)"")"),"Iron ores and concentrates")</f>
        <v>Iron ores and concentrates</v>
      </c>
      <c r="D794" s="1" t="s">
        <v>11</v>
      </c>
      <c r="E794" s="1" t="s">
        <v>11</v>
      </c>
    </row>
    <row r="795" spans="1:5" ht="15.75" customHeight="1">
      <c r="A795" s="1">
        <v>260120</v>
      </c>
      <c r="B795" s="1" t="s">
        <v>804</v>
      </c>
      <c r="C795" s="1" t="str">
        <f ca="1">IFERROR(__xludf.DUMMYFUNCTION("REGEXEXTRACT(B795, ""^([^:]+)"")"),"Iron pyrites")</f>
        <v>Iron pyrites</v>
      </c>
      <c r="D795" s="1" t="s">
        <v>11</v>
      </c>
      <c r="E795" s="1" t="s">
        <v>11</v>
      </c>
    </row>
    <row r="796" spans="1:5" ht="15.75" customHeight="1">
      <c r="A796" s="1">
        <v>260200</v>
      </c>
      <c r="B796" s="1" t="s">
        <v>805</v>
      </c>
      <c r="C796" s="1" t="str">
        <f ca="1">IFERROR(__xludf.DUMMYFUNCTION("REGEXEXTRACT(B796, ""^([^:]+)"")"),"Manganese ores and concentrates, including ferruginous manganese ores and concentrates with a manganese content of 20% or more, calculated on the dry weight")</f>
        <v>Manganese ores and concentrates, including ferruginous manganese ores and concentrates with a manganese content of 20% or more, calculated on the dry weight</v>
      </c>
      <c r="D796" s="1" t="s">
        <v>11</v>
      </c>
      <c r="E796" s="1" t="s">
        <v>11</v>
      </c>
    </row>
    <row r="797" spans="1:5" ht="15.75" customHeight="1">
      <c r="A797" s="1">
        <v>260300</v>
      </c>
      <c r="B797" s="1" t="s">
        <v>806</v>
      </c>
      <c r="C797" s="1" t="str">
        <f ca="1">IFERROR(__xludf.DUMMYFUNCTION("REGEXEXTRACT(B797, ""^([^:]+)"")"),"Copper ores and concentrates")</f>
        <v>Copper ores and concentrates</v>
      </c>
      <c r="D797" s="1" t="s">
        <v>11</v>
      </c>
      <c r="E797" s="1" t="s">
        <v>11</v>
      </c>
    </row>
    <row r="798" spans="1:5" ht="15.75" customHeight="1">
      <c r="A798" s="1">
        <v>260400</v>
      </c>
      <c r="B798" s="1" t="s">
        <v>807</v>
      </c>
      <c r="C798" s="1" t="str">
        <f ca="1">IFERROR(__xludf.DUMMYFUNCTION("REGEXEXTRACT(B798, ""^([^:]+)"")"),"Nickel ores and concentrates")</f>
        <v>Nickel ores and concentrates</v>
      </c>
      <c r="D798" s="1" t="s">
        <v>11</v>
      </c>
      <c r="E798" s="1" t="s">
        <v>11</v>
      </c>
    </row>
    <row r="799" spans="1:5" ht="15.75" customHeight="1">
      <c r="A799" s="1">
        <v>260500</v>
      </c>
      <c r="B799" s="1" t="s">
        <v>808</v>
      </c>
      <c r="C799" s="1" t="str">
        <f ca="1">IFERROR(__xludf.DUMMYFUNCTION("REGEXEXTRACT(B799, ""^([^:]+)"")"),"Cobalt ores and concentrates")</f>
        <v>Cobalt ores and concentrates</v>
      </c>
      <c r="D799" s="1" t="s">
        <v>11</v>
      </c>
      <c r="E799" s="1" t="s">
        <v>11</v>
      </c>
    </row>
    <row r="800" spans="1:5" ht="15.75" customHeight="1">
      <c r="A800" s="1">
        <v>260600</v>
      </c>
      <c r="B800" s="1" t="s">
        <v>809</v>
      </c>
      <c r="C800" s="1" t="str">
        <f ca="1">IFERROR(__xludf.DUMMYFUNCTION("REGEXEXTRACT(B800, ""^([^:]+)"")"),"Aluminium ores and concentrates")</f>
        <v>Aluminium ores and concentrates</v>
      </c>
      <c r="D800" s="1" t="s">
        <v>11</v>
      </c>
      <c r="E800" s="1" t="s">
        <v>11</v>
      </c>
    </row>
    <row r="801" spans="1:5" ht="15.75" customHeight="1">
      <c r="A801" s="1">
        <v>260700</v>
      </c>
      <c r="B801" s="1" t="s">
        <v>810</v>
      </c>
      <c r="C801" s="1" t="str">
        <f ca="1">IFERROR(__xludf.DUMMYFUNCTION("REGEXEXTRACT(B801, ""^([^:]+)"")"),"Lead ores and concentrates")</f>
        <v>Lead ores and concentrates</v>
      </c>
      <c r="D801" s="1" t="s">
        <v>11</v>
      </c>
      <c r="E801" s="1" t="s">
        <v>11</v>
      </c>
    </row>
    <row r="802" spans="1:5" ht="15.75" customHeight="1">
      <c r="A802" s="1">
        <v>260800</v>
      </c>
      <c r="B802" s="1" t="s">
        <v>811</v>
      </c>
      <c r="C802" s="1" t="str">
        <f ca="1">IFERROR(__xludf.DUMMYFUNCTION("REGEXEXTRACT(B802, ""^([^:]+)"")"),"Zinc ores and concentrates")</f>
        <v>Zinc ores and concentrates</v>
      </c>
      <c r="D802" s="1" t="s">
        <v>11</v>
      </c>
      <c r="E802" s="1" t="s">
        <v>11</v>
      </c>
    </row>
    <row r="803" spans="1:5" ht="15.75" customHeight="1">
      <c r="A803" s="1">
        <v>260900</v>
      </c>
      <c r="B803" s="1" t="s">
        <v>812</v>
      </c>
      <c r="C803" s="1" t="str">
        <f ca="1">IFERROR(__xludf.DUMMYFUNCTION("REGEXEXTRACT(B803, ""^([^:]+)"")"),"Tin ores and concentrates")</f>
        <v>Tin ores and concentrates</v>
      </c>
      <c r="D803" s="1" t="s">
        <v>11</v>
      </c>
      <c r="E803" s="1" t="s">
        <v>11</v>
      </c>
    </row>
    <row r="804" spans="1:5" ht="15.75" customHeight="1">
      <c r="A804" s="1">
        <v>261000</v>
      </c>
      <c r="B804" s="1" t="s">
        <v>813</v>
      </c>
      <c r="C804" s="1" t="str">
        <f ca="1">IFERROR(__xludf.DUMMYFUNCTION("REGEXEXTRACT(B804, ""^([^:]+)"")"),"Chromium ores and concentrates")</f>
        <v>Chromium ores and concentrates</v>
      </c>
      <c r="D804" s="1" t="s">
        <v>11</v>
      </c>
      <c r="E804" s="1" t="s">
        <v>11</v>
      </c>
    </row>
    <row r="805" spans="1:5" ht="15.75" customHeight="1">
      <c r="A805" s="1">
        <v>261100</v>
      </c>
      <c r="B805" s="1" t="s">
        <v>814</v>
      </c>
      <c r="C805" s="1" t="str">
        <f ca="1">IFERROR(__xludf.DUMMYFUNCTION("REGEXEXTRACT(B805, ""^([^:]+)"")"),"Tungsten ores and concentrates")</f>
        <v>Tungsten ores and concentrates</v>
      </c>
      <c r="D805" s="1" t="s">
        <v>11</v>
      </c>
      <c r="E805" s="1" t="s">
        <v>11</v>
      </c>
    </row>
    <row r="806" spans="1:5" ht="15.75" customHeight="1">
      <c r="A806" s="1">
        <v>261210</v>
      </c>
      <c r="B806" s="1" t="s">
        <v>815</v>
      </c>
      <c r="C806" s="1" t="str">
        <f ca="1">IFERROR(__xludf.DUMMYFUNCTION("REGEXEXTRACT(B806, ""^([^:]+)"")"),"Uranium ores and concentrates")</f>
        <v>Uranium ores and concentrates</v>
      </c>
      <c r="D806" s="1" t="s">
        <v>11</v>
      </c>
      <c r="E806" s="1" t="s">
        <v>11</v>
      </c>
    </row>
    <row r="807" spans="1:5" ht="15.75" customHeight="1">
      <c r="A807" s="1">
        <v>261220</v>
      </c>
      <c r="B807" s="1" t="s">
        <v>816</v>
      </c>
      <c r="C807" s="1" t="str">
        <f ca="1">IFERROR(__xludf.DUMMYFUNCTION("REGEXEXTRACT(B807, ""^([^:]+)"")"),"Thorium ores and concentrates")</f>
        <v>Thorium ores and concentrates</v>
      </c>
      <c r="D807" s="1" t="s">
        <v>11</v>
      </c>
      <c r="E807" s="1" t="s">
        <v>11</v>
      </c>
    </row>
    <row r="808" spans="1:5" ht="15.75" customHeight="1">
      <c r="A808" s="1">
        <v>261310</v>
      </c>
      <c r="B808" s="1" t="s">
        <v>817</v>
      </c>
      <c r="C808" s="1" t="str">
        <f ca="1">IFERROR(__xludf.DUMMYFUNCTION("REGEXEXTRACT(B808, ""^([^:]+)"")"),"Molybdenum ores and concentrates")</f>
        <v>Molybdenum ores and concentrates</v>
      </c>
      <c r="D808" s="1" t="s">
        <v>11</v>
      </c>
      <c r="E808" s="1" t="s">
        <v>11</v>
      </c>
    </row>
    <row r="809" spans="1:5" ht="15.75" customHeight="1">
      <c r="A809" s="1">
        <v>261390</v>
      </c>
      <c r="B809" s="1" t="s">
        <v>818</v>
      </c>
      <c r="C809" s="1" t="str">
        <f ca="1">IFERROR(__xludf.DUMMYFUNCTION("REGEXEXTRACT(B809, ""^([^:]+)"")"),"Molybdenum ores and concentrates")</f>
        <v>Molybdenum ores and concentrates</v>
      </c>
      <c r="D809" s="1" t="s">
        <v>11</v>
      </c>
      <c r="E809" s="1" t="s">
        <v>11</v>
      </c>
    </row>
    <row r="810" spans="1:5" ht="15.75" customHeight="1">
      <c r="A810" s="1">
        <v>261400</v>
      </c>
      <c r="B810" s="1" t="s">
        <v>819</v>
      </c>
      <c r="C810" s="1" t="str">
        <f ca="1">IFERROR(__xludf.DUMMYFUNCTION("REGEXEXTRACT(B810, ""^([^:]+)"")"),"Titanium ores and concentrates")</f>
        <v>Titanium ores and concentrates</v>
      </c>
      <c r="D810" s="1" t="s">
        <v>11</v>
      </c>
      <c r="E810" s="1" t="s">
        <v>11</v>
      </c>
    </row>
    <row r="811" spans="1:5" ht="15.75" customHeight="1">
      <c r="A811" s="1">
        <v>261510</v>
      </c>
      <c r="B811" s="1" t="s">
        <v>820</v>
      </c>
      <c r="C811" s="1" t="str">
        <f ca="1">IFERROR(__xludf.DUMMYFUNCTION("REGEXEXTRACT(B811, ""^([^:]+)"")"),"Zirconium ores and concentrates")</f>
        <v>Zirconium ores and concentrates</v>
      </c>
      <c r="D811" s="1" t="s">
        <v>11</v>
      </c>
      <c r="E811" s="1" t="s">
        <v>11</v>
      </c>
    </row>
    <row r="812" spans="1:5" ht="15.75" customHeight="1">
      <c r="A812" s="1">
        <v>261590</v>
      </c>
      <c r="B812" s="1" t="s">
        <v>821</v>
      </c>
      <c r="C812" s="1" t="str">
        <f ca="1">IFERROR(__xludf.DUMMYFUNCTION("REGEXEXTRACT(B812, ""^([^:]+)"")"),"Niobium, tantalum, vanadium ores and concentrates")</f>
        <v>Niobium, tantalum, vanadium ores and concentrates</v>
      </c>
      <c r="D812" s="1" t="s">
        <v>11</v>
      </c>
      <c r="E812" s="1" t="s">
        <v>11</v>
      </c>
    </row>
    <row r="813" spans="1:5" ht="15.75" customHeight="1">
      <c r="A813" s="1">
        <v>261610</v>
      </c>
      <c r="B813" s="1" t="s">
        <v>822</v>
      </c>
      <c r="C813" s="1" t="str">
        <f ca="1">IFERROR(__xludf.DUMMYFUNCTION("REGEXEXTRACT(B813, ""^([^:]+)"")"),"Silver ores and concentrates")</f>
        <v>Silver ores and concentrates</v>
      </c>
      <c r="D813" s="1" t="s">
        <v>11</v>
      </c>
      <c r="E813" s="1" t="s">
        <v>11</v>
      </c>
    </row>
    <row r="814" spans="1:5" ht="15.75" customHeight="1">
      <c r="A814" s="1">
        <v>261690</v>
      </c>
      <c r="B814" s="1" t="s">
        <v>823</v>
      </c>
      <c r="C814" s="1" t="str">
        <f ca="1">IFERROR(__xludf.DUMMYFUNCTION("REGEXEXTRACT(B814, ""^([^:]+)"")"),"Precious metal ores and concentrates")</f>
        <v>Precious metal ores and concentrates</v>
      </c>
      <c r="D814" s="1" t="s">
        <v>11</v>
      </c>
      <c r="E814" s="1" t="s">
        <v>11</v>
      </c>
    </row>
    <row r="815" spans="1:5" ht="15.75" customHeight="1">
      <c r="A815" s="1">
        <v>261710</v>
      </c>
      <c r="B815" s="1" t="s">
        <v>824</v>
      </c>
      <c r="C815" s="1" t="str">
        <f ca="1">IFERROR(__xludf.DUMMYFUNCTION("REGEXEXTRACT(B815, ""^([^:]+)"")"),"Antimony ores and concentrates")</f>
        <v>Antimony ores and concentrates</v>
      </c>
      <c r="D815" s="1" t="s">
        <v>11</v>
      </c>
      <c r="E815" s="1" t="s">
        <v>11</v>
      </c>
    </row>
    <row r="816" spans="1:5" ht="15.75" customHeight="1">
      <c r="A816" s="1">
        <v>261790</v>
      </c>
      <c r="B816" s="1" t="s">
        <v>825</v>
      </c>
      <c r="C816" s="1" t="str">
        <f ca="1">IFERROR(__xludf.DUMMYFUNCTION("REGEXEXTRACT(B816, ""^([^:]+)"")"),"Ores and concentrates n.e.c. in chapter 26")</f>
        <v>Ores and concentrates n.e.c. in chapter 26</v>
      </c>
      <c r="D816" s="1" t="s">
        <v>11</v>
      </c>
      <c r="E816" s="1" t="s">
        <v>11</v>
      </c>
    </row>
    <row r="817" spans="1:5" ht="15.75" customHeight="1">
      <c r="A817" s="1">
        <v>261800</v>
      </c>
      <c r="B817" s="1" t="s">
        <v>826</v>
      </c>
      <c r="C817" s="1" t="str">
        <f ca="1">IFERROR(__xludf.DUMMYFUNCTION("REGEXEXTRACT(B817, ""^([^:]+)"")"),"Slag, granulated (slag sand)")</f>
        <v>Slag, granulated (slag sand)</v>
      </c>
      <c r="D817" s="1" t="s">
        <v>11</v>
      </c>
      <c r="E817" s="1" t="s">
        <v>11</v>
      </c>
    </row>
    <row r="818" spans="1:5" ht="15.75" customHeight="1">
      <c r="A818" s="1">
        <v>261900</v>
      </c>
      <c r="B818" s="1" t="s">
        <v>827</v>
      </c>
      <c r="C818" s="1" t="str">
        <f ca="1">IFERROR(__xludf.DUMMYFUNCTION("REGEXEXTRACT(B818, ""^([^:]+)"")"),"Slag, dross")</f>
        <v>Slag, dross</v>
      </c>
      <c r="D818" s="1" t="s">
        <v>11</v>
      </c>
      <c r="E818" s="1" t="s">
        <v>11</v>
      </c>
    </row>
    <row r="819" spans="1:5" ht="15.75" customHeight="1">
      <c r="A819" s="1">
        <v>262011</v>
      </c>
      <c r="B819" s="1" t="s">
        <v>828</v>
      </c>
      <c r="C819" s="1" t="str">
        <f ca="1">IFERROR(__xludf.DUMMYFUNCTION("REGEXEXTRACT(B819, ""^([^:]+)"")"),"Slag, ash and residues")</f>
        <v>Slag, ash and residues</v>
      </c>
      <c r="D819" s="1" t="s">
        <v>11</v>
      </c>
      <c r="E819" s="1" t="s">
        <v>11</v>
      </c>
    </row>
    <row r="820" spans="1:5" ht="15.75" customHeight="1">
      <c r="A820" s="1">
        <v>262019</v>
      </c>
      <c r="B820" s="1" t="s">
        <v>829</v>
      </c>
      <c r="C820" s="1" t="str">
        <f ca="1">IFERROR(__xludf.DUMMYFUNCTION("REGEXEXTRACT(B820, ""^([^:]+)"")"),"Slag, ash and residues")</f>
        <v>Slag, ash and residues</v>
      </c>
      <c r="D820" s="1" t="s">
        <v>11</v>
      </c>
      <c r="E820" s="1" t="s">
        <v>11</v>
      </c>
    </row>
    <row r="821" spans="1:5" ht="15.75" customHeight="1">
      <c r="A821" s="1">
        <v>262021</v>
      </c>
      <c r="B821" s="1" t="s">
        <v>830</v>
      </c>
      <c r="C821" s="1" t="str">
        <f ca="1">IFERROR(__xludf.DUMMYFUNCTION("REGEXEXTRACT(B821, ""^([^:]+)"")"),"Slag, ash and residues")</f>
        <v>Slag, ash and residues</v>
      </c>
      <c r="D821" s="1" t="s">
        <v>11</v>
      </c>
      <c r="E821" s="1" t="s">
        <v>11</v>
      </c>
    </row>
    <row r="822" spans="1:5" ht="15.75" customHeight="1">
      <c r="A822" s="1">
        <v>262029</v>
      </c>
      <c r="B822" s="1" t="s">
        <v>831</v>
      </c>
      <c r="C822" s="1" t="str">
        <f ca="1">IFERROR(__xludf.DUMMYFUNCTION("REGEXEXTRACT(B822, ""^([^:]+)"")"),"Slag, ash and residues")</f>
        <v>Slag, ash and residues</v>
      </c>
      <c r="D822" s="1" t="s">
        <v>11</v>
      </c>
      <c r="E822" s="1" t="s">
        <v>11</v>
      </c>
    </row>
    <row r="823" spans="1:5" ht="15.75" customHeight="1">
      <c r="A823" s="1">
        <v>262030</v>
      </c>
      <c r="B823" s="1" t="s">
        <v>832</v>
      </c>
      <c r="C823" s="1" t="str">
        <f ca="1">IFERROR(__xludf.DUMMYFUNCTION("REGEXEXTRACT(B823, ""^([^:]+)"")"),"Slag, ash and residues")</f>
        <v>Slag, ash and residues</v>
      </c>
      <c r="D823" s="1" t="s">
        <v>11</v>
      </c>
      <c r="E823" s="1" t="s">
        <v>11</v>
      </c>
    </row>
    <row r="824" spans="1:5" ht="15.75" customHeight="1">
      <c r="A824" s="1">
        <v>262040</v>
      </c>
      <c r="B824" s="1" t="s">
        <v>833</v>
      </c>
      <c r="C824" s="1" t="str">
        <f ca="1">IFERROR(__xludf.DUMMYFUNCTION("REGEXEXTRACT(B824, ""^([^:]+)"")"),"Slag, ash and residues")</f>
        <v>Slag, ash and residues</v>
      </c>
      <c r="D824" s="1" t="s">
        <v>11</v>
      </c>
      <c r="E824" s="1" t="s">
        <v>11</v>
      </c>
    </row>
    <row r="825" spans="1:5" ht="15.75" customHeight="1">
      <c r="A825" s="1">
        <v>262060</v>
      </c>
      <c r="B825" s="1" t="s">
        <v>834</v>
      </c>
      <c r="C825" s="1" t="str">
        <f ca="1">IFERROR(__xludf.DUMMYFUNCTION("REGEXEXTRACT(B825, ""^([^:]+)"")"),"Slag, ash and residues")</f>
        <v>Slag, ash and residues</v>
      </c>
      <c r="D825" s="1" t="s">
        <v>11</v>
      </c>
      <c r="E825" s="1" t="s">
        <v>11</v>
      </c>
    </row>
    <row r="826" spans="1:5" ht="15.75" customHeight="1">
      <c r="A826" s="1">
        <v>262091</v>
      </c>
      <c r="B826" s="1" t="s">
        <v>835</v>
      </c>
      <c r="C826" s="1" t="str">
        <f ca="1">IFERROR(__xludf.DUMMYFUNCTION("REGEXEXTRACT(B826, ""^([^:]+)"")"),"Slag, ash and residues")</f>
        <v>Slag, ash and residues</v>
      </c>
      <c r="D826" s="1" t="s">
        <v>11</v>
      </c>
      <c r="E826" s="1" t="s">
        <v>11</v>
      </c>
    </row>
    <row r="827" spans="1:5" ht="15.75" customHeight="1">
      <c r="A827" s="1">
        <v>262099</v>
      </c>
      <c r="B827" s="1" t="s">
        <v>836</v>
      </c>
      <c r="C827" s="1" t="str">
        <f ca="1">IFERROR(__xludf.DUMMYFUNCTION("REGEXEXTRACT(B827, ""^([^:]+)"")"),"Slag, ash and residues")</f>
        <v>Slag, ash and residues</v>
      </c>
      <c r="D827" s="1" t="s">
        <v>11</v>
      </c>
      <c r="E827" s="1" t="s">
        <v>11</v>
      </c>
    </row>
    <row r="828" spans="1:5" ht="15.75" customHeight="1">
      <c r="A828" s="1">
        <v>262110</v>
      </c>
      <c r="B828" s="1" t="s">
        <v>837</v>
      </c>
      <c r="C828" s="1" t="str">
        <f ca="1">IFERROR(__xludf.DUMMYFUNCTION("REGEXEXTRACT(B828, ""^([^:]+)"")"),"Slag and ash")</f>
        <v>Slag and ash</v>
      </c>
      <c r="D828" s="1" t="s">
        <v>11</v>
      </c>
      <c r="E828" s="1" t="s">
        <v>11</v>
      </c>
    </row>
    <row r="829" spans="1:5" ht="15.75" customHeight="1">
      <c r="A829" s="1">
        <v>262190</v>
      </c>
      <c r="B829" s="1" t="s">
        <v>838</v>
      </c>
      <c r="C829" s="1" t="str">
        <f ca="1">IFERROR(__xludf.DUMMYFUNCTION("REGEXEXTRACT(B829, ""^([^:]+)"")"),"Slag and ash n.e.c. in chapter 26")</f>
        <v>Slag and ash n.e.c. in chapter 26</v>
      </c>
      <c r="D829" s="1" t="s">
        <v>11</v>
      </c>
      <c r="E829" s="1" t="s">
        <v>11</v>
      </c>
    </row>
    <row r="830" spans="1:5" ht="15.75" customHeight="1">
      <c r="A830" s="1">
        <v>270111</v>
      </c>
      <c r="B830" s="1" t="s">
        <v>839</v>
      </c>
      <c r="C830" s="1" t="str">
        <f ca="1">IFERROR(__xludf.DUMMYFUNCTION("REGEXEXTRACT(B830, ""^([^:]+)"")"),"Coal")</f>
        <v>Coal</v>
      </c>
      <c r="D830" s="1" t="s">
        <v>11</v>
      </c>
      <c r="E830" s="1" t="s">
        <v>11</v>
      </c>
    </row>
    <row r="831" spans="1:5" ht="15.75" customHeight="1">
      <c r="A831" s="1">
        <v>270112</v>
      </c>
      <c r="B831" s="1" t="s">
        <v>840</v>
      </c>
      <c r="C831" s="1" t="str">
        <f ca="1">IFERROR(__xludf.DUMMYFUNCTION("REGEXEXTRACT(B831, ""^([^:]+)"")"),"Coal")</f>
        <v>Coal</v>
      </c>
      <c r="D831" s="1" t="s">
        <v>11</v>
      </c>
      <c r="E831" s="1" t="s">
        <v>11</v>
      </c>
    </row>
    <row r="832" spans="1:5" ht="15.75" customHeight="1">
      <c r="A832" s="1">
        <v>270119</v>
      </c>
      <c r="B832" s="1" t="s">
        <v>841</v>
      </c>
      <c r="C832" s="1" t="str">
        <f ca="1">IFERROR(__xludf.DUMMYFUNCTION("REGEXEXTRACT(B832, ""^([^:]+)"")"),"Coal")</f>
        <v>Coal</v>
      </c>
      <c r="D832" s="1" t="s">
        <v>11</v>
      </c>
      <c r="E832" s="1" t="s">
        <v>11</v>
      </c>
    </row>
    <row r="833" spans="1:5" ht="15.75" customHeight="1">
      <c r="A833" s="1">
        <v>270120</v>
      </c>
      <c r="B833" s="1" t="s">
        <v>842</v>
      </c>
      <c r="C833" s="1" t="str">
        <f ca="1">IFERROR(__xludf.DUMMYFUNCTION("REGEXEXTRACT(B833, ""^([^:]+)"")"),"Briquettes, ovoids and similar solid fuels")</f>
        <v>Briquettes, ovoids and similar solid fuels</v>
      </c>
      <c r="D833" s="1" t="s">
        <v>11</v>
      </c>
      <c r="E833" s="1" t="s">
        <v>11</v>
      </c>
    </row>
    <row r="834" spans="1:5" ht="15.75" customHeight="1">
      <c r="A834" s="1">
        <v>270210</v>
      </c>
      <c r="B834" s="1" t="s">
        <v>843</v>
      </c>
      <c r="C834" s="1" t="str">
        <f ca="1">IFERROR(__xludf.DUMMYFUNCTION("REGEXEXTRACT(B834, ""^([^:]+)"")"),"Lignite")</f>
        <v>Lignite</v>
      </c>
      <c r="D834" s="1" t="s">
        <v>11</v>
      </c>
      <c r="E834" s="1" t="s">
        <v>11</v>
      </c>
    </row>
    <row r="835" spans="1:5" ht="15.75" customHeight="1">
      <c r="A835" s="1">
        <v>270220</v>
      </c>
      <c r="B835" s="1" t="s">
        <v>844</v>
      </c>
      <c r="C835" s="1" t="str">
        <f ca="1">IFERROR(__xludf.DUMMYFUNCTION("REGEXEXTRACT(B835, ""^([^:]+)"")"),"Lignite")</f>
        <v>Lignite</v>
      </c>
      <c r="D835" s="1" t="s">
        <v>11</v>
      </c>
      <c r="E835" s="1" t="s">
        <v>11</v>
      </c>
    </row>
    <row r="836" spans="1:5" ht="15.75" customHeight="1">
      <c r="A836" s="1">
        <v>270300</v>
      </c>
      <c r="B836" s="1" t="s">
        <v>845</v>
      </c>
      <c r="C836" s="1" t="str">
        <f ca="1">IFERROR(__xludf.DUMMYFUNCTION("REGEXEXTRACT(B836, ""^([^:]+)"")"),"Peat")</f>
        <v>Peat</v>
      </c>
      <c r="D836" s="1" t="s">
        <v>11</v>
      </c>
      <c r="E836" s="1" t="s">
        <v>11</v>
      </c>
    </row>
    <row r="837" spans="1:5" ht="15.75" customHeight="1">
      <c r="A837" s="1">
        <v>270400</v>
      </c>
      <c r="B837" s="1" t="s">
        <v>846</v>
      </c>
      <c r="C837" s="1" t="str">
        <f ca="1">IFERROR(__xludf.DUMMYFUNCTION("REGEXEXTRACT(B837, ""^([^:]+)"")"),"Coke and semi-coke")</f>
        <v>Coke and semi-coke</v>
      </c>
      <c r="D837" s="1" t="s">
        <v>11</v>
      </c>
      <c r="E837" s="1" t="s">
        <v>11</v>
      </c>
    </row>
    <row r="838" spans="1:5" ht="15.75" customHeight="1">
      <c r="A838" s="1">
        <v>270500</v>
      </c>
      <c r="B838" s="1" t="s">
        <v>847</v>
      </c>
      <c r="C838" s="1" t="str">
        <f ca="1">IFERROR(__xludf.DUMMYFUNCTION("REGEXEXTRACT(B838, ""^([^:]+)"")"),"Gases")</f>
        <v>Gases</v>
      </c>
      <c r="D838" s="1" t="s">
        <v>11</v>
      </c>
      <c r="E838" s="1" t="s">
        <v>11</v>
      </c>
    </row>
    <row r="839" spans="1:5" ht="15.75" customHeight="1">
      <c r="A839" s="1">
        <v>270600</v>
      </c>
      <c r="B839" s="1" t="s">
        <v>848</v>
      </c>
      <c r="C839" s="1" t="str">
        <f ca="1">IFERROR(__xludf.DUMMYFUNCTION("REGEXEXTRACT(B839, ""^([^:]+)"")"),"Tar")</f>
        <v>Tar</v>
      </c>
      <c r="D839" s="1" t="s">
        <v>11</v>
      </c>
      <c r="E839" s="1" t="s">
        <v>11</v>
      </c>
    </row>
    <row r="840" spans="1:5" ht="15.75" customHeight="1">
      <c r="A840" s="1">
        <v>270710</v>
      </c>
      <c r="B840" s="1" t="s">
        <v>849</v>
      </c>
      <c r="C840" s="1" t="str">
        <f ca="1">IFERROR(__xludf.DUMMYFUNCTION("REGEXEXTRACT(B840, ""^([^:]+)"")"),"Oils and products of the distillation of high temperature coal tar")</f>
        <v>Oils and products of the distillation of high temperature coal tar</v>
      </c>
      <c r="D840" s="1" t="s">
        <v>11</v>
      </c>
      <c r="E840" s="1" t="s">
        <v>11</v>
      </c>
    </row>
    <row r="841" spans="1:5" ht="15.75" customHeight="1">
      <c r="A841" s="1">
        <v>270720</v>
      </c>
      <c r="B841" s="1" t="s">
        <v>850</v>
      </c>
      <c r="C841" s="1" t="str">
        <f ca="1">IFERROR(__xludf.DUMMYFUNCTION("REGEXEXTRACT(B841, ""^([^:]+)"")"),"Oils and products of the distillation of high temperature coal tar")</f>
        <v>Oils and products of the distillation of high temperature coal tar</v>
      </c>
      <c r="D841" s="1" t="s">
        <v>11</v>
      </c>
      <c r="E841" s="1" t="s">
        <v>11</v>
      </c>
    </row>
    <row r="842" spans="1:5" ht="15.75" customHeight="1">
      <c r="A842" s="1">
        <v>270730</v>
      </c>
      <c r="B842" s="1" t="s">
        <v>851</v>
      </c>
      <c r="C842" s="1" t="str">
        <f ca="1">IFERROR(__xludf.DUMMYFUNCTION("REGEXEXTRACT(B842, ""^([^:]+)"")"),"Oils and products of the distillation of high temperature coal tar")</f>
        <v>Oils and products of the distillation of high temperature coal tar</v>
      </c>
      <c r="D842" s="1" t="s">
        <v>11</v>
      </c>
      <c r="E842" s="1" t="s">
        <v>11</v>
      </c>
    </row>
    <row r="843" spans="1:5" ht="15.75" customHeight="1">
      <c r="A843" s="1">
        <v>270740</v>
      </c>
      <c r="B843" s="1" t="s">
        <v>852</v>
      </c>
      <c r="C843" s="1" t="str">
        <f ca="1">IFERROR(__xludf.DUMMYFUNCTION("REGEXEXTRACT(B843, ""^([^:]+)"")"),"Oils and products of the distillation of high temperature coal tar")</f>
        <v>Oils and products of the distillation of high temperature coal tar</v>
      </c>
      <c r="D843" s="1" t="s">
        <v>11</v>
      </c>
      <c r="E843" s="1" t="s">
        <v>11</v>
      </c>
    </row>
    <row r="844" spans="1:5" ht="15.75" customHeight="1">
      <c r="A844" s="1">
        <v>270750</v>
      </c>
      <c r="B844" s="1" t="s">
        <v>853</v>
      </c>
      <c r="C844" s="1" t="str">
        <f ca="1">IFERROR(__xludf.DUMMYFUNCTION("REGEXEXTRACT(B844, ""^([^:]+)"")"),"Aromatic hydrocarbon mixtures")</f>
        <v>Aromatic hydrocarbon mixtures</v>
      </c>
      <c r="D844" s="1" t="s">
        <v>11</v>
      </c>
      <c r="E844" s="1" t="s">
        <v>11</v>
      </c>
    </row>
    <row r="845" spans="1:5" ht="15.75" customHeight="1">
      <c r="A845" s="1">
        <v>270791</v>
      </c>
      <c r="B845" s="1" t="s">
        <v>854</v>
      </c>
      <c r="C845" s="1" t="str">
        <f ca="1">IFERROR(__xludf.DUMMYFUNCTION("REGEXEXTRACT(B845, ""^([^:]+)"")"),"Oils and other products of the distillation of high temperature coal tar")</f>
        <v>Oils and other products of the distillation of high temperature coal tar</v>
      </c>
      <c r="D845" s="1" t="s">
        <v>11</v>
      </c>
      <c r="E845" s="1" t="s">
        <v>11</v>
      </c>
    </row>
    <row r="846" spans="1:5" ht="15.75" customHeight="1">
      <c r="A846" s="1">
        <v>270799</v>
      </c>
      <c r="B846" s="1" t="s">
        <v>855</v>
      </c>
      <c r="C846" s="1" t="str">
        <f ca="1">IFERROR(__xludf.DUMMYFUNCTION("REGEXEXTRACT(B846, ""^([^:]+)"")"),"Oils and other products of the distillation of high temperature coal tar")</f>
        <v>Oils and other products of the distillation of high temperature coal tar</v>
      </c>
      <c r="D846" s="1" t="s">
        <v>11</v>
      </c>
      <c r="E846" s="1" t="s">
        <v>11</v>
      </c>
    </row>
    <row r="847" spans="1:5" ht="15.75" customHeight="1">
      <c r="A847" s="1">
        <v>270810</v>
      </c>
      <c r="B847" s="1" t="s">
        <v>856</v>
      </c>
      <c r="C847" s="1" t="str">
        <f ca="1">IFERROR(__xludf.DUMMYFUNCTION("REGEXEXTRACT(B847, ""^([^:]+)"")"),"Pitch")</f>
        <v>Pitch</v>
      </c>
      <c r="D847" s="1" t="s">
        <v>11</v>
      </c>
      <c r="E847" s="1" t="s">
        <v>11</v>
      </c>
    </row>
    <row r="848" spans="1:5" ht="15.75" customHeight="1">
      <c r="A848" s="1">
        <v>270820</v>
      </c>
      <c r="B848" s="1" t="s">
        <v>857</v>
      </c>
      <c r="C848" s="1" t="str">
        <f ca="1">IFERROR(__xludf.DUMMYFUNCTION("REGEXEXTRACT(B848, ""^([^:]+)"")"),"Pitch coke")</f>
        <v>Pitch coke</v>
      </c>
      <c r="D848" s="1" t="s">
        <v>11</v>
      </c>
      <c r="E848" s="1" t="s">
        <v>11</v>
      </c>
    </row>
    <row r="849" spans="1:5" ht="15.75" customHeight="1">
      <c r="A849" s="1">
        <v>270900</v>
      </c>
      <c r="B849" s="1" t="s">
        <v>858</v>
      </c>
      <c r="C849" s="1" t="str">
        <f ca="1">IFERROR(__xludf.DUMMYFUNCTION("REGEXEXTRACT(B849, ""^([^:]+)"")"),"Oils")</f>
        <v>Oils</v>
      </c>
      <c r="D849" s="1" t="s">
        <v>11</v>
      </c>
      <c r="E849" s="1" t="s">
        <v>11</v>
      </c>
    </row>
    <row r="850" spans="1:5" ht="15.75" customHeight="1">
      <c r="A850" s="1">
        <v>271000</v>
      </c>
      <c r="B850" s="1" t="s">
        <v>859</v>
      </c>
      <c r="C850" s="1" t="str">
        <f ca="1">IFERROR(__xludf.DUMMYFUNCTION("REGEXEXTRACT(B850, ""^([^:]+)"")"),"Petroleum oils and oils from bituminous minerals, not crude")</f>
        <v>Petroleum oils and oils from bituminous minerals, not crude</v>
      </c>
      <c r="D850" s="1" t="s">
        <v>11</v>
      </c>
      <c r="E850" s="1" t="s">
        <v>11</v>
      </c>
    </row>
    <row r="851" spans="1:5" ht="15.75" customHeight="1">
      <c r="A851" s="1">
        <v>271111</v>
      </c>
      <c r="B851" s="1" t="s">
        <v>860</v>
      </c>
      <c r="C851" s="1" t="str">
        <f ca="1">IFERROR(__xludf.DUMMYFUNCTION("REGEXEXTRACT(B851, ""^([^:]+)"")"),"Petroleum gases and other gaseous hydrocarbons")</f>
        <v>Petroleum gases and other gaseous hydrocarbons</v>
      </c>
      <c r="D851" s="1" t="s">
        <v>11</v>
      </c>
      <c r="E851" s="1" t="s">
        <v>11</v>
      </c>
    </row>
    <row r="852" spans="1:5" ht="15.75" customHeight="1">
      <c r="A852" s="1">
        <v>271112</v>
      </c>
      <c r="B852" s="1" t="s">
        <v>861</v>
      </c>
      <c r="C852" s="1" t="str">
        <f ca="1">IFERROR(__xludf.DUMMYFUNCTION("REGEXEXTRACT(B852, ""^([^:]+)"")"),"Petroleum gases and other gaseous hydrocarbons")</f>
        <v>Petroleum gases and other gaseous hydrocarbons</v>
      </c>
      <c r="D852" s="1" t="s">
        <v>11</v>
      </c>
      <c r="E852" s="1" t="s">
        <v>11</v>
      </c>
    </row>
    <row r="853" spans="1:5" ht="15.75" customHeight="1">
      <c r="A853" s="1">
        <v>271113</v>
      </c>
      <c r="B853" s="1" t="s">
        <v>862</v>
      </c>
      <c r="C853" s="1" t="str">
        <f ca="1">IFERROR(__xludf.DUMMYFUNCTION("REGEXEXTRACT(B853, ""^([^:]+)"")"),"Petroleum gases and other gaseous hydrocarbons")</f>
        <v>Petroleum gases and other gaseous hydrocarbons</v>
      </c>
      <c r="D853" s="1" t="s">
        <v>11</v>
      </c>
      <c r="E853" s="1" t="s">
        <v>11</v>
      </c>
    </row>
    <row r="854" spans="1:5" ht="15.75" customHeight="1">
      <c r="A854" s="1">
        <v>271114</v>
      </c>
      <c r="B854" s="1" t="s">
        <v>863</v>
      </c>
      <c r="C854" s="1" t="str">
        <f ca="1">IFERROR(__xludf.DUMMYFUNCTION("REGEXEXTRACT(B854, ""^([^:]+)"")"),"Petroleum gases and other gaseous hydrocarbons")</f>
        <v>Petroleum gases and other gaseous hydrocarbons</v>
      </c>
      <c r="D854" s="1" t="s">
        <v>11</v>
      </c>
      <c r="E854" s="1" t="s">
        <v>11</v>
      </c>
    </row>
    <row r="855" spans="1:5" ht="15.75" customHeight="1">
      <c r="A855" s="1">
        <v>271119</v>
      </c>
      <c r="B855" s="1" t="s">
        <v>864</v>
      </c>
      <c r="C855" s="1" t="str">
        <f ca="1">IFERROR(__xludf.DUMMYFUNCTION("REGEXEXTRACT(B855, ""^([^:]+)"")"),"Petroleum gases and other gaseous hydrocarbons")</f>
        <v>Petroleum gases and other gaseous hydrocarbons</v>
      </c>
      <c r="D855" s="1" t="s">
        <v>11</v>
      </c>
      <c r="E855" s="1" t="s">
        <v>11</v>
      </c>
    </row>
    <row r="856" spans="1:5" ht="15.75" customHeight="1">
      <c r="A856" s="1">
        <v>271121</v>
      </c>
      <c r="B856" s="1" t="s">
        <v>865</v>
      </c>
      <c r="C856" s="1" t="str">
        <f ca="1">IFERROR(__xludf.DUMMYFUNCTION("REGEXEXTRACT(B856, ""^([^:]+)"")"),"Petroleum gases and other gaseous hydrocarbons")</f>
        <v>Petroleum gases and other gaseous hydrocarbons</v>
      </c>
      <c r="D856" s="1" t="s">
        <v>11</v>
      </c>
      <c r="E856" s="1" t="s">
        <v>11</v>
      </c>
    </row>
    <row r="857" spans="1:5" ht="15.75" customHeight="1">
      <c r="A857" s="1">
        <v>271129</v>
      </c>
      <c r="B857" s="1" t="s">
        <v>866</v>
      </c>
      <c r="C857" s="1" t="str">
        <f ca="1">IFERROR(__xludf.DUMMYFUNCTION("REGEXEXTRACT(B857, ""^([^:]+)"")"),"Petroleum gases and other gaseous hydrocarbons")</f>
        <v>Petroleum gases and other gaseous hydrocarbons</v>
      </c>
      <c r="D857" s="1" t="s">
        <v>11</v>
      </c>
      <c r="E857" s="1" t="s">
        <v>11</v>
      </c>
    </row>
    <row r="858" spans="1:5" ht="15.75" customHeight="1">
      <c r="A858" s="1">
        <v>271210</v>
      </c>
      <c r="B858" s="1" t="s">
        <v>867</v>
      </c>
      <c r="C858" s="1" t="str">
        <f ca="1">IFERROR(__xludf.DUMMYFUNCTION("REGEXEXTRACT(B858, ""^([^:]+)"")"),"Petroleum jelly")</f>
        <v>Petroleum jelly</v>
      </c>
      <c r="D858" s="1" t="s">
        <v>11</v>
      </c>
      <c r="E858" s="1" t="s">
        <v>11</v>
      </c>
    </row>
    <row r="859" spans="1:5" ht="15.75" customHeight="1">
      <c r="A859" s="1">
        <v>271220</v>
      </c>
      <c r="B859" s="1" t="s">
        <v>868</v>
      </c>
      <c r="C859" s="1" t="str">
        <f ca="1">IFERROR(__xludf.DUMMYFUNCTION("REGEXEXTRACT(B859, ""^([^:]+)"")"),"Paraffin wax")</f>
        <v>Paraffin wax</v>
      </c>
      <c r="D859" s="1" t="s">
        <v>11</v>
      </c>
      <c r="E859" s="1" t="s">
        <v>11</v>
      </c>
    </row>
    <row r="860" spans="1:5" ht="15.75" customHeight="1">
      <c r="A860" s="1">
        <v>271290</v>
      </c>
      <c r="B860" s="1" t="s">
        <v>869</v>
      </c>
      <c r="C860" s="1" t="str">
        <f ca="1">IFERROR(__xludf.DUMMYFUNCTION("REGEXEXTRACT(B860, ""^([^:]+)"")"),"Paraffin wax")</f>
        <v>Paraffin wax</v>
      </c>
      <c r="D860" s="1" t="s">
        <v>11</v>
      </c>
      <c r="E860" s="1" t="s">
        <v>11</v>
      </c>
    </row>
    <row r="861" spans="1:5" ht="15.75" customHeight="1">
      <c r="A861" s="1">
        <v>271311</v>
      </c>
      <c r="B861" s="1" t="s">
        <v>870</v>
      </c>
      <c r="C861" s="1" t="str">
        <f ca="1">IFERROR(__xludf.DUMMYFUNCTION("REGEXEXTRACT(B861, ""^([^:]+)"")"),"Petroleum coke")</f>
        <v>Petroleum coke</v>
      </c>
      <c r="D861" s="1" t="s">
        <v>11</v>
      </c>
      <c r="E861" s="1" t="s">
        <v>11</v>
      </c>
    </row>
    <row r="862" spans="1:5" ht="15.75" customHeight="1">
      <c r="A862" s="1">
        <v>271312</v>
      </c>
      <c r="B862" s="1" t="s">
        <v>871</v>
      </c>
      <c r="C862" s="1" t="str">
        <f ca="1">IFERROR(__xludf.DUMMYFUNCTION("REGEXEXTRACT(B862, ""^([^:]+)"")"),"Petroleum coke")</f>
        <v>Petroleum coke</v>
      </c>
      <c r="D862" s="1" t="s">
        <v>11</v>
      </c>
      <c r="E862" s="1" t="s">
        <v>11</v>
      </c>
    </row>
    <row r="863" spans="1:5" ht="15.75" customHeight="1">
      <c r="A863" s="1">
        <v>271320</v>
      </c>
      <c r="B863" s="1" t="s">
        <v>872</v>
      </c>
      <c r="C863" s="1" t="str">
        <f ca="1">IFERROR(__xludf.DUMMYFUNCTION("REGEXEXTRACT(B863, ""^([^:]+)"")"),"Petroleum bitumen")</f>
        <v>Petroleum bitumen</v>
      </c>
      <c r="D863" s="1" t="s">
        <v>11</v>
      </c>
      <c r="E863" s="1" t="s">
        <v>11</v>
      </c>
    </row>
    <row r="864" spans="1:5" ht="15.75" customHeight="1">
      <c r="A864" s="1">
        <v>271390</v>
      </c>
      <c r="B864" s="1" t="s">
        <v>873</v>
      </c>
      <c r="C864" s="1" t="str">
        <f ca="1">IFERROR(__xludf.DUMMYFUNCTION("REGEXEXTRACT(B864, ""^([^:]+)"")"),"Residues")</f>
        <v>Residues</v>
      </c>
      <c r="D864" s="1" t="s">
        <v>11</v>
      </c>
      <c r="E864" s="1" t="s">
        <v>11</v>
      </c>
    </row>
    <row r="865" spans="1:5" ht="15.75" customHeight="1">
      <c r="A865" s="1">
        <v>271410</v>
      </c>
      <c r="B865" s="1" t="s">
        <v>874</v>
      </c>
      <c r="C865" s="1" t="str">
        <f ca="1">IFERROR(__xludf.DUMMYFUNCTION("REGEXEXTRACT(B865, ""^([^:]+)"")"),"Bituminous or oil shale and tar sands")</f>
        <v>Bituminous or oil shale and tar sands</v>
      </c>
      <c r="D865" s="1" t="s">
        <v>11</v>
      </c>
      <c r="E865" s="1" t="s">
        <v>11</v>
      </c>
    </row>
    <row r="866" spans="1:5" ht="15.75" customHeight="1">
      <c r="A866" s="1">
        <v>271490</v>
      </c>
      <c r="B866" s="1" t="s">
        <v>875</v>
      </c>
      <c r="C866" s="1" t="str">
        <f ca="1">IFERROR(__xludf.DUMMYFUNCTION("REGEXEXTRACT(B866, ""^([^:]+)"")"),"Bitumen and asphalt, natural")</f>
        <v>Bitumen and asphalt, natural</v>
      </c>
      <c r="D866" s="1" t="s">
        <v>11</v>
      </c>
      <c r="E866" s="1" t="s">
        <v>11</v>
      </c>
    </row>
    <row r="867" spans="1:5" ht="15.75" customHeight="1">
      <c r="A867" s="1">
        <v>271500</v>
      </c>
      <c r="B867" s="1" t="s">
        <v>876</v>
      </c>
      <c r="C867" s="1" t="str">
        <f ca="1">IFERROR(__xludf.DUMMYFUNCTION("REGEXEXTRACT(B867, ""^([^:]+)"")"),"Bituminous mixtures based on natural asphalt, on natural bitumen, on petroleum bitumen, on mineral tar or on mineral tar pitch (egg bituminous mastics, cut-backs)")</f>
        <v>Bituminous mixtures based on natural asphalt, on natural bitumen, on petroleum bitumen, on mineral tar or on mineral tar pitch (egg bituminous mastics, cut-backs)</v>
      </c>
      <c r="D867" s="1" t="s">
        <v>11</v>
      </c>
      <c r="E867" s="1" t="s">
        <v>11</v>
      </c>
    </row>
    <row r="868" spans="1:5" ht="15.75" customHeight="1">
      <c r="A868" s="1">
        <v>271600</v>
      </c>
      <c r="B868" s="1" t="s">
        <v>877</v>
      </c>
      <c r="C868" s="1" t="str">
        <f ca="1">IFERROR(__xludf.DUMMYFUNCTION("REGEXEXTRACT(B868, ""^([^:]+)"")"),"Electrical energy")</f>
        <v>Electrical energy</v>
      </c>
      <c r="D868" s="1" t="s">
        <v>11</v>
      </c>
      <c r="E868" s="1" t="s">
        <v>11</v>
      </c>
    </row>
    <row r="869" spans="1:5" ht="15.75" customHeight="1">
      <c r="A869" s="1">
        <v>280110</v>
      </c>
      <c r="B869" s="1" t="s">
        <v>878</v>
      </c>
      <c r="C869" s="1" t="str">
        <f ca="1">IFERROR(__xludf.DUMMYFUNCTION("REGEXEXTRACT(B869, ""^([^:]+)"")"),"Chlorine")</f>
        <v>Chlorine</v>
      </c>
      <c r="D869" s="1" t="s">
        <v>11</v>
      </c>
      <c r="E869" s="1" t="s">
        <v>11</v>
      </c>
    </row>
    <row r="870" spans="1:5" ht="15.75" customHeight="1">
      <c r="A870" s="1">
        <v>280120</v>
      </c>
      <c r="B870" s="1" t="s">
        <v>879</v>
      </c>
      <c r="C870" s="1" t="str">
        <f ca="1">IFERROR(__xludf.DUMMYFUNCTION("REGEXEXTRACT(B870, ""^([^:]+)"")"),"Iodine")</f>
        <v>Iodine</v>
      </c>
      <c r="D870" s="1" t="s">
        <v>11</v>
      </c>
      <c r="E870" s="1" t="s">
        <v>11</v>
      </c>
    </row>
    <row r="871" spans="1:5" ht="15.75" customHeight="1">
      <c r="A871" s="1">
        <v>280130</v>
      </c>
      <c r="B871" s="1" t="s">
        <v>880</v>
      </c>
      <c r="C871" s="1" t="str">
        <f ca="1">IFERROR(__xludf.DUMMYFUNCTION("REGEXEXTRACT(B871, ""^([^:]+)"")"),"Fluorine")</f>
        <v>Fluorine</v>
      </c>
      <c r="D871" s="1" t="s">
        <v>11</v>
      </c>
      <c r="E871" s="1" t="s">
        <v>11</v>
      </c>
    </row>
    <row r="872" spans="1:5" ht="15.75" customHeight="1">
      <c r="A872" s="1">
        <v>280200</v>
      </c>
      <c r="B872" s="1" t="s">
        <v>881</v>
      </c>
      <c r="C872" s="1" t="str">
        <f ca="1">IFERROR(__xludf.DUMMYFUNCTION("REGEXEXTRACT(B872, ""^([^:]+)"")"),"Sulphur")</f>
        <v>Sulphur</v>
      </c>
      <c r="D872" s="1" t="s">
        <v>11</v>
      </c>
      <c r="E872" s="1" t="s">
        <v>11</v>
      </c>
    </row>
    <row r="873" spans="1:5" ht="15.75" customHeight="1">
      <c r="A873" s="1">
        <v>280300</v>
      </c>
      <c r="B873" s="1" t="s">
        <v>882</v>
      </c>
      <c r="C873" s="1" t="str">
        <f ca="1">IFERROR(__xludf.DUMMYFUNCTION("REGEXEXTRACT(B873, ""^([^:]+)"")"),"Carbon")</f>
        <v>Carbon</v>
      </c>
      <c r="D873" s="1" t="s">
        <v>11</v>
      </c>
      <c r="E873" s="1" t="s">
        <v>11</v>
      </c>
    </row>
    <row r="874" spans="1:5" ht="15.75" customHeight="1">
      <c r="A874" s="1">
        <v>280410</v>
      </c>
      <c r="B874" s="1" t="s">
        <v>883</v>
      </c>
      <c r="C874" s="1" t="str">
        <f ca="1">IFERROR(__xludf.DUMMYFUNCTION("REGEXEXTRACT(B874, ""^([^:]+)"")"),"Hydrogen")</f>
        <v>Hydrogen</v>
      </c>
      <c r="D874" s="1" t="s">
        <v>11</v>
      </c>
      <c r="E874" s="1" t="s">
        <v>11</v>
      </c>
    </row>
    <row r="875" spans="1:5" ht="15.75" customHeight="1">
      <c r="A875" s="1">
        <v>280421</v>
      </c>
      <c r="B875" s="1" t="s">
        <v>884</v>
      </c>
      <c r="C875" s="1" t="str">
        <f ca="1">IFERROR(__xludf.DUMMYFUNCTION("REGEXEXTRACT(B875, ""^([^:]+)"")"),"Gases, rare")</f>
        <v>Gases, rare</v>
      </c>
      <c r="D875" s="1" t="s">
        <v>11</v>
      </c>
      <c r="E875" s="1" t="s">
        <v>11</v>
      </c>
    </row>
    <row r="876" spans="1:5" ht="15.75" customHeight="1">
      <c r="A876" s="1">
        <v>280429</v>
      </c>
      <c r="B876" s="1" t="s">
        <v>885</v>
      </c>
      <c r="C876" s="1" t="str">
        <f ca="1">IFERROR(__xludf.DUMMYFUNCTION("REGEXEXTRACT(B876, ""^([^:]+)"")"),"Gases, rare")</f>
        <v>Gases, rare</v>
      </c>
      <c r="D876" s="1" t="s">
        <v>11</v>
      </c>
      <c r="E876" s="1" t="s">
        <v>11</v>
      </c>
    </row>
    <row r="877" spans="1:5" ht="15.75" customHeight="1">
      <c r="A877" s="1">
        <v>280430</v>
      </c>
      <c r="B877" s="1" t="s">
        <v>886</v>
      </c>
      <c r="C877" s="1" t="str">
        <f ca="1">IFERROR(__xludf.DUMMYFUNCTION("REGEXEXTRACT(B877, ""^([^:]+)"")"),"Nitrogen")</f>
        <v>Nitrogen</v>
      </c>
      <c r="D877" s="1" t="s">
        <v>11</v>
      </c>
      <c r="E877" s="1" t="s">
        <v>11</v>
      </c>
    </row>
    <row r="878" spans="1:5" ht="15.75" customHeight="1">
      <c r="A878" s="1">
        <v>280440</v>
      </c>
      <c r="B878" s="1" t="s">
        <v>887</v>
      </c>
      <c r="C878" s="1" t="str">
        <f ca="1">IFERROR(__xludf.DUMMYFUNCTION("REGEXEXTRACT(B878, ""^([^:]+)"")"),"Oxygen")</f>
        <v>Oxygen</v>
      </c>
      <c r="D878" s="1" t="s">
        <v>11</v>
      </c>
      <c r="E878" s="1" t="s">
        <v>11</v>
      </c>
    </row>
    <row r="879" spans="1:5" ht="15.75" customHeight="1">
      <c r="A879" s="1">
        <v>280450</v>
      </c>
      <c r="B879" s="1" t="s">
        <v>888</v>
      </c>
      <c r="C879" s="1" t="str">
        <f ca="1">IFERROR(__xludf.DUMMYFUNCTION("REGEXEXTRACT(B879, ""^([^:]+)"")"),"Boron")</f>
        <v>Boron</v>
      </c>
      <c r="D879" s="1" t="s">
        <v>11</v>
      </c>
      <c r="E879" s="1" t="s">
        <v>11</v>
      </c>
    </row>
    <row r="880" spans="1:5" ht="15.75" customHeight="1">
      <c r="A880" s="1">
        <v>280461</v>
      </c>
      <c r="B880" s="1" t="s">
        <v>889</v>
      </c>
      <c r="C880" s="1" t="str">
        <f ca="1">IFERROR(__xludf.DUMMYFUNCTION("REGEXEXTRACT(B880, ""^([^:]+)"")"),"Silicon")</f>
        <v>Silicon</v>
      </c>
      <c r="D880" s="1" t="s">
        <v>11</v>
      </c>
      <c r="E880" s="1" t="s">
        <v>11</v>
      </c>
    </row>
    <row r="881" spans="1:5" ht="15.75" customHeight="1">
      <c r="A881" s="1">
        <v>280469</v>
      </c>
      <c r="B881" s="1" t="s">
        <v>890</v>
      </c>
      <c r="C881" s="1" t="str">
        <f ca="1">IFERROR(__xludf.DUMMYFUNCTION("REGEXEXTRACT(B881, ""^([^:]+)"")"),"Silicon")</f>
        <v>Silicon</v>
      </c>
      <c r="D881" s="1" t="s">
        <v>11</v>
      </c>
      <c r="E881" s="1" t="s">
        <v>11</v>
      </c>
    </row>
    <row r="882" spans="1:5" ht="15.75" customHeight="1">
      <c r="A882" s="1">
        <v>280470</v>
      </c>
      <c r="B882" s="1" t="s">
        <v>891</v>
      </c>
      <c r="C882" s="1" t="str">
        <f ca="1">IFERROR(__xludf.DUMMYFUNCTION("REGEXEXTRACT(B882, ""^([^:]+)"")"),"Phosphorus")</f>
        <v>Phosphorus</v>
      </c>
      <c r="D882" s="1" t="s">
        <v>11</v>
      </c>
      <c r="E882" s="1" t="s">
        <v>11</v>
      </c>
    </row>
    <row r="883" spans="1:5" ht="15.75" customHeight="1">
      <c r="A883" s="1">
        <v>280480</v>
      </c>
      <c r="B883" s="1" t="s">
        <v>892</v>
      </c>
      <c r="C883" s="1" t="str">
        <f ca="1">IFERROR(__xludf.DUMMYFUNCTION("REGEXEXTRACT(B883, ""^([^:]+)"")"),"Arsenic")</f>
        <v>Arsenic</v>
      </c>
      <c r="D883" s="1" t="s">
        <v>11</v>
      </c>
      <c r="E883" s="1" t="s">
        <v>11</v>
      </c>
    </row>
    <row r="884" spans="1:5" ht="15.75" customHeight="1">
      <c r="A884" s="1">
        <v>280490</v>
      </c>
      <c r="B884" s="1" t="s">
        <v>893</v>
      </c>
      <c r="C884" s="1" t="str">
        <f ca="1">IFERROR(__xludf.DUMMYFUNCTION("REGEXEXTRACT(B884, ""^([^:]+)"")"),"Selenium")</f>
        <v>Selenium</v>
      </c>
      <c r="D884" s="1" t="s">
        <v>11</v>
      </c>
      <c r="E884" s="1" t="s">
        <v>11</v>
      </c>
    </row>
    <row r="885" spans="1:5" ht="15.75" customHeight="1">
      <c r="A885" s="1">
        <v>280511</v>
      </c>
      <c r="B885" s="1" t="s">
        <v>894</v>
      </c>
      <c r="C885" s="1" t="str">
        <f ca="1">IFERROR(__xludf.DUMMYFUNCTION("REGEXEXTRACT(B885, ""^([^:]+)"")"),"Alkali or alkali-earth metals")</f>
        <v>Alkali or alkali-earth metals</v>
      </c>
      <c r="D885" s="1" t="s">
        <v>11</v>
      </c>
      <c r="E885" s="1" t="s">
        <v>11</v>
      </c>
    </row>
    <row r="886" spans="1:5" ht="15.75" customHeight="1">
      <c r="A886" s="1">
        <v>280512</v>
      </c>
      <c r="B886" s="1" t="s">
        <v>895</v>
      </c>
      <c r="C886" s="1" t="str">
        <f ca="1">IFERROR(__xludf.DUMMYFUNCTION("REGEXEXTRACT(B886, ""^([^:]+)"")"),"Alkali or alkali-earth metals")</f>
        <v>Alkali or alkali-earth metals</v>
      </c>
      <c r="D886" s="1" t="s">
        <v>11</v>
      </c>
      <c r="E886" s="1" t="s">
        <v>11</v>
      </c>
    </row>
    <row r="887" spans="1:5" ht="15.75" customHeight="1">
      <c r="A887" s="1">
        <v>280519</v>
      </c>
      <c r="B887" s="1" t="s">
        <v>896</v>
      </c>
      <c r="C887" s="1" t="str">
        <f ca="1">IFERROR(__xludf.DUMMYFUNCTION("REGEXEXTRACT(B887, ""^([^:]+)"")"),"Alkali or alkali-earth metals")</f>
        <v>Alkali or alkali-earth metals</v>
      </c>
      <c r="D887" s="1" t="s">
        <v>11</v>
      </c>
      <c r="E887" s="1" t="s">
        <v>11</v>
      </c>
    </row>
    <row r="888" spans="1:5" ht="15.75" customHeight="1">
      <c r="A888" s="1">
        <v>280530</v>
      </c>
      <c r="B888" s="1" t="s">
        <v>897</v>
      </c>
      <c r="C888" s="1" t="str">
        <f ca="1">IFERROR(__xludf.DUMMYFUNCTION("REGEXEXTRACT(B888, ""^([^:]+)"")"),"Earth-metals, rare")</f>
        <v>Earth-metals, rare</v>
      </c>
      <c r="D888" s="1" t="s">
        <v>11</v>
      </c>
      <c r="E888" s="1" t="s">
        <v>11</v>
      </c>
    </row>
    <row r="889" spans="1:5" ht="15.75" customHeight="1">
      <c r="A889" s="1">
        <v>280540</v>
      </c>
      <c r="B889" s="1" t="s">
        <v>898</v>
      </c>
      <c r="C889" s="1" t="str">
        <f ca="1">IFERROR(__xludf.DUMMYFUNCTION("REGEXEXTRACT(B889, ""^([^:]+)"")"),"Mercury")</f>
        <v>Mercury</v>
      </c>
      <c r="D889" s="1" t="s">
        <v>11</v>
      </c>
      <c r="E889" s="1" t="s">
        <v>11</v>
      </c>
    </row>
    <row r="890" spans="1:5" ht="15.75" customHeight="1">
      <c r="A890" s="1">
        <v>280610</v>
      </c>
      <c r="B890" s="1" t="s">
        <v>899</v>
      </c>
      <c r="C890" s="1" t="str">
        <f ca="1">IFERROR(__xludf.DUMMYFUNCTION("REGEXEXTRACT(B890, ""^([^:]+)"")"),"Hydrogen chloride (hydrochloric acid)")</f>
        <v>Hydrogen chloride (hydrochloric acid)</v>
      </c>
      <c r="D890" s="1" t="s">
        <v>11</v>
      </c>
      <c r="E890" s="1" t="s">
        <v>11</v>
      </c>
    </row>
    <row r="891" spans="1:5" ht="15.75" customHeight="1">
      <c r="A891" s="1">
        <v>280620</v>
      </c>
      <c r="B891" s="1" t="s">
        <v>900</v>
      </c>
      <c r="C891" s="1" t="str">
        <f ca="1">IFERROR(__xludf.DUMMYFUNCTION("REGEXEXTRACT(B891, ""^([^:]+)"")"),"Chlorosulphuric acid")</f>
        <v>Chlorosulphuric acid</v>
      </c>
      <c r="D891" s="1" t="s">
        <v>11</v>
      </c>
      <c r="E891" s="1" t="s">
        <v>11</v>
      </c>
    </row>
    <row r="892" spans="1:5" ht="15.75" customHeight="1">
      <c r="A892" s="1">
        <v>280700</v>
      </c>
      <c r="B892" s="1" t="s">
        <v>901</v>
      </c>
      <c r="C892" s="1" t="str">
        <f ca="1">IFERROR(__xludf.DUMMYFUNCTION("REGEXEXTRACT(B892, ""^([^:]+)"")"),"Sulphuric acid")</f>
        <v>Sulphuric acid</v>
      </c>
      <c r="D892" s="1" t="s">
        <v>11</v>
      </c>
      <c r="E892" s="1" t="s">
        <v>11</v>
      </c>
    </row>
    <row r="893" spans="1:5" ht="15.75" customHeight="1">
      <c r="A893" s="1">
        <v>280800</v>
      </c>
      <c r="B893" s="1" t="s">
        <v>902</v>
      </c>
      <c r="C893" s="1" t="str">
        <f ca="1">IFERROR(__xludf.DUMMYFUNCTION("REGEXEXTRACT(B893, ""^([^:]+)"")"),"Nitric acid")</f>
        <v>Nitric acid</v>
      </c>
      <c r="D893" s="1" t="s">
        <v>11</v>
      </c>
      <c r="E893" s="1" t="s">
        <v>11</v>
      </c>
    </row>
    <row r="894" spans="1:5" ht="15.75" customHeight="1">
      <c r="A894" s="1">
        <v>280910</v>
      </c>
      <c r="B894" s="1" t="s">
        <v>903</v>
      </c>
      <c r="C894" s="1" t="str">
        <f ca="1">IFERROR(__xludf.DUMMYFUNCTION("REGEXEXTRACT(B894, ""^([^:]+)"")"),"Diphosphorus pentoxide")</f>
        <v>Diphosphorus pentoxide</v>
      </c>
      <c r="D894" s="1" t="s">
        <v>11</v>
      </c>
      <c r="E894" s="1" t="s">
        <v>11</v>
      </c>
    </row>
    <row r="895" spans="1:5" ht="15.75" customHeight="1">
      <c r="A895" s="1">
        <v>280920</v>
      </c>
      <c r="B895" s="1" t="s">
        <v>904</v>
      </c>
      <c r="C895" s="1" t="str">
        <f ca="1">IFERROR(__xludf.DUMMYFUNCTION("REGEXEXTRACT(B895, ""^([^:]+)"")"),"Phosphoric acid and polyphosphoric acids")</f>
        <v>Phosphoric acid and polyphosphoric acids</v>
      </c>
      <c r="D895" s="1" t="s">
        <v>11</v>
      </c>
      <c r="E895" s="1" t="s">
        <v>11</v>
      </c>
    </row>
    <row r="896" spans="1:5" ht="15.75" customHeight="1">
      <c r="A896" s="1">
        <v>281000</v>
      </c>
      <c r="B896" s="1" t="s">
        <v>905</v>
      </c>
      <c r="C896" s="1" t="str">
        <f ca="1">IFERROR(__xludf.DUMMYFUNCTION("REGEXEXTRACT(B896, ""^([^:]+)"")"),"Oxides of boron")</f>
        <v>Oxides of boron</v>
      </c>
      <c r="D896" s="1" t="s">
        <v>11</v>
      </c>
      <c r="E896" s="1" t="s">
        <v>11</v>
      </c>
    </row>
    <row r="897" spans="1:5" ht="15.75" customHeight="1">
      <c r="A897" s="1">
        <v>281111</v>
      </c>
      <c r="B897" s="1" t="s">
        <v>906</v>
      </c>
      <c r="C897" s="1" t="str">
        <f ca="1">IFERROR(__xludf.DUMMYFUNCTION("REGEXEXTRACT(B897, ""^([^:]+)"")"),"Hydrogen fluoride (hydrofluoric acid)")</f>
        <v>Hydrogen fluoride (hydrofluoric acid)</v>
      </c>
      <c r="D897" s="1" t="s">
        <v>11</v>
      </c>
      <c r="E897" s="1" t="s">
        <v>11</v>
      </c>
    </row>
    <row r="898" spans="1:5" ht="15.75" customHeight="1">
      <c r="A898" s="1">
        <v>281119</v>
      </c>
      <c r="B898" s="1" t="s">
        <v>907</v>
      </c>
      <c r="C898" s="1" t="str">
        <f ca="1">IFERROR(__xludf.DUMMYFUNCTION("REGEXEXTRACT(B898, ""^([^:]+)"")"),"Inorganic acids")</f>
        <v>Inorganic acids</v>
      </c>
      <c r="D898" s="1" t="s">
        <v>11</v>
      </c>
      <c r="E898" s="1" t="s">
        <v>11</v>
      </c>
    </row>
    <row r="899" spans="1:5" ht="15.75" customHeight="1">
      <c r="A899" s="1">
        <v>281121</v>
      </c>
      <c r="B899" s="1" t="s">
        <v>908</v>
      </c>
      <c r="C899" s="1" t="str">
        <f ca="1">IFERROR(__xludf.DUMMYFUNCTION("REGEXEXTRACT(B899, ""^([^:]+)"")"),"Carbon dioxide")</f>
        <v>Carbon dioxide</v>
      </c>
      <c r="D899" s="1" t="s">
        <v>11</v>
      </c>
      <c r="E899" s="1" t="s">
        <v>11</v>
      </c>
    </row>
    <row r="900" spans="1:5" ht="15.75" customHeight="1">
      <c r="A900" s="1">
        <v>281122</v>
      </c>
      <c r="B900" s="1" t="s">
        <v>909</v>
      </c>
      <c r="C900" s="1" t="str">
        <f ca="1">IFERROR(__xludf.DUMMYFUNCTION("REGEXEXTRACT(B900, ""^([^:]+)"")"),"Silicon dioxide")</f>
        <v>Silicon dioxide</v>
      </c>
      <c r="D900" s="1" t="s">
        <v>11</v>
      </c>
      <c r="E900" s="1" t="s">
        <v>11</v>
      </c>
    </row>
    <row r="901" spans="1:5" ht="15.75" customHeight="1">
      <c r="A901" s="1">
        <v>281129</v>
      </c>
      <c r="B901" s="1" t="s">
        <v>910</v>
      </c>
      <c r="C901" s="1" t="str">
        <f ca="1">IFERROR(__xludf.DUMMYFUNCTION("REGEXEXTRACT(B901, ""^([^:]+)"")"),"Inorganic oxygen compounds")</f>
        <v>Inorganic oxygen compounds</v>
      </c>
      <c r="D901" s="1" t="s">
        <v>11</v>
      </c>
      <c r="E901" s="1" t="s">
        <v>11</v>
      </c>
    </row>
    <row r="902" spans="1:5" ht="15.75" customHeight="1">
      <c r="A902" s="1">
        <v>281210</v>
      </c>
      <c r="B902" s="1" t="s">
        <v>911</v>
      </c>
      <c r="C902" s="1" t="str">
        <f ca="1">IFERROR(__xludf.DUMMYFUNCTION("REGEXEXTRACT(B902, ""^([^:]+)"")"),"Chlorides and chloride oxides")</f>
        <v>Chlorides and chloride oxides</v>
      </c>
      <c r="D902" s="1" t="s">
        <v>11</v>
      </c>
      <c r="E902" s="1" t="s">
        <v>11</v>
      </c>
    </row>
    <row r="903" spans="1:5" ht="15.75" customHeight="1">
      <c r="A903" s="1">
        <v>281290</v>
      </c>
      <c r="B903" s="1" t="s">
        <v>912</v>
      </c>
      <c r="C903" s="1" t="str">
        <f ca="1">IFERROR(__xludf.DUMMYFUNCTION("REGEXEXTRACT(B903, ""^([^:]+)"")"),"Halides and halide oxides of non-metals")</f>
        <v>Halides and halide oxides of non-metals</v>
      </c>
      <c r="D903" s="1" t="s">
        <v>11</v>
      </c>
      <c r="E903" s="1" t="s">
        <v>11</v>
      </c>
    </row>
    <row r="904" spans="1:5" ht="15.75" customHeight="1">
      <c r="A904" s="1">
        <v>281310</v>
      </c>
      <c r="B904" s="1" t="s">
        <v>913</v>
      </c>
      <c r="C904" s="1" t="str">
        <f ca="1">IFERROR(__xludf.DUMMYFUNCTION("REGEXEXTRACT(B904, ""^([^:]+)"")"),"Carbon disulphide")</f>
        <v>Carbon disulphide</v>
      </c>
      <c r="D904" s="1" t="s">
        <v>11</v>
      </c>
      <c r="E904" s="1" t="s">
        <v>11</v>
      </c>
    </row>
    <row r="905" spans="1:5" ht="15.75" customHeight="1">
      <c r="A905" s="1">
        <v>281390</v>
      </c>
      <c r="B905" s="1" t="s">
        <v>914</v>
      </c>
      <c r="C905" s="1" t="str">
        <f ca="1">IFERROR(__xludf.DUMMYFUNCTION("REGEXEXTRACT(B905, ""^([^:]+)"")"),"Sulphides of non-metals, (excluding carbon)")</f>
        <v>Sulphides of non-metals, (excluding carbon)</v>
      </c>
      <c r="D905" s="1" t="s">
        <v>11</v>
      </c>
      <c r="E905" s="1" t="s">
        <v>11</v>
      </c>
    </row>
    <row r="906" spans="1:5" ht="15.75" customHeight="1">
      <c r="A906" s="1">
        <v>281410</v>
      </c>
      <c r="B906" s="1" t="s">
        <v>915</v>
      </c>
      <c r="C906" s="1" t="str">
        <f ca="1">IFERROR(__xludf.DUMMYFUNCTION("REGEXEXTRACT(B906, ""^([^:]+)"")"),"Ammonia")</f>
        <v>Ammonia</v>
      </c>
      <c r="D906" s="1" t="s">
        <v>11</v>
      </c>
      <c r="E906" s="1" t="s">
        <v>11</v>
      </c>
    </row>
    <row r="907" spans="1:5" ht="15.75" customHeight="1">
      <c r="A907" s="1">
        <v>281420</v>
      </c>
      <c r="B907" s="1" t="s">
        <v>916</v>
      </c>
      <c r="C907" s="1" t="str">
        <f ca="1">IFERROR(__xludf.DUMMYFUNCTION("REGEXEXTRACT(B907, ""^([^:]+)"")"),"Ammonia")</f>
        <v>Ammonia</v>
      </c>
      <c r="D907" s="1" t="s">
        <v>11</v>
      </c>
      <c r="E907" s="1" t="s">
        <v>11</v>
      </c>
    </row>
    <row r="908" spans="1:5" ht="15.75" customHeight="1">
      <c r="A908" s="1">
        <v>281511</v>
      </c>
      <c r="B908" s="1" t="s">
        <v>917</v>
      </c>
      <c r="C908" s="1" t="str">
        <f ca="1">IFERROR(__xludf.DUMMYFUNCTION("REGEXEXTRACT(B908, ""^([^:]+)"")"),"Sodium hydroxide (caustic soda)")</f>
        <v>Sodium hydroxide (caustic soda)</v>
      </c>
      <c r="D908" s="1" t="s">
        <v>11</v>
      </c>
      <c r="E908" s="1" t="s">
        <v>11</v>
      </c>
    </row>
    <row r="909" spans="1:5" ht="15.75" customHeight="1">
      <c r="A909" s="1">
        <v>281512</v>
      </c>
      <c r="B909" s="1" t="s">
        <v>918</v>
      </c>
      <c r="C909" s="1" t="str">
        <f ca="1">IFERROR(__xludf.DUMMYFUNCTION("REGEXEXTRACT(B909, ""^([^:]+)"")"),"Sodium hydroxide (caustic soda)")</f>
        <v>Sodium hydroxide (caustic soda)</v>
      </c>
      <c r="D909" s="1" t="s">
        <v>11</v>
      </c>
      <c r="E909" s="1" t="s">
        <v>11</v>
      </c>
    </row>
    <row r="910" spans="1:5" ht="15.75" customHeight="1">
      <c r="A910" s="1">
        <v>281520</v>
      </c>
      <c r="B910" s="1" t="s">
        <v>919</v>
      </c>
      <c r="C910" s="1" t="str">
        <f ca="1">IFERROR(__xludf.DUMMYFUNCTION("REGEXEXTRACT(B910, ""^([^:]+)"")"),"Potassium hydroxide (caustic potash)")</f>
        <v>Potassium hydroxide (caustic potash)</v>
      </c>
      <c r="D910" s="1" t="s">
        <v>11</v>
      </c>
      <c r="E910" s="1" t="s">
        <v>11</v>
      </c>
    </row>
    <row r="911" spans="1:5" ht="15.75" customHeight="1">
      <c r="A911" s="1">
        <v>281530</v>
      </c>
      <c r="B911" s="1" t="s">
        <v>920</v>
      </c>
      <c r="C911" s="1" t="str">
        <f ca="1">IFERROR(__xludf.DUMMYFUNCTION("REGEXEXTRACT(B911, ""^([^:]+)"")"),"Peroxides of sodium or potassium")</f>
        <v>Peroxides of sodium or potassium</v>
      </c>
      <c r="D911" s="1" t="s">
        <v>11</v>
      </c>
      <c r="E911" s="1" t="s">
        <v>11</v>
      </c>
    </row>
    <row r="912" spans="1:5" ht="15.75" customHeight="1">
      <c r="A912" s="1">
        <v>281610</v>
      </c>
      <c r="B912" s="1" t="s">
        <v>921</v>
      </c>
      <c r="C912" s="1" t="str">
        <f ca="1">IFERROR(__xludf.DUMMYFUNCTION("REGEXEXTRACT(B912, ""^([^:]+)"")"),"Hydroxide and peroxide of magnesium")</f>
        <v>Hydroxide and peroxide of magnesium</v>
      </c>
      <c r="D912" s="1" t="s">
        <v>11</v>
      </c>
      <c r="E912" s="1" t="s">
        <v>11</v>
      </c>
    </row>
    <row r="913" spans="1:5" ht="15.75" customHeight="1">
      <c r="A913" s="1">
        <v>281640</v>
      </c>
      <c r="B913" s="1" t="s">
        <v>922</v>
      </c>
      <c r="C913" s="1" t="str">
        <f ca="1">IFERROR(__xludf.DUMMYFUNCTION("REGEXEXTRACT(B913, ""^([^:]+)"")"),"Oxides, hydroxides and peroxides, of strontium or barium")</f>
        <v>Oxides, hydroxides and peroxides, of strontium or barium</v>
      </c>
      <c r="D913" s="1" t="s">
        <v>11</v>
      </c>
      <c r="E913" s="1" t="s">
        <v>11</v>
      </c>
    </row>
    <row r="914" spans="1:5" ht="15.75" customHeight="1">
      <c r="A914" s="1">
        <v>281700</v>
      </c>
      <c r="B914" s="1" t="s">
        <v>923</v>
      </c>
      <c r="C914" s="1" t="str">
        <f ca="1">IFERROR(__xludf.DUMMYFUNCTION("REGEXEXTRACT(B914, ""^([^:]+)"")"),"Zinc")</f>
        <v>Zinc</v>
      </c>
      <c r="D914" s="1" t="s">
        <v>11</v>
      </c>
      <c r="E914" s="1" t="s">
        <v>11</v>
      </c>
    </row>
    <row r="915" spans="1:5" ht="15.75" customHeight="1">
      <c r="A915" s="1">
        <v>281810</v>
      </c>
      <c r="B915" s="1" t="s">
        <v>924</v>
      </c>
      <c r="C915" s="1" t="str">
        <f ca="1">IFERROR(__xludf.DUMMYFUNCTION("REGEXEXTRACT(B915, ""^([^:]+)"")"),"Aluminium oxide")</f>
        <v>Aluminium oxide</v>
      </c>
      <c r="D915" s="1" t="s">
        <v>11</v>
      </c>
      <c r="E915" s="1" t="s">
        <v>11</v>
      </c>
    </row>
    <row r="916" spans="1:5" ht="15.75" customHeight="1">
      <c r="A916" s="1">
        <v>281820</v>
      </c>
      <c r="B916" s="1" t="s">
        <v>925</v>
      </c>
      <c r="C916" s="1" t="str">
        <f ca="1">IFERROR(__xludf.DUMMYFUNCTION("REGEXEXTRACT(B916, ""^([^:]+)"")"),"Aluminium oxide")</f>
        <v>Aluminium oxide</v>
      </c>
      <c r="D916" s="1" t="s">
        <v>11</v>
      </c>
      <c r="E916" s="1" t="s">
        <v>11</v>
      </c>
    </row>
    <row r="917" spans="1:5" ht="15.75" customHeight="1">
      <c r="A917" s="1">
        <v>281830</v>
      </c>
      <c r="B917" s="1" t="s">
        <v>926</v>
      </c>
      <c r="C917" s="1" t="str">
        <f ca="1">IFERROR(__xludf.DUMMYFUNCTION("REGEXEXTRACT(B917, ""^([^:]+)"")"),"Aluminium hydroxide")</f>
        <v>Aluminium hydroxide</v>
      </c>
      <c r="D917" s="1" t="s">
        <v>11</v>
      </c>
      <c r="E917" s="1" t="s">
        <v>11</v>
      </c>
    </row>
    <row r="918" spans="1:5" ht="15.75" customHeight="1">
      <c r="A918" s="1">
        <v>281910</v>
      </c>
      <c r="B918" s="1" t="s">
        <v>927</v>
      </c>
      <c r="C918" s="1" t="str">
        <f ca="1">IFERROR(__xludf.DUMMYFUNCTION("REGEXEXTRACT(B918, ""^([^:]+)"")"),"Chromium trioxide")</f>
        <v>Chromium trioxide</v>
      </c>
      <c r="D918" s="1" t="s">
        <v>11</v>
      </c>
      <c r="E918" s="1" t="s">
        <v>11</v>
      </c>
    </row>
    <row r="919" spans="1:5" ht="15.75" customHeight="1">
      <c r="A919" s="1">
        <v>281990</v>
      </c>
      <c r="B919" s="1" t="s">
        <v>928</v>
      </c>
      <c r="C919" s="1" t="str">
        <f ca="1">IFERROR(__xludf.DUMMYFUNCTION("REGEXEXTRACT(B919, ""^([^:]+)"")"),"Chromium oxides and hydroxides")</f>
        <v>Chromium oxides and hydroxides</v>
      </c>
      <c r="D919" s="1" t="s">
        <v>11</v>
      </c>
      <c r="E919" s="1" t="s">
        <v>11</v>
      </c>
    </row>
    <row r="920" spans="1:5" ht="15.75" customHeight="1">
      <c r="A920" s="1">
        <v>282010</v>
      </c>
      <c r="B920" s="1" t="s">
        <v>929</v>
      </c>
      <c r="C920" s="1" t="str">
        <f ca="1">IFERROR(__xludf.DUMMYFUNCTION("REGEXEXTRACT(B920, ""^([^:]+)"")"),"Manganese dioxide")</f>
        <v>Manganese dioxide</v>
      </c>
      <c r="D920" s="1" t="s">
        <v>11</v>
      </c>
      <c r="E920" s="1" t="s">
        <v>11</v>
      </c>
    </row>
    <row r="921" spans="1:5" ht="15.75" customHeight="1">
      <c r="A921" s="1">
        <v>282090</v>
      </c>
      <c r="B921" s="1" t="s">
        <v>930</v>
      </c>
      <c r="C921" s="1" t="str">
        <f ca="1">IFERROR(__xludf.DUMMYFUNCTION("REGEXEXTRACT(B921, ""^([^:]+)"")"),"Manganese oxides")</f>
        <v>Manganese oxides</v>
      </c>
      <c r="D921" s="1" t="s">
        <v>11</v>
      </c>
      <c r="E921" s="1" t="s">
        <v>11</v>
      </c>
    </row>
    <row r="922" spans="1:5" ht="15.75" customHeight="1">
      <c r="A922" s="1">
        <v>282110</v>
      </c>
      <c r="B922" s="1" t="s">
        <v>931</v>
      </c>
      <c r="C922" s="1" t="str">
        <f ca="1">IFERROR(__xludf.DUMMYFUNCTION("REGEXEXTRACT(B922, ""^([^:]+)"")"),"Iron oxides and hydroxides")</f>
        <v>Iron oxides and hydroxides</v>
      </c>
      <c r="D922" s="1" t="s">
        <v>11</v>
      </c>
      <c r="E922" s="1" t="s">
        <v>11</v>
      </c>
    </row>
    <row r="923" spans="1:5" ht="15.75" customHeight="1">
      <c r="A923" s="1">
        <v>282120</v>
      </c>
      <c r="B923" s="1" t="s">
        <v>932</v>
      </c>
      <c r="C923" s="1" t="str">
        <f ca="1">IFERROR(__xludf.DUMMYFUNCTION("REGEXEXTRACT(B923, ""^([^:]+)"")"),"Earth colours")</f>
        <v>Earth colours</v>
      </c>
      <c r="D923" s="1" t="s">
        <v>11</v>
      </c>
      <c r="E923" s="1" t="s">
        <v>11</v>
      </c>
    </row>
    <row r="924" spans="1:5" ht="15.75" customHeight="1">
      <c r="A924" s="1">
        <v>282200</v>
      </c>
      <c r="B924" s="1" t="s">
        <v>933</v>
      </c>
      <c r="C924" s="1" t="str">
        <f ca="1">IFERROR(__xludf.DUMMYFUNCTION("REGEXEXTRACT(B924, ""^([^:]+)"")"),"Cobalt oxides and hydroxides")</f>
        <v>Cobalt oxides and hydroxides</v>
      </c>
      <c r="D924" s="1" t="s">
        <v>11</v>
      </c>
      <c r="E924" s="1" t="s">
        <v>11</v>
      </c>
    </row>
    <row r="925" spans="1:5" ht="15.75" customHeight="1">
      <c r="A925" s="1">
        <v>282300</v>
      </c>
      <c r="B925" s="1" t="s">
        <v>934</v>
      </c>
      <c r="C925" s="1" t="str">
        <f ca="1">IFERROR(__xludf.DUMMYFUNCTION("REGEXEXTRACT(B925, ""^([^:]+)"")"),"Titanium oxides")</f>
        <v>Titanium oxides</v>
      </c>
      <c r="D925" s="1" t="s">
        <v>11</v>
      </c>
      <c r="E925" s="1" t="s">
        <v>11</v>
      </c>
    </row>
    <row r="926" spans="1:5" ht="15.75" customHeight="1">
      <c r="A926" s="1">
        <v>282410</v>
      </c>
      <c r="B926" s="1" t="s">
        <v>935</v>
      </c>
      <c r="C926" s="1" t="str">
        <f ca="1">IFERROR(__xludf.DUMMYFUNCTION("REGEXEXTRACT(B926, ""^([^:]+)"")"),"Lead")</f>
        <v>Lead</v>
      </c>
      <c r="D926" s="1" t="s">
        <v>11</v>
      </c>
      <c r="E926" s="1" t="s">
        <v>11</v>
      </c>
    </row>
    <row r="927" spans="1:5" ht="15.75" customHeight="1">
      <c r="A927" s="1">
        <v>282490</v>
      </c>
      <c r="B927" s="1" t="s">
        <v>936</v>
      </c>
      <c r="C927" s="1" t="str">
        <f ca="1">IFERROR(__xludf.DUMMYFUNCTION("REGEXEXTRACT(B927, ""^([^:]+)"")"),"Lead oxides")</f>
        <v>Lead oxides</v>
      </c>
      <c r="D927" s="1" t="s">
        <v>11</v>
      </c>
      <c r="E927" s="1" t="s">
        <v>11</v>
      </c>
    </row>
    <row r="928" spans="1:5" ht="15.75" customHeight="1">
      <c r="A928" s="1">
        <v>282510</v>
      </c>
      <c r="B928" s="1" t="s">
        <v>937</v>
      </c>
      <c r="C928" s="1" t="str">
        <f ca="1">IFERROR(__xludf.DUMMYFUNCTION("REGEXEXTRACT(B928, ""^([^:]+)"")"),"Hydrazine and hydroxylamine and their inorganic salts")</f>
        <v>Hydrazine and hydroxylamine and their inorganic salts</v>
      </c>
      <c r="D928" s="1" t="s">
        <v>11</v>
      </c>
      <c r="E928" s="1" t="s">
        <v>11</v>
      </c>
    </row>
    <row r="929" spans="1:5" ht="15.75" customHeight="1">
      <c r="A929" s="1">
        <v>282520</v>
      </c>
      <c r="B929" s="1" t="s">
        <v>938</v>
      </c>
      <c r="C929" s="1" t="str">
        <f ca="1">IFERROR(__xludf.DUMMYFUNCTION("REGEXEXTRACT(B929, ""^([^:]+)"")"),"Lithium oxide and hydroxide")</f>
        <v>Lithium oxide and hydroxide</v>
      </c>
      <c r="D929" s="1" t="s">
        <v>11</v>
      </c>
      <c r="E929" s="1" t="s">
        <v>11</v>
      </c>
    </row>
    <row r="930" spans="1:5" ht="15.75" customHeight="1">
      <c r="A930" s="1">
        <v>282530</v>
      </c>
      <c r="B930" s="1" t="s">
        <v>939</v>
      </c>
      <c r="C930" s="1" t="str">
        <f ca="1">IFERROR(__xludf.DUMMYFUNCTION("REGEXEXTRACT(B930, ""^([^:]+)"")"),"Vanadium oxides and hydroxides")</f>
        <v>Vanadium oxides and hydroxides</v>
      </c>
      <c r="D930" s="1" t="s">
        <v>11</v>
      </c>
      <c r="E930" s="1" t="s">
        <v>11</v>
      </c>
    </row>
    <row r="931" spans="1:5" ht="15.75" customHeight="1">
      <c r="A931" s="1">
        <v>282540</v>
      </c>
      <c r="B931" s="1" t="s">
        <v>940</v>
      </c>
      <c r="C931" s="1" t="str">
        <f ca="1">IFERROR(__xludf.DUMMYFUNCTION("REGEXEXTRACT(B931, ""^([^:]+)"")"),"Nickel oxides and hydroxides")</f>
        <v>Nickel oxides and hydroxides</v>
      </c>
      <c r="D931" s="1" t="s">
        <v>11</v>
      </c>
      <c r="E931" s="1" t="s">
        <v>11</v>
      </c>
    </row>
    <row r="932" spans="1:5" ht="15.75" customHeight="1">
      <c r="A932" s="1">
        <v>282550</v>
      </c>
      <c r="B932" s="1" t="s">
        <v>941</v>
      </c>
      <c r="C932" s="1" t="str">
        <f ca="1">IFERROR(__xludf.DUMMYFUNCTION("REGEXEXTRACT(B932, ""^([^:]+)"")"),"Copper oxides and hydroxides")</f>
        <v>Copper oxides and hydroxides</v>
      </c>
      <c r="D932" s="1" t="s">
        <v>11</v>
      </c>
      <c r="E932" s="1" t="s">
        <v>11</v>
      </c>
    </row>
    <row r="933" spans="1:5" ht="15.75" customHeight="1">
      <c r="A933" s="1">
        <v>282560</v>
      </c>
      <c r="B933" s="1" t="s">
        <v>942</v>
      </c>
      <c r="C933" s="1" t="str">
        <f ca="1">IFERROR(__xludf.DUMMYFUNCTION("REGEXEXTRACT(B933, ""^([^:]+)"")"),"Germanium oxides and zirconium dioxide")</f>
        <v>Germanium oxides and zirconium dioxide</v>
      </c>
      <c r="D933" s="1" t="s">
        <v>11</v>
      </c>
      <c r="E933" s="1" t="s">
        <v>11</v>
      </c>
    </row>
    <row r="934" spans="1:5" ht="15.75" customHeight="1">
      <c r="A934" s="1">
        <v>282570</v>
      </c>
      <c r="B934" s="1" t="s">
        <v>943</v>
      </c>
      <c r="C934" s="1" t="str">
        <f ca="1">IFERROR(__xludf.DUMMYFUNCTION("REGEXEXTRACT(B934, ""^([^:]+)"")"),"Molybdenum oxides and hydroxides")</f>
        <v>Molybdenum oxides and hydroxides</v>
      </c>
      <c r="D934" s="1" t="s">
        <v>11</v>
      </c>
      <c r="E934" s="1" t="s">
        <v>11</v>
      </c>
    </row>
    <row r="935" spans="1:5" ht="15.75" customHeight="1">
      <c r="A935" s="1">
        <v>282580</v>
      </c>
      <c r="B935" s="1" t="s">
        <v>944</v>
      </c>
      <c r="C935" s="1" t="str">
        <f ca="1">IFERROR(__xludf.DUMMYFUNCTION("REGEXEXTRACT(B935, ""^([^:]+)"")"),"Antimony oxides")</f>
        <v>Antimony oxides</v>
      </c>
      <c r="D935" s="1" t="s">
        <v>11</v>
      </c>
      <c r="E935" s="1" t="s">
        <v>11</v>
      </c>
    </row>
    <row r="936" spans="1:5" ht="15.75" customHeight="1">
      <c r="A936" s="1">
        <v>282590</v>
      </c>
      <c r="B936" s="1" t="s">
        <v>945</v>
      </c>
      <c r="C936" s="1" t="str">
        <f ca="1">IFERROR(__xludf.DUMMYFUNCTION("REGEXEXTRACT(B936, ""^([^:]+)"")"),"Inorganic bases, metal oxides, hydroxides and peroxides")</f>
        <v>Inorganic bases, metal oxides, hydroxides and peroxides</v>
      </c>
      <c r="D936" s="1" t="s">
        <v>11</v>
      </c>
      <c r="E936" s="1" t="s">
        <v>11</v>
      </c>
    </row>
    <row r="937" spans="1:5" ht="15.75" customHeight="1">
      <c r="A937" s="1">
        <v>282612</v>
      </c>
      <c r="B937" s="1" t="s">
        <v>946</v>
      </c>
      <c r="C937" s="1" t="str">
        <f ca="1">IFERROR(__xludf.DUMMYFUNCTION("REGEXEXTRACT(B937, ""^([^:]+)"")"),"Fluorides")</f>
        <v>Fluorides</v>
      </c>
      <c r="D937" s="1" t="s">
        <v>11</v>
      </c>
      <c r="E937" s="1" t="s">
        <v>11</v>
      </c>
    </row>
    <row r="938" spans="1:5" ht="15.75" customHeight="1">
      <c r="A938" s="1">
        <v>282619</v>
      </c>
      <c r="B938" s="1" t="s">
        <v>947</v>
      </c>
      <c r="C938" s="1" t="str">
        <f ca="1">IFERROR(__xludf.DUMMYFUNCTION("REGEXEXTRACT(B938, ""^([^:]+)"")"),"Fluorides")</f>
        <v>Fluorides</v>
      </c>
      <c r="D938" s="1" t="s">
        <v>11</v>
      </c>
      <c r="E938" s="1" t="s">
        <v>11</v>
      </c>
    </row>
    <row r="939" spans="1:5" ht="15.75" customHeight="1">
      <c r="A939" s="1">
        <v>282630</v>
      </c>
      <c r="B939" s="1" t="s">
        <v>948</v>
      </c>
      <c r="C939" s="1" t="str">
        <f ca="1">IFERROR(__xludf.DUMMYFUNCTION("REGEXEXTRACT(B939, ""^([^:]+)"")"),"Sodium hexafluoroaluminate (synthetic cryolite)")</f>
        <v>Sodium hexafluoroaluminate (synthetic cryolite)</v>
      </c>
      <c r="D939" s="1" t="s">
        <v>11</v>
      </c>
      <c r="E939" s="1" t="s">
        <v>11</v>
      </c>
    </row>
    <row r="940" spans="1:5" ht="15.75" customHeight="1">
      <c r="A940" s="1">
        <v>282690</v>
      </c>
      <c r="B940" s="1" t="s">
        <v>949</v>
      </c>
      <c r="C940" s="1" t="str">
        <f ca="1">IFERROR(__xludf.DUMMYFUNCTION("REGEXEXTRACT(B940, ""^([^:]+)"")"),"Fluorides")</f>
        <v>Fluorides</v>
      </c>
      <c r="D940" s="1" t="s">
        <v>11</v>
      </c>
      <c r="E940" s="1" t="s">
        <v>11</v>
      </c>
    </row>
    <row r="941" spans="1:5" ht="15.75" customHeight="1">
      <c r="A941" s="1">
        <v>282710</v>
      </c>
      <c r="B941" s="1" t="s">
        <v>950</v>
      </c>
      <c r="C941" s="1" t="str">
        <f ca="1">IFERROR(__xludf.DUMMYFUNCTION("REGEXEXTRACT(B941, ""^([^:]+)"")"),"Chlorides")</f>
        <v>Chlorides</v>
      </c>
      <c r="D941" s="1" t="s">
        <v>11</v>
      </c>
      <c r="E941" s="1" t="s">
        <v>11</v>
      </c>
    </row>
    <row r="942" spans="1:5" ht="15.75" customHeight="1">
      <c r="A942" s="1">
        <v>282720</v>
      </c>
      <c r="B942" s="1" t="s">
        <v>951</v>
      </c>
      <c r="C942" s="1" t="str">
        <f ca="1">IFERROR(__xludf.DUMMYFUNCTION("REGEXEXTRACT(B942, ""^([^:]+)"")"),"Chlorides")</f>
        <v>Chlorides</v>
      </c>
      <c r="D942" s="1" t="s">
        <v>11</v>
      </c>
      <c r="E942" s="1" t="s">
        <v>11</v>
      </c>
    </row>
    <row r="943" spans="1:5" ht="15.75" customHeight="1">
      <c r="A943" s="1">
        <v>282731</v>
      </c>
      <c r="B943" s="1" t="s">
        <v>952</v>
      </c>
      <c r="C943" s="1" t="str">
        <f ca="1">IFERROR(__xludf.DUMMYFUNCTION("REGEXEXTRACT(B943, ""^([^:]+)"")"),"Chlorides")</f>
        <v>Chlorides</v>
      </c>
      <c r="D943" s="1" t="s">
        <v>11</v>
      </c>
      <c r="E943" s="1" t="s">
        <v>11</v>
      </c>
    </row>
    <row r="944" spans="1:5" ht="15.75" customHeight="1">
      <c r="A944" s="1">
        <v>282732</v>
      </c>
      <c r="B944" s="1" t="s">
        <v>953</v>
      </c>
      <c r="C944" s="1" t="str">
        <f ca="1">IFERROR(__xludf.DUMMYFUNCTION("REGEXEXTRACT(B944, ""^([^:]+)"")"),"Chlorides")</f>
        <v>Chlorides</v>
      </c>
      <c r="D944" s="1" t="s">
        <v>11</v>
      </c>
      <c r="E944" s="1" t="s">
        <v>11</v>
      </c>
    </row>
    <row r="945" spans="1:5" ht="15.75" customHeight="1">
      <c r="A945" s="1">
        <v>282735</v>
      </c>
      <c r="B945" s="1" t="s">
        <v>954</v>
      </c>
      <c r="C945" s="1" t="str">
        <f ca="1">IFERROR(__xludf.DUMMYFUNCTION("REGEXEXTRACT(B945, ""^([^:]+)"")"),"Chlorides")</f>
        <v>Chlorides</v>
      </c>
      <c r="D945" s="1" t="s">
        <v>11</v>
      </c>
      <c r="E945" s="1" t="s">
        <v>11</v>
      </c>
    </row>
    <row r="946" spans="1:5" ht="15.75" customHeight="1">
      <c r="A946" s="1">
        <v>282739</v>
      </c>
      <c r="B946" s="1" t="s">
        <v>955</v>
      </c>
      <c r="C946" s="1" t="str">
        <f ca="1">IFERROR(__xludf.DUMMYFUNCTION("REGEXEXTRACT(B946, ""^([^:]+)"")"),"Chlorides")</f>
        <v>Chlorides</v>
      </c>
      <c r="D946" s="1" t="s">
        <v>11</v>
      </c>
      <c r="E946" s="1" t="s">
        <v>11</v>
      </c>
    </row>
    <row r="947" spans="1:5" ht="15.75" customHeight="1">
      <c r="A947" s="1">
        <v>282741</v>
      </c>
      <c r="B947" s="1" t="s">
        <v>956</v>
      </c>
      <c r="C947" s="1" t="str">
        <f ca="1">IFERROR(__xludf.DUMMYFUNCTION("REGEXEXTRACT(B947, ""^([^:]+)"")"),"Chloride oxides and chloride hydroxides")</f>
        <v>Chloride oxides and chloride hydroxides</v>
      </c>
      <c r="D947" s="1" t="s">
        <v>11</v>
      </c>
      <c r="E947" s="1" t="s">
        <v>11</v>
      </c>
    </row>
    <row r="948" spans="1:5" ht="15.75" customHeight="1">
      <c r="A948" s="1">
        <v>282749</v>
      </c>
      <c r="B948" s="1" t="s">
        <v>957</v>
      </c>
      <c r="C948" s="1" t="str">
        <f ca="1">IFERROR(__xludf.DUMMYFUNCTION("REGEXEXTRACT(B948, ""^([^:]+)"")"),"Chloride oxides and chloride hydroxides")</f>
        <v>Chloride oxides and chloride hydroxides</v>
      </c>
      <c r="D948" s="1" t="s">
        <v>11</v>
      </c>
      <c r="E948" s="1" t="s">
        <v>11</v>
      </c>
    </row>
    <row r="949" spans="1:5" ht="15.75" customHeight="1">
      <c r="A949" s="1">
        <v>282751</v>
      </c>
      <c r="B949" s="1" t="s">
        <v>958</v>
      </c>
      <c r="C949" s="1" t="str">
        <f ca="1">IFERROR(__xludf.DUMMYFUNCTION("REGEXEXTRACT(B949, ""^([^:]+)"")"),"Bromides")</f>
        <v>Bromides</v>
      </c>
      <c r="D949" s="1" t="s">
        <v>11</v>
      </c>
      <c r="E949" s="1" t="s">
        <v>11</v>
      </c>
    </row>
    <row r="950" spans="1:5" ht="15.75" customHeight="1">
      <c r="A950" s="1">
        <v>282759</v>
      </c>
      <c r="B950" s="1" t="s">
        <v>959</v>
      </c>
      <c r="C950" s="1" t="str">
        <f ca="1">IFERROR(__xludf.DUMMYFUNCTION("REGEXEXTRACT(B950, ""^([^:]+)"")"),"Bromides and bromide oxides")</f>
        <v>Bromides and bromide oxides</v>
      </c>
      <c r="D950" s="1" t="s">
        <v>11</v>
      </c>
      <c r="E950" s="1" t="s">
        <v>11</v>
      </c>
    </row>
    <row r="951" spans="1:5" ht="15.75" customHeight="1">
      <c r="A951" s="1">
        <v>282760</v>
      </c>
      <c r="B951" s="1" t="s">
        <v>960</v>
      </c>
      <c r="C951" s="1" t="str">
        <f ca="1">IFERROR(__xludf.DUMMYFUNCTION("REGEXEXTRACT(B951, ""^([^:]+)"")"),"Iodides and iodide oxides")</f>
        <v>Iodides and iodide oxides</v>
      </c>
      <c r="D951" s="1" t="s">
        <v>11</v>
      </c>
      <c r="E951" s="1" t="s">
        <v>11</v>
      </c>
    </row>
    <row r="952" spans="1:5" ht="15.75" customHeight="1">
      <c r="A952" s="1">
        <v>282810</v>
      </c>
      <c r="B952" s="1" t="s">
        <v>961</v>
      </c>
      <c r="C952" s="1" t="str">
        <f ca="1">IFERROR(__xludf.DUMMYFUNCTION("REGEXEXTRACT(B952, ""^([^:]+)"")"),"Hypochlorites")</f>
        <v>Hypochlorites</v>
      </c>
      <c r="D952" s="1" t="s">
        <v>11</v>
      </c>
      <c r="E952" s="1" t="s">
        <v>11</v>
      </c>
    </row>
    <row r="953" spans="1:5" ht="15.75" customHeight="1">
      <c r="A953" s="1">
        <v>282890</v>
      </c>
      <c r="B953" s="1" t="s">
        <v>962</v>
      </c>
      <c r="C953" s="1" t="str">
        <f ca="1">IFERROR(__xludf.DUMMYFUNCTION("REGEXEXTRACT(B953, ""^([^:]+)"")"),"Hypochlorites")</f>
        <v>Hypochlorites</v>
      </c>
      <c r="D953" s="1" t="s">
        <v>11</v>
      </c>
      <c r="E953" s="1" t="s">
        <v>11</v>
      </c>
    </row>
    <row r="954" spans="1:5" ht="15.75" customHeight="1">
      <c r="A954" s="1">
        <v>282911</v>
      </c>
      <c r="B954" s="1" t="s">
        <v>963</v>
      </c>
      <c r="C954" s="1" t="str">
        <f ca="1">IFERROR(__xludf.DUMMYFUNCTION("REGEXEXTRACT(B954, ""^([^:]+)"")"),"Chlorates")</f>
        <v>Chlorates</v>
      </c>
      <c r="D954" s="1" t="s">
        <v>11</v>
      </c>
      <c r="E954" s="1" t="s">
        <v>11</v>
      </c>
    </row>
    <row r="955" spans="1:5" ht="15.75" customHeight="1">
      <c r="A955" s="1">
        <v>282919</v>
      </c>
      <c r="B955" s="1" t="s">
        <v>964</v>
      </c>
      <c r="C955" s="1" t="str">
        <f ca="1">IFERROR(__xludf.DUMMYFUNCTION("REGEXEXTRACT(B955, ""^([^:]+)"")"),"Chlorates")</f>
        <v>Chlorates</v>
      </c>
      <c r="D955" s="1" t="s">
        <v>11</v>
      </c>
      <c r="E955" s="1" t="s">
        <v>11</v>
      </c>
    </row>
    <row r="956" spans="1:5" ht="15.75" customHeight="1">
      <c r="A956" s="1">
        <v>282990</v>
      </c>
      <c r="B956" s="1" t="s">
        <v>965</v>
      </c>
      <c r="C956" s="1" t="str">
        <f ca="1">IFERROR(__xludf.DUMMYFUNCTION("REGEXEXTRACT(B956, ""^([^:]+)"")"),"Perchlorates")</f>
        <v>Perchlorates</v>
      </c>
      <c r="D956" s="1" t="s">
        <v>11</v>
      </c>
      <c r="E956" s="1" t="s">
        <v>11</v>
      </c>
    </row>
    <row r="957" spans="1:5" ht="15.75" customHeight="1">
      <c r="A957" s="1">
        <v>283010</v>
      </c>
      <c r="B957" s="1" t="s">
        <v>966</v>
      </c>
      <c r="C957" s="1" t="str">
        <f ca="1">IFERROR(__xludf.DUMMYFUNCTION("REGEXEXTRACT(B957, ""^([^:]+)"")"),"Sulphides")</f>
        <v>Sulphides</v>
      </c>
      <c r="D957" s="1" t="s">
        <v>11</v>
      </c>
      <c r="E957" s="1" t="s">
        <v>11</v>
      </c>
    </row>
    <row r="958" spans="1:5" ht="15.75" customHeight="1">
      <c r="A958" s="1">
        <v>283090</v>
      </c>
      <c r="B958" s="1" t="s">
        <v>967</v>
      </c>
      <c r="C958" s="1" t="str">
        <f ca="1">IFERROR(__xludf.DUMMYFUNCTION("REGEXEXTRACT(B958, ""^([^:]+)"")"),"Sulphides and polysulphides")</f>
        <v>Sulphides and polysulphides</v>
      </c>
      <c r="D958" s="1" t="s">
        <v>11</v>
      </c>
      <c r="E958" s="1" t="s">
        <v>11</v>
      </c>
    </row>
    <row r="959" spans="1:5" ht="15.75" customHeight="1">
      <c r="A959" s="1">
        <v>283110</v>
      </c>
      <c r="B959" s="1" t="s">
        <v>968</v>
      </c>
      <c r="C959" s="1" t="str">
        <f ca="1">IFERROR(__xludf.DUMMYFUNCTION("REGEXEXTRACT(B959, ""^([^:]+)"")"),"Dithionites and sulphoxylates")</f>
        <v>Dithionites and sulphoxylates</v>
      </c>
      <c r="D959" s="1" t="s">
        <v>11</v>
      </c>
      <c r="E959" s="1" t="s">
        <v>11</v>
      </c>
    </row>
    <row r="960" spans="1:5" ht="15.75" customHeight="1">
      <c r="A960" s="1">
        <v>283190</v>
      </c>
      <c r="B960" s="1" t="s">
        <v>969</v>
      </c>
      <c r="C960" s="1" t="str">
        <f ca="1">IFERROR(__xludf.DUMMYFUNCTION("REGEXEXTRACT(B960, ""^([^:]+)"")"),"Dithionites and sulphoxylates")</f>
        <v>Dithionites and sulphoxylates</v>
      </c>
      <c r="D960" s="1" t="s">
        <v>11</v>
      </c>
      <c r="E960" s="1" t="s">
        <v>11</v>
      </c>
    </row>
    <row r="961" spans="1:5" ht="15.75" customHeight="1">
      <c r="A961" s="1">
        <v>283210</v>
      </c>
      <c r="B961" s="1" t="s">
        <v>970</v>
      </c>
      <c r="C961" s="1" t="str">
        <f ca="1">IFERROR(__xludf.DUMMYFUNCTION("REGEXEXTRACT(B961, ""^([^:]+)"")"),"Sulphites")</f>
        <v>Sulphites</v>
      </c>
      <c r="D961" s="1" t="s">
        <v>11</v>
      </c>
      <c r="E961" s="1" t="s">
        <v>11</v>
      </c>
    </row>
    <row r="962" spans="1:5" ht="15.75" customHeight="1">
      <c r="A962" s="1">
        <v>283220</v>
      </c>
      <c r="B962" s="1" t="s">
        <v>971</v>
      </c>
      <c r="C962" s="1" t="str">
        <f ca="1">IFERROR(__xludf.DUMMYFUNCTION("REGEXEXTRACT(B962, ""^([^:]+)"")"),"Sulphites")</f>
        <v>Sulphites</v>
      </c>
      <c r="D962" s="1" t="s">
        <v>11</v>
      </c>
      <c r="E962" s="1" t="s">
        <v>11</v>
      </c>
    </row>
    <row r="963" spans="1:5" ht="15.75" customHeight="1">
      <c r="A963" s="1">
        <v>283230</v>
      </c>
      <c r="B963" s="1" t="s">
        <v>972</v>
      </c>
      <c r="C963" s="1" t="str">
        <f ca="1">IFERROR(__xludf.DUMMYFUNCTION("REGEXEXTRACT(B963, ""^([^:]+)"")"),"Thiosulphates")</f>
        <v>Thiosulphates</v>
      </c>
      <c r="D963" s="1" t="s">
        <v>11</v>
      </c>
      <c r="E963" s="1" t="s">
        <v>11</v>
      </c>
    </row>
    <row r="964" spans="1:5" ht="15.75" customHeight="1">
      <c r="A964" s="1">
        <v>283311</v>
      </c>
      <c r="B964" s="1" t="s">
        <v>973</v>
      </c>
      <c r="C964" s="1" t="str">
        <f ca="1">IFERROR(__xludf.DUMMYFUNCTION("REGEXEXTRACT(B964, ""^([^:]+)"")"),"Sodium sulphates")</f>
        <v>Sodium sulphates</v>
      </c>
      <c r="D964" s="1" t="s">
        <v>11</v>
      </c>
      <c r="E964" s="1" t="s">
        <v>11</v>
      </c>
    </row>
    <row r="965" spans="1:5" ht="15.75" customHeight="1">
      <c r="A965" s="1">
        <v>283319</v>
      </c>
      <c r="B965" s="1" t="s">
        <v>974</v>
      </c>
      <c r="C965" s="1" t="str">
        <f ca="1">IFERROR(__xludf.DUMMYFUNCTION("REGEXEXTRACT(B965, ""^([^:]+)"")"),"Sodium sulphates")</f>
        <v>Sodium sulphates</v>
      </c>
      <c r="D965" s="1" t="s">
        <v>11</v>
      </c>
      <c r="E965" s="1" t="s">
        <v>11</v>
      </c>
    </row>
    <row r="966" spans="1:5" ht="15.75" customHeight="1">
      <c r="A966" s="1">
        <v>283321</v>
      </c>
      <c r="B966" s="1" t="s">
        <v>975</v>
      </c>
      <c r="C966" s="1" t="str">
        <f ca="1">IFERROR(__xludf.DUMMYFUNCTION("REGEXEXTRACT(B966, ""^([^:]+)"")"),"Sulphates")</f>
        <v>Sulphates</v>
      </c>
      <c r="D966" s="1" t="s">
        <v>11</v>
      </c>
      <c r="E966" s="1" t="s">
        <v>11</v>
      </c>
    </row>
    <row r="967" spans="1:5" ht="15.75" customHeight="1">
      <c r="A967" s="1">
        <v>283322</v>
      </c>
      <c r="B967" s="1" t="s">
        <v>976</v>
      </c>
      <c r="C967" s="1" t="str">
        <f ca="1">IFERROR(__xludf.DUMMYFUNCTION("REGEXEXTRACT(B967, ""^([^:]+)"")"),"Sulphates")</f>
        <v>Sulphates</v>
      </c>
      <c r="D967" s="1" t="s">
        <v>11</v>
      </c>
      <c r="E967" s="1" t="s">
        <v>11</v>
      </c>
    </row>
    <row r="968" spans="1:5" ht="15.75" customHeight="1">
      <c r="A968" s="1">
        <v>283324</v>
      </c>
      <c r="B968" s="1" t="s">
        <v>977</v>
      </c>
      <c r="C968" s="1" t="str">
        <f ca="1">IFERROR(__xludf.DUMMYFUNCTION("REGEXEXTRACT(B968, ""^([^:]+)"")"),"Sulphates")</f>
        <v>Sulphates</v>
      </c>
      <c r="D968" s="1" t="s">
        <v>11</v>
      </c>
      <c r="E968" s="1" t="s">
        <v>11</v>
      </c>
    </row>
    <row r="969" spans="1:5" ht="15.75" customHeight="1">
      <c r="A969" s="1">
        <v>283325</v>
      </c>
      <c r="B969" s="1" t="s">
        <v>978</v>
      </c>
      <c r="C969" s="1" t="str">
        <f ca="1">IFERROR(__xludf.DUMMYFUNCTION("REGEXEXTRACT(B969, ""^([^:]+)"")"),"Sulphates")</f>
        <v>Sulphates</v>
      </c>
      <c r="D969" s="1" t="s">
        <v>11</v>
      </c>
      <c r="E969" s="1" t="s">
        <v>11</v>
      </c>
    </row>
    <row r="970" spans="1:5" ht="15.75" customHeight="1">
      <c r="A970" s="1">
        <v>283327</v>
      </c>
      <c r="B970" s="1" t="s">
        <v>979</v>
      </c>
      <c r="C970" s="1" t="str">
        <f ca="1">IFERROR(__xludf.DUMMYFUNCTION("REGEXEXTRACT(B970, ""^([^:]+)"")"),"Sulphates")</f>
        <v>Sulphates</v>
      </c>
      <c r="D970" s="1" t="s">
        <v>11</v>
      </c>
      <c r="E970" s="1" t="s">
        <v>11</v>
      </c>
    </row>
    <row r="971" spans="1:5" ht="15.75" customHeight="1">
      <c r="A971" s="1">
        <v>283329</v>
      </c>
      <c r="B971" s="1" t="s">
        <v>980</v>
      </c>
      <c r="C971" s="1" t="str">
        <f ca="1">IFERROR(__xludf.DUMMYFUNCTION("REGEXEXTRACT(B971, ""^([^:]+)"")"),"Sulphates")</f>
        <v>Sulphates</v>
      </c>
      <c r="D971" s="1" t="s">
        <v>11</v>
      </c>
      <c r="E971" s="1" t="s">
        <v>11</v>
      </c>
    </row>
    <row r="972" spans="1:5" ht="15.75" customHeight="1">
      <c r="A972" s="1">
        <v>283330</v>
      </c>
      <c r="B972" s="1" t="s">
        <v>981</v>
      </c>
      <c r="C972" s="1" t="str">
        <f ca="1">IFERROR(__xludf.DUMMYFUNCTION("REGEXEXTRACT(B972, ""^([^:]+)"")"),"Alums")</f>
        <v>Alums</v>
      </c>
      <c r="D972" s="1" t="s">
        <v>11</v>
      </c>
      <c r="E972" s="1" t="s">
        <v>11</v>
      </c>
    </row>
    <row r="973" spans="1:5" ht="15.75" customHeight="1">
      <c r="A973" s="1">
        <v>283340</v>
      </c>
      <c r="B973" s="1" t="s">
        <v>982</v>
      </c>
      <c r="C973" s="1" t="str">
        <f ca="1">IFERROR(__xludf.DUMMYFUNCTION("REGEXEXTRACT(B973, ""^([^:]+)"")"),"Peroxosulphates (persulphates)")</f>
        <v>Peroxosulphates (persulphates)</v>
      </c>
      <c r="D973" s="1" t="s">
        <v>11</v>
      </c>
      <c r="E973" s="1" t="s">
        <v>11</v>
      </c>
    </row>
    <row r="974" spans="1:5" ht="15.75" customHeight="1">
      <c r="A974" s="1">
        <v>283410</v>
      </c>
      <c r="B974" s="1" t="s">
        <v>983</v>
      </c>
      <c r="C974" s="1" t="str">
        <f ca="1">IFERROR(__xludf.DUMMYFUNCTION("REGEXEXTRACT(B974, ""^([^:]+)"")"),"Nitrites")</f>
        <v>Nitrites</v>
      </c>
      <c r="D974" s="1" t="s">
        <v>11</v>
      </c>
      <c r="E974" s="1" t="s">
        <v>11</v>
      </c>
    </row>
    <row r="975" spans="1:5" ht="15.75" customHeight="1">
      <c r="A975" s="1">
        <v>283421</v>
      </c>
      <c r="B975" s="1" t="s">
        <v>984</v>
      </c>
      <c r="C975" s="1" t="str">
        <f ca="1">IFERROR(__xludf.DUMMYFUNCTION("REGEXEXTRACT(B975, ""^([^:]+)"")"),"Nitrates")</f>
        <v>Nitrates</v>
      </c>
      <c r="D975" s="1" t="s">
        <v>11</v>
      </c>
      <c r="E975" s="1" t="s">
        <v>11</v>
      </c>
    </row>
    <row r="976" spans="1:5" ht="15.75" customHeight="1">
      <c r="A976" s="1">
        <v>283429</v>
      </c>
      <c r="B976" s="1" t="s">
        <v>985</v>
      </c>
      <c r="C976" s="1" t="str">
        <f ca="1">IFERROR(__xludf.DUMMYFUNCTION("REGEXEXTRACT(B976, ""^([^:]+)"")"),"Nitrates")</f>
        <v>Nitrates</v>
      </c>
      <c r="D976" s="1" t="s">
        <v>11</v>
      </c>
      <c r="E976" s="1" t="s">
        <v>11</v>
      </c>
    </row>
    <row r="977" spans="1:5" ht="15.75" customHeight="1">
      <c r="A977" s="1">
        <v>283510</v>
      </c>
      <c r="B977" s="1" t="s">
        <v>986</v>
      </c>
      <c r="C977" s="1" t="str">
        <f ca="1">IFERROR(__xludf.DUMMYFUNCTION("REGEXEXTRACT(B977, ""^([^:]+)"")"),"Phosphinates (hypophosphites) and phosphonates (phosphites)")</f>
        <v>Phosphinates (hypophosphites) and phosphonates (phosphites)</v>
      </c>
      <c r="D977" s="1" t="s">
        <v>11</v>
      </c>
      <c r="E977" s="1" t="s">
        <v>11</v>
      </c>
    </row>
    <row r="978" spans="1:5" ht="15.75" customHeight="1">
      <c r="A978" s="1">
        <v>283522</v>
      </c>
      <c r="B978" s="1" t="s">
        <v>987</v>
      </c>
      <c r="C978" s="1" t="str">
        <f ca="1">IFERROR(__xludf.DUMMYFUNCTION("REGEXEXTRACT(B978, ""^([^:]+)"")"),"Phosphates")</f>
        <v>Phosphates</v>
      </c>
      <c r="D978" s="1" t="s">
        <v>11</v>
      </c>
      <c r="E978" s="1" t="s">
        <v>11</v>
      </c>
    </row>
    <row r="979" spans="1:5" ht="15.75" customHeight="1">
      <c r="A979" s="1">
        <v>283524</v>
      </c>
      <c r="B979" s="1" t="s">
        <v>988</v>
      </c>
      <c r="C979" s="1" t="str">
        <f ca="1">IFERROR(__xludf.DUMMYFUNCTION("REGEXEXTRACT(B979, ""^([^:]+)"")"),"Phosphates")</f>
        <v>Phosphates</v>
      </c>
      <c r="D979" s="1" t="s">
        <v>11</v>
      </c>
      <c r="E979" s="1" t="s">
        <v>11</v>
      </c>
    </row>
    <row r="980" spans="1:5" ht="15.75" customHeight="1">
      <c r="A980" s="1">
        <v>283525</v>
      </c>
      <c r="B980" s="1" t="s">
        <v>989</v>
      </c>
      <c r="C980" s="1" t="str">
        <f ca="1">IFERROR(__xludf.DUMMYFUNCTION("REGEXEXTRACT(B980, ""^([^:]+)"")"),"Phosphates")</f>
        <v>Phosphates</v>
      </c>
      <c r="D980" s="1" t="s">
        <v>11</v>
      </c>
      <c r="E980" s="1" t="s">
        <v>11</v>
      </c>
    </row>
    <row r="981" spans="1:5" ht="15.75" customHeight="1">
      <c r="A981" s="1">
        <v>283526</v>
      </c>
      <c r="B981" s="1" t="s">
        <v>990</v>
      </c>
      <c r="C981" s="1" t="str">
        <f ca="1">IFERROR(__xludf.DUMMYFUNCTION("REGEXEXTRACT(B981, ""^([^:]+)"")"),"Phosphates")</f>
        <v>Phosphates</v>
      </c>
      <c r="D981" s="1" t="s">
        <v>11</v>
      </c>
      <c r="E981" s="1" t="s">
        <v>11</v>
      </c>
    </row>
    <row r="982" spans="1:5" ht="15.75" customHeight="1">
      <c r="A982" s="1">
        <v>283529</v>
      </c>
      <c r="B982" s="1" t="s">
        <v>991</v>
      </c>
      <c r="C982" s="1" t="str">
        <f ca="1">IFERROR(__xludf.DUMMYFUNCTION("REGEXEXTRACT(B982, ""^([^:]+)"")"),"Phosphates")</f>
        <v>Phosphates</v>
      </c>
      <c r="D982" s="1" t="s">
        <v>11</v>
      </c>
      <c r="E982" s="1" t="s">
        <v>11</v>
      </c>
    </row>
    <row r="983" spans="1:5" ht="15.75" customHeight="1">
      <c r="A983" s="1">
        <v>283531</v>
      </c>
      <c r="B983" s="1" t="s">
        <v>992</v>
      </c>
      <c r="C983" s="1" t="str">
        <f ca="1">IFERROR(__xludf.DUMMYFUNCTION("REGEXEXTRACT(B983, ""^([^:]+)"")"),"Polyphosphates")</f>
        <v>Polyphosphates</v>
      </c>
      <c r="D983" s="1" t="s">
        <v>11</v>
      </c>
      <c r="E983" s="1" t="s">
        <v>11</v>
      </c>
    </row>
    <row r="984" spans="1:5" ht="15.75" customHeight="1">
      <c r="A984" s="1">
        <v>283539</v>
      </c>
      <c r="B984" s="1" t="s">
        <v>993</v>
      </c>
      <c r="C984" s="1" t="str">
        <f ca="1">IFERROR(__xludf.DUMMYFUNCTION("REGEXEXTRACT(B984, ""^([^:]+)"")"),"Polyphosphates")</f>
        <v>Polyphosphates</v>
      </c>
      <c r="D984" s="1" t="s">
        <v>11</v>
      </c>
      <c r="E984" s="1" t="s">
        <v>11</v>
      </c>
    </row>
    <row r="985" spans="1:5" ht="15.75" customHeight="1">
      <c r="A985" s="1">
        <v>283620</v>
      </c>
      <c r="B985" s="1" t="s">
        <v>994</v>
      </c>
      <c r="C985" s="1" t="str">
        <f ca="1">IFERROR(__xludf.DUMMYFUNCTION("REGEXEXTRACT(B985, ""^([^:]+)"")"),"Carbonates")</f>
        <v>Carbonates</v>
      </c>
      <c r="D985" s="1" t="s">
        <v>11</v>
      </c>
      <c r="E985" s="1" t="s">
        <v>11</v>
      </c>
    </row>
    <row r="986" spans="1:5" ht="15.75" customHeight="1">
      <c r="A986" s="1">
        <v>283630</v>
      </c>
      <c r="B986" s="1" t="s">
        <v>995</v>
      </c>
      <c r="C986" s="1" t="str">
        <f ca="1">IFERROR(__xludf.DUMMYFUNCTION("REGEXEXTRACT(B986, ""^([^:]+)"")"),"Carbonates")</f>
        <v>Carbonates</v>
      </c>
      <c r="D986" s="1" t="s">
        <v>11</v>
      </c>
      <c r="E986" s="1" t="s">
        <v>11</v>
      </c>
    </row>
    <row r="987" spans="1:5" ht="15.75" customHeight="1">
      <c r="A987" s="1">
        <v>283640</v>
      </c>
      <c r="B987" s="1" t="s">
        <v>996</v>
      </c>
      <c r="C987" s="1" t="str">
        <f ca="1">IFERROR(__xludf.DUMMYFUNCTION("REGEXEXTRACT(B987, ""^([^:]+)"")"),"Carbonates")</f>
        <v>Carbonates</v>
      </c>
      <c r="D987" s="1" t="s">
        <v>11</v>
      </c>
      <c r="E987" s="1" t="s">
        <v>11</v>
      </c>
    </row>
    <row r="988" spans="1:5" ht="15.75" customHeight="1">
      <c r="A988" s="1">
        <v>283650</v>
      </c>
      <c r="B988" s="1" t="s">
        <v>997</v>
      </c>
      <c r="C988" s="1" t="str">
        <f ca="1">IFERROR(__xludf.DUMMYFUNCTION("REGEXEXTRACT(B988, ""^([^:]+)"")"),"Carbonates")</f>
        <v>Carbonates</v>
      </c>
      <c r="D988" s="1" t="s">
        <v>11</v>
      </c>
      <c r="E988" s="1" t="s">
        <v>11</v>
      </c>
    </row>
    <row r="989" spans="1:5" ht="15.75" customHeight="1">
      <c r="A989" s="1">
        <v>283660</v>
      </c>
      <c r="B989" s="1" t="s">
        <v>998</v>
      </c>
      <c r="C989" s="1" t="str">
        <f ca="1">IFERROR(__xludf.DUMMYFUNCTION("REGEXEXTRACT(B989, ""^([^:]+)"")"),"Carbonates")</f>
        <v>Carbonates</v>
      </c>
      <c r="D989" s="1" t="s">
        <v>11</v>
      </c>
      <c r="E989" s="1" t="s">
        <v>11</v>
      </c>
    </row>
    <row r="990" spans="1:5" ht="15.75" customHeight="1">
      <c r="A990" s="1">
        <v>283691</v>
      </c>
      <c r="B990" s="1" t="s">
        <v>999</v>
      </c>
      <c r="C990" s="1" t="str">
        <f ca="1">IFERROR(__xludf.DUMMYFUNCTION("REGEXEXTRACT(B990, ""^([^:]+)"")"),"Carbonates")</f>
        <v>Carbonates</v>
      </c>
      <c r="D990" s="1" t="s">
        <v>11</v>
      </c>
      <c r="E990" s="1" t="s">
        <v>11</v>
      </c>
    </row>
    <row r="991" spans="1:5" ht="15.75" customHeight="1">
      <c r="A991" s="1">
        <v>283692</v>
      </c>
      <c r="B991" s="1" t="s">
        <v>1000</v>
      </c>
      <c r="C991" s="1" t="str">
        <f ca="1">IFERROR(__xludf.DUMMYFUNCTION("REGEXEXTRACT(B991, ""^([^:]+)"")"),"Carbonates")</f>
        <v>Carbonates</v>
      </c>
      <c r="D991" s="1" t="s">
        <v>11</v>
      </c>
      <c r="E991" s="1" t="s">
        <v>11</v>
      </c>
    </row>
    <row r="992" spans="1:5" ht="15.75" customHeight="1">
      <c r="A992" s="1">
        <v>283699</v>
      </c>
      <c r="B992" s="1" t="s">
        <v>1001</v>
      </c>
      <c r="C992" s="1" t="str">
        <f ca="1">IFERROR(__xludf.DUMMYFUNCTION("REGEXEXTRACT(B992, ""^([^:]+)"")"),"Carbonates")</f>
        <v>Carbonates</v>
      </c>
      <c r="D992" s="1" t="s">
        <v>11</v>
      </c>
      <c r="E992" s="1" t="s">
        <v>11</v>
      </c>
    </row>
    <row r="993" spans="1:5" ht="15.75" customHeight="1">
      <c r="A993" s="1">
        <v>283711</v>
      </c>
      <c r="B993" s="1" t="s">
        <v>1002</v>
      </c>
      <c r="C993" s="1" t="str">
        <f ca="1">IFERROR(__xludf.DUMMYFUNCTION("REGEXEXTRACT(B993, ""^([^:]+)"")"),"Cyanides and cyanide oxides")</f>
        <v>Cyanides and cyanide oxides</v>
      </c>
      <c r="D993" s="1" t="s">
        <v>11</v>
      </c>
      <c r="E993" s="1" t="s">
        <v>11</v>
      </c>
    </row>
    <row r="994" spans="1:5" ht="15.75" customHeight="1">
      <c r="A994" s="1">
        <v>283719</v>
      </c>
      <c r="B994" s="1" t="s">
        <v>1003</v>
      </c>
      <c r="C994" s="1" t="str">
        <f ca="1">IFERROR(__xludf.DUMMYFUNCTION("REGEXEXTRACT(B994, ""^([^:]+)"")"),"Cyanides and cyanide oxides")</f>
        <v>Cyanides and cyanide oxides</v>
      </c>
      <c r="D994" s="1" t="s">
        <v>11</v>
      </c>
      <c r="E994" s="1" t="s">
        <v>11</v>
      </c>
    </row>
    <row r="995" spans="1:5" ht="15.75" customHeight="1">
      <c r="A995" s="1">
        <v>283720</v>
      </c>
      <c r="B995" s="1" t="s">
        <v>1004</v>
      </c>
      <c r="C995" s="1" t="str">
        <f ca="1">IFERROR(__xludf.DUMMYFUNCTION("REGEXEXTRACT(B995, ""^([^:]+)"")"),"Complex cyanides")</f>
        <v>Complex cyanides</v>
      </c>
      <c r="D995" s="1" t="s">
        <v>11</v>
      </c>
      <c r="E995" s="1" t="s">
        <v>11</v>
      </c>
    </row>
    <row r="996" spans="1:5" ht="15.75" customHeight="1">
      <c r="A996" s="1">
        <v>283911</v>
      </c>
      <c r="B996" s="1" t="s">
        <v>1005</v>
      </c>
      <c r="C996" s="1" t="str">
        <f ca="1">IFERROR(__xludf.DUMMYFUNCTION("REGEXEXTRACT(B996, ""^([^:]+)"")"),"Silicates")</f>
        <v>Silicates</v>
      </c>
      <c r="D996" s="1" t="s">
        <v>11</v>
      </c>
      <c r="E996" s="1" t="s">
        <v>11</v>
      </c>
    </row>
    <row r="997" spans="1:5" ht="15.75" customHeight="1">
      <c r="A997" s="1">
        <v>283919</v>
      </c>
      <c r="B997" s="1" t="s">
        <v>1006</v>
      </c>
      <c r="C997" s="1" t="str">
        <f ca="1">IFERROR(__xludf.DUMMYFUNCTION("REGEXEXTRACT(B997, ""^([^:]+)"")"),"Silicates")</f>
        <v>Silicates</v>
      </c>
      <c r="D997" s="1" t="s">
        <v>11</v>
      </c>
      <c r="E997" s="1" t="s">
        <v>11</v>
      </c>
    </row>
    <row r="998" spans="1:5" ht="15.75" customHeight="1">
      <c r="A998" s="1">
        <v>283990</v>
      </c>
      <c r="B998" s="1" t="s">
        <v>1007</v>
      </c>
      <c r="C998" s="1" t="str">
        <f ca="1">IFERROR(__xludf.DUMMYFUNCTION("REGEXEXTRACT(B998, ""^([^:]+)"")"),"Silicates")</f>
        <v>Silicates</v>
      </c>
      <c r="D998" s="1" t="s">
        <v>11</v>
      </c>
      <c r="E998" s="1" t="s">
        <v>11</v>
      </c>
    </row>
    <row r="999" spans="1:5" ht="15.75" customHeight="1">
      <c r="A999" s="1">
        <v>284011</v>
      </c>
      <c r="B999" s="1" t="s">
        <v>1008</v>
      </c>
      <c r="C999" s="1" t="str">
        <f ca="1">IFERROR(__xludf.DUMMYFUNCTION("REGEXEXTRACT(B999, ""^([^:]+)"")"),"Borates")</f>
        <v>Borates</v>
      </c>
      <c r="D999" s="1" t="s">
        <v>11</v>
      </c>
      <c r="E999" s="1" t="s">
        <v>11</v>
      </c>
    </row>
    <row r="1000" spans="1:5" ht="15.75" customHeight="1">
      <c r="A1000" s="1">
        <v>284019</v>
      </c>
      <c r="B1000" s="1" t="s">
        <v>1009</v>
      </c>
      <c r="C1000" s="1" t="str">
        <f ca="1">IFERROR(__xludf.DUMMYFUNCTION("REGEXEXTRACT(B1000, ""^([^:]+)"")"),"Borates")</f>
        <v>Borates</v>
      </c>
      <c r="D1000" s="1" t="s">
        <v>11</v>
      </c>
      <c r="E1000" s="1" t="s">
        <v>11</v>
      </c>
    </row>
    <row r="1001" spans="1:5" ht="15.75" customHeight="1">
      <c r="A1001" s="1">
        <v>284020</v>
      </c>
      <c r="B1001" s="1" t="s">
        <v>1010</v>
      </c>
      <c r="C1001" s="1" t="str">
        <f ca="1">IFERROR(__xludf.DUMMYFUNCTION("REGEXEXTRACT(B1001, ""^([^:]+)"")"),"Borates")</f>
        <v>Borates</v>
      </c>
      <c r="D1001" s="1" t="s">
        <v>11</v>
      </c>
      <c r="E1001" s="1" t="s">
        <v>11</v>
      </c>
    </row>
    <row r="1002" spans="1:5" ht="15.75" customHeight="1">
      <c r="A1002" s="1">
        <v>284030</v>
      </c>
      <c r="B1002" s="1" t="s">
        <v>1011</v>
      </c>
      <c r="C1002" s="1" t="str">
        <f ca="1">IFERROR(__xludf.DUMMYFUNCTION("REGEXEXTRACT(B1002, ""^([^:]+)"")"),"Peroxoborates (perborates)")</f>
        <v>Peroxoborates (perborates)</v>
      </c>
      <c r="D1002" s="1" t="s">
        <v>11</v>
      </c>
      <c r="E1002" s="1" t="s">
        <v>11</v>
      </c>
    </row>
    <row r="1003" spans="1:5" ht="15.75" customHeight="1">
      <c r="A1003" s="1">
        <v>284130</v>
      </c>
      <c r="B1003" s="1" t="s">
        <v>1012</v>
      </c>
      <c r="C1003" s="1" t="str">
        <f ca="1">IFERROR(__xludf.DUMMYFUNCTION("REGEXEXTRACT(B1003, ""^([^:]+)"")"),"Salts")</f>
        <v>Salts</v>
      </c>
      <c r="D1003" s="1" t="s">
        <v>11</v>
      </c>
      <c r="E1003" s="1" t="s">
        <v>11</v>
      </c>
    </row>
    <row r="1004" spans="1:5" ht="15.75" customHeight="1">
      <c r="A1004" s="1">
        <v>284150</v>
      </c>
      <c r="B1004" s="1" t="s">
        <v>1013</v>
      </c>
      <c r="C1004" s="1" t="str">
        <f ca="1">IFERROR(__xludf.DUMMYFUNCTION("REGEXEXTRACT(B1004, ""^([^:]+)"")"),"Salts")</f>
        <v>Salts</v>
      </c>
      <c r="D1004" s="1" t="s">
        <v>11</v>
      </c>
      <c r="E1004" s="1" t="s">
        <v>11</v>
      </c>
    </row>
    <row r="1005" spans="1:5" ht="15.75" customHeight="1">
      <c r="A1005" s="1">
        <v>284161</v>
      </c>
      <c r="B1005" s="1" t="s">
        <v>1014</v>
      </c>
      <c r="C1005" s="1" t="str">
        <f ca="1">IFERROR(__xludf.DUMMYFUNCTION("REGEXEXTRACT(B1005, ""^([^:]+)"")"),"Salts")</f>
        <v>Salts</v>
      </c>
      <c r="D1005" s="1" t="s">
        <v>11</v>
      </c>
      <c r="E1005" s="1" t="s">
        <v>11</v>
      </c>
    </row>
    <row r="1006" spans="1:5" ht="15.75" customHeight="1">
      <c r="A1006" s="1">
        <v>284169</v>
      </c>
      <c r="B1006" s="1" t="s">
        <v>1015</v>
      </c>
      <c r="C1006" s="1" t="str">
        <f ca="1">IFERROR(__xludf.DUMMYFUNCTION("REGEXEXTRACT(B1006, ""^([^:]+)"")"),"Salts")</f>
        <v>Salts</v>
      </c>
      <c r="D1006" s="1" t="s">
        <v>11</v>
      </c>
      <c r="E1006" s="1" t="s">
        <v>11</v>
      </c>
    </row>
    <row r="1007" spans="1:5" ht="15.75" customHeight="1">
      <c r="A1007" s="1">
        <v>284170</v>
      </c>
      <c r="B1007" s="1" t="s">
        <v>1016</v>
      </c>
      <c r="C1007" s="1" t="str">
        <f ca="1">IFERROR(__xludf.DUMMYFUNCTION("REGEXEXTRACT(B1007, ""^([^:]+)"")"),"Salts")</f>
        <v>Salts</v>
      </c>
      <c r="D1007" s="1" t="s">
        <v>11</v>
      </c>
      <c r="E1007" s="1" t="s">
        <v>11</v>
      </c>
    </row>
    <row r="1008" spans="1:5" ht="15.75" customHeight="1">
      <c r="A1008" s="1">
        <v>284180</v>
      </c>
      <c r="B1008" s="1" t="s">
        <v>1017</v>
      </c>
      <c r="C1008" s="1" t="str">
        <f ca="1">IFERROR(__xludf.DUMMYFUNCTION("REGEXEXTRACT(B1008, ""^([^:]+)"")"),"Salts")</f>
        <v>Salts</v>
      </c>
      <c r="D1008" s="1" t="s">
        <v>11</v>
      </c>
      <c r="E1008" s="1" t="s">
        <v>11</v>
      </c>
    </row>
    <row r="1009" spans="1:5" ht="15.75" customHeight="1">
      <c r="A1009" s="1">
        <v>284190</v>
      </c>
      <c r="B1009" s="1" t="s">
        <v>1018</v>
      </c>
      <c r="C1009" s="1" t="str">
        <f ca="1">IFERROR(__xludf.DUMMYFUNCTION("REGEXEXTRACT(B1009, ""^([^:]+)"")"),"Salts of oxometallic or peroxometallic acids")</f>
        <v>Salts of oxometallic or peroxometallic acids</v>
      </c>
      <c r="D1009" s="1" t="s">
        <v>11</v>
      </c>
      <c r="E1009" s="1" t="s">
        <v>11</v>
      </c>
    </row>
    <row r="1010" spans="1:5" ht="15.75" customHeight="1">
      <c r="A1010" s="1">
        <v>284210</v>
      </c>
      <c r="B1010" s="1" t="s">
        <v>1019</v>
      </c>
      <c r="C1010" s="1" t="str">
        <f ca="1">IFERROR(__xludf.DUMMYFUNCTION("REGEXEXTRACT(B1010, ""^([^:]+)"")"),"Salts")</f>
        <v>Salts</v>
      </c>
      <c r="D1010" s="1" t="s">
        <v>11</v>
      </c>
      <c r="E1010" s="1" t="s">
        <v>11</v>
      </c>
    </row>
    <row r="1011" spans="1:5" ht="15.75" customHeight="1">
      <c r="A1011" s="1">
        <v>284290</v>
      </c>
      <c r="B1011" s="1" t="s">
        <v>1020</v>
      </c>
      <c r="C1011" s="1" t="str">
        <f ca="1">IFERROR(__xludf.DUMMYFUNCTION("REGEXEXTRACT(B1011, ""^([^:]+)"")"),"Salts")</f>
        <v>Salts</v>
      </c>
      <c r="D1011" s="1" t="s">
        <v>11</v>
      </c>
      <c r="E1011" s="1" t="s">
        <v>11</v>
      </c>
    </row>
    <row r="1012" spans="1:5" ht="15.75" customHeight="1">
      <c r="A1012" s="1">
        <v>284310</v>
      </c>
      <c r="B1012" s="1" t="s">
        <v>1021</v>
      </c>
      <c r="C1012" s="1" t="str">
        <f ca="1">IFERROR(__xludf.DUMMYFUNCTION("REGEXEXTRACT(B1012, ""^([^:]+)"")"),"Colloidal precious metals")</f>
        <v>Colloidal precious metals</v>
      </c>
      <c r="D1012" s="1" t="s">
        <v>11</v>
      </c>
      <c r="E1012" s="1" t="s">
        <v>11</v>
      </c>
    </row>
    <row r="1013" spans="1:5" ht="15.75" customHeight="1">
      <c r="A1013" s="1">
        <v>284321</v>
      </c>
      <c r="B1013" s="1" t="s">
        <v>1022</v>
      </c>
      <c r="C1013" s="1" t="str">
        <f ca="1">IFERROR(__xludf.DUMMYFUNCTION("REGEXEXTRACT(B1013, ""^([^:]+)"")"),"Silver compounds")</f>
        <v>Silver compounds</v>
      </c>
      <c r="D1013" s="1" t="s">
        <v>11</v>
      </c>
      <c r="E1013" s="1" t="s">
        <v>11</v>
      </c>
    </row>
    <row r="1014" spans="1:5" ht="15.75" customHeight="1">
      <c r="A1014" s="1">
        <v>284329</v>
      </c>
      <c r="B1014" s="1" t="s">
        <v>1023</v>
      </c>
      <c r="C1014" s="1" t="str">
        <f ca="1">IFERROR(__xludf.DUMMYFUNCTION("REGEXEXTRACT(B1014, ""^([^:]+)"")"),"Silver compounds")</f>
        <v>Silver compounds</v>
      </c>
      <c r="D1014" s="1" t="s">
        <v>11</v>
      </c>
      <c r="E1014" s="1" t="s">
        <v>11</v>
      </c>
    </row>
    <row r="1015" spans="1:5" ht="15.75" customHeight="1">
      <c r="A1015" s="1">
        <v>284330</v>
      </c>
      <c r="B1015" s="1" t="s">
        <v>1024</v>
      </c>
      <c r="C1015" s="1" t="str">
        <f ca="1">IFERROR(__xludf.DUMMYFUNCTION("REGEXEXTRACT(B1015, ""^([^:]+)"")"),"Gold compounds")</f>
        <v>Gold compounds</v>
      </c>
      <c r="D1015" s="1" t="s">
        <v>11</v>
      </c>
      <c r="E1015" s="1" t="s">
        <v>11</v>
      </c>
    </row>
    <row r="1016" spans="1:5" ht="15.75" customHeight="1">
      <c r="A1016" s="1">
        <v>284390</v>
      </c>
      <c r="B1016" s="1" t="s">
        <v>1025</v>
      </c>
      <c r="C1016" s="1" t="str">
        <f ca="1">IFERROR(__xludf.DUMMYFUNCTION("REGEXEXTRACT(B1016, ""^([^:]+)"")"),"Inorganic or organic compounds")</f>
        <v>Inorganic or organic compounds</v>
      </c>
      <c r="D1016" s="1" t="s">
        <v>11</v>
      </c>
      <c r="E1016" s="1" t="s">
        <v>11</v>
      </c>
    </row>
    <row r="1017" spans="1:5" ht="15.75" customHeight="1">
      <c r="A1017" s="1">
        <v>284410</v>
      </c>
      <c r="B1017" s="1" t="s">
        <v>1026</v>
      </c>
      <c r="C1017" s="1" t="str">
        <f ca="1">IFERROR(__xludf.DUMMYFUNCTION("REGEXEXTRACT(B1017, ""^([^:]+)"")"),"Uranium")</f>
        <v>Uranium</v>
      </c>
      <c r="D1017" s="1" t="s">
        <v>11</v>
      </c>
      <c r="E1017" s="1" t="s">
        <v>11</v>
      </c>
    </row>
    <row r="1018" spans="1:5" ht="15.75" customHeight="1">
      <c r="A1018" s="1">
        <v>284420</v>
      </c>
      <c r="B1018" s="1" t="s">
        <v>1027</v>
      </c>
      <c r="C1018" s="1" t="str">
        <f ca="1">IFERROR(__xludf.DUMMYFUNCTION("REGEXEXTRACT(B1018, ""^([^:]+)"")"),"Uranium")</f>
        <v>Uranium</v>
      </c>
      <c r="D1018" s="1" t="s">
        <v>11</v>
      </c>
      <c r="E1018" s="1" t="s">
        <v>11</v>
      </c>
    </row>
    <row r="1019" spans="1:5" ht="15.75" customHeight="1">
      <c r="A1019" s="1">
        <v>284430</v>
      </c>
      <c r="B1019" s="1" t="s">
        <v>1028</v>
      </c>
      <c r="C1019" s="1" t="str">
        <f ca="1">IFERROR(__xludf.DUMMYFUNCTION("REGEXEXTRACT(B1019, ""^([^:]+)"")"),"Uranium")</f>
        <v>Uranium</v>
      </c>
      <c r="D1019" s="1" t="s">
        <v>11</v>
      </c>
      <c r="E1019" s="1" t="s">
        <v>11</v>
      </c>
    </row>
    <row r="1020" spans="1:5" ht="15.75" customHeight="1">
      <c r="A1020" s="1">
        <v>284440</v>
      </c>
      <c r="B1020" s="1" t="s">
        <v>1029</v>
      </c>
      <c r="C1020" s="1" t="str">
        <f ca="1">IFERROR(__xludf.DUMMYFUNCTION("REGEXEXTRACT(B1020, ""^([^:]+)"")"),"Radioactive elements, isotopes, compounds, n.e.c. in heading no. 2844 alloys, dispersions (including cermets), ceramic products and mixtures containing these elements, isotopes or compounds")</f>
        <v>Radioactive elements, isotopes, compounds, n.e.c. in heading no. 2844 alloys, dispersions (including cermets), ceramic products and mixtures containing these elements, isotopes or compounds</v>
      </c>
      <c r="D1020" s="1" t="s">
        <v>11</v>
      </c>
      <c r="E1020" s="1" t="s">
        <v>11</v>
      </c>
    </row>
    <row r="1021" spans="1:5" ht="15.75" customHeight="1">
      <c r="A1021" s="1">
        <v>284450</v>
      </c>
      <c r="B1021" s="1" t="s">
        <v>1030</v>
      </c>
      <c r="C1021" s="1" t="str">
        <f ca="1">IFERROR(__xludf.DUMMYFUNCTION("REGEXEXTRACT(B1021, ""^([^:]+)"")"),"Spent (irradiated) fuel elements (cartridges) of nuclear reactors")</f>
        <v>Spent (irradiated) fuel elements (cartridges) of nuclear reactors</v>
      </c>
      <c r="D1021" s="1" t="s">
        <v>11</v>
      </c>
      <c r="E1021" s="1" t="s">
        <v>11</v>
      </c>
    </row>
    <row r="1022" spans="1:5" ht="15.75" customHeight="1">
      <c r="A1022" s="1">
        <v>284510</v>
      </c>
      <c r="B1022" s="1" t="s">
        <v>1031</v>
      </c>
      <c r="C1022" s="1" t="str">
        <f ca="1">IFERROR(__xludf.DUMMYFUNCTION("REGEXEXTRACT(B1022, ""^([^:]+)"")"),"Heavy water (deuterium oxide)")</f>
        <v>Heavy water (deuterium oxide)</v>
      </c>
      <c r="D1022" s="1" t="s">
        <v>11</v>
      </c>
      <c r="E1022" s="1" t="s">
        <v>11</v>
      </c>
    </row>
    <row r="1023" spans="1:5" ht="15.75" customHeight="1">
      <c r="A1023" s="1">
        <v>284590</v>
      </c>
      <c r="B1023" s="1" t="s">
        <v>1032</v>
      </c>
      <c r="C1023" s="1" t="str">
        <f ca="1">IFERROR(__xludf.DUMMYFUNCTION("REGEXEXTRACT(B1023, ""^([^:]+)"")"),"Isotopes (excluding those of heading no. 2844)")</f>
        <v>Isotopes (excluding those of heading no. 2844)</v>
      </c>
      <c r="D1023" s="1" t="s">
        <v>11</v>
      </c>
      <c r="E1023" s="1" t="s">
        <v>11</v>
      </c>
    </row>
    <row r="1024" spans="1:5" ht="15.75" customHeight="1">
      <c r="A1024" s="1">
        <v>284610</v>
      </c>
      <c r="B1024" s="1" t="s">
        <v>1033</v>
      </c>
      <c r="C1024" s="1" t="str">
        <f ca="1">IFERROR(__xludf.DUMMYFUNCTION("REGEXEXTRACT(B1024, ""^([^:]+)"")"),"Cerium compounds")</f>
        <v>Cerium compounds</v>
      </c>
      <c r="D1024" s="1" t="s">
        <v>11</v>
      </c>
      <c r="E1024" s="1" t="s">
        <v>11</v>
      </c>
    </row>
    <row r="1025" spans="1:5" ht="15.75" customHeight="1">
      <c r="A1025" s="1">
        <v>284690</v>
      </c>
      <c r="B1025" s="1" t="s">
        <v>1034</v>
      </c>
      <c r="C1025" s="1" t="str">
        <f ca="1">IFERROR(__xludf.DUMMYFUNCTION("REGEXEXTRACT(B1025, ""^([^:]+)"")"),"Compounds, inorganic or organic (excluding cerium), of rare-earth metals, of yttrium, scandium or of mixtures of these metals")</f>
        <v>Compounds, inorganic or organic (excluding cerium), of rare-earth metals, of yttrium, scandium or of mixtures of these metals</v>
      </c>
      <c r="D1025" s="1" t="s">
        <v>11</v>
      </c>
      <c r="E1025" s="1" t="s">
        <v>11</v>
      </c>
    </row>
    <row r="1026" spans="1:5" ht="15.75" customHeight="1">
      <c r="A1026" s="1">
        <v>284700</v>
      </c>
      <c r="B1026" s="1" t="s">
        <v>1035</v>
      </c>
      <c r="C1026" s="1" t="str">
        <f ca="1">IFERROR(__xludf.DUMMYFUNCTION("REGEXEXTRACT(B1026, ""^([^:]+)"")"),"Hydrogen peroxide")</f>
        <v>Hydrogen peroxide</v>
      </c>
      <c r="D1026" s="1" t="s">
        <v>11</v>
      </c>
      <c r="E1026" s="1" t="s">
        <v>11</v>
      </c>
    </row>
    <row r="1027" spans="1:5" ht="15.75" customHeight="1">
      <c r="A1027" s="1">
        <v>284800</v>
      </c>
      <c r="B1027" s="1" t="s">
        <v>1036</v>
      </c>
      <c r="C1027" s="1" t="str">
        <f ca="1">IFERROR(__xludf.DUMMYFUNCTION("REGEXEXTRACT(B1027, ""^([^:]+)"")"),"Phosphides")</f>
        <v>Phosphides</v>
      </c>
      <c r="D1027" s="1" t="s">
        <v>11</v>
      </c>
      <c r="E1027" s="1" t="s">
        <v>11</v>
      </c>
    </row>
    <row r="1028" spans="1:5" ht="15.75" customHeight="1">
      <c r="A1028" s="1">
        <v>284910</v>
      </c>
      <c r="B1028" s="1" t="s">
        <v>1037</v>
      </c>
      <c r="C1028" s="1" t="str">
        <f ca="1">IFERROR(__xludf.DUMMYFUNCTION("REGEXEXTRACT(B1028, ""^([^:]+)"")"),"Carbides")</f>
        <v>Carbides</v>
      </c>
      <c r="D1028" s="1" t="s">
        <v>11</v>
      </c>
      <c r="E1028" s="1" t="s">
        <v>11</v>
      </c>
    </row>
    <row r="1029" spans="1:5" ht="15.75" customHeight="1">
      <c r="A1029" s="1">
        <v>284920</v>
      </c>
      <c r="B1029" s="1" t="s">
        <v>1038</v>
      </c>
      <c r="C1029" s="1" t="str">
        <f ca="1">IFERROR(__xludf.DUMMYFUNCTION("REGEXEXTRACT(B1029, ""^([^:]+)"")"),"Carbides")</f>
        <v>Carbides</v>
      </c>
      <c r="D1029" s="1" t="s">
        <v>11</v>
      </c>
      <c r="E1029" s="1" t="s">
        <v>11</v>
      </c>
    </row>
    <row r="1030" spans="1:5" ht="15.75" customHeight="1">
      <c r="A1030" s="1">
        <v>284990</v>
      </c>
      <c r="B1030" s="1" t="s">
        <v>1039</v>
      </c>
      <c r="C1030" s="1" t="str">
        <f ca="1">IFERROR(__xludf.DUMMYFUNCTION("REGEXEXTRACT(B1030, ""^([^:]+)"")"),"Carbides")</f>
        <v>Carbides</v>
      </c>
      <c r="D1030" s="1" t="s">
        <v>11</v>
      </c>
      <c r="E1030" s="1" t="s">
        <v>11</v>
      </c>
    </row>
    <row r="1031" spans="1:5" ht="15.75" customHeight="1">
      <c r="A1031" s="1">
        <v>285000</v>
      </c>
      <c r="B1031" s="1" t="s">
        <v>1040</v>
      </c>
      <c r="C1031" s="1" t="str">
        <f ca="1">IFERROR(__xludf.DUMMYFUNCTION("REGEXEXTRACT(B1031, ""^([^:]+)"")"),"Hydrides, nitrides, azides, silicides and borides, whether or not chemically defined, other than compounds which are also carbides of heading no. 2849")</f>
        <v>Hydrides, nitrides, azides, silicides and borides, whether or not chemically defined, other than compounds which are also carbides of heading no. 2849</v>
      </c>
      <c r="D1031" s="1" t="s">
        <v>11</v>
      </c>
      <c r="E1031" s="1" t="s">
        <v>11</v>
      </c>
    </row>
    <row r="1032" spans="1:5" ht="15.75" customHeight="1">
      <c r="A1032" s="1">
        <v>285200</v>
      </c>
      <c r="B1032" s="1" t="s">
        <v>1041</v>
      </c>
      <c r="C1032" s="1" t="str">
        <f ca="1">IFERROR(__xludf.DUMMYFUNCTION("REGEXEXTRACT(B1032, ""^([^:]+)"")"),"Compounds, inorganic or organic, of mercury, excluding amalgams")</f>
        <v>Compounds, inorganic or organic, of mercury, excluding amalgams</v>
      </c>
      <c r="D1032" s="1" t="s">
        <v>11</v>
      </c>
      <c r="E1032" s="1" t="s">
        <v>11</v>
      </c>
    </row>
    <row r="1033" spans="1:5" ht="15.75" customHeight="1">
      <c r="A1033" s="1">
        <v>285300</v>
      </c>
      <c r="B1033" s="1" t="s">
        <v>1042</v>
      </c>
      <c r="C1033" s="1" t="str">
        <f ca="1">IFERROR(__xludf.DUMMYFUNCTION("REGEXEXTRACT(B1033, ""^([^:]+)"")"),"Inorganic compounds n.e.c. (including distilled or conductivity water and water of similar purity)")</f>
        <v>Inorganic compounds n.e.c. (including distilled or conductivity water and water of similar purity)</v>
      </c>
      <c r="D1033" s="1" t="s">
        <v>11</v>
      </c>
      <c r="E1033" s="1" t="s">
        <v>11</v>
      </c>
    </row>
    <row r="1034" spans="1:5" ht="15.75" customHeight="1">
      <c r="A1034" s="1">
        <v>290110</v>
      </c>
      <c r="B1034" s="1" t="s">
        <v>1043</v>
      </c>
      <c r="C1034" s="1" t="str">
        <f ca="1">IFERROR(__xludf.DUMMYFUNCTION("REGEXEXTRACT(B1034, ""^([^:]+)"")"),"Acyclic hydrocarbons")</f>
        <v>Acyclic hydrocarbons</v>
      </c>
      <c r="D1034" s="1" t="s">
        <v>11</v>
      </c>
      <c r="E1034" s="1" t="s">
        <v>11</v>
      </c>
    </row>
    <row r="1035" spans="1:5" ht="15.75" customHeight="1">
      <c r="A1035" s="1">
        <v>290121</v>
      </c>
      <c r="B1035" s="1" t="s">
        <v>1044</v>
      </c>
      <c r="C1035" s="1" t="str">
        <f ca="1">IFERROR(__xludf.DUMMYFUNCTION("REGEXEXTRACT(B1035, ""^([^:]+)"")"),"Acyclic hydrocarbons")</f>
        <v>Acyclic hydrocarbons</v>
      </c>
      <c r="D1035" s="1" t="s">
        <v>11</v>
      </c>
      <c r="E1035" s="1" t="s">
        <v>11</v>
      </c>
    </row>
    <row r="1036" spans="1:5" ht="15.75" customHeight="1">
      <c r="A1036" s="1">
        <v>290122</v>
      </c>
      <c r="B1036" s="1" t="s">
        <v>1045</v>
      </c>
      <c r="C1036" s="1" t="str">
        <f ca="1">IFERROR(__xludf.DUMMYFUNCTION("REGEXEXTRACT(B1036, ""^([^:]+)"")"),"Acyclic hydrocarbons")</f>
        <v>Acyclic hydrocarbons</v>
      </c>
      <c r="D1036" s="1" t="s">
        <v>11</v>
      </c>
      <c r="E1036" s="1" t="s">
        <v>11</v>
      </c>
    </row>
    <row r="1037" spans="1:5" ht="15.75" customHeight="1">
      <c r="A1037" s="1">
        <v>290123</v>
      </c>
      <c r="B1037" s="1" t="s">
        <v>1046</v>
      </c>
      <c r="C1037" s="1" t="str">
        <f ca="1">IFERROR(__xludf.DUMMYFUNCTION("REGEXEXTRACT(B1037, ""^([^:]+)"")"),"Acyclic hydrocarbons")</f>
        <v>Acyclic hydrocarbons</v>
      </c>
      <c r="D1037" s="1" t="s">
        <v>11</v>
      </c>
      <c r="E1037" s="1" t="s">
        <v>11</v>
      </c>
    </row>
    <row r="1038" spans="1:5" ht="15.75" customHeight="1">
      <c r="A1038" s="1">
        <v>290124</v>
      </c>
      <c r="B1038" s="1" t="s">
        <v>1047</v>
      </c>
      <c r="C1038" s="1" t="str">
        <f ca="1">IFERROR(__xludf.DUMMYFUNCTION("REGEXEXTRACT(B1038, ""^([^:]+)"")"),"Acyclic hydrocarbons")</f>
        <v>Acyclic hydrocarbons</v>
      </c>
      <c r="D1038" s="1" t="s">
        <v>11</v>
      </c>
      <c r="E1038" s="1" t="s">
        <v>11</v>
      </c>
    </row>
    <row r="1039" spans="1:5" ht="15.75" customHeight="1">
      <c r="A1039" s="1">
        <v>290129</v>
      </c>
      <c r="B1039" s="1" t="s">
        <v>1048</v>
      </c>
      <c r="C1039" s="1" t="str">
        <f ca="1">IFERROR(__xludf.DUMMYFUNCTION("REGEXEXTRACT(B1039, ""^([^:]+)"")"),"Acyclic hydrocarbons")</f>
        <v>Acyclic hydrocarbons</v>
      </c>
      <c r="D1039" s="1" t="s">
        <v>11</v>
      </c>
      <c r="E1039" s="1" t="s">
        <v>11</v>
      </c>
    </row>
    <row r="1040" spans="1:5" ht="15.75" customHeight="1">
      <c r="A1040" s="1">
        <v>290211</v>
      </c>
      <c r="B1040" s="1" t="s">
        <v>1049</v>
      </c>
      <c r="C1040" s="1" t="str">
        <f ca="1">IFERROR(__xludf.DUMMYFUNCTION("REGEXEXTRACT(B1040, ""^([^:]+)"")"),"Cyclic hydrocarbons")</f>
        <v>Cyclic hydrocarbons</v>
      </c>
      <c r="D1040" s="1" t="s">
        <v>11</v>
      </c>
      <c r="E1040" s="1" t="s">
        <v>11</v>
      </c>
    </row>
    <row r="1041" spans="1:5" ht="15.75" customHeight="1">
      <c r="A1041" s="1">
        <v>290219</v>
      </c>
      <c r="B1041" s="1" t="s">
        <v>1050</v>
      </c>
      <c r="C1041" s="1" t="str">
        <f ca="1">IFERROR(__xludf.DUMMYFUNCTION("REGEXEXTRACT(B1041, ""^([^:]+)"")"),"Cyclic hydrocarbons")</f>
        <v>Cyclic hydrocarbons</v>
      </c>
      <c r="D1041" s="1" t="s">
        <v>11</v>
      </c>
      <c r="E1041" s="1" t="s">
        <v>11</v>
      </c>
    </row>
    <row r="1042" spans="1:5" ht="15.75" customHeight="1">
      <c r="A1042" s="1">
        <v>290220</v>
      </c>
      <c r="B1042" s="1" t="s">
        <v>1051</v>
      </c>
      <c r="C1042" s="1" t="str">
        <f ca="1">IFERROR(__xludf.DUMMYFUNCTION("REGEXEXTRACT(B1042, ""^([^:]+)"")"),"Cyclic hydrocarbons")</f>
        <v>Cyclic hydrocarbons</v>
      </c>
      <c r="D1042" s="1" t="s">
        <v>11</v>
      </c>
      <c r="E1042" s="1" t="s">
        <v>11</v>
      </c>
    </row>
    <row r="1043" spans="1:5" ht="15.75" customHeight="1">
      <c r="A1043" s="1">
        <v>290230</v>
      </c>
      <c r="B1043" s="1" t="s">
        <v>1052</v>
      </c>
      <c r="C1043" s="1" t="str">
        <f ca="1">IFERROR(__xludf.DUMMYFUNCTION("REGEXEXTRACT(B1043, ""^([^:]+)"")"),"Cyclic hydrocarbons")</f>
        <v>Cyclic hydrocarbons</v>
      </c>
      <c r="D1043" s="1" t="s">
        <v>11</v>
      </c>
      <c r="E1043" s="1" t="s">
        <v>11</v>
      </c>
    </row>
    <row r="1044" spans="1:5" ht="15.75" customHeight="1">
      <c r="A1044" s="1">
        <v>290241</v>
      </c>
      <c r="B1044" s="1" t="s">
        <v>1053</v>
      </c>
      <c r="C1044" s="1" t="str">
        <f ca="1">IFERROR(__xludf.DUMMYFUNCTION("REGEXEXTRACT(B1044, ""^([^:]+)"")"),"Cyclic hydrocarbons")</f>
        <v>Cyclic hydrocarbons</v>
      </c>
      <c r="D1044" s="1" t="s">
        <v>11</v>
      </c>
      <c r="E1044" s="1" t="s">
        <v>11</v>
      </c>
    </row>
    <row r="1045" spans="1:5" ht="15.75" customHeight="1">
      <c r="A1045" s="1">
        <v>290242</v>
      </c>
      <c r="B1045" s="1" t="s">
        <v>1054</v>
      </c>
      <c r="C1045" s="1" t="str">
        <f ca="1">IFERROR(__xludf.DUMMYFUNCTION("REGEXEXTRACT(B1045, ""^([^:]+)"")"),"Cyclic hydrocarbons")</f>
        <v>Cyclic hydrocarbons</v>
      </c>
      <c r="D1045" s="1" t="s">
        <v>11</v>
      </c>
      <c r="E1045" s="1" t="s">
        <v>11</v>
      </c>
    </row>
    <row r="1046" spans="1:5" ht="15.75" customHeight="1">
      <c r="A1046" s="1">
        <v>290243</v>
      </c>
      <c r="B1046" s="1" t="s">
        <v>1055</v>
      </c>
      <c r="C1046" s="1" t="str">
        <f ca="1">IFERROR(__xludf.DUMMYFUNCTION("REGEXEXTRACT(B1046, ""^([^:]+)"")"),"Cyclic hydrocarbons")</f>
        <v>Cyclic hydrocarbons</v>
      </c>
      <c r="D1046" s="1" t="s">
        <v>11</v>
      </c>
      <c r="E1046" s="1" t="s">
        <v>11</v>
      </c>
    </row>
    <row r="1047" spans="1:5" ht="15.75" customHeight="1">
      <c r="A1047" s="1">
        <v>290244</v>
      </c>
      <c r="B1047" s="1" t="s">
        <v>1056</v>
      </c>
      <c r="C1047" s="1" t="str">
        <f ca="1">IFERROR(__xludf.DUMMYFUNCTION("REGEXEXTRACT(B1047, ""^([^:]+)"")"),"Cyclic hydrocarbons")</f>
        <v>Cyclic hydrocarbons</v>
      </c>
      <c r="D1047" s="1" t="s">
        <v>11</v>
      </c>
      <c r="E1047" s="1" t="s">
        <v>11</v>
      </c>
    </row>
    <row r="1048" spans="1:5" ht="15.75" customHeight="1">
      <c r="A1048" s="1">
        <v>290250</v>
      </c>
      <c r="B1048" s="1" t="s">
        <v>1057</v>
      </c>
      <c r="C1048" s="1" t="str">
        <f ca="1">IFERROR(__xludf.DUMMYFUNCTION("REGEXEXTRACT(B1048, ""^([^:]+)"")"),"Cyclic hydrocarbons")</f>
        <v>Cyclic hydrocarbons</v>
      </c>
      <c r="D1048" s="1" t="s">
        <v>11</v>
      </c>
      <c r="E1048" s="1" t="s">
        <v>11</v>
      </c>
    </row>
    <row r="1049" spans="1:5" ht="15.75" customHeight="1">
      <c r="A1049" s="1">
        <v>290260</v>
      </c>
      <c r="B1049" s="1" t="s">
        <v>1058</v>
      </c>
      <c r="C1049" s="1" t="str">
        <f ca="1">IFERROR(__xludf.DUMMYFUNCTION("REGEXEXTRACT(B1049, ""^([^:]+)"")"),"Cyclic hydrocarbons")</f>
        <v>Cyclic hydrocarbons</v>
      </c>
      <c r="D1049" s="1" t="s">
        <v>11</v>
      </c>
      <c r="E1049" s="1" t="s">
        <v>11</v>
      </c>
    </row>
    <row r="1050" spans="1:5" ht="15.75" customHeight="1">
      <c r="A1050" s="1">
        <v>290270</v>
      </c>
      <c r="B1050" s="1" t="s">
        <v>1059</v>
      </c>
      <c r="C1050" s="1" t="str">
        <f ca="1">IFERROR(__xludf.DUMMYFUNCTION("REGEXEXTRACT(B1050, ""^([^:]+)"")"),"Cyclic hydrocarbons")</f>
        <v>Cyclic hydrocarbons</v>
      </c>
      <c r="D1050" s="1" t="s">
        <v>11</v>
      </c>
      <c r="E1050" s="1" t="s">
        <v>11</v>
      </c>
    </row>
    <row r="1051" spans="1:5" ht="15.75" customHeight="1">
      <c r="A1051" s="1">
        <v>290290</v>
      </c>
      <c r="B1051" s="1" t="s">
        <v>1060</v>
      </c>
      <c r="C1051" s="1" t="str">
        <f ca="1">IFERROR(__xludf.DUMMYFUNCTION("REGEXEXTRACT(B1051, ""^([^:]+)"")"),"Cyclic hydrocarbons")</f>
        <v>Cyclic hydrocarbons</v>
      </c>
      <c r="D1051" s="1" t="s">
        <v>11</v>
      </c>
      <c r="E1051" s="1" t="s">
        <v>11</v>
      </c>
    </row>
    <row r="1052" spans="1:5" ht="15.75" customHeight="1">
      <c r="A1052" s="1">
        <v>290311</v>
      </c>
      <c r="B1052" s="1" t="s">
        <v>1061</v>
      </c>
      <c r="C1052" s="1" t="str">
        <f ca="1">IFERROR(__xludf.DUMMYFUNCTION("REGEXEXTRACT(B1052, ""^([^:]+)"")"),"Saturated chlorinated derivatives of acyclic hydrocarbons")</f>
        <v>Saturated chlorinated derivatives of acyclic hydrocarbons</v>
      </c>
      <c r="D1052" s="1" t="s">
        <v>11</v>
      </c>
      <c r="E1052" s="1" t="s">
        <v>11</v>
      </c>
    </row>
    <row r="1053" spans="1:5" ht="15.75" customHeight="1">
      <c r="A1053" s="1">
        <v>290312</v>
      </c>
      <c r="B1053" s="1" t="s">
        <v>1062</v>
      </c>
      <c r="C1053" s="1" t="str">
        <f ca="1">IFERROR(__xludf.DUMMYFUNCTION("REGEXEXTRACT(B1053, ""^([^:]+)"")"),"Saturated chlorinated derivatives of acyclic hydrocarbons")</f>
        <v>Saturated chlorinated derivatives of acyclic hydrocarbons</v>
      </c>
      <c r="D1053" s="1" t="s">
        <v>11</v>
      </c>
      <c r="E1053" s="1" t="s">
        <v>11</v>
      </c>
    </row>
    <row r="1054" spans="1:5" ht="15.75" customHeight="1">
      <c r="A1054" s="1">
        <v>290313</v>
      </c>
      <c r="B1054" s="1" t="s">
        <v>1063</v>
      </c>
      <c r="C1054" s="1" t="str">
        <f ca="1">IFERROR(__xludf.DUMMYFUNCTION("REGEXEXTRACT(B1054, ""^([^:]+)"")"),"Saturated chlorinated derivatives of acyclic hydrocarbons")</f>
        <v>Saturated chlorinated derivatives of acyclic hydrocarbons</v>
      </c>
      <c r="D1054" s="1" t="s">
        <v>11</v>
      </c>
      <c r="E1054" s="1" t="s">
        <v>11</v>
      </c>
    </row>
    <row r="1055" spans="1:5" ht="15.75" customHeight="1">
      <c r="A1055" s="1">
        <v>290314</v>
      </c>
      <c r="B1055" s="1" t="s">
        <v>1064</v>
      </c>
      <c r="C1055" s="1" t="str">
        <f ca="1">IFERROR(__xludf.DUMMYFUNCTION("REGEXEXTRACT(B1055, ""^([^:]+)"")"),"Saturated chlorinated derivatives of acyclic hydrocarbons")</f>
        <v>Saturated chlorinated derivatives of acyclic hydrocarbons</v>
      </c>
      <c r="D1055" s="1" t="s">
        <v>11</v>
      </c>
      <c r="E1055" s="1" t="s">
        <v>11</v>
      </c>
    </row>
    <row r="1056" spans="1:5" ht="15.75" customHeight="1">
      <c r="A1056" s="1">
        <v>290315</v>
      </c>
      <c r="B1056" s="1" t="s">
        <v>1065</v>
      </c>
      <c r="C1056" s="1" t="str">
        <f ca="1">IFERROR(__xludf.DUMMYFUNCTION("REGEXEXTRACT(B1056, ""^([^:]+)"")"),"Saturated chlorinated derivatives of acyclic hydrocarbons")</f>
        <v>Saturated chlorinated derivatives of acyclic hydrocarbons</v>
      </c>
      <c r="D1056" s="1" t="s">
        <v>11</v>
      </c>
      <c r="E1056" s="1" t="s">
        <v>11</v>
      </c>
    </row>
    <row r="1057" spans="1:5" ht="15.75" customHeight="1">
      <c r="A1057" s="1">
        <v>290319</v>
      </c>
      <c r="B1057" s="1" t="s">
        <v>1066</v>
      </c>
      <c r="C1057" s="1" t="str">
        <f ca="1">IFERROR(__xludf.DUMMYFUNCTION("REGEXEXTRACT(B1057, ""^([^:]+)"")"),"Saturated chlorinated derivatives of acyclic hydrocarbons")</f>
        <v>Saturated chlorinated derivatives of acyclic hydrocarbons</v>
      </c>
      <c r="D1057" s="1" t="s">
        <v>11</v>
      </c>
      <c r="E1057" s="1" t="s">
        <v>11</v>
      </c>
    </row>
    <row r="1058" spans="1:5" ht="15.75" customHeight="1">
      <c r="A1058" s="1">
        <v>290321</v>
      </c>
      <c r="B1058" s="1" t="s">
        <v>1067</v>
      </c>
      <c r="C1058" s="1" t="str">
        <f ca="1">IFERROR(__xludf.DUMMYFUNCTION("REGEXEXTRACT(B1058, ""^([^:]+)"")"),"Unsaturated chlorinated derivatives of acyclic hydrocarbons")</f>
        <v>Unsaturated chlorinated derivatives of acyclic hydrocarbons</v>
      </c>
      <c r="D1058" s="1" t="s">
        <v>11</v>
      </c>
      <c r="E1058" s="1" t="s">
        <v>11</v>
      </c>
    </row>
    <row r="1059" spans="1:5" ht="15.75" customHeight="1">
      <c r="A1059" s="1">
        <v>290322</v>
      </c>
      <c r="B1059" s="1" t="s">
        <v>1068</v>
      </c>
      <c r="C1059" s="1" t="str">
        <f ca="1">IFERROR(__xludf.DUMMYFUNCTION("REGEXEXTRACT(B1059, ""^([^:]+)"")"),"Unsaturated chlorinated derivatives of acyclic hydrocarbons")</f>
        <v>Unsaturated chlorinated derivatives of acyclic hydrocarbons</v>
      </c>
      <c r="D1059" s="1" t="s">
        <v>11</v>
      </c>
      <c r="E1059" s="1" t="s">
        <v>11</v>
      </c>
    </row>
    <row r="1060" spans="1:5" ht="15.75" customHeight="1">
      <c r="A1060" s="1">
        <v>290323</v>
      </c>
      <c r="B1060" s="1" t="s">
        <v>1069</v>
      </c>
      <c r="C1060" s="1" t="str">
        <f ca="1">IFERROR(__xludf.DUMMYFUNCTION("REGEXEXTRACT(B1060, ""^([^:]+)"")"),"Unsaturated chlorinated derivatives of acyclic hydrocarbons")</f>
        <v>Unsaturated chlorinated derivatives of acyclic hydrocarbons</v>
      </c>
      <c r="D1060" s="1" t="s">
        <v>11</v>
      </c>
      <c r="E1060" s="1" t="s">
        <v>11</v>
      </c>
    </row>
    <row r="1061" spans="1:5" ht="15.75" customHeight="1">
      <c r="A1061" s="1">
        <v>290329</v>
      </c>
      <c r="B1061" s="1" t="s">
        <v>1070</v>
      </c>
      <c r="C1061" s="1" t="str">
        <f ca="1">IFERROR(__xludf.DUMMYFUNCTION("REGEXEXTRACT(B1061, ""^([^:]+)"")"),"Unsaturated chlorinated derivatives of acyclic hydrocarbons")</f>
        <v>Unsaturated chlorinated derivatives of acyclic hydrocarbons</v>
      </c>
      <c r="D1061" s="1" t="s">
        <v>11</v>
      </c>
      <c r="E1061" s="1" t="s">
        <v>11</v>
      </c>
    </row>
    <row r="1062" spans="1:5" ht="15.75" customHeight="1">
      <c r="A1062" s="1">
        <v>290331</v>
      </c>
      <c r="B1062" s="1" t="s">
        <v>1071</v>
      </c>
      <c r="C1062" s="1" t="str">
        <f ca="1">IFERROR(__xludf.DUMMYFUNCTION("REGEXEXTRACT(B1062, ""^([^:]+)"")"),"Fluorinated, brominated or iodinated derivatives of acyclic hydrocarbons")</f>
        <v>Fluorinated, brominated or iodinated derivatives of acyclic hydrocarbons</v>
      </c>
      <c r="D1062" s="1" t="s">
        <v>11</v>
      </c>
      <c r="E1062" s="1" t="s">
        <v>11</v>
      </c>
    </row>
    <row r="1063" spans="1:5" ht="15.75" customHeight="1">
      <c r="A1063" s="1">
        <v>290339</v>
      </c>
      <c r="B1063" s="1" t="s">
        <v>1072</v>
      </c>
      <c r="C1063" s="1" t="str">
        <f ca="1">IFERROR(__xludf.DUMMYFUNCTION("REGEXEXTRACT(B1063, ""^([^:]+)"")"),"Fluorinated, brominated or iodinated derivatives of acyclic hydrocarbons")</f>
        <v>Fluorinated, brominated or iodinated derivatives of acyclic hydrocarbons</v>
      </c>
      <c r="D1063" s="1" t="s">
        <v>11</v>
      </c>
      <c r="E1063" s="1" t="s">
        <v>11</v>
      </c>
    </row>
    <row r="1064" spans="1:5" ht="15.75" customHeight="1">
      <c r="A1064" s="1">
        <v>290341</v>
      </c>
      <c r="B1064" s="1" t="s">
        <v>1073</v>
      </c>
      <c r="C1064" s="1" t="str">
        <f ca="1">IFERROR(__xludf.DUMMYFUNCTION("REGEXEXTRACT(B1064, ""^([^:]+)"")"),"Halogenated derivatives of acyclic hydrocarbons containing two or more different halogens")</f>
        <v>Halogenated derivatives of acyclic hydrocarbons containing two or more different halogens</v>
      </c>
      <c r="D1064" s="1" t="s">
        <v>11</v>
      </c>
      <c r="E1064" s="1" t="s">
        <v>11</v>
      </c>
    </row>
    <row r="1065" spans="1:5" ht="15.75" customHeight="1">
      <c r="A1065" s="1">
        <v>290342</v>
      </c>
      <c r="B1065" s="1" t="s">
        <v>1074</v>
      </c>
      <c r="C1065" s="1" t="str">
        <f ca="1">IFERROR(__xludf.DUMMYFUNCTION("REGEXEXTRACT(B1065, ""^([^:]+)"")"),"Halogenated derivatives of acyclic hydrocarbons containing two or more different halogens")</f>
        <v>Halogenated derivatives of acyclic hydrocarbons containing two or more different halogens</v>
      </c>
      <c r="D1065" s="1" t="s">
        <v>11</v>
      </c>
      <c r="E1065" s="1" t="s">
        <v>11</v>
      </c>
    </row>
    <row r="1066" spans="1:5" ht="15.75" customHeight="1">
      <c r="A1066" s="1">
        <v>290343</v>
      </c>
      <c r="B1066" s="1" t="s">
        <v>1075</v>
      </c>
      <c r="C1066" s="1" t="str">
        <f ca="1">IFERROR(__xludf.DUMMYFUNCTION("REGEXEXTRACT(B1066, ""^([^:]+)"")"),"Halogenated derivatives of acyclic hydrocarbons containing two or more different halogens")</f>
        <v>Halogenated derivatives of acyclic hydrocarbons containing two or more different halogens</v>
      </c>
      <c r="D1066" s="1" t="s">
        <v>11</v>
      </c>
      <c r="E1066" s="1" t="s">
        <v>11</v>
      </c>
    </row>
    <row r="1067" spans="1:5" ht="15.75" customHeight="1">
      <c r="A1067" s="1">
        <v>290344</v>
      </c>
      <c r="B1067" s="1" t="s">
        <v>1076</v>
      </c>
      <c r="C1067" s="1" t="str">
        <f ca="1">IFERROR(__xludf.DUMMYFUNCTION("REGEXEXTRACT(B1067, ""^([^:]+)"")"),"Halogenated derivatives of acyclic hydrocarbons containing two or more different halogens")</f>
        <v>Halogenated derivatives of acyclic hydrocarbons containing two or more different halogens</v>
      </c>
      <c r="D1067" s="1" t="s">
        <v>11</v>
      </c>
      <c r="E1067" s="1" t="s">
        <v>11</v>
      </c>
    </row>
    <row r="1068" spans="1:5" ht="15.75" customHeight="1">
      <c r="A1068" s="1">
        <v>290345</v>
      </c>
      <c r="B1068" s="1" t="s">
        <v>1077</v>
      </c>
      <c r="C1068" s="1" t="str">
        <f ca="1">IFERROR(__xludf.DUMMYFUNCTION("REGEXEXTRACT(B1068, ""^([^:]+)"")"),"Halogenated derivatives of acyclic hydrocarbons containing two or more different halogens")</f>
        <v>Halogenated derivatives of acyclic hydrocarbons containing two or more different halogens</v>
      </c>
      <c r="D1068" s="1" t="s">
        <v>11</v>
      </c>
      <c r="E1068" s="1" t="s">
        <v>11</v>
      </c>
    </row>
    <row r="1069" spans="1:5" ht="15.75" customHeight="1">
      <c r="A1069" s="1">
        <v>290346</v>
      </c>
      <c r="B1069" s="1" t="s">
        <v>1078</v>
      </c>
      <c r="C1069" s="1" t="str">
        <f ca="1">IFERROR(__xludf.DUMMYFUNCTION("REGEXEXTRACT(B1069, ""^([^:]+)"")"),"Halogenated derivatives of acyclic hydrocarbons containing two or more different halogens")</f>
        <v>Halogenated derivatives of acyclic hydrocarbons containing two or more different halogens</v>
      </c>
      <c r="D1069" s="1" t="s">
        <v>11</v>
      </c>
      <c r="E1069" s="1" t="s">
        <v>11</v>
      </c>
    </row>
    <row r="1070" spans="1:5" ht="15.75" customHeight="1">
      <c r="A1070" s="1">
        <v>290347</v>
      </c>
      <c r="B1070" s="1" t="s">
        <v>1079</v>
      </c>
      <c r="C1070" s="1" t="str">
        <f ca="1">IFERROR(__xludf.DUMMYFUNCTION("REGEXEXTRACT(B1070, ""^([^:]+)"")"),"Halogenated derivatives of acyclic hydrocarbons containing two or more different halogens")</f>
        <v>Halogenated derivatives of acyclic hydrocarbons containing two or more different halogens</v>
      </c>
      <c r="D1070" s="1" t="s">
        <v>11</v>
      </c>
      <c r="E1070" s="1" t="s">
        <v>11</v>
      </c>
    </row>
    <row r="1071" spans="1:5" ht="15.75" customHeight="1">
      <c r="A1071" s="1">
        <v>290349</v>
      </c>
      <c r="B1071" s="1" t="s">
        <v>1080</v>
      </c>
      <c r="C1071" s="1" t="str">
        <f ca="1">IFERROR(__xludf.DUMMYFUNCTION("REGEXEXTRACT(B1071, ""^([^:]+)"")"),"Halogenated derivatives of acyclic hydrocarbons containing two or more different halogens")</f>
        <v>Halogenated derivatives of acyclic hydrocarbons containing two or more different halogens</v>
      </c>
      <c r="D1071" s="1" t="s">
        <v>11</v>
      </c>
      <c r="E1071" s="1" t="s">
        <v>11</v>
      </c>
    </row>
    <row r="1072" spans="1:5" ht="15.75" customHeight="1">
      <c r="A1072" s="1">
        <v>290351</v>
      </c>
      <c r="B1072" s="1" t="s">
        <v>1081</v>
      </c>
      <c r="C1072" s="1" t="str">
        <f ca="1">IFERROR(__xludf.DUMMYFUNCTION("REGEXEXTRACT(B1072, ""^([^:]+)"")"),"Halogenated derivatives of cyclanic, cyclenic or cycloterpenic hydrocarbons")</f>
        <v>Halogenated derivatives of cyclanic, cyclenic or cycloterpenic hydrocarbons</v>
      </c>
      <c r="D1072" s="1" t="s">
        <v>11</v>
      </c>
      <c r="E1072" s="1" t="s">
        <v>11</v>
      </c>
    </row>
    <row r="1073" spans="1:5" ht="15.75" customHeight="1">
      <c r="A1073" s="1">
        <v>290352</v>
      </c>
      <c r="B1073" s="1" t="s">
        <v>1082</v>
      </c>
      <c r="C1073" s="1" t="str">
        <f ca="1">IFERROR(__xludf.DUMMYFUNCTION("REGEXEXTRACT(B1073, ""^([^:]+)"")"),"Halogenated derivatives of cyclanic, cyclenic or cycloterpenic hydrocarbons")</f>
        <v>Halogenated derivatives of cyclanic, cyclenic or cycloterpenic hydrocarbons</v>
      </c>
      <c r="D1073" s="1" t="s">
        <v>11</v>
      </c>
      <c r="E1073" s="1" t="s">
        <v>11</v>
      </c>
    </row>
    <row r="1074" spans="1:5" ht="15.75" customHeight="1">
      <c r="A1074" s="1">
        <v>290359</v>
      </c>
      <c r="B1074" s="1" t="s">
        <v>1083</v>
      </c>
      <c r="C1074" s="1" t="str">
        <f ca="1">IFERROR(__xludf.DUMMYFUNCTION("REGEXEXTRACT(B1074, ""^([^:]+)"")"),"Halogenated derivatives of cyclanic, cyclenic, or cycloterpenic hydrocarbons")</f>
        <v>Halogenated derivatives of cyclanic, cyclenic, or cycloterpenic hydrocarbons</v>
      </c>
      <c r="D1074" s="1" t="s">
        <v>11</v>
      </c>
      <c r="E1074" s="1" t="s">
        <v>11</v>
      </c>
    </row>
    <row r="1075" spans="1:5" ht="15.75" customHeight="1">
      <c r="A1075" s="1">
        <v>290361</v>
      </c>
      <c r="B1075" s="1" t="s">
        <v>1084</v>
      </c>
      <c r="C1075" s="1" t="str">
        <f ca="1">IFERROR(__xludf.DUMMYFUNCTION("REGEXEXTRACT(B1075, ""^([^:]+)"")"),"Halogenated derivatives of aromatic hydrocarbons")</f>
        <v>Halogenated derivatives of aromatic hydrocarbons</v>
      </c>
      <c r="D1075" s="1" t="s">
        <v>11</v>
      </c>
      <c r="E1075" s="1" t="s">
        <v>11</v>
      </c>
    </row>
    <row r="1076" spans="1:5" ht="15.75" customHeight="1">
      <c r="A1076" s="1">
        <v>290362</v>
      </c>
      <c r="B1076" s="1" t="s">
        <v>1085</v>
      </c>
      <c r="C1076" s="1" t="str">
        <f ca="1">IFERROR(__xludf.DUMMYFUNCTION("REGEXEXTRACT(B1076, ""^([^:]+)"")"),"Halogenated derivatives of aromatic hydrocarbons")</f>
        <v>Halogenated derivatives of aromatic hydrocarbons</v>
      </c>
      <c r="D1076" s="1" t="s">
        <v>11</v>
      </c>
      <c r="E1076" s="1" t="s">
        <v>11</v>
      </c>
    </row>
    <row r="1077" spans="1:5" ht="15.75" customHeight="1">
      <c r="A1077" s="1">
        <v>290369</v>
      </c>
      <c r="B1077" s="1" t="s">
        <v>1086</v>
      </c>
      <c r="C1077" s="1" t="str">
        <f ca="1">IFERROR(__xludf.DUMMYFUNCTION("REGEXEXTRACT(B1077, ""^([^:]+)"")"),"Halogenated derivatives of aromatic hydrocarbons")</f>
        <v>Halogenated derivatives of aromatic hydrocarbons</v>
      </c>
      <c r="D1077" s="1" t="s">
        <v>11</v>
      </c>
      <c r="E1077" s="1" t="s">
        <v>11</v>
      </c>
    </row>
    <row r="1078" spans="1:5" ht="15.75" customHeight="1">
      <c r="A1078" s="1">
        <v>290410</v>
      </c>
      <c r="B1078" s="1" t="s">
        <v>1087</v>
      </c>
      <c r="C1078" s="1" t="str">
        <f ca="1">IFERROR(__xludf.DUMMYFUNCTION("REGEXEXTRACT(B1078, ""^([^:]+)"")"),"Derivatives of hydrocarbons")</f>
        <v>Derivatives of hydrocarbons</v>
      </c>
      <c r="D1078" s="1" t="s">
        <v>11</v>
      </c>
      <c r="E1078" s="1" t="s">
        <v>11</v>
      </c>
    </row>
    <row r="1079" spans="1:5" ht="15.75" customHeight="1">
      <c r="A1079" s="1">
        <v>290420</v>
      </c>
      <c r="B1079" s="1" t="s">
        <v>1088</v>
      </c>
      <c r="C1079" s="1" t="str">
        <f ca="1">IFERROR(__xludf.DUMMYFUNCTION("REGEXEXTRACT(B1079, ""^([^:]+)"")"),"Derivatives of hydrocarbons")</f>
        <v>Derivatives of hydrocarbons</v>
      </c>
      <c r="D1079" s="1" t="s">
        <v>11</v>
      </c>
      <c r="E1079" s="1" t="s">
        <v>11</v>
      </c>
    </row>
    <row r="1080" spans="1:5" ht="15.75" customHeight="1">
      <c r="A1080" s="1">
        <v>290490</v>
      </c>
      <c r="B1080" s="1" t="s">
        <v>1089</v>
      </c>
      <c r="C1080" s="1" t="str">
        <f ca="1">IFERROR(__xludf.DUMMYFUNCTION("REGEXEXTRACT(B1080, ""^([^:]+)"")"),"Derivatives of hydrocarbons")</f>
        <v>Derivatives of hydrocarbons</v>
      </c>
      <c r="D1080" s="1" t="s">
        <v>11</v>
      </c>
      <c r="E1080" s="1" t="s">
        <v>11</v>
      </c>
    </row>
    <row r="1081" spans="1:5" ht="15.75" customHeight="1">
      <c r="A1081" s="1">
        <v>290511</v>
      </c>
      <c r="B1081" s="1" t="s">
        <v>1090</v>
      </c>
      <c r="C1081" s="1" t="str">
        <f ca="1">IFERROR(__xludf.DUMMYFUNCTION("REGEXEXTRACT(B1081, ""^([^:]+)"")"),"Alcohols")</f>
        <v>Alcohols</v>
      </c>
      <c r="D1081" s="1" t="s">
        <v>11</v>
      </c>
      <c r="E1081" s="1" t="s">
        <v>11</v>
      </c>
    </row>
    <row r="1082" spans="1:5" ht="15.75" customHeight="1">
      <c r="A1082" s="1">
        <v>290512</v>
      </c>
      <c r="B1082" s="1" t="s">
        <v>1091</v>
      </c>
      <c r="C1082" s="1" t="str">
        <f ca="1">IFERROR(__xludf.DUMMYFUNCTION("REGEXEXTRACT(B1082, ""^([^:]+)"")"),"Alcohols")</f>
        <v>Alcohols</v>
      </c>
      <c r="D1082" s="1" t="s">
        <v>11</v>
      </c>
      <c r="E1082" s="1" t="s">
        <v>11</v>
      </c>
    </row>
    <row r="1083" spans="1:5" ht="15.75" customHeight="1">
      <c r="A1083" s="1">
        <v>290513</v>
      </c>
      <c r="B1083" s="1" t="s">
        <v>1092</v>
      </c>
      <c r="C1083" s="1" t="str">
        <f ca="1">IFERROR(__xludf.DUMMYFUNCTION("REGEXEXTRACT(B1083, ""^([^:]+)"")"),"Alcohols")</f>
        <v>Alcohols</v>
      </c>
      <c r="D1083" s="1" t="s">
        <v>11</v>
      </c>
      <c r="E1083" s="1" t="s">
        <v>11</v>
      </c>
    </row>
    <row r="1084" spans="1:5" ht="15.75" customHeight="1">
      <c r="A1084" s="1">
        <v>290514</v>
      </c>
      <c r="B1084" s="1" t="s">
        <v>1093</v>
      </c>
      <c r="C1084" s="1" t="str">
        <f ca="1">IFERROR(__xludf.DUMMYFUNCTION("REGEXEXTRACT(B1084, ""^([^:]+)"")"),"Alcohols")</f>
        <v>Alcohols</v>
      </c>
      <c r="D1084" s="1" t="s">
        <v>11</v>
      </c>
      <c r="E1084" s="1" t="s">
        <v>11</v>
      </c>
    </row>
    <row r="1085" spans="1:5" ht="15.75" customHeight="1">
      <c r="A1085" s="1">
        <v>290516</v>
      </c>
      <c r="B1085" s="1" t="s">
        <v>1094</v>
      </c>
      <c r="C1085" s="1" t="str">
        <f ca="1">IFERROR(__xludf.DUMMYFUNCTION("REGEXEXTRACT(B1085, ""^([^:]+)"")"),"Alcohols")</f>
        <v>Alcohols</v>
      </c>
      <c r="D1085" s="1" t="s">
        <v>11</v>
      </c>
      <c r="E1085" s="1" t="s">
        <v>11</v>
      </c>
    </row>
    <row r="1086" spans="1:5" ht="15.75" customHeight="1">
      <c r="A1086" s="1">
        <v>290517</v>
      </c>
      <c r="B1086" s="1" t="s">
        <v>1095</v>
      </c>
      <c r="C1086" s="1" t="str">
        <f ca="1">IFERROR(__xludf.DUMMYFUNCTION("REGEXEXTRACT(B1086, ""^([^:]+)"")"),"Alcohols")</f>
        <v>Alcohols</v>
      </c>
      <c r="D1086" s="1" t="s">
        <v>11</v>
      </c>
      <c r="E1086" s="1" t="s">
        <v>11</v>
      </c>
    </row>
    <row r="1087" spans="1:5" ht="15.75" customHeight="1">
      <c r="A1087" s="1">
        <v>290519</v>
      </c>
      <c r="B1087" s="1" t="s">
        <v>1096</v>
      </c>
      <c r="C1087" s="1" t="str">
        <f ca="1">IFERROR(__xludf.DUMMYFUNCTION("REGEXEXTRACT(B1087, ""^([^:]+)"")"),"Alcohols")</f>
        <v>Alcohols</v>
      </c>
      <c r="D1087" s="1" t="s">
        <v>11</v>
      </c>
      <c r="E1087" s="1" t="s">
        <v>11</v>
      </c>
    </row>
    <row r="1088" spans="1:5" ht="15.75" customHeight="1">
      <c r="A1088" s="1">
        <v>290522</v>
      </c>
      <c r="B1088" s="1" t="s">
        <v>1097</v>
      </c>
      <c r="C1088" s="1" t="str">
        <f ca="1">IFERROR(__xludf.DUMMYFUNCTION("REGEXEXTRACT(B1088, ""^([^:]+)"")"),"Alcohols")</f>
        <v>Alcohols</v>
      </c>
      <c r="D1088" s="1" t="s">
        <v>11</v>
      </c>
      <c r="E1088" s="1" t="s">
        <v>11</v>
      </c>
    </row>
    <row r="1089" spans="1:5" ht="15.75" customHeight="1">
      <c r="A1089" s="1">
        <v>290529</v>
      </c>
      <c r="B1089" s="1" t="s">
        <v>1098</v>
      </c>
      <c r="C1089" s="1" t="str">
        <f ca="1">IFERROR(__xludf.DUMMYFUNCTION("REGEXEXTRACT(B1089, ""^([^:]+)"")"),"Alcohols")</f>
        <v>Alcohols</v>
      </c>
      <c r="D1089" s="1" t="s">
        <v>11</v>
      </c>
      <c r="E1089" s="1" t="s">
        <v>11</v>
      </c>
    </row>
    <row r="1090" spans="1:5" ht="15.75" customHeight="1">
      <c r="A1090" s="1">
        <v>290531</v>
      </c>
      <c r="B1090" s="1" t="s">
        <v>1099</v>
      </c>
      <c r="C1090" s="1" t="str">
        <f ca="1">IFERROR(__xludf.DUMMYFUNCTION("REGEXEXTRACT(B1090, ""^([^:]+)"")"),"Alcohols")</f>
        <v>Alcohols</v>
      </c>
      <c r="D1090" s="1" t="s">
        <v>11</v>
      </c>
      <c r="E1090" s="1" t="s">
        <v>11</v>
      </c>
    </row>
    <row r="1091" spans="1:5" ht="15.75" customHeight="1">
      <c r="A1091" s="1">
        <v>290532</v>
      </c>
      <c r="B1091" s="1" t="s">
        <v>1100</v>
      </c>
      <c r="C1091" s="1" t="str">
        <f ca="1">IFERROR(__xludf.DUMMYFUNCTION("REGEXEXTRACT(B1091, ""^([^:]+)"")"),"Alcohols")</f>
        <v>Alcohols</v>
      </c>
      <c r="D1091" s="1" t="s">
        <v>11</v>
      </c>
      <c r="E1091" s="1" t="s">
        <v>11</v>
      </c>
    </row>
    <row r="1092" spans="1:5" ht="15.75" customHeight="1">
      <c r="A1092" s="1">
        <v>290539</v>
      </c>
      <c r="B1092" s="1" t="s">
        <v>1101</v>
      </c>
      <c r="C1092" s="1" t="str">
        <f ca="1">IFERROR(__xludf.DUMMYFUNCTION("REGEXEXTRACT(B1092, ""^([^:]+)"")"),"Alcohols")</f>
        <v>Alcohols</v>
      </c>
      <c r="D1092" s="1" t="s">
        <v>11</v>
      </c>
      <c r="E1092" s="1" t="s">
        <v>11</v>
      </c>
    </row>
    <row r="1093" spans="1:5" ht="15.75" customHeight="1">
      <c r="A1093" s="1">
        <v>290541</v>
      </c>
      <c r="B1093" s="1" t="s">
        <v>1102</v>
      </c>
      <c r="C1093" s="1" t="str">
        <f ca="1">IFERROR(__xludf.DUMMYFUNCTION("REGEXEXTRACT(B1093, ""^([^:]+)"")"),"Alcohols")</f>
        <v>Alcohols</v>
      </c>
      <c r="D1093" s="1" t="s">
        <v>11</v>
      </c>
      <c r="E1093" s="1" t="s">
        <v>11</v>
      </c>
    </row>
    <row r="1094" spans="1:5" ht="15.75" customHeight="1">
      <c r="A1094" s="1">
        <v>290542</v>
      </c>
      <c r="B1094" s="1" t="s">
        <v>1103</v>
      </c>
      <c r="C1094" s="1" t="str">
        <f ca="1">IFERROR(__xludf.DUMMYFUNCTION("REGEXEXTRACT(B1094, ""^([^:]+)"")"),"Alcohols")</f>
        <v>Alcohols</v>
      </c>
      <c r="D1094" s="1" t="s">
        <v>11</v>
      </c>
      <c r="E1094" s="1" t="s">
        <v>11</v>
      </c>
    </row>
    <row r="1095" spans="1:5" ht="15.75" customHeight="1">
      <c r="A1095" s="1">
        <v>290543</v>
      </c>
      <c r="B1095" s="1" t="s">
        <v>1104</v>
      </c>
      <c r="C1095" s="1" t="str">
        <f ca="1">IFERROR(__xludf.DUMMYFUNCTION("REGEXEXTRACT(B1095, ""^([^:]+)"")"),"Alcohols")</f>
        <v>Alcohols</v>
      </c>
      <c r="D1095" s="1" t="s">
        <v>11</v>
      </c>
      <c r="E1095" s="1" t="s">
        <v>11</v>
      </c>
    </row>
    <row r="1096" spans="1:5" ht="15.75" customHeight="1">
      <c r="A1096" s="1">
        <v>290544</v>
      </c>
      <c r="B1096" s="1" t="s">
        <v>1105</v>
      </c>
      <c r="C1096" s="1" t="str">
        <f ca="1">IFERROR(__xludf.DUMMYFUNCTION("REGEXEXTRACT(B1096, ""^([^:]+)"")"),"Alcohols")</f>
        <v>Alcohols</v>
      </c>
      <c r="D1096" s="1" t="s">
        <v>11</v>
      </c>
      <c r="E1096" s="1" t="s">
        <v>11</v>
      </c>
    </row>
    <row r="1097" spans="1:5" ht="15.75" customHeight="1">
      <c r="A1097" s="1">
        <v>290545</v>
      </c>
      <c r="B1097" s="1" t="s">
        <v>1106</v>
      </c>
      <c r="C1097" s="1" t="str">
        <f ca="1">IFERROR(__xludf.DUMMYFUNCTION("REGEXEXTRACT(B1097, ""^([^:]+)"")"),"Alcohols")</f>
        <v>Alcohols</v>
      </c>
      <c r="D1097" s="1" t="s">
        <v>11</v>
      </c>
      <c r="E1097" s="1" t="s">
        <v>11</v>
      </c>
    </row>
    <row r="1098" spans="1:5" ht="15.75" customHeight="1">
      <c r="A1098" s="1">
        <v>290549</v>
      </c>
      <c r="B1098" s="1" t="s">
        <v>1107</v>
      </c>
      <c r="C1098" s="1" t="str">
        <f ca="1">IFERROR(__xludf.DUMMYFUNCTION("REGEXEXTRACT(B1098, ""^([^:]+)"")"),"Alcohols")</f>
        <v>Alcohols</v>
      </c>
      <c r="D1098" s="1" t="s">
        <v>11</v>
      </c>
      <c r="E1098" s="1" t="s">
        <v>11</v>
      </c>
    </row>
    <row r="1099" spans="1:5" ht="15.75" customHeight="1">
      <c r="A1099" s="1">
        <v>290551</v>
      </c>
      <c r="B1099" s="1" t="s">
        <v>1108</v>
      </c>
      <c r="C1099" s="1" t="str">
        <f ca="1">IFERROR(__xludf.DUMMYFUNCTION("REGEXEXTRACT(B1099, ""^([^:]+)"")"),"Alcohols")</f>
        <v>Alcohols</v>
      </c>
      <c r="D1099" s="1" t="s">
        <v>11</v>
      </c>
      <c r="E1099" s="1" t="s">
        <v>11</v>
      </c>
    </row>
    <row r="1100" spans="1:5" ht="15.75" customHeight="1">
      <c r="A1100" s="1">
        <v>290559</v>
      </c>
      <c r="B1100" s="1" t="s">
        <v>1109</v>
      </c>
      <c r="C1100" s="1" t="str">
        <f ca="1">IFERROR(__xludf.DUMMYFUNCTION("REGEXEXTRACT(B1100, ""^([^:]+)"")"),"Alcohols")</f>
        <v>Alcohols</v>
      </c>
      <c r="D1100" s="1" t="s">
        <v>11</v>
      </c>
      <c r="E1100" s="1" t="s">
        <v>11</v>
      </c>
    </row>
    <row r="1101" spans="1:5" ht="15.75" customHeight="1">
      <c r="A1101" s="1">
        <v>290611</v>
      </c>
      <c r="B1101" s="1" t="s">
        <v>1110</v>
      </c>
      <c r="C1101" s="1" t="str">
        <f ca="1">IFERROR(__xludf.DUMMYFUNCTION("REGEXEXTRACT(B1101, ""^([^:]+)"")"),"Alcohols")</f>
        <v>Alcohols</v>
      </c>
      <c r="D1101" s="1" t="s">
        <v>11</v>
      </c>
      <c r="E1101" s="1" t="s">
        <v>11</v>
      </c>
    </row>
    <row r="1102" spans="1:5" ht="15.75" customHeight="1">
      <c r="A1102" s="1">
        <v>290612</v>
      </c>
      <c r="B1102" s="1" t="s">
        <v>1111</v>
      </c>
      <c r="C1102" s="1" t="str">
        <f ca="1">IFERROR(__xludf.DUMMYFUNCTION("REGEXEXTRACT(B1102, ""^([^:]+)"")"),"Alcohols")</f>
        <v>Alcohols</v>
      </c>
      <c r="D1102" s="1" t="s">
        <v>11</v>
      </c>
      <c r="E1102" s="1" t="s">
        <v>11</v>
      </c>
    </row>
    <row r="1103" spans="1:5" ht="15.75" customHeight="1">
      <c r="A1103" s="1">
        <v>290613</v>
      </c>
      <c r="B1103" s="1" t="s">
        <v>1112</v>
      </c>
      <c r="C1103" s="1" t="str">
        <f ca="1">IFERROR(__xludf.DUMMYFUNCTION("REGEXEXTRACT(B1103, ""^([^:]+)"")"),"Alcohols")</f>
        <v>Alcohols</v>
      </c>
      <c r="D1103" s="1" t="s">
        <v>11</v>
      </c>
      <c r="E1103" s="1" t="s">
        <v>11</v>
      </c>
    </row>
    <row r="1104" spans="1:5" ht="15.75" customHeight="1">
      <c r="A1104" s="1">
        <v>290619</v>
      </c>
      <c r="B1104" s="1" t="s">
        <v>1113</v>
      </c>
      <c r="C1104" s="1" t="str">
        <f ca="1">IFERROR(__xludf.DUMMYFUNCTION("REGEXEXTRACT(B1104, ""^([^:]+)"")"),"Alcohols")</f>
        <v>Alcohols</v>
      </c>
      <c r="D1104" s="1" t="s">
        <v>11</v>
      </c>
      <c r="E1104" s="1" t="s">
        <v>11</v>
      </c>
    </row>
    <row r="1105" spans="1:5" ht="15.75" customHeight="1">
      <c r="A1105" s="1">
        <v>290621</v>
      </c>
      <c r="B1105" s="1" t="s">
        <v>1114</v>
      </c>
      <c r="C1105" s="1" t="str">
        <f ca="1">IFERROR(__xludf.DUMMYFUNCTION("REGEXEXTRACT(B1105, ""^([^:]+)"")"),"Alcohols")</f>
        <v>Alcohols</v>
      </c>
      <c r="D1105" s="1" t="s">
        <v>11</v>
      </c>
      <c r="E1105" s="1" t="s">
        <v>11</v>
      </c>
    </row>
    <row r="1106" spans="1:5" ht="15.75" customHeight="1">
      <c r="A1106" s="1">
        <v>290629</v>
      </c>
      <c r="B1106" s="1" t="s">
        <v>1115</v>
      </c>
      <c r="C1106" s="1" t="str">
        <f ca="1">IFERROR(__xludf.DUMMYFUNCTION("REGEXEXTRACT(B1106, ""^([^:]+)"")"),"Alcohols")</f>
        <v>Alcohols</v>
      </c>
      <c r="D1106" s="1" t="s">
        <v>11</v>
      </c>
      <c r="E1106" s="1" t="s">
        <v>11</v>
      </c>
    </row>
    <row r="1107" spans="1:5" ht="15.75" customHeight="1">
      <c r="A1107" s="1">
        <v>290711</v>
      </c>
      <c r="B1107" s="1" t="s">
        <v>1116</v>
      </c>
      <c r="C1107" s="1" t="str">
        <f ca="1">IFERROR(__xludf.DUMMYFUNCTION("REGEXEXTRACT(B1107, ""^([^:]+)"")"),"Monophenols")</f>
        <v>Monophenols</v>
      </c>
      <c r="D1107" s="1" t="s">
        <v>11</v>
      </c>
      <c r="E1107" s="1" t="s">
        <v>11</v>
      </c>
    </row>
    <row r="1108" spans="1:5" ht="15.75" customHeight="1">
      <c r="A1108" s="1">
        <v>290712</v>
      </c>
      <c r="B1108" s="1" t="s">
        <v>1117</v>
      </c>
      <c r="C1108" s="1" t="str">
        <f ca="1">IFERROR(__xludf.DUMMYFUNCTION("REGEXEXTRACT(B1108, ""^([^:]+)"")"),"Monophenols")</f>
        <v>Monophenols</v>
      </c>
      <c r="D1108" s="1" t="s">
        <v>11</v>
      </c>
      <c r="E1108" s="1" t="s">
        <v>11</v>
      </c>
    </row>
    <row r="1109" spans="1:5" ht="15.75" customHeight="1">
      <c r="A1109" s="1">
        <v>290713</v>
      </c>
      <c r="B1109" s="1" t="s">
        <v>1118</v>
      </c>
      <c r="C1109" s="1" t="str">
        <f ca="1">IFERROR(__xludf.DUMMYFUNCTION("REGEXEXTRACT(B1109, ""^([^:]+)"")"),"Monophenols")</f>
        <v>Monophenols</v>
      </c>
      <c r="D1109" s="1" t="s">
        <v>11</v>
      </c>
      <c r="E1109" s="1" t="s">
        <v>11</v>
      </c>
    </row>
    <row r="1110" spans="1:5" ht="15.75" customHeight="1">
      <c r="A1110" s="1">
        <v>290715</v>
      </c>
      <c r="B1110" s="1" t="s">
        <v>1119</v>
      </c>
      <c r="C1110" s="1" t="str">
        <f ca="1">IFERROR(__xludf.DUMMYFUNCTION("REGEXEXTRACT(B1110, ""^([^:]+)"")"),"Monophenols")</f>
        <v>Monophenols</v>
      </c>
      <c r="D1110" s="1" t="s">
        <v>11</v>
      </c>
      <c r="E1110" s="1" t="s">
        <v>11</v>
      </c>
    </row>
    <row r="1111" spans="1:5" ht="15.75" customHeight="1">
      <c r="A1111" s="1">
        <v>290719</v>
      </c>
      <c r="B1111" s="1" t="s">
        <v>1120</v>
      </c>
      <c r="C1111" s="1" t="str">
        <f ca="1">IFERROR(__xludf.DUMMYFUNCTION("REGEXEXTRACT(B1111, ""^([^:]+)"")"),"Monophenols")</f>
        <v>Monophenols</v>
      </c>
      <c r="D1111" s="1" t="s">
        <v>11</v>
      </c>
      <c r="E1111" s="1" t="s">
        <v>11</v>
      </c>
    </row>
    <row r="1112" spans="1:5" ht="15.75" customHeight="1">
      <c r="A1112" s="1">
        <v>290721</v>
      </c>
      <c r="B1112" s="1" t="s">
        <v>1121</v>
      </c>
      <c r="C1112" s="1" t="str">
        <f ca="1">IFERROR(__xludf.DUMMYFUNCTION("REGEXEXTRACT(B1112, ""^([^:]+)"")"),"Polyphenols")</f>
        <v>Polyphenols</v>
      </c>
      <c r="D1112" s="1" t="s">
        <v>11</v>
      </c>
      <c r="E1112" s="1" t="s">
        <v>11</v>
      </c>
    </row>
    <row r="1113" spans="1:5" ht="15.75" customHeight="1">
      <c r="A1113" s="1">
        <v>290722</v>
      </c>
      <c r="B1113" s="1" t="s">
        <v>1122</v>
      </c>
      <c r="C1113" s="1" t="str">
        <f ca="1">IFERROR(__xludf.DUMMYFUNCTION("REGEXEXTRACT(B1113, ""^([^:]+)"")"),"Polyphenols")</f>
        <v>Polyphenols</v>
      </c>
      <c r="D1113" s="1" t="s">
        <v>11</v>
      </c>
      <c r="E1113" s="1" t="s">
        <v>11</v>
      </c>
    </row>
    <row r="1114" spans="1:5" ht="15.75" customHeight="1">
      <c r="A1114" s="1">
        <v>290723</v>
      </c>
      <c r="B1114" s="1" t="s">
        <v>1123</v>
      </c>
      <c r="C1114" s="1" t="str">
        <f ca="1">IFERROR(__xludf.DUMMYFUNCTION("REGEXEXTRACT(B1114, ""^([^:]+)"")"),"Polyphenols")</f>
        <v>Polyphenols</v>
      </c>
      <c r="D1114" s="1" t="s">
        <v>11</v>
      </c>
      <c r="E1114" s="1" t="s">
        <v>11</v>
      </c>
    </row>
    <row r="1115" spans="1:5" ht="15.75" customHeight="1">
      <c r="A1115" s="1">
        <v>290729</v>
      </c>
      <c r="B1115" s="1" t="s">
        <v>1124</v>
      </c>
      <c r="C1115" s="1" t="str">
        <f ca="1">IFERROR(__xludf.DUMMYFUNCTION("REGEXEXTRACT(B1115, ""^([^:]+)"")"),"Phenol-alcohols and polyphenols n.e.c. in item number 2907.2")</f>
        <v>Phenol-alcohols and polyphenols n.e.c. in item number 2907.2</v>
      </c>
      <c r="D1115" s="1" t="s">
        <v>11</v>
      </c>
      <c r="E1115" s="1" t="s">
        <v>11</v>
      </c>
    </row>
    <row r="1116" spans="1:5" ht="15.75" customHeight="1">
      <c r="A1116" s="1">
        <v>290811</v>
      </c>
      <c r="B1116" s="1" t="s">
        <v>1125</v>
      </c>
      <c r="C1116" s="1" t="str">
        <f ca="1">IFERROR(__xludf.DUMMYFUNCTION("REGEXEXTRACT(B1116, ""^([^:]+)"")"),"Phenol or phenol-alcohol derivatives containing only halogen substituents and their salts")</f>
        <v>Phenol or phenol-alcohol derivatives containing only halogen substituents and their salts</v>
      </c>
      <c r="D1116" s="1" t="s">
        <v>11</v>
      </c>
      <c r="E1116" s="1" t="s">
        <v>11</v>
      </c>
    </row>
    <row r="1117" spans="1:5" ht="15.75" customHeight="1">
      <c r="A1117" s="1">
        <v>290819</v>
      </c>
      <c r="B1117" s="1" t="s">
        <v>1126</v>
      </c>
      <c r="C1117" s="1" t="str">
        <f ca="1">IFERROR(__xludf.DUMMYFUNCTION("REGEXEXTRACT(B1117, ""^([^:]+)"")"),"Phenol or phenol-alcohol derivatives containing only halogen substituents and their salts")</f>
        <v>Phenol or phenol-alcohol derivatives containing only halogen substituents and their salts</v>
      </c>
      <c r="D1117" s="1" t="s">
        <v>11</v>
      </c>
      <c r="E1117" s="1" t="s">
        <v>11</v>
      </c>
    </row>
    <row r="1118" spans="1:5" ht="15.75" customHeight="1">
      <c r="A1118" s="1">
        <v>290891</v>
      </c>
      <c r="B1118" s="1" t="s">
        <v>1127</v>
      </c>
      <c r="C1118" s="1" t="str">
        <f ca="1">IFERROR(__xludf.DUMMYFUNCTION("REGEXEXTRACT(B1118, ""^([^:]+)"")"),"Phenol or phenol-alcohol derivatives (other than derivatives containing only halogen substituents and their salts)")</f>
        <v>Phenol or phenol-alcohol derivatives (other than derivatives containing only halogen substituents and their salts)</v>
      </c>
      <c r="D1118" s="1" t="s">
        <v>11</v>
      </c>
      <c r="E1118" s="1" t="s">
        <v>11</v>
      </c>
    </row>
    <row r="1119" spans="1:5" ht="15.75" customHeight="1">
      <c r="A1119" s="1">
        <v>290899</v>
      </c>
      <c r="B1119" s="1" t="s">
        <v>1128</v>
      </c>
      <c r="C1119" s="1" t="str">
        <f ca="1">IFERROR(__xludf.DUMMYFUNCTION("REGEXEXTRACT(B1119, ""^([^:]+)"")"),"Phenol or phenol-alcohol derivatives (other than derivatives containing only halogen substituents and their salts)")</f>
        <v>Phenol or phenol-alcohol derivatives (other than derivatives containing only halogen substituents and their salts)</v>
      </c>
      <c r="D1119" s="1" t="s">
        <v>11</v>
      </c>
      <c r="E1119" s="1" t="s">
        <v>11</v>
      </c>
    </row>
    <row r="1120" spans="1:5" ht="15.75" customHeight="1">
      <c r="A1120" s="1">
        <v>290911</v>
      </c>
      <c r="B1120" s="1" t="s">
        <v>1129</v>
      </c>
      <c r="C1120" s="1" t="str">
        <f ca="1">IFERROR(__xludf.DUMMYFUNCTION("REGEXEXTRACT(B1120, ""^([^:]+)"")"),"Ethers")</f>
        <v>Ethers</v>
      </c>
      <c r="D1120" s="1" t="s">
        <v>11</v>
      </c>
      <c r="E1120" s="1" t="s">
        <v>11</v>
      </c>
    </row>
    <row r="1121" spans="1:5" ht="15.75" customHeight="1">
      <c r="A1121" s="1">
        <v>290919</v>
      </c>
      <c r="B1121" s="1" t="s">
        <v>1130</v>
      </c>
      <c r="C1121" s="1" t="str">
        <f ca="1">IFERROR(__xludf.DUMMYFUNCTION("REGEXEXTRACT(B1121, ""^([^:]+)"")"),"Ethers")</f>
        <v>Ethers</v>
      </c>
      <c r="D1121" s="1" t="s">
        <v>11</v>
      </c>
      <c r="E1121" s="1" t="s">
        <v>11</v>
      </c>
    </row>
    <row r="1122" spans="1:5" ht="15.75" customHeight="1">
      <c r="A1122" s="1">
        <v>290920</v>
      </c>
      <c r="B1122" s="1" t="s">
        <v>1131</v>
      </c>
      <c r="C1122" s="1" t="str">
        <f ca="1">IFERROR(__xludf.DUMMYFUNCTION("REGEXEXTRACT(B1122, ""^([^:]+)"")"),"Ethers")</f>
        <v>Ethers</v>
      </c>
      <c r="D1122" s="1" t="s">
        <v>11</v>
      </c>
      <c r="E1122" s="1" t="s">
        <v>11</v>
      </c>
    </row>
    <row r="1123" spans="1:5" ht="15.75" customHeight="1">
      <c r="A1123" s="1">
        <v>290930</v>
      </c>
      <c r="B1123" s="1" t="s">
        <v>1132</v>
      </c>
      <c r="C1123" s="1" t="str">
        <f ca="1">IFERROR(__xludf.DUMMYFUNCTION("REGEXEXTRACT(B1123, ""^([^:]+)"")"),"Ethers")</f>
        <v>Ethers</v>
      </c>
      <c r="D1123" s="1" t="s">
        <v>11</v>
      </c>
      <c r="E1123" s="1" t="s">
        <v>11</v>
      </c>
    </row>
    <row r="1124" spans="1:5" ht="15.75" customHeight="1">
      <c r="A1124" s="1">
        <v>290941</v>
      </c>
      <c r="B1124" s="1" t="s">
        <v>1133</v>
      </c>
      <c r="C1124" s="1" t="str">
        <f ca="1">IFERROR(__xludf.DUMMYFUNCTION("REGEXEXTRACT(B1124, ""^([^:]+)"")"),"Ether-alcohols and their halogenated, sulphonated, nitrated or nitrosated derivatives")</f>
        <v>Ether-alcohols and their halogenated, sulphonated, nitrated or nitrosated derivatives</v>
      </c>
      <c r="D1124" s="1" t="s">
        <v>11</v>
      </c>
      <c r="E1124" s="1" t="s">
        <v>11</v>
      </c>
    </row>
    <row r="1125" spans="1:5" ht="15.75" customHeight="1">
      <c r="A1125" s="1">
        <v>290943</v>
      </c>
      <c r="B1125" s="1" t="s">
        <v>1134</v>
      </c>
      <c r="C1125" s="1" t="str">
        <f ca="1">IFERROR(__xludf.DUMMYFUNCTION("REGEXEXTRACT(B1125, ""^([^:]+)"")"),"Ether-alcohols and their halogenated, sulphonated, nitrated or nitrosated derivatives")</f>
        <v>Ether-alcohols and their halogenated, sulphonated, nitrated or nitrosated derivatives</v>
      </c>
      <c r="D1125" s="1" t="s">
        <v>11</v>
      </c>
      <c r="E1125" s="1" t="s">
        <v>11</v>
      </c>
    </row>
    <row r="1126" spans="1:5" ht="15.75" customHeight="1">
      <c r="A1126" s="1">
        <v>290944</v>
      </c>
      <c r="B1126" s="1" t="s">
        <v>1135</v>
      </c>
      <c r="C1126" s="1" t="str">
        <f ca="1">IFERROR(__xludf.DUMMYFUNCTION("REGEXEXTRACT(B1126, ""^([^:]+)"")"),"Ether-alcohols and their halogenated, sulphonated, nitrated or nitrosated derivatives")</f>
        <v>Ether-alcohols and their halogenated, sulphonated, nitrated or nitrosated derivatives</v>
      </c>
      <c r="D1126" s="1" t="s">
        <v>11</v>
      </c>
      <c r="E1126" s="1" t="s">
        <v>11</v>
      </c>
    </row>
    <row r="1127" spans="1:5" ht="15.75" customHeight="1">
      <c r="A1127" s="1">
        <v>290949</v>
      </c>
      <c r="B1127" s="1" t="s">
        <v>1136</v>
      </c>
      <c r="C1127" s="1" t="str">
        <f ca="1">IFERROR(__xludf.DUMMYFUNCTION("REGEXEXTRACT(B1127, ""^([^:]+)"")"),"Ether-alcohols and their halogenated, sulphonated, nitrated or nitrosated derivatives")</f>
        <v>Ether-alcohols and their halogenated, sulphonated, nitrated or nitrosated derivatives</v>
      </c>
      <c r="D1127" s="1" t="s">
        <v>11</v>
      </c>
      <c r="E1127" s="1" t="s">
        <v>11</v>
      </c>
    </row>
    <row r="1128" spans="1:5" ht="15.75" customHeight="1">
      <c r="A1128" s="1">
        <v>290950</v>
      </c>
      <c r="B1128" s="1" t="s">
        <v>1137</v>
      </c>
      <c r="C1128" s="1" t="str">
        <f ca="1">IFERROR(__xludf.DUMMYFUNCTION("REGEXEXTRACT(B1128, ""^([^:]+)"")"),"Ether-phenols, ether-alcohol-phenols and their halogenated, sulphonated, nitrated or nitrosated derivatives")</f>
        <v>Ether-phenols, ether-alcohol-phenols and their halogenated, sulphonated, nitrated or nitrosated derivatives</v>
      </c>
      <c r="D1128" s="1" t="s">
        <v>11</v>
      </c>
      <c r="E1128" s="1" t="s">
        <v>11</v>
      </c>
    </row>
    <row r="1129" spans="1:5" ht="15.75" customHeight="1">
      <c r="A1129" s="1">
        <v>290960</v>
      </c>
      <c r="B1129" s="1" t="s">
        <v>1138</v>
      </c>
      <c r="C1129" s="1" t="str">
        <f ca="1">IFERROR(__xludf.DUMMYFUNCTION("REGEXEXTRACT(B1129, ""^([^:]+)"")"),"Alcohol peroxides, ether peroxides, ketone peroxides and their halogenated, sulphonated, nitrated or nitrosated derivatives")</f>
        <v>Alcohol peroxides, ether peroxides, ketone peroxides and their halogenated, sulphonated, nitrated or nitrosated derivatives</v>
      </c>
      <c r="D1129" s="1" t="s">
        <v>11</v>
      </c>
      <c r="E1129" s="1" t="s">
        <v>11</v>
      </c>
    </row>
    <row r="1130" spans="1:5" ht="15.75" customHeight="1">
      <c r="A1130" s="1">
        <v>291010</v>
      </c>
      <c r="B1130" s="1" t="s">
        <v>1139</v>
      </c>
      <c r="C1130" s="1" t="str">
        <f ca="1">IFERROR(__xludf.DUMMYFUNCTION("REGEXEXTRACT(B1130, ""^([^:]+)"")"),"Epoxides, epoxyalcohols, epoxyphenols and epoxyethers")</f>
        <v>Epoxides, epoxyalcohols, epoxyphenols and epoxyethers</v>
      </c>
      <c r="D1130" s="1" t="s">
        <v>11</v>
      </c>
      <c r="E1130" s="1" t="s">
        <v>11</v>
      </c>
    </row>
    <row r="1131" spans="1:5" ht="15.75" customHeight="1">
      <c r="A1131" s="1">
        <v>291020</v>
      </c>
      <c r="B1131" s="1" t="s">
        <v>1140</v>
      </c>
      <c r="C1131" s="1" t="str">
        <f ca="1">IFERROR(__xludf.DUMMYFUNCTION("REGEXEXTRACT(B1131, ""^([^:]+)"")"),"Epoxides, epoxyalcohols, epoxyphenols and epoxyethers")</f>
        <v>Epoxides, epoxyalcohols, epoxyphenols and epoxyethers</v>
      </c>
      <c r="D1131" s="1" t="s">
        <v>11</v>
      </c>
      <c r="E1131" s="1" t="s">
        <v>11</v>
      </c>
    </row>
    <row r="1132" spans="1:5" ht="15.75" customHeight="1">
      <c r="A1132" s="1">
        <v>291030</v>
      </c>
      <c r="B1132" s="1" t="s">
        <v>1141</v>
      </c>
      <c r="C1132" s="1" t="str">
        <f ca="1">IFERROR(__xludf.DUMMYFUNCTION("REGEXEXTRACT(B1132, ""^([^:]+)"")"),"Epoxides, epoxyalcohols, epoxyphenols and epoxyethers")</f>
        <v>Epoxides, epoxyalcohols, epoxyphenols and epoxyethers</v>
      </c>
      <c r="D1132" s="1" t="s">
        <v>11</v>
      </c>
      <c r="E1132" s="1" t="s">
        <v>11</v>
      </c>
    </row>
    <row r="1133" spans="1:5" ht="15.75" customHeight="1">
      <c r="A1133" s="1">
        <v>291040</v>
      </c>
      <c r="B1133" s="1" t="s">
        <v>1142</v>
      </c>
      <c r="C1133" s="1" t="str">
        <f ca="1">IFERROR(__xludf.DUMMYFUNCTION("REGEXEXTRACT(B1133, ""^([^:]+)"")"),"Epoxides, epoxyalcohols, epoxyphenols and epoxyethers")</f>
        <v>Epoxides, epoxyalcohols, epoxyphenols and epoxyethers</v>
      </c>
      <c r="D1133" s="1" t="s">
        <v>11</v>
      </c>
      <c r="E1133" s="1" t="s">
        <v>11</v>
      </c>
    </row>
    <row r="1134" spans="1:5" ht="15.75" customHeight="1">
      <c r="A1134" s="1">
        <v>291090</v>
      </c>
      <c r="B1134" s="1" t="s">
        <v>1143</v>
      </c>
      <c r="C1134" s="1" t="str">
        <f ca="1">IFERROR(__xludf.DUMMYFUNCTION("REGEXEXTRACT(B1134, ""^([^:]+)"")"),"Epoxides, epoxyalcohols, epoxyphenols and epoxyethers")</f>
        <v>Epoxides, epoxyalcohols, epoxyphenols and epoxyethers</v>
      </c>
      <c r="D1134" s="1" t="s">
        <v>11</v>
      </c>
      <c r="E1134" s="1" t="s">
        <v>11</v>
      </c>
    </row>
    <row r="1135" spans="1:5" ht="15.75" customHeight="1">
      <c r="A1135" s="1">
        <v>291100</v>
      </c>
      <c r="B1135" s="1" t="s">
        <v>1144</v>
      </c>
      <c r="C1135" s="1" t="str">
        <f ca="1">IFERROR(__xludf.DUMMYFUNCTION("REGEXEXTRACT(B1135, ""^([^:]+)"")"),"Acetals and hemiacetals")</f>
        <v>Acetals and hemiacetals</v>
      </c>
      <c r="D1135" s="1" t="s">
        <v>11</v>
      </c>
      <c r="E1135" s="1" t="s">
        <v>11</v>
      </c>
    </row>
    <row r="1136" spans="1:5" ht="15.75" customHeight="1">
      <c r="A1136" s="1">
        <v>291211</v>
      </c>
      <c r="B1136" s="1" t="s">
        <v>1145</v>
      </c>
      <c r="C1136" s="1" t="str">
        <f ca="1">IFERROR(__xludf.DUMMYFUNCTION("REGEXEXTRACT(B1136, ""^([^:]+)"")"),"Aldehydes")</f>
        <v>Aldehydes</v>
      </c>
      <c r="D1136" s="1" t="s">
        <v>11</v>
      </c>
      <c r="E1136" s="1" t="s">
        <v>11</v>
      </c>
    </row>
    <row r="1137" spans="1:5" ht="15.75" customHeight="1">
      <c r="A1137" s="1">
        <v>291212</v>
      </c>
      <c r="B1137" s="1" t="s">
        <v>1146</v>
      </c>
      <c r="C1137" s="1" t="str">
        <f ca="1">IFERROR(__xludf.DUMMYFUNCTION("REGEXEXTRACT(B1137, ""^([^:]+)"")"),"Aldehydes")</f>
        <v>Aldehydes</v>
      </c>
      <c r="D1137" s="1" t="s">
        <v>11</v>
      </c>
      <c r="E1137" s="1" t="s">
        <v>11</v>
      </c>
    </row>
    <row r="1138" spans="1:5" ht="15.75" customHeight="1">
      <c r="A1138" s="1">
        <v>291219</v>
      </c>
      <c r="B1138" s="1" t="s">
        <v>1147</v>
      </c>
      <c r="C1138" s="1" t="str">
        <f ca="1">IFERROR(__xludf.DUMMYFUNCTION("REGEXEXTRACT(B1138, ""^([^:]+)"")"),"Aldehydes")</f>
        <v>Aldehydes</v>
      </c>
      <c r="D1138" s="1" t="s">
        <v>11</v>
      </c>
      <c r="E1138" s="1" t="s">
        <v>11</v>
      </c>
    </row>
    <row r="1139" spans="1:5" ht="15.75" customHeight="1">
      <c r="A1139" s="1">
        <v>291221</v>
      </c>
      <c r="B1139" s="1" t="s">
        <v>1148</v>
      </c>
      <c r="C1139" s="1" t="str">
        <f ca="1">IFERROR(__xludf.DUMMYFUNCTION("REGEXEXTRACT(B1139, ""^([^:]+)"")"),"Aldehydes")</f>
        <v>Aldehydes</v>
      </c>
      <c r="D1139" s="1" t="s">
        <v>11</v>
      </c>
      <c r="E1139" s="1" t="s">
        <v>11</v>
      </c>
    </row>
    <row r="1140" spans="1:5" ht="15.75" customHeight="1">
      <c r="A1140" s="1">
        <v>291229</v>
      </c>
      <c r="B1140" s="1" t="s">
        <v>1149</v>
      </c>
      <c r="C1140" s="1" t="str">
        <f ca="1">IFERROR(__xludf.DUMMYFUNCTION("REGEXEXTRACT(B1140, ""^([^:]+)"")"),"Aldehydes")</f>
        <v>Aldehydes</v>
      </c>
      <c r="D1140" s="1" t="s">
        <v>11</v>
      </c>
      <c r="E1140" s="1" t="s">
        <v>11</v>
      </c>
    </row>
    <row r="1141" spans="1:5" ht="15.75" customHeight="1">
      <c r="A1141" s="1">
        <v>291230</v>
      </c>
      <c r="B1141" s="1" t="s">
        <v>1150</v>
      </c>
      <c r="C1141" s="1" t="str">
        <f ca="1">IFERROR(__xludf.DUMMYFUNCTION("REGEXEXTRACT(B1141, ""^([^:]+)"")"),"Aldehyde-alcohols")</f>
        <v>Aldehyde-alcohols</v>
      </c>
      <c r="D1141" s="1" t="s">
        <v>11</v>
      </c>
      <c r="E1141" s="1" t="s">
        <v>11</v>
      </c>
    </row>
    <row r="1142" spans="1:5" ht="15.75" customHeight="1">
      <c r="A1142" s="1">
        <v>291241</v>
      </c>
      <c r="B1142" s="1" t="s">
        <v>1151</v>
      </c>
      <c r="C1142" s="1" t="str">
        <f ca="1">IFERROR(__xludf.DUMMYFUNCTION("REGEXEXTRACT(B1142, ""^([^:]+)"")"),"Aldehyde-ethers, aldehyde-phenols and aldehydes with other oxygen function")</f>
        <v>Aldehyde-ethers, aldehyde-phenols and aldehydes with other oxygen function</v>
      </c>
      <c r="D1142" s="1" t="s">
        <v>11</v>
      </c>
      <c r="E1142" s="1" t="s">
        <v>11</v>
      </c>
    </row>
    <row r="1143" spans="1:5" ht="15.75" customHeight="1">
      <c r="A1143" s="1">
        <v>291242</v>
      </c>
      <c r="B1143" s="1" t="s">
        <v>1152</v>
      </c>
      <c r="C1143" s="1" t="str">
        <f ca="1">IFERROR(__xludf.DUMMYFUNCTION("REGEXEXTRACT(B1143, ""^([^:]+)"")"),"Aldehyde-ethers, aldehyde-phenols and aldehydes with other oxygen function")</f>
        <v>Aldehyde-ethers, aldehyde-phenols and aldehydes with other oxygen function</v>
      </c>
      <c r="D1143" s="1" t="s">
        <v>11</v>
      </c>
      <c r="E1143" s="1" t="s">
        <v>11</v>
      </c>
    </row>
    <row r="1144" spans="1:5" ht="15.75" customHeight="1">
      <c r="A1144" s="1">
        <v>291249</v>
      </c>
      <c r="B1144" s="1" t="s">
        <v>1153</v>
      </c>
      <c r="C1144" s="1" t="str">
        <f ca="1">IFERROR(__xludf.DUMMYFUNCTION("REGEXEXTRACT(B1144, ""^([^:]+)"")"),"Aldehyde-ethers, aldehyde-phenols and aldehydes with other oxygen function")</f>
        <v>Aldehyde-ethers, aldehyde-phenols and aldehydes with other oxygen function</v>
      </c>
      <c r="D1144" s="1" t="s">
        <v>11</v>
      </c>
      <c r="E1144" s="1" t="s">
        <v>11</v>
      </c>
    </row>
    <row r="1145" spans="1:5" ht="15.75" customHeight="1">
      <c r="A1145" s="1">
        <v>291250</v>
      </c>
      <c r="B1145" s="1" t="s">
        <v>1154</v>
      </c>
      <c r="C1145" s="1" t="str">
        <f ca="1">IFERROR(__xludf.DUMMYFUNCTION("REGEXEXTRACT(B1145, ""^([^:]+)"")"),"Aldehydes")</f>
        <v>Aldehydes</v>
      </c>
      <c r="D1145" s="1" t="s">
        <v>11</v>
      </c>
      <c r="E1145" s="1" t="s">
        <v>11</v>
      </c>
    </row>
    <row r="1146" spans="1:5" ht="15.75" customHeight="1">
      <c r="A1146" s="1">
        <v>291260</v>
      </c>
      <c r="B1146" s="1" t="s">
        <v>1155</v>
      </c>
      <c r="C1146" s="1" t="str">
        <f ca="1">IFERROR(__xludf.DUMMYFUNCTION("REGEXEXTRACT(B1146, ""^([^:]+)"")"),"Paraformaldehyde")</f>
        <v>Paraformaldehyde</v>
      </c>
      <c r="D1146" s="1" t="s">
        <v>11</v>
      </c>
      <c r="E1146" s="1" t="s">
        <v>11</v>
      </c>
    </row>
    <row r="1147" spans="1:5" ht="15.75" customHeight="1">
      <c r="A1147" s="1">
        <v>291300</v>
      </c>
      <c r="B1147" s="1" t="s">
        <v>1156</v>
      </c>
      <c r="C1147" s="1" t="str">
        <f ca="1">IFERROR(__xludf.DUMMYFUNCTION("REGEXEXTRACT(B1147, ""^([^:]+)"")"),"Aldehydes")</f>
        <v>Aldehydes</v>
      </c>
      <c r="D1147" s="1" t="s">
        <v>11</v>
      </c>
      <c r="E1147" s="1" t="s">
        <v>11</v>
      </c>
    </row>
    <row r="1148" spans="1:5" ht="15.75" customHeight="1">
      <c r="A1148" s="1">
        <v>291411</v>
      </c>
      <c r="B1148" s="1" t="s">
        <v>1157</v>
      </c>
      <c r="C1148" s="1" t="str">
        <f ca="1">IFERROR(__xludf.DUMMYFUNCTION("REGEXEXTRACT(B1148, ""^([^:]+)"")"),"Ketones")</f>
        <v>Ketones</v>
      </c>
      <c r="D1148" s="1" t="s">
        <v>11</v>
      </c>
      <c r="E1148" s="1" t="s">
        <v>11</v>
      </c>
    </row>
    <row r="1149" spans="1:5" ht="15.75" customHeight="1">
      <c r="A1149" s="1">
        <v>291412</v>
      </c>
      <c r="B1149" s="1" t="s">
        <v>1158</v>
      </c>
      <c r="C1149" s="1" t="str">
        <f ca="1">IFERROR(__xludf.DUMMYFUNCTION("REGEXEXTRACT(B1149, ""^([^:]+)"")"),"Ketones")</f>
        <v>Ketones</v>
      </c>
      <c r="D1149" s="1" t="s">
        <v>11</v>
      </c>
      <c r="E1149" s="1" t="s">
        <v>11</v>
      </c>
    </row>
    <row r="1150" spans="1:5" ht="15.75" customHeight="1">
      <c r="A1150" s="1">
        <v>291413</v>
      </c>
      <c r="B1150" s="1" t="s">
        <v>1159</v>
      </c>
      <c r="C1150" s="1" t="str">
        <f ca="1">IFERROR(__xludf.DUMMYFUNCTION("REGEXEXTRACT(B1150, ""^([^:]+)"")"),"Ketones")</f>
        <v>Ketones</v>
      </c>
      <c r="D1150" s="1" t="s">
        <v>11</v>
      </c>
      <c r="E1150" s="1" t="s">
        <v>11</v>
      </c>
    </row>
    <row r="1151" spans="1:5" ht="15.75" customHeight="1">
      <c r="A1151" s="1">
        <v>291419</v>
      </c>
      <c r="B1151" s="1" t="s">
        <v>1160</v>
      </c>
      <c r="C1151" s="1" t="str">
        <f ca="1">IFERROR(__xludf.DUMMYFUNCTION("REGEXEXTRACT(B1151, ""^([^:]+)"")"),"Ketones")</f>
        <v>Ketones</v>
      </c>
      <c r="D1151" s="1" t="s">
        <v>11</v>
      </c>
      <c r="E1151" s="1" t="s">
        <v>11</v>
      </c>
    </row>
    <row r="1152" spans="1:5" ht="15.75" customHeight="1">
      <c r="A1152" s="1">
        <v>291421</v>
      </c>
      <c r="B1152" s="1" t="s">
        <v>1161</v>
      </c>
      <c r="C1152" s="1" t="str">
        <f ca="1">IFERROR(__xludf.DUMMYFUNCTION("REGEXEXTRACT(B1152, ""^([^:]+)"")"),"Ketones")</f>
        <v>Ketones</v>
      </c>
      <c r="D1152" s="1" t="s">
        <v>11</v>
      </c>
      <c r="E1152" s="1" t="s">
        <v>11</v>
      </c>
    </row>
    <row r="1153" spans="1:5" ht="15.75" customHeight="1">
      <c r="A1153" s="1">
        <v>291422</v>
      </c>
      <c r="B1153" s="1" t="s">
        <v>1162</v>
      </c>
      <c r="C1153" s="1" t="str">
        <f ca="1">IFERROR(__xludf.DUMMYFUNCTION("REGEXEXTRACT(B1153, ""^([^:]+)"")"),"Ketones")</f>
        <v>Ketones</v>
      </c>
      <c r="D1153" s="1" t="s">
        <v>11</v>
      </c>
      <c r="E1153" s="1" t="s">
        <v>11</v>
      </c>
    </row>
    <row r="1154" spans="1:5" ht="15.75" customHeight="1">
      <c r="A1154" s="1">
        <v>291423</v>
      </c>
      <c r="B1154" s="1" t="s">
        <v>1163</v>
      </c>
      <c r="C1154" s="1" t="str">
        <f ca="1">IFERROR(__xludf.DUMMYFUNCTION("REGEXEXTRACT(B1154, ""^([^:]+)"")"),"Ketones")</f>
        <v>Ketones</v>
      </c>
      <c r="D1154" s="1" t="s">
        <v>11</v>
      </c>
      <c r="E1154" s="1" t="s">
        <v>11</v>
      </c>
    </row>
    <row r="1155" spans="1:5" ht="15.75" customHeight="1">
      <c r="A1155" s="1">
        <v>291429</v>
      </c>
      <c r="B1155" s="1" t="s">
        <v>1164</v>
      </c>
      <c r="C1155" s="1" t="str">
        <f ca="1">IFERROR(__xludf.DUMMYFUNCTION("REGEXEXTRACT(B1155, ""^([^:]+)"")"),"Ketones")</f>
        <v>Ketones</v>
      </c>
      <c r="D1155" s="1" t="s">
        <v>11</v>
      </c>
      <c r="E1155" s="1" t="s">
        <v>11</v>
      </c>
    </row>
    <row r="1156" spans="1:5" ht="15.75" customHeight="1">
      <c r="A1156" s="1">
        <v>291431</v>
      </c>
      <c r="B1156" s="1" t="s">
        <v>1165</v>
      </c>
      <c r="C1156" s="1" t="str">
        <f ca="1">IFERROR(__xludf.DUMMYFUNCTION("REGEXEXTRACT(B1156, ""^([^:]+)"")"),"Ketones")</f>
        <v>Ketones</v>
      </c>
      <c r="D1156" s="1" t="s">
        <v>11</v>
      </c>
      <c r="E1156" s="1" t="s">
        <v>11</v>
      </c>
    </row>
    <row r="1157" spans="1:5" ht="15.75" customHeight="1">
      <c r="A1157" s="1">
        <v>291439</v>
      </c>
      <c r="B1157" s="1" t="s">
        <v>1166</v>
      </c>
      <c r="C1157" s="1" t="str">
        <f ca="1">IFERROR(__xludf.DUMMYFUNCTION("REGEXEXTRACT(B1157, ""^([^:]+)"")"),"Ketones")</f>
        <v>Ketones</v>
      </c>
      <c r="D1157" s="1" t="s">
        <v>11</v>
      </c>
      <c r="E1157" s="1" t="s">
        <v>11</v>
      </c>
    </row>
    <row r="1158" spans="1:5" ht="15.75" customHeight="1">
      <c r="A1158" s="1">
        <v>291440</v>
      </c>
      <c r="B1158" s="1" t="s">
        <v>1167</v>
      </c>
      <c r="C1158" s="1" t="str">
        <f ca="1">IFERROR(__xludf.DUMMYFUNCTION("REGEXEXTRACT(B1158, ""^([^:]+)"")"),"Ketone-alcohols and ketone-aldehydes")</f>
        <v>Ketone-alcohols and ketone-aldehydes</v>
      </c>
      <c r="D1158" s="1" t="s">
        <v>11</v>
      </c>
      <c r="E1158" s="1" t="s">
        <v>11</v>
      </c>
    </row>
    <row r="1159" spans="1:5" ht="15.75" customHeight="1">
      <c r="A1159" s="1">
        <v>291450</v>
      </c>
      <c r="B1159" s="1" t="s">
        <v>1168</v>
      </c>
      <c r="C1159" s="1" t="str">
        <f ca="1">IFERROR(__xludf.DUMMYFUNCTION("REGEXEXTRACT(B1159, ""^([^:]+)"")"),"Ketone-phenols and ketones with other oxygen function")</f>
        <v>Ketone-phenols and ketones with other oxygen function</v>
      </c>
      <c r="D1159" s="1" t="s">
        <v>11</v>
      </c>
      <c r="E1159" s="1" t="s">
        <v>11</v>
      </c>
    </row>
    <row r="1160" spans="1:5" ht="15.75" customHeight="1">
      <c r="A1160" s="1">
        <v>291461</v>
      </c>
      <c r="B1160" s="1" t="s">
        <v>1169</v>
      </c>
      <c r="C1160" s="1" t="str">
        <f ca="1">IFERROR(__xludf.DUMMYFUNCTION("REGEXEXTRACT(B1160, ""^([^:]+)"")"),"Quinones")</f>
        <v>Quinones</v>
      </c>
      <c r="D1160" s="1" t="s">
        <v>11</v>
      </c>
      <c r="E1160" s="1" t="s">
        <v>11</v>
      </c>
    </row>
    <row r="1161" spans="1:5" ht="15.75" customHeight="1">
      <c r="A1161" s="1">
        <v>291469</v>
      </c>
      <c r="B1161" s="1" t="s">
        <v>1170</v>
      </c>
      <c r="C1161" s="1" t="str">
        <f ca="1">IFERROR(__xludf.DUMMYFUNCTION("REGEXEXTRACT(B1161, ""^([^:]+)"")"),"Quinones")</f>
        <v>Quinones</v>
      </c>
      <c r="D1161" s="1" t="s">
        <v>11</v>
      </c>
      <c r="E1161" s="1" t="s">
        <v>11</v>
      </c>
    </row>
    <row r="1162" spans="1:5" ht="15.75" customHeight="1">
      <c r="A1162" s="1">
        <v>291470</v>
      </c>
      <c r="B1162" s="1" t="s">
        <v>1171</v>
      </c>
      <c r="C1162" s="1" t="str">
        <f ca="1">IFERROR(__xludf.DUMMYFUNCTION("REGEXEXTRACT(B1162, ""^([^:]+)"")"),"Ketones and quinones")</f>
        <v>Ketones and quinones</v>
      </c>
      <c r="D1162" s="1" t="s">
        <v>11</v>
      </c>
      <c r="E1162" s="1" t="s">
        <v>11</v>
      </c>
    </row>
    <row r="1163" spans="1:5" ht="15.75" customHeight="1">
      <c r="A1163" s="1">
        <v>291511</v>
      </c>
      <c r="B1163" s="1" t="s">
        <v>1172</v>
      </c>
      <c r="C1163" s="1" t="str">
        <f ca="1">IFERROR(__xludf.DUMMYFUNCTION("REGEXEXTRACT(B1163, ""^([^:]+)"")"),"Acids")</f>
        <v>Acids</v>
      </c>
      <c r="D1163" s="1" t="s">
        <v>11</v>
      </c>
      <c r="E1163" s="1" t="s">
        <v>11</v>
      </c>
    </row>
    <row r="1164" spans="1:5" ht="15.75" customHeight="1">
      <c r="A1164" s="1">
        <v>291512</v>
      </c>
      <c r="B1164" s="1" t="s">
        <v>1173</v>
      </c>
      <c r="C1164" s="1" t="str">
        <f ca="1">IFERROR(__xludf.DUMMYFUNCTION("REGEXEXTRACT(B1164, ""^([^:]+)"")"),"Acids")</f>
        <v>Acids</v>
      </c>
      <c r="D1164" s="1" t="s">
        <v>11</v>
      </c>
      <c r="E1164" s="1" t="s">
        <v>11</v>
      </c>
    </row>
    <row r="1165" spans="1:5" ht="15.75" customHeight="1">
      <c r="A1165" s="1">
        <v>291513</v>
      </c>
      <c r="B1165" s="1" t="s">
        <v>1174</v>
      </c>
      <c r="C1165" s="1" t="str">
        <f ca="1">IFERROR(__xludf.DUMMYFUNCTION("REGEXEXTRACT(B1165, ""^([^:]+)"")"),"Acids")</f>
        <v>Acids</v>
      </c>
      <c r="D1165" s="1" t="s">
        <v>11</v>
      </c>
      <c r="E1165" s="1" t="s">
        <v>11</v>
      </c>
    </row>
    <row r="1166" spans="1:5" ht="15.75" customHeight="1">
      <c r="A1166" s="1">
        <v>291521</v>
      </c>
      <c r="B1166" s="1" t="s">
        <v>1175</v>
      </c>
      <c r="C1166" s="1" t="str">
        <f ca="1">IFERROR(__xludf.DUMMYFUNCTION("REGEXEXTRACT(B1166, ""^([^:]+)"")"),"Acids")</f>
        <v>Acids</v>
      </c>
      <c r="D1166" s="1" t="s">
        <v>11</v>
      </c>
      <c r="E1166" s="1" t="s">
        <v>11</v>
      </c>
    </row>
    <row r="1167" spans="1:5" ht="15.75" customHeight="1">
      <c r="A1167" s="1">
        <v>291524</v>
      </c>
      <c r="B1167" s="1" t="s">
        <v>1176</v>
      </c>
      <c r="C1167" s="1" t="str">
        <f ca="1">IFERROR(__xludf.DUMMYFUNCTION("REGEXEXTRACT(B1167, ""^([^:]+)"")"),"Acids")</f>
        <v>Acids</v>
      </c>
      <c r="D1167" s="1" t="s">
        <v>11</v>
      </c>
      <c r="E1167" s="1" t="s">
        <v>11</v>
      </c>
    </row>
    <row r="1168" spans="1:5" ht="15.75" customHeight="1">
      <c r="A1168" s="1">
        <v>291529</v>
      </c>
      <c r="B1168" s="1" t="s">
        <v>1177</v>
      </c>
      <c r="C1168" s="1" t="str">
        <f ca="1">IFERROR(__xludf.DUMMYFUNCTION("REGEXEXTRACT(B1168, ""^([^:]+)"")"),"Acids")</f>
        <v>Acids</v>
      </c>
      <c r="D1168" s="1" t="s">
        <v>11</v>
      </c>
      <c r="E1168" s="1" t="s">
        <v>11</v>
      </c>
    </row>
    <row r="1169" spans="1:5" ht="15.75" customHeight="1">
      <c r="A1169" s="1">
        <v>291531</v>
      </c>
      <c r="B1169" s="1" t="s">
        <v>1178</v>
      </c>
      <c r="C1169" s="1" t="str">
        <f ca="1">IFERROR(__xludf.DUMMYFUNCTION("REGEXEXTRACT(B1169, ""^([^:]+)"")"),"Acids")</f>
        <v>Acids</v>
      </c>
      <c r="D1169" s="1" t="s">
        <v>11</v>
      </c>
      <c r="E1169" s="1" t="s">
        <v>11</v>
      </c>
    </row>
    <row r="1170" spans="1:5" ht="15.75" customHeight="1">
      <c r="A1170" s="1">
        <v>291532</v>
      </c>
      <c r="B1170" s="1" t="s">
        <v>1179</v>
      </c>
      <c r="C1170" s="1" t="str">
        <f ca="1">IFERROR(__xludf.DUMMYFUNCTION("REGEXEXTRACT(B1170, ""^([^:]+)"")"),"Acids")</f>
        <v>Acids</v>
      </c>
      <c r="D1170" s="1" t="s">
        <v>11</v>
      </c>
      <c r="E1170" s="1" t="s">
        <v>11</v>
      </c>
    </row>
    <row r="1171" spans="1:5" ht="15.75" customHeight="1">
      <c r="A1171" s="1">
        <v>291533</v>
      </c>
      <c r="B1171" s="1" t="s">
        <v>1180</v>
      </c>
      <c r="C1171" s="1" t="str">
        <f ca="1">IFERROR(__xludf.DUMMYFUNCTION("REGEXEXTRACT(B1171, ""^([^:]+)"")"),"Acids")</f>
        <v>Acids</v>
      </c>
      <c r="D1171" s="1" t="s">
        <v>11</v>
      </c>
      <c r="E1171" s="1" t="s">
        <v>11</v>
      </c>
    </row>
    <row r="1172" spans="1:5" ht="15.75" customHeight="1">
      <c r="A1172" s="1">
        <v>291536</v>
      </c>
      <c r="B1172" s="1" t="s">
        <v>1181</v>
      </c>
      <c r="C1172" s="1" t="str">
        <f ca="1">IFERROR(__xludf.DUMMYFUNCTION("REGEXEXTRACT(B1172, ""^([^:]+)"")"),"Acids")</f>
        <v>Acids</v>
      </c>
      <c r="D1172" s="1" t="s">
        <v>11</v>
      </c>
      <c r="E1172" s="1" t="s">
        <v>11</v>
      </c>
    </row>
    <row r="1173" spans="1:5" ht="15.75" customHeight="1">
      <c r="A1173" s="1">
        <v>291539</v>
      </c>
      <c r="B1173" s="1" t="s">
        <v>1182</v>
      </c>
      <c r="C1173" s="1" t="str">
        <f ca="1">IFERROR(__xludf.DUMMYFUNCTION("REGEXEXTRACT(B1173, ""^([^:]+)"")"),"Acids")</f>
        <v>Acids</v>
      </c>
      <c r="D1173" s="1" t="s">
        <v>11</v>
      </c>
      <c r="E1173" s="1" t="s">
        <v>11</v>
      </c>
    </row>
    <row r="1174" spans="1:5" ht="15.75" customHeight="1">
      <c r="A1174" s="1">
        <v>291540</v>
      </c>
      <c r="B1174" s="1" t="s">
        <v>1183</v>
      </c>
      <c r="C1174" s="1" t="str">
        <f ca="1">IFERROR(__xludf.DUMMYFUNCTION("REGEXEXTRACT(B1174, ""^([^:]+)"")"),"Acids")</f>
        <v>Acids</v>
      </c>
      <c r="D1174" s="1" t="s">
        <v>11</v>
      </c>
      <c r="E1174" s="1" t="s">
        <v>11</v>
      </c>
    </row>
    <row r="1175" spans="1:5" ht="15.75" customHeight="1">
      <c r="A1175" s="1">
        <v>291550</v>
      </c>
      <c r="B1175" s="1" t="s">
        <v>1184</v>
      </c>
      <c r="C1175" s="1" t="str">
        <f ca="1">IFERROR(__xludf.DUMMYFUNCTION("REGEXEXTRACT(B1175, ""^([^:]+)"")"),"Acids")</f>
        <v>Acids</v>
      </c>
      <c r="D1175" s="1" t="s">
        <v>11</v>
      </c>
      <c r="E1175" s="1" t="s">
        <v>11</v>
      </c>
    </row>
    <row r="1176" spans="1:5" ht="15.75" customHeight="1">
      <c r="A1176" s="1">
        <v>291560</v>
      </c>
      <c r="B1176" s="1" t="s">
        <v>1185</v>
      </c>
      <c r="C1176" s="1" t="str">
        <f ca="1">IFERROR(__xludf.DUMMYFUNCTION("REGEXEXTRACT(B1176, ""^([^:]+)"")"),"Acids")</f>
        <v>Acids</v>
      </c>
      <c r="D1176" s="1" t="s">
        <v>11</v>
      </c>
      <c r="E1176" s="1" t="s">
        <v>11</v>
      </c>
    </row>
    <row r="1177" spans="1:5" ht="15.75" customHeight="1">
      <c r="A1177" s="1">
        <v>291570</v>
      </c>
      <c r="B1177" s="1" t="s">
        <v>1186</v>
      </c>
      <c r="C1177" s="1" t="str">
        <f ca="1">IFERROR(__xludf.DUMMYFUNCTION("REGEXEXTRACT(B1177, ""^([^:]+)"")"),"Acids")</f>
        <v>Acids</v>
      </c>
      <c r="D1177" s="1" t="s">
        <v>11</v>
      </c>
      <c r="E1177" s="1" t="s">
        <v>11</v>
      </c>
    </row>
    <row r="1178" spans="1:5" ht="15.75" customHeight="1">
      <c r="A1178" s="1">
        <v>291590</v>
      </c>
      <c r="B1178" s="1" t="s">
        <v>1187</v>
      </c>
      <c r="C1178" s="1" t="str">
        <f ca="1">IFERROR(__xludf.DUMMYFUNCTION("REGEXEXTRACT(B1178, ""^([^:]+)"")"),"Acids")</f>
        <v>Acids</v>
      </c>
      <c r="D1178" s="1" t="s">
        <v>11</v>
      </c>
      <c r="E1178" s="1" t="s">
        <v>11</v>
      </c>
    </row>
    <row r="1179" spans="1:5" ht="15.75" customHeight="1">
      <c r="A1179" s="1">
        <v>291611</v>
      </c>
      <c r="B1179" s="1" t="s">
        <v>1188</v>
      </c>
      <c r="C1179" s="1" t="str">
        <f ca="1">IFERROR(__xludf.DUMMYFUNCTION("REGEXEXTRACT(B1179, ""^([^:]+)"")"),"Acids")</f>
        <v>Acids</v>
      </c>
      <c r="D1179" s="1" t="s">
        <v>11</v>
      </c>
      <c r="E1179" s="1" t="s">
        <v>11</v>
      </c>
    </row>
    <row r="1180" spans="1:5" ht="15.75" customHeight="1">
      <c r="A1180" s="1">
        <v>291612</v>
      </c>
      <c r="B1180" s="1" t="s">
        <v>1189</v>
      </c>
      <c r="C1180" s="1" t="str">
        <f ca="1">IFERROR(__xludf.DUMMYFUNCTION("REGEXEXTRACT(B1180, ""^([^:]+)"")"),"Acids")</f>
        <v>Acids</v>
      </c>
      <c r="D1180" s="1" t="s">
        <v>11</v>
      </c>
      <c r="E1180" s="1" t="s">
        <v>11</v>
      </c>
    </row>
    <row r="1181" spans="1:5" ht="15.75" customHeight="1">
      <c r="A1181" s="1">
        <v>291613</v>
      </c>
      <c r="B1181" s="1" t="s">
        <v>1190</v>
      </c>
      <c r="C1181" s="1" t="str">
        <f ca="1">IFERROR(__xludf.DUMMYFUNCTION("REGEXEXTRACT(B1181, ""^([^:]+)"")"),"Acids")</f>
        <v>Acids</v>
      </c>
      <c r="D1181" s="1" t="s">
        <v>11</v>
      </c>
      <c r="E1181" s="1" t="s">
        <v>11</v>
      </c>
    </row>
    <row r="1182" spans="1:5" ht="15.75" customHeight="1">
      <c r="A1182" s="1">
        <v>291614</v>
      </c>
      <c r="B1182" s="1" t="s">
        <v>1191</v>
      </c>
      <c r="C1182" s="1" t="str">
        <f ca="1">IFERROR(__xludf.DUMMYFUNCTION("REGEXEXTRACT(B1182, ""^([^:]+)"")"),"Acids")</f>
        <v>Acids</v>
      </c>
      <c r="D1182" s="1" t="s">
        <v>11</v>
      </c>
      <c r="E1182" s="1" t="s">
        <v>11</v>
      </c>
    </row>
    <row r="1183" spans="1:5" ht="15.75" customHeight="1">
      <c r="A1183" s="1">
        <v>291615</v>
      </c>
      <c r="B1183" s="1" t="s">
        <v>1192</v>
      </c>
      <c r="C1183" s="1" t="str">
        <f ca="1">IFERROR(__xludf.DUMMYFUNCTION("REGEXEXTRACT(B1183, ""^([^:]+)"")"),"Acids")</f>
        <v>Acids</v>
      </c>
      <c r="D1183" s="1" t="s">
        <v>11</v>
      </c>
      <c r="E1183" s="1" t="s">
        <v>11</v>
      </c>
    </row>
    <row r="1184" spans="1:5" ht="15.75" customHeight="1">
      <c r="A1184" s="1">
        <v>291619</v>
      </c>
      <c r="B1184" s="1" t="s">
        <v>1193</v>
      </c>
      <c r="C1184" s="1" t="str">
        <f ca="1">IFERROR(__xludf.DUMMYFUNCTION("REGEXEXTRACT(B1184, ""^([^:]+)"")"),"Acids")</f>
        <v>Acids</v>
      </c>
      <c r="D1184" s="1" t="s">
        <v>11</v>
      </c>
      <c r="E1184" s="1" t="s">
        <v>11</v>
      </c>
    </row>
    <row r="1185" spans="1:5" ht="15.75" customHeight="1">
      <c r="A1185" s="1">
        <v>291620</v>
      </c>
      <c r="B1185" s="1" t="s">
        <v>1194</v>
      </c>
      <c r="C1185" s="1" t="str">
        <f ca="1">IFERROR(__xludf.DUMMYFUNCTION("REGEXEXTRACT(B1185, ""^([^:]+)"")"),"Acids")</f>
        <v>Acids</v>
      </c>
      <c r="D1185" s="1" t="s">
        <v>11</v>
      </c>
      <c r="E1185" s="1" t="s">
        <v>11</v>
      </c>
    </row>
    <row r="1186" spans="1:5" ht="15.75" customHeight="1">
      <c r="A1186" s="1">
        <v>291631</v>
      </c>
      <c r="B1186" s="1" t="s">
        <v>1195</v>
      </c>
      <c r="C1186" s="1" t="str">
        <f ca="1">IFERROR(__xludf.DUMMYFUNCTION("REGEXEXTRACT(B1186, ""^([^:]+)"")"),"Acids")</f>
        <v>Acids</v>
      </c>
      <c r="D1186" s="1" t="s">
        <v>11</v>
      </c>
      <c r="E1186" s="1" t="s">
        <v>11</v>
      </c>
    </row>
    <row r="1187" spans="1:5" ht="15.75" customHeight="1">
      <c r="A1187" s="1">
        <v>291632</v>
      </c>
      <c r="B1187" s="1" t="s">
        <v>1196</v>
      </c>
      <c r="C1187" s="1" t="str">
        <f ca="1">IFERROR(__xludf.DUMMYFUNCTION("REGEXEXTRACT(B1187, ""^([^:]+)"")"),"Acids")</f>
        <v>Acids</v>
      </c>
      <c r="D1187" s="1" t="s">
        <v>11</v>
      </c>
      <c r="E1187" s="1" t="s">
        <v>11</v>
      </c>
    </row>
    <row r="1188" spans="1:5" ht="15.75" customHeight="1">
      <c r="A1188" s="1">
        <v>291634</v>
      </c>
      <c r="B1188" s="1" t="s">
        <v>1197</v>
      </c>
      <c r="C1188" s="1" t="str">
        <f ca="1">IFERROR(__xludf.DUMMYFUNCTION("REGEXEXTRACT(B1188, ""^([^:]+)"")"),"Acids")</f>
        <v>Acids</v>
      </c>
      <c r="D1188" s="1" t="s">
        <v>11</v>
      </c>
      <c r="E1188" s="1" t="s">
        <v>11</v>
      </c>
    </row>
    <row r="1189" spans="1:5" ht="15.75" customHeight="1">
      <c r="A1189" s="1">
        <v>291635</v>
      </c>
      <c r="B1189" s="1" t="s">
        <v>1198</v>
      </c>
      <c r="C1189" s="1" t="str">
        <f ca="1">IFERROR(__xludf.DUMMYFUNCTION("REGEXEXTRACT(B1189, ""^([^:]+)"")"),"Acids")</f>
        <v>Acids</v>
      </c>
      <c r="D1189" s="1" t="s">
        <v>11</v>
      </c>
      <c r="E1189" s="1" t="s">
        <v>11</v>
      </c>
    </row>
    <row r="1190" spans="1:5" ht="15.75" customHeight="1">
      <c r="A1190" s="1">
        <v>291636</v>
      </c>
      <c r="B1190" s="1" t="s">
        <v>1199</v>
      </c>
      <c r="C1190" s="1" t="str">
        <f ca="1">IFERROR(__xludf.DUMMYFUNCTION("REGEXEXTRACT(B1190, ""^([^:]+)"")"),"Acids")</f>
        <v>Acids</v>
      </c>
      <c r="D1190" s="1" t="s">
        <v>11</v>
      </c>
      <c r="E1190" s="1" t="s">
        <v>11</v>
      </c>
    </row>
    <row r="1191" spans="1:5" ht="15.75" customHeight="1">
      <c r="A1191" s="1">
        <v>291639</v>
      </c>
      <c r="B1191" s="1" t="s">
        <v>1200</v>
      </c>
      <c r="C1191" s="1" t="str">
        <f ca="1">IFERROR(__xludf.DUMMYFUNCTION("REGEXEXTRACT(B1191, ""^([^:]+)"")"),"Acids")</f>
        <v>Acids</v>
      </c>
      <c r="D1191" s="1" t="s">
        <v>11</v>
      </c>
      <c r="E1191" s="1" t="s">
        <v>11</v>
      </c>
    </row>
    <row r="1192" spans="1:5" ht="15.75" customHeight="1">
      <c r="A1192" s="1">
        <v>291711</v>
      </c>
      <c r="B1192" s="1" t="s">
        <v>1201</v>
      </c>
      <c r="C1192" s="1" t="str">
        <f ca="1">IFERROR(__xludf.DUMMYFUNCTION("REGEXEXTRACT(B1192, ""^([^:]+)"")"),"Acids")</f>
        <v>Acids</v>
      </c>
      <c r="D1192" s="1" t="s">
        <v>11</v>
      </c>
      <c r="E1192" s="1" t="s">
        <v>11</v>
      </c>
    </row>
    <row r="1193" spans="1:5" ht="15.75" customHeight="1">
      <c r="A1193" s="1">
        <v>291712</v>
      </c>
      <c r="B1193" s="1" t="s">
        <v>1202</v>
      </c>
      <c r="C1193" s="1" t="str">
        <f ca="1">IFERROR(__xludf.DUMMYFUNCTION("REGEXEXTRACT(B1193, ""^([^:]+)"")"),"Acids")</f>
        <v>Acids</v>
      </c>
      <c r="D1193" s="1" t="s">
        <v>11</v>
      </c>
      <c r="E1193" s="1" t="s">
        <v>11</v>
      </c>
    </row>
    <row r="1194" spans="1:5" ht="15.75" customHeight="1">
      <c r="A1194" s="1">
        <v>291713</v>
      </c>
      <c r="B1194" s="1" t="s">
        <v>1203</v>
      </c>
      <c r="C1194" s="1" t="str">
        <f ca="1">IFERROR(__xludf.DUMMYFUNCTION("REGEXEXTRACT(B1194, ""^([^:]+)"")"),"Acids")</f>
        <v>Acids</v>
      </c>
      <c r="D1194" s="1" t="s">
        <v>11</v>
      </c>
      <c r="E1194" s="1" t="s">
        <v>11</v>
      </c>
    </row>
    <row r="1195" spans="1:5" ht="15.75" customHeight="1">
      <c r="A1195" s="1">
        <v>291714</v>
      </c>
      <c r="B1195" s="1" t="s">
        <v>1204</v>
      </c>
      <c r="C1195" s="1" t="str">
        <f ca="1">IFERROR(__xludf.DUMMYFUNCTION("REGEXEXTRACT(B1195, ""^([^:]+)"")"),"Acids")</f>
        <v>Acids</v>
      </c>
      <c r="D1195" s="1" t="s">
        <v>11</v>
      </c>
      <c r="E1195" s="1" t="s">
        <v>11</v>
      </c>
    </row>
    <row r="1196" spans="1:5" ht="15.75" customHeight="1">
      <c r="A1196" s="1">
        <v>291719</v>
      </c>
      <c r="B1196" s="1" t="s">
        <v>1205</v>
      </c>
      <c r="C1196" s="1" t="str">
        <f ca="1">IFERROR(__xludf.DUMMYFUNCTION("REGEXEXTRACT(B1196, ""^([^:]+)"")"),"Acids")</f>
        <v>Acids</v>
      </c>
      <c r="D1196" s="1" t="s">
        <v>11</v>
      </c>
      <c r="E1196" s="1" t="s">
        <v>11</v>
      </c>
    </row>
    <row r="1197" spans="1:5" ht="15.75" customHeight="1">
      <c r="A1197" s="1">
        <v>291720</v>
      </c>
      <c r="B1197" s="1" t="s">
        <v>1206</v>
      </c>
      <c r="C1197" s="1" t="str">
        <f ca="1">IFERROR(__xludf.DUMMYFUNCTION("REGEXEXTRACT(B1197, ""^([^:]+)"")"),"Acids")</f>
        <v>Acids</v>
      </c>
      <c r="D1197" s="1" t="s">
        <v>11</v>
      </c>
      <c r="E1197" s="1" t="s">
        <v>11</v>
      </c>
    </row>
    <row r="1198" spans="1:5" ht="15.75" customHeight="1">
      <c r="A1198" s="1">
        <v>291732</v>
      </c>
      <c r="B1198" s="1" t="s">
        <v>1207</v>
      </c>
      <c r="C1198" s="1" t="str">
        <f ca="1">IFERROR(__xludf.DUMMYFUNCTION("REGEXEXTRACT(B1198, ""^([^:]+)"")"),"Acids")</f>
        <v>Acids</v>
      </c>
      <c r="D1198" s="1" t="s">
        <v>11</v>
      </c>
      <c r="E1198" s="1" t="s">
        <v>11</v>
      </c>
    </row>
    <row r="1199" spans="1:5" ht="15.75" customHeight="1">
      <c r="A1199" s="1">
        <v>291733</v>
      </c>
      <c r="B1199" s="1" t="s">
        <v>1208</v>
      </c>
      <c r="C1199" s="1" t="str">
        <f ca="1">IFERROR(__xludf.DUMMYFUNCTION("REGEXEXTRACT(B1199, ""^([^:]+)"")"),"Acids")</f>
        <v>Acids</v>
      </c>
      <c r="D1199" s="1" t="s">
        <v>11</v>
      </c>
      <c r="E1199" s="1" t="s">
        <v>11</v>
      </c>
    </row>
    <row r="1200" spans="1:5" ht="15.75" customHeight="1">
      <c r="A1200" s="1">
        <v>291734</v>
      </c>
      <c r="B1200" s="1" t="s">
        <v>1209</v>
      </c>
      <c r="C1200" s="1" t="str">
        <f ca="1">IFERROR(__xludf.DUMMYFUNCTION("REGEXEXTRACT(B1200, ""^([^:]+)"")"),"Acids")</f>
        <v>Acids</v>
      </c>
      <c r="D1200" s="1" t="s">
        <v>11</v>
      </c>
      <c r="E1200" s="1" t="s">
        <v>11</v>
      </c>
    </row>
    <row r="1201" spans="1:6" ht="15.75" customHeight="1">
      <c r="A1201" s="1">
        <v>291735</v>
      </c>
      <c r="B1201" s="1" t="s">
        <v>1210</v>
      </c>
      <c r="C1201" s="1" t="str">
        <f ca="1">IFERROR(__xludf.DUMMYFUNCTION("REGEXEXTRACT(B1201, ""^([^:]+)"")"),"Acids")</f>
        <v>Acids</v>
      </c>
      <c r="D1201" s="1" t="s">
        <v>11</v>
      </c>
      <c r="E1201" s="1" t="s">
        <v>11</v>
      </c>
    </row>
    <row r="1202" spans="1:6" ht="15.75" customHeight="1">
      <c r="A1202" s="1">
        <v>291736</v>
      </c>
      <c r="B1202" s="1" t="s">
        <v>1211</v>
      </c>
      <c r="C1202" s="1" t="str">
        <f ca="1">IFERROR(__xludf.DUMMYFUNCTION("REGEXEXTRACT(B1202, ""^([^:]+)"")"),"Acids")</f>
        <v>Acids</v>
      </c>
      <c r="D1202" s="1" t="s">
        <v>11</v>
      </c>
      <c r="E1202" s="1" t="s">
        <v>11</v>
      </c>
    </row>
    <row r="1203" spans="1:6" ht="15.75" customHeight="1">
      <c r="A1203" s="1">
        <v>291737</v>
      </c>
      <c r="B1203" s="1" t="s">
        <v>1212</v>
      </c>
      <c r="C1203" s="1" t="str">
        <f ca="1">IFERROR(__xludf.DUMMYFUNCTION("REGEXEXTRACT(B1203, ""^([^:]+)"")"),"Acids")</f>
        <v>Acids</v>
      </c>
      <c r="D1203" s="1" t="s">
        <v>11</v>
      </c>
      <c r="E1203" s="1" t="s">
        <v>11</v>
      </c>
    </row>
    <row r="1204" spans="1:6" ht="15.75" customHeight="1">
      <c r="A1204" s="1">
        <v>291739</v>
      </c>
      <c r="B1204" s="1" t="s">
        <v>1213</v>
      </c>
      <c r="C1204" s="1" t="str">
        <f ca="1">IFERROR(__xludf.DUMMYFUNCTION("REGEXEXTRACT(B1204, ""^([^:]+)"")"),"Acids")</f>
        <v>Acids</v>
      </c>
      <c r="D1204" s="1" t="s">
        <v>11</v>
      </c>
      <c r="E1204" s="1" t="s">
        <v>11</v>
      </c>
    </row>
    <row r="1205" spans="1:6" ht="15.75" customHeight="1">
      <c r="A1205" s="1">
        <v>291811</v>
      </c>
      <c r="B1205" s="1" t="s">
        <v>1214</v>
      </c>
      <c r="C1205" s="1" t="str">
        <f ca="1">IFERROR(__xludf.DUMMYFUNCTION("REGEXEXTRACT(B1205, ""^([^:]+)"")"),"Acids")</f>
        <v>Acids</v>
      </c>
      <c r="D1205" s="1" t="s">
        <v>11</v>
      </c>
      <c r="E1205" s="1" t="s">
        <v>11</v>
      </c>
    </row>
    <row r="1206" spans="1:6" ht="15.75" customHeight="1">
      <c r="A1206" s="1">
        <v>291812</v>
      </c>
      <c r="B1206" s="1" t="s">
        <v>1215</v>
      </c>
      <c r="C1206" s="1" t="str">
        <f ca="1">IFERROR(__xludf.DUMMYFUNCTION("REGEXEXTRACT(B1206, ""^([^:]+)"")"),"Acids")</f>
        <v>Acids</v>
      </c>
      <c r="D1206" s="1" t="s">
        <v>11</v>
      </c>
      <c r="E1206" s="1" t="s">
        <v>11</v>
      </c>
    </row>
    <row r="1207" spans="1:6" ht="15.75" customHeight="1">
      <c r="A1207" s="1">
        <v>291813</v>
      </c>
      <c r="B1207" s="1" t="s">
        <v>1216</v>
      </c>
      <c r="C1207" s="1" t="str">
        <f ca="1">IFERROR(__xludf.DUMMYFUNCTION("REGEXEXTRACT(B1207, ""^([^:]+)"")"),"Acids")</f>
        <v>Acids</v>
      </c>
      <c r="D1207" s="1" t="s">
        <v>11</v>
      </c>
      <c r="E1207" s="1" t="s">
        <v>11</v>
      </c>
    </row>
    <row r="1208" spans="1:6" ht="15.75" customHeight="1">
      <c r="A1208" s="1">
        <v>291814</v>
      </c>
      <c r="B1208" s="1" t="s">
        <v>1217</v>
      </c>
      <c r="C1208" s="1" t="str">
        <f ca="1">IFERROR(__xludf.DUMMYFUNCTION("REGEXEXTRACT(B1208, ""^([^:]+)"")"),"Acids")</f>
        <v>Acids</v>
      </c>
      <c r="D1208" s="1" t="s">
        <v>11</v>
      </c>
      <c r="E1208" s="1" t="s">
        <v>11</v>
      </c>
    </row>
    <row r="1209" spans="1:6" ht="15.75" customHeight="1">
      <c r="A1209" s="1">
        <v>291815</v>
      </c>
      <c r="B1209" s="1" t="s">
        <v>1218</v>
      </c>
      <c r="C1209" s="1" t="str">
        <f ca="1">IFERROR(__xludf.DUMMYFUNCTION("REGEXEXTRACT(B1209, ""^([^:]+)"")"),"Acids")</f>
        <v>Acids</v>
      </c>
      <c r="D1209" s="1" t="s">
        <v>11</v>
      </c>
      <c r="E1209" s="1" t="s">
        <v>11</v>
      </c>
    </row>
    <row r="1210" spans="1:6" ht="15.75" customHeight="1">
      <c r="A1210" s="1">
        <v>291816</v>
      </c>
      <c r="B1210" s="1" t="s">
        <v>1219</v>
      </c>
      <c r="C1210" s="1" t="str">
        <f ca="1">IFERROR(__xludf.DUMMYFUNCTION("REGEXEXTRACT(B1210, ""^([^:]+)"")"),"Acids")</f>
        <v>Acids</v>
      </c>
      <c r="D1210" s="1" t="s">
        <v>11</v>
      </c>
      <c r="E1210" s="1" t="s">
        <v>11</v>
      </c>
    </row>
    <row r="1211" spans="1:6" ht="15.75" customHeight="1">
      <c r="A1211" s="1">
        <v>291818</v>
      </c>
      <c r="B1211" s="1" t="s">
        <v>1220</v>
      </c>
      <c r="C1211" s="1" t="str">
        <f ca="1">IFERROR(__xludf.DUMMYFUNCTION("REGEXEXTRACT(B1211, ""^([^:]+)"")"),"Acids")</f>
        <v>Acids</v>
      </c>
      <c r="D1211" s="1" t="s">
        <v>11</v>
      </c>
      <c r="E1211" s="1" t="s">
        <v>11</v>
      </c>
    </row>
    <row r="1212" spans="1:6" ht="15.75" customHeight="1">
      <c r="A1212" s="1">
        <v>291819</v>
      </c>
      <c r="B1212" s="1" t="s">
        <v>1221</v>
      </c>
      <c r="C1212" s="1" t="str">
        <f ca="1">IFERROR(__xludf.DUMMYFUNCTION("REGEXEXTRACT(B1212, ""^([^:]+)"")"),"Acids")</f>
        <v>Acids</v>
      </c>
      <c r="D1212" s="1" t="s">
        <v>11</v>
      </c>
      <c r="E1212" s="1" t="s">
        <v>11</v>
      </c>
    </row>
    <row r="1213" spans="1:6" ht="15.75" customHeight="1">
      <c r="A1213" s="7">
        <v>294000</v>
      </c>
      <c r="B1213" s="7" t="s">
        <v>1377</v>
      </c>
      <c r="C1213" s="1" t="str">
        <f ca="1">IFERROR(__xludf.DUMMYFUNCTION("REGEXEXTRACT(B1213, ""^([^:]+)"")"),"Sugars, chemically pure, other than sucrose, lactose, maltose, glucose and fructose")</f>
        <v>Sugars, chemically pure, other than sucrose, lactose, maltose, glucose and fructose</v>
      </c>
      <c r="D1213" s="7"/>
      <c r="E1213" s="7"/>
    </row>
    <row r="1214" spans="1:6" ht="15.75" customHeight="1">
      <c r="A1214" s="7">
        <v>300230</v>
      </c>
      <c r="B1214" s="7" t="s">
        <v>1396</v>
      </c>
      <c r="C1214" s="1" t="str">
        <f ca="1">IFERROR(__xludf.DUMMYFUNCTION("REGEXEXTRACT(B1214, ""^([^:]+)"")"),"Vaccines")</f>
        <v>Vaccines</v>
      </c>
      <c r="D1214" s="7"/>
      <c r="E1214" s="7"/>
    </row>
    <row r="1215" spans="1:6" ht="15.75" customHeight="1">
      <c r="A1215" s="7">
        <v>382100</v>
      </c>
      <c r="B1215" s="7" t="s">
        <v>1655</v>
      </c>
      <c r="C1215" s="1" t="str">
        <f ca="1">IFERROR(__xludf.DUMMYFUNCTION("REGEXEXTRACT(B1215, ""^([^:]+)"")"),"Prepared culture media for the development or maintenance of micro-organisms (including viruses and the like) or of plant, human or animal cells")</f>
        <v>Prepared culture media for the development or maintenance of micro-organisms (including viruses and the like) or of plant, human or animal cells</v>
      </c>
      <c r="D1215" s="7"/>
      <c r="E1215" s="7"/>
      <c r="F1215" s="7"/>
    </row>
    <row r="1216" spans="1:6" ht="15.75" customHeight="1">
      <c r="A1216" s="1">
        <v>291829</v>
      </c>
      <c r="B1216" s="1" t="s">
        <v>1227</v>
      </c>
      <c r="C1216" s="1" t="str">
        <f ca="1">IFERROR(__xludf.DUMMYFUNCTION("REGEXEXTRACT(B1216, ""^([^:]+)"")"),"Acids")</f>
        <v>Acids</v>
      </c>
      <c r="D1216" s="1" t="s">
        <v>11</v>
      </c>
      <c r="E1216" s="1" t="s">
        <v>11</v>
      </c>
    </row>
    <row r="1217" spans="1:5" ht="15.75" customHeight="1">
      <c r="A1217" s="1">
        <v>291830</v>
      </c>
      <c r="B1217" s="1" t="s">
        <v>1229</v>
      </c>
      <c r="C1217" s="1" t="str">
        <f ca="1">IFERROR(__xludf.DUMMYFUNCTION("REGEXEXTRACT(B1217, ""^([^:]+)"")"),"Acids")</f>
        <v>Acids</v>
      </c>
      <c r="D1217" s="1" t="s">
        <v>11</v>
      </c>
      <c r="E1217" s="1" t="s">
        <v>11</v>
      </c>
    </row>
    <row r="1218" spans="1:5" ht="15.75" customHeight="1">
      <c r="A1218" s="1">
        <v>291891</v>
      </c>
      <c r="B1218" s="1" t="s">
        <v>1230</v>
      </c>
      <c r="C1218" s="1" t="str">
        <f ca="1">IFERROR(__xludf.DUMMYFUNCTION("REGEXEXTRACT(B1218, ""^([^:]+)"")"),"Acids")</f>
        <v>Acids</v>
      </c>
      <c r="D1218" s="1" t="s">
        <v>11</v>
      </c>
      <c r="E1218" s="1" t="s">
        <v>11</v>
      </c>
    </row>
    <row r="1219" spans="1:5" ht="15.75" customHeight="1">
      <c r="A1219" s="1">
        <v>291899</v>
      </c>
      <c r="B1219" s="1" t="s">
        <v>1231</v>
      </c>
      <c r="C1219" s="1" t="str">
        <f ca="1">IFERROR(__xludf.DUMMYFUNCTION("REGEXEXTRACT(B1219, ""^([^:]+)"")"),"Acids")</f>
        <v>Acids</v>
      </c>
      <c r="D1219" s="1" t="s">
        <v>11</v>
      </c>
      <c r="E1219" s="1" t="s">
        <v>11</v>
      </c>
    </row>
    <row r="1220" spans="1:5" ht="15.75" customHeight="1">
      <c r="A1220" s="1">
        <v>291910</v>
      </c>
      <c r="B1220" s="1" t="s">
        <v>1232</v>
      </c>
      <c r="C1220" s="1" t="str">
        <f ca="1">IFERROR(__xludf.DUMMYFUNCTION("REGEXEXTRACT(B1220, ""^([^:]+)"")"),"Esters")</f>
        <v>Esters</v>
      </c>
      <c r="D1220" s="1" t="s">
        <v>11</v>
      </c>
      <c r="E1220" s="1" t="s">
        <v>11</v>
      </c>
    </row>
    <row r="1221" spans="1:5" ht="15.75" customHeight="1">
      <c r="A1221" s="1">
        <v>291990</v>
      </c>
      <c r="B1221" s="1" t="s">
        <v>1233</v>
      </c>
      <c r="C1221" s="1" t="str">
        <f ca="1">IFERROR(__xludf.DUMMYFUNCTION("REGEXEXTRACT(B1221, ""^([^:]+)"")"),"Esters")</f>
        <v>Esters</v>
      </c>
      <c r="D1221" s="1" t="s">
        <v>11</v>
      </c>
      <c r="E1221" s="1" t="s">
        <v>11</v>
      </c>
    </row>
    <row r="1222" spans="1:5" ht="15.75" customHeight="1">
      <c r="A1222" s="1">
        <v>292011</v>
      </c>
      <c r="B1222" s="1" t="s">
        <v>1234</v>
      </c>
      <c r="C1222" s="1" t="str">
        <f ca="1">IFERROR(__xludf.DUMMYFUNCTION("REGEXEXTRACT(B1222, ""^([^:]+)"")"),"Esters")</f>
        <v>Esters</v>
      </c>
      <c r="D1222" s="1" t="s">
        <v>11</v>
      </c>
      <c r="E1222" s="1" t="s">
        <v>11</v>
      </c>
    </row>
    <row r="1223" spans="1:5" ht="15.75" customHeight="1">
      <c r="A1223" s="1">
        <v>292019</v>
      </c>
      <c r="B1223" s="1" t="s">
        <v>1235</v>
      </c>
      <c r="C1223" s="1" t="str">
        <f ca="1">IFERROR(__xludf.DUMMYFUNCTION("REGEXEXTRACT(B1223, ""^([^:]+)"")"),"Esters")</f>
        <v>Esters</v>
      </c>
      <c r="D1223" s="1" t="s">
        <v>11</v>
      </c>
      <c r="E1223" s="1" t="s">
        <v>11</v>
      </c>
    </row>
    <row r="1224" spans="1:5" ht="15.75" customHeight="1">
      <c r="A1224" s="1">
        <v>292090</v>
      </c>
      <c r="B1224" s="1" t="s">
        <v>1236</v>
      </c>
      <c r="C1224" s="1" t="str">
        <f ca="1">IFERROR(__xludf.DUMMYFUNCTION("REGEXEXTRACT(B1224, ""^([^:]+)"")"),"Esters")</f>
        <v>Esters</v>
      </c>
      <c r="D1224" s="1" t="s">
        <v>11</v>
      </c>
      <c r="E1224" s="1" t="s">
        <v>11</v>
      </c>
    </row>
    <row r="1225" spans="1:5" ht="15.75" customHeight="1">
      <c r="A1225" s="1">
        <v>292111</v>
      </c>
      <c r="B1225" s="1" t="s">
        <v>1237</v>
      </c>
      <c r="C1225" s="1" t="str">
        <f ca="1">IFERROR(__xludf.DUMMYFUNCTION("REGEXEXTRACT(B1225, ""^([^:]+)"")"),"Amine-function compounds")</f>
        <v>Amine-function compounds</v>
      </c>
      <c r="D1225" s="1" t="s">
        <v>11</v>
      </c>
      <c r="E1225" s="1" t="s">
        <v>11</v>
      </c>
    </row>
    <row r="1226" spans="1:5" ht="15.75" customHeight="1">
      <c r="A1226" s="1">
        <v>292119</v>
      </c>
      <c r="B1226" s="1" t="s">
        <v>1238</v>
      </c>
      <c r="C1226" s="1" t="str">
        <f ca="1">IFERROR(__xludf.DUMMYFUNCTION("REGEXEXTRACT(B1226, ""^([^:]+)"")"),"Amine-function compounds")</f>
        <v>Amine-function compounds</v>
      </c>
      <c r="D1226" s="1" t="s">
        <v>11</v>
      </c>
      <c r="E1226" s="1" t="s">
        <v>11</v>
      </c>
    </row>
    <row r="1227" spans="1:5" ht="15.75" customHeight="1">
      <c r="A1227" s="1">
        <v>292121</v>
      </c>
      <c r="B1227" s="1" t="s">
        <v>1239</v>
      </c>
      <c r="C1227" s="1" t="str">
        <f ca="1">IFERROR(__xludf.DUMMYFUNCTION("REGEXEXTRACT(B1227, ""^([^:]+)"")"),"Amine-function compounds")</f>
        <v>Amine-function compounds</v>
      </c>
      <c r="D1227" s="1" t="s">
        <v>11</v>
      </c>
      <c r="E1227" s="1" t="s">
        <v>11</v>
      </c>
    </row>
    <row r="1228" spans="1:5" ht="15.75" customHeight="1">
      <c r="A1228" s="1">
        <v>292122</v>
      </c>
      <c r="B1228" s="1" t="s">
        <v>1240</v>
      </c>
      <c r="C1228" s="1" t="str">
        <f ca="1">IFERROR(__xludf.DUMMYFUNCTION("REGEXEXTRACT(B1228, ""^([^:]+)"")"),"Amine-function compounds")</f>
        <v>Amine-function compounds</v>
      </c>
      <c r="D1228" s="1" t="s">
        <v>11</v>
      </c>
      <c r="E1228" s="1" t="s">
        <v>11</v>
      </c>
    </row>
    <row r="1229" spans="1:5" ht="15.75" customHeight="1">
      <c r="A1229" s="1">
        <v>292129</v>
      </c>
      <c r="B1229" s="1" t="s">
        <v>1241</v>
      </c>
      <c r="C1229" s="1" t="str">
        <f ca="1">IFERROR(__xludf.DUMMYFUNCTION("REGEXEXTRACT(B1229, ""^([^:]+)"")"),"Amine-function compounds")</f>
        <v>Amine-function compounds</v>
      </c>
      <c r="D1229" s="1" t="s">
        <v>11</v>
      </c>
      <c r="E1229" s="1" t="s">
        <v>11</v>
      </c>
    </row>
    <row r="1230" spans="1:5" ht="15.75" customHeight="1">
      <c r="A1230" s="1">
        <v>292130</v>
      </c>
      <c r="B1230" s="1" t="s">
        <v>1242</v>
      </c>
      <c r="C1230" s="1" t="str">
        <f ca="1">IFERROR(__xludf.DUMMYFUNCTION("REGEXEXTRACT(B1230, ""^([^:]+)"")"),"Amine-function compounds")</f>
        <v>Amine-function compounds</v>
      </c>
      <c r="D1230" s="1" t="s">
        <v>11</v>
      </c>
      <c r="E1230" s="1" t="s">
        <v>11</v>
      </c>
    </row>
    <row r="1231" spans="1:5" ht="15.75" customHeight="1">
      <c r="A1231" s="1">
        <v>292141</v>
      </c>
      <c r="B1231" s="1" t="s">
        <v>1243</v>
      </c>
      <c r="C1231" s="1" t="str">
        <f ca="1">IFERROR(__xludf.DUMMYFUNCTION("REGEXEXTRACT(B1231, ""^([^:]+)"")"),"Amine-function compounds")</f>
        <v>Amine-function compounds</v>
      </c>
      <c r="D1231" s="1" t="s">
        <v>11</v>
      </c>
      <c r="E1231" s="1" t="s">
        <v>11</v>
      </c>
    </row>
    <row r="1232" spans="1:5" ht="15.75" customHeight="1">
      <c r="A1232" s="1">
        <v>292142</v>
      </c>
      <c r="B1232" s="1" t="s">
        <v>1244</v>
      </c>
      <c r="C1232" s="1" t="str">
        <f ca="1">IFERROR(__xludf.DUMMYFUNCTION("REGEXEXTRACT(B1232, ""^([^:]+)"")"),"Amine-function-compounds")</f>
        <v>Amine-function-compounds</v>
      </c>
      <c r="D1232" s="1" t="s">
        <v>11</v>
      </c>
      <c r="E1232" s="1" t="s">
        <v>11</v>
      </c>
    </row>
    <row r="1233" spans="1:13" ht="15.75" customHeight="1">
      <c r="A1233" s="1">
        <v>292143</v>
      </c>
      <c r="B1233" s="1" t="s">
        <v>1245</v>
      </c>
      <c r="C1233" s="1" t="str">
        <f ca="1">IFERROR(__xludf.DUMMYFUNCTION("REGEXEXTRACT(B1233, ""^([^:]+)"")"),"Amine-function compounds")</f>
        <v>Amine-function compounds</v>
      </c>
      <c r="D1233" s="1" t="s">
        <v>11</v>
      </c>
      <c r="E1233" s="1" t="s">
        <v>11</v>
      </c>
    </row>
    <row r="1234" spans="1:13" ht="15.75" customHeight="1">
      <c r="A1234" s="1">
        <v>292144</v>
      </c>
      <c r="B1234" s="1" t="s">
        <v>1246</v>
      </c>
      <c r="C1234" s="1" t="str">
        <f ca="1">IFERROR(__xludf.DUMMYFUNCTION("REGEXEXTRACT(B1234, ""^([^:]+)"")"),"Amine-function compounds")</f>
        <v>Amine-function compounds</v>
      </c>
      <c r="D1234" s="1" t="s">
        <v>11</v>
      </c>
      <c r="E1234" s="1" t="s">
        <v>11</v>
      </c>
    </row>
    <row r="1235" spans="1:13" ht="15.75" customHeight="1">
      <c r="A1235" s="1">
        <v>292145</v>
      </c>
      <c r="B1235" s="1" t="s">
        <v>1247</v>
      </c>
      <c r="C1235" s="1" t="str">
        <f ca="1">IFERROR(__xludf.DUMMYFUNCTION("REGEXEXTRACT(B1235, ""^([^:]+)"")"),"Amine-function compounds")</f>
        <v>Amine-function compounds</v>
      </c>
      <c r="D1235" s="1" t="s">
        <v>11</v>
      </c>
      <c r="E1235" s="1" t="s">
        <v>11</v>
      </c>
    </row>
    <row r="1236" spans="1:13" ht="15.75" customHeight="1">
      <c r="A1236" s="6">
        <v>292146</v>
      </c>
      <c r="B1236" s="6" t="s">
        <v>1248</v>
      </c>
      <c r="C1236" s="1" t="str">
        <f ca="1">IFERROR(__xludf.DUMMYFUNCTION("REGEXEXTRACT(B1236, ""^([^:]+)"")"),"Amine-function compounds")</f>
        <v>Amine-function compounds</v>
      </c>
      <c r="D1236" s="6" t="s">
        <v>11</v>
      </c>
      <c r="E1236" s="6" t="s">
        <v>11</v>
      </c>
      <c r="F1236" s="6"/>
      <c r="G1236" s="6"/>
      <c r="H1236" s="6"/>
      <c r="I1236" s="6"/>
      <c r="J1236" s="6"/>
      <c r="K1236" s="6"/>
      <c r="L1236" s="6"/>
      <c r="M1236" s="6"/>
    </row>
    <row r="1237" spans="1:13" ht="15.75" customHeight="1">
      <c r="A1237" s="1">
        <v>292149</v>
      </c>
      <c r="B1237" s="1" t="s">
        <v>1249</v>
      </c>
      <c r="C1237" s="1" t="str">
        <f ca="1">IFERROR(__xludf.DUMMYFUNCTION("REGEXEXTRACT(B1237, ""^([^:]+)"")"),"Amine-function compounds")</f>
        <v>Amine-function compounds</v>
      </c>
      <c r="D1237" s="1" t="s">
        <v>11</v>
      </c>
      <c r="E1237" s="1" t="s">
        <v>11</v>
      </c>
    </row>
    <row r="1238" spans="1:13" ht="15.75" customHeight="1">
      <c r="A1238" s="1">
        <v>292151</v>
      </c>
      <c r="B1238" s="1" t="s">
        <v>1250</v>
      </c>
      <c r="C1238" s="1" t="str">
        <f ca="1">IFERROR(__xludf.DUMMYFUNCTION("REGEXEXTRACT(B1238, ""^([^:]+)"")"),"Amine-function compounds")</f>
        <v>Amine-function compounds</v>
      </c>
      <c r="D1238" s="1" t="s">
        <v>11</v>
      </c>
      <c r="E1238" s="1" t="s">
        <v>11</v>
      </c>
    </row>
    <row r="1239" spans="1:13" ht="15.75" customHeight="1">
      <c r="A1239" s="1">
        <v>292159</v>
      </c>
      <c r="B1239" s="1" t="s">
        <v>1251</v>
      </c>
      <c r="C1239" s="1" t="str">
        <f ca="1">IFERROR(__xludf.DUMMYFUNCTION("REGEXEXTRACT(B1239, ""^([^:]+)"")"),"Amine-function compounds")</f>
        <v>Amine-function compounds</v>
      </c>
      <c r="D1239" s="1" t="s">
        <v>11</v>
      </c>
      <c r="E1239" s="1" t="s">
        <v>11</v>
      </c>
    </row>
    <row r="1240" spans="1:13" ht="15.75" customHeight="1">
      <c r="A1240" s="1">
        <v>292211</v>
      </c>
      <c r="B1240" s="1" t="s">
        <v>1252</v>
      </c>
      <c r="C1240" s="1" t="str">
        <f ca="1">IFERROR(__xludf.DUMMYFUNCTION("REGEXEXTRACT(B1240, ""^([^:]+)"")"),"Amino-alcohols, other than those containing more than one kind of oxygen function")</f>
        <v>Amino-alcohols, other than those containing more than one kind of oxygen function</v>
      </c>
      <c r="D1240" s="1" t="s">
        <v>11</v>
      </c>
      <c r="E1240" s="1" t="s">
        <v>11</v>
      </c>
    </row>
    <row r="1241" spans="1:13" ht="15.75" customHeight="1">
      <c r="A1241" s="1">
        <v>292212</v>
      </c>
      <c r="B1241" s="1" t="s">
        <v>1253</v>
      </c>
      <c r="C1241" s="1" t="str">
        <f ca="1">IFERROR(__xludf.DUMMYFUNCTION("REGEXEXTRACT(B1241, ""^([^:]+)"")"),"Amino-alcohols, other than those containing more than one kind of oxygen function")</f>
        <v>Amino-alcohols, other than those containing more than one kind of oxygen function</v>
      </c>
      <c r="D1241" s="1" t="s">
        <v>11</v>
      </c>
      <c r="E1241" s="1" t="s">
        <v>11</v>
      </c>
    </row>
    <row r="1242" spans="1:13" ht="15.75" customHeight="1">
      <c r="A1242" s="1">
        <v>292213</v>
      </c>
      <c r="B1242" s="1" t="s">
        <v>1254</v>
      </c>
      <c r="C1242" s="1" t="str">
        <f ca="1">IFERROR(__xludf.DUMMYFUNCTION("REGEXEXTRACT(B1242, ""^([^:]+)"")"),"Amino-alcohols, other than those containing more than one kind of oxygen function")</f>
        <v>Amino-alcohols, other than those containing more than one kind of oxygen function</v>
      </c>
      <c r="D1242" s="1" t="s">
        <v>11</v>
      </c>
      <c r="E1242" s="1" t="s">
        <v>11</v>
      </c>
    </row>
    <row r="1243" spans="1:13" ht="15.75" customHeight="1">
      <c r="A1243" s="6">
        <v>292214</v>
      </c>
      <c r="B1243" s="6" t="s">
        <v>1255</v>
      </c>
      <c r="C1243" s="1" t="str">
        <f ca="1">IFERROR(__xludf.DUMMYFUNCTION("REGEXEXTRACT(B1243, ""^([^:]+)"")"),"Amino-alcohols, other than those containing more than one kind of oxygen function")</f>
        <v>Amino-alcohols, other than those containing more than one kind of oxygen function</v>
      </c>
      <c r="D1243" s="6" t="s">
        <v>11</v>
      </c>
      <c r="E1243" s="6" t="s">
        <v>11</v>
      </c>
      <c r="F1243" s="6"/>
      <c r="G1243" s="6"/>
      <c r="H1243" s="6"/>
      <c r="I1243" s="6"/>
      <c r="J1243" s="6"/>
      <c r="K1243" s="6"/>
      <c r="L1243" s="6"/>
      <c r="M1243" s="6"/>
    </row>
    <row r="1244" spans="1:13" ht="15.75" customHeight="1">
      <c r="A1244" s="1">
        <v>292219</v>
      </c>
      <c r="B1244" s="1" t="s">
        <v>1256</v>
      </c>
      <c r="C1244" s="1" t="str">
        <f ca="1">IFERROR(__xludf.DUMMYFUNCTION("REGEXEXTRACT(B1244, ""^([^:]+)"")"),"Amino-alcohols, other than those containing more than one kind of oxygen function, their ethers and esters")</f>
        <v>Amino-alcohols, other than those containing more than one kind of oxygen function, their ethers and esters</v>
      </c>
      <c r="D1244" s="1" t="s">
        <v>11</v>
      </c>
      <c r="E1244" s="1" t="s">
        <v>11</v>
      </c>
    </row>
    <row r="1245" spans="1:13" ht="15.75" customHeight="1">
      <c r="A1245" s="1">
        <v>292221</v>
      </c>
      <c r="B1245" s="1" t="s">
        <v>1257</v>
      </c>
      <c r="C1245" s="1" t="str">
        <f ca="1">IFERROR(__xludf.DUMMYFUNCTION("REGEXEXTRACT(B1245, ""^([^:]+)"")"),"Amino-naphthols and other amino-phenols, other than those containing more than one kind of oxygen function")</f>
        <v>Amino-naphthols and other amino-phenols, other than those containing more than one kind of oxygen function</v>
      </c>
      <c r="D1245" s="1" t="s">
        <v>11</v>
      </c>
      <c r="E1245" s="1" t="s">
        <v>11</v>
      </c>
    </row>
    <row r="1246" spans="1:13" ht="15.75" customHeight="1">
      <c r="A1246" s="1">
        <v>292229</v>
      </c>
      <c r="B1246" s="1" t="s">
        <v>1258</v>
      </c>
      <c r="C1246" s="1" t="str">
        <f ca="1">IFERROR(__xludf.DUMMYFUNCTION("REGEXEXTRACT(B1246, ""^([^:]+)"")"),"Amino-naphthols and other amino-phenols, other than those containing more than one kind of oxygen function, their ethers and esters")</f>
        <v>Amino-naphthols and other amino-phenols, other than those containing more than one kind of oxygen function, their ethers and esters</v>
      </c>
      <c r="D1246" s="1" t="s">
        <v>11</v>
      </c>
      <c r="E1246" s="1" t="s">
        <v>11</v>
      </c>
    </row>
    <row r="1247" spans="1:13" ht="15.75" customHeight="1">
      <c r="A1247" s="1">
        <v>292231</v>
      </c>
      <c r="B1247" s="1" t="s">
        <v>1259</v>
      </c>
      <c r="C1247" s="1" t="str">
        <f ca="1">IFERROR(__xludf.DUMMYFUNCTION("REGEXEXTRACT(B1247, ""^([^:]+)"")"),"Amino-aldehydes, amino-ketones and amino-quinones")</f>
        <v>Amino-aldehydes, amino-ketones and amino-quinones</v>
      </c>
      <c r="D1247" s="1" t="s">
        <v>11</v>
      </c>
      <c r="E1247" s="1" t="s">
        <v>11</v>
      </c>
    </row>
    <row r="1248" spans="1:13" ht="15" customHeight="1">
      <c r="A1248" s="1">
        <v>292239</v>
      </c>
      <c r="B1248" s="1" t="s">
        <v>1260</v>
      </c>
      <c r="C1248" s="1" t="str">
        <f ca="1">IFERROR(__xludf.DUMMYFUNCTION("REGEXEXTRACT(B1248, ""^([^:]+)"")"),"Amino-aldehydes, amino-ketones and amino-quinones")</f>
        <v>Amino-aldehydes, amino-ketones and amino-quinones</v>
      </c>
      <c r="D1248" s="1" t="s">
        <v>11</v>
      </c>
      <c r="E1248" s="1" t="s">
        <v>11</v>
      </c>
    </row>
    <row r="1249" spans="1:13" ht="15.75" customHeight="1">
      <c r="A1249" s="7">
        <v>391740</v>
      </c>
      <c r="B1249" s="7" t="s">
        <v>1765</v>
      </c>
      <c r="C1249" s="1" t="str">
        <f ca="1">IFERROR(__xludf.DUMMYFUNCTION("REGEXEXTRACT(B1249, ""^([^:]+)"")"),"Plastics")</f>
        <v>Plastics</v>
      </c>
      <c r="D1249" s="7"/>
      <c r="E1249" s="7"/>
      <c r="F1249" s="7"/>
    </row>
    <row r="1250" spans="1:13" ht="15.75" customHeight="1">
      <c r="A1250" s="7">
        <v>902219</v>
      </c>
      <c r="B1250" s="7" t="s">
        <v>4819</v>
      </c>
      <c r="C1250" s="1" t="str">
        <f ca="1">IFERROR(__xludf.DUMMYFUNCTION("REGEXEXTRACT(B1250, ""^([^:]+)"")"),"Apparatus based on the use of x-rays, including radiography or radiotherapy apparatus")</f>
        <v>Apparatus based on the use of x-rays, including radiography or radiotherapy apparatus</v>
      </c>
      <c r="D1250" s="7"/>
      <c r="E1250" s="7"/>
      <c r="F1250" s="7"/>
    </row>
    <row r="1251" spans="1:13" ht="15.75" customHeight="1">
      <c r="A1251" s="1">
        <v>292243</v>
      </c>
      <c r="B1251" s="1" t="s">
        <v>1263</v>
      </c>
      <c r="C1251" s="1" t="str">
        <f ca="1">IFERROR(__xludf.DUMMYFUNCTION("REGEXEXTRACT(B1251, ""^([^:]+)"")"),"Amino-acids, other than those containing more than one kind of oxygen function, and their esters")</f>
        <v>Amino-acids, other than those containing more than one kind of oxygen function, and their esters</v>
      </c>
      <c r="D1251" s="1" t="s">
        <v>11</v>
      </c>
      <c r="E1251" s="1" t="s">
        <v>11</v>
      </c>
    </row>
    <row r="1252" spans="1:13" ht="15.75" customHeight="1">
      <c r="A1252" s="6">
        <v>292244</v>
      </c>
      <c r="B1252" s="6" t="s">
        <v>1264</v>
      </c>
      <c r="C1252" s="1" t="str">
        <f ca="1">IFERROR(__xludf.DUMMYFUNCTION("REGEXEXTRACT(B1252, ""^([^:]+)"")"),"Amino-acids, other than those containing more than one kind of oxygen function, and their esters")</f>
        <v>Amino-acids, other than those containing more than one kind of oxygen function, and their esters</v>
      </c>
      <c r="D1252" s="6" t="s">
        <v>11</v>
      </c>
      <c r="E1252" s="6" t="s">
        <v>11</v>
      </c>
      <c r="F1252" s="6"/>
      <c r="G1252" s="6"/>
      <c r="H1252" s="6"/>
      <c r="I1252" s="6"/>
      <c r="J1252" s="6"/>
      <c r="K1252" s="6"/>
      <c r="L1252" s="6"/>
      <c r="M1252" s="6"/>
    </row>
    <row r="1253" spans="1:13" ht="15.75" customHeight="1">
      <c r="A1253" s="1">
        <v>292249</v>
      </c>
      <c r="B1253" s="1" t="s">
        <v>1265</v>
      </c>
      <c r="C1253" s="1" t="str">
        <f ca="1">IFERROR(__xludf.DUMMYFUNCTION("REGEXEXTRACT(B1253, ""^([^:]+)"")"),"Amino-acids, other than those containing more than one kind of oxygen function, their esters")</f>
        <v>Amino-acids, other than those containing more than one kind of oxygen function, their esters</v>
      </c>
      <c r="D1253" s="1" t="s">
        <v>11</v>
      </c>
      <c r="E1253" s="1" t="s">
        <v>11</v>
      </c>
    </row>
    <row r="1254" spans="1:13" ht="15.75" customHeight="1">
      <c r="A1254" s="1">
        <v>292250</v>
      </c>
      <c r="B1254" s="1" t="s">
        <v>1266</v>
      </c>
      <c r="C1254" s="1" t="str">
        <f ca="1">IFERROR(__xludf.DUMMYFUNCTION("REGEXEXTRACT(B1254, ""^([^:]+)"")"),"Amino-alcohol-phenols, amino-acid-phenols and other amino-compounds with oxygen function")</f>
        <v>Amino-alcohol-phenols, amino-acid-phenols and other amino-compounds with oxygen function</v>
      </c>
      <c r="D1254" s="1" t="s">
        <v>11</v>
      </c>
      <c r="E1254" s="1" t="s">
        <v>11</v>
      </c>
    </row>
    <row r="1255" spans="1:13" ht="15.75" customHeight="1">
      <c r="A1255" s="7">
        <v>940290</v>
      </c>
      <c r="B1255" s="7" t="s">
        <v>4974</v>
      </c>
      <c r="C1255" s="1" t="str">
        <f ca="1">IFERROR(__xludf.DUMMYFUNCTION("REGEXEXTRACT(B1255, ""^([^:]+)"")"),"Furniture")</f>
        <v>Furniture</v>
      </c>
      <c r="D1255" s="7"/>
      <c r="E1255" s="7"/>
      <c r="F1255" s="7"/>
    </row>
    <row r="1256" spans="1:13" ht="15.75" customHeight="1">
      <c r="A1256" s="1">
        <v>300220</v>
      </c>
      <c r="B1256" s="1" t="s">
        <v>1392</v>
      </c>
      <c r="C1256" s="1" t="str">
        <f ca="1">IFERROR(__xludf.DUMMYFUNCTION("REGEXEXTRACT(B1256, ""^([^:]+)"")"),"Vaccines")</f>
        <v>Vaccines</v>
      </c>
      <c r="D1256" s="1">
        <v>1</v>
      </c>
      <c r="E1256" s="2" t="s">
        <v>5089</v>
      </c>
      <c r="F1256" s="2" t="s">
        <v>1393</v>
      </c>
    </row>
    <row r="1257" spans="1:13" ht="15.75" customHeight="1">
      <c r="A1257" s="1">
        <v>300290</v>
      </c>
      <c r="B1257" s="1" t="s">
        <v>1397</v>
      </c>
      <c r="C1257" s="1" t="str">
        <f ca="1">IFERROR(__xludf.DUMMYFUNCTION("REGEXEXTRACT(B1257, ""^([^:]+)"")"),"Toxins, cultures of micro-organisms (excluding yeasts) and similar products")</f>
        <v>Toxins, cultures of micro-organisms (excluding yeasts) and similar products</v>
      </c>
      <c r="D1257" s="1">
        <v>1</v>
      </c>
      <c r="E1257" s="2" t="s">
        <v>5089</v>
      </c>
      <c r="F1257" s="1" t="s">
        <v>1388</v>
      </c>
    </row>
    <row r="1258" spans="1:13" ht="15.75" customHeight="1">
      <c r="A1258" s="12">
        <v>300620</v>
      </c>
      <c r="B1258" s="12" t="s">
        <v>1422</v>
      </c>
      <c r="C1258" s="1" t="str">
        <f ca="1">IFERROR(__xludf.DUMMYFUNCTION("REGEXEXTRACT(B1258, ""^([^:]+)"")"),"Pharmaceutical goods")</f>
        <v>Pharmaceutical goods</v>
      </c>
      <c r="D1258" s="12">
        <v>1</v>
      </c>
      <c r="E1258" s="11" t="s">
        <v>1419</v>
      </c>
      <c r="F1258" s="11" t="s">
        <v>1423</v>
      </c>
    </row>
    <row r="1259" spans="1:13" ht="15.75" customHeight="1">
      <c r="A1259" s="12">
        <v>300630</v>
      </c>
      <c r="B1259" s="12" t="s">
        <v>1425</v>
      </c>
      <c r="C1259" s="1" t="str">
        <f ca="1">IFERROR(__xludf.DUMMYFUNCTION("REGEXEXTRACT(B1259, ""^([^:]+)"")"),"Pharmaceutical goods")</f>
        <v>Pharmaceutical goods</v>
      </c>
      <c r="D1259" s="12">
        <v>1</v>
      </c>
      <c r="E1259" s="11" t="s">
        <v>1419</v>
      </c>
      <c r="F1259" s="11" t="s">
        <v>1423</v>
      </c>
    </row>
    <row r="1260" spans="1:13" ht="15.75" customHeight="1">
      <c r="A1260" s="12">
        <v>382200</v>
      </c>
      <c r="B1260" s="12" t="s">
        <v>1657</v>
      </c>
      <c r="C1260" s="1" t="str">
        <f ca="1">IFERROR(__xludf.DUMMYFUNCTION("REGEXEXTRACT(B1260, ""^([^:]+)"")"),"Reagents")</f>
        <v>Reagents</v>
      </c>
      <c r="D1260" s="12">
        <v>1</v>
      </c>
      <c r="E1260" s="11" t="s">
        <v>1419</v>
      </c>
      <c r="F1260" s="11" t="s">
        <v>1423</v>
      </c>
    </row>
    <row r="1261" spans="1:13" ht="15.75" customHeight="1">
      <c r="A1261" s="1">
        <v>292421</v>
      </c>
      <c r="B1261" s="1" t="s">
        <v>1273</v>
      </c>
      <c r="C1261" s="1" t="str">
        <f ca="1">IFERROR(__xludf.DUMMYFUNCTION("REGEXEXTRACT(B1261, ""^([^:]+)"")"),"Cyclic amides (including cyclic carbamates) and their derivatives, ureines and their derivatives")</f>
        <v>Cyclic amides (including cyclic carbamates) and their derivatives, ureines and their derivatives</v>
      </c>
      <c r="D1261" s="1" t="s">
        <v>11</v>
      </c>
      <c r="E1261" s="1" t="s">
        <v>11</v>
      </c>
    </row>
    <row r="1262" spans="1:13" ht="15.75" customHeight="1">
      <c r="A1262" s="1">
        <v>291821</v>
      </c>
      <c r="B1262" s="1" t="s">
        <v>1222</v>
      </c>
      <c r="C1262" s="1" t="str">
        <f ca="1">IFERROR(__xludf.DUMMYFUNCTION("REGEXEXTRACT(B1262, ""^([^:]+)"")"),"Acids")</f>
        <v>Acids</v>
      </c>
      <c r="D1262" s="1">
        <v>1</v>
      </c>
      <c r="E1262" s="2" t="s">
        <v>5089</v>
      </c>
      <c r="F1262" s="1" t="s">
        <v>1224</v>
      </c>
    </row>
    <row r="1263" spans="1:13" ht="15.75" customHeight="1">
      <c r="A1263" s="1">
        <v>291822</v>
      </c>
      <c r="B1263" s="1" t="s">
        <v>1225</v>
      </c>
      <c r="C1263" s="1" t="str">
        <f ca="1">IFERROR(__xludf.DUMMYFUNCTION("REGEXEXTRACT(B1263, ""^([^:]+)"")"),"Acids")</f>
        <v>Acids</v>
      </c>
      <c r="D1263" s="1">
        <v>1</v>
      </c>
      <c r="E1263" s="2" t="s">
        <v>5089</v>
      </c>
      <c r="F1263" s="1" t="s">
        <v>1224</v>
      </c>
    </row>
    <row r="1264" spans="1:13" ht="15.75" customHeight="1">
      <c r="A1264" s="1">
        <v>291823</v>
      </c>
      <c r="B1264" s="1" t="s">
        <v>1226</v>
      </c>
      <c r="C1264" s="1" t="str">
        <f ca="1">IFERROR(__xludf.DUMMYFUNCTION("REGEXEXTRACT(B1264, ""^([^:]+)"")"),"Acids")</f>
        <v>Acids</v>
      </c>
      <c r="D1264" s="1">
        <v>1</v>
      </c>
      <c r="E1264" s="2" t="s">
        <v>5089</v>
      </c>
      <c r="F1264" s="1" t="s">
        <v>1224</v>
      </c>
    </row>
    <row r="1265" spans="1:13" ht="15.75" customHeight="1">
      <c r="A1265" s="1">
        <v>292511</v>
      </c>
      <c r="B1265" s="1" t="s">
        <v>1277</v>
      </c>
      <c r="C1265" s="1" t="str">
        <f ca="1">IFERROR(__xludf.DUMMYFUNCTION("REGEXEXTRACT(B1265, ""^([^:]+)"")"),"Imides and their derivatives")</f>
        <v>Imides and their derivatives</v>
      </c>
      <c r="D1265" s="1" t="s">
        <v>11</v>
      </c>
      <c r="E1265" s="1" t="s">
        <v>11</v>
      </c>
    </row>
    <row r="1266" spans="1:13" ht="15.75" customHeight="1">
      <c r="A1266" s="6">
        <v>292512</v>
      </c>
      <c r="B1266" s="6" t="s">
        <v>1278</v>
      </c>
      <c r="C1266" s="1" t="str">
        <f ca="1">IFERROR(__xludf.DUMMYFUNCTION("REGEXEXTRACT(B1266, ""^([^:]+)"")"),"Imides and their derivatives")</f>
        <v>Imides and their derivatives</v>
      </c>
      <c r="D1266" s="6" t="s">
        <v>11</v>
      </c>
      <c r="E1266" s="6" t="s">
        <v>11</v>
      </c>
      <c r="F1266" s="6"/>
      <c r="G1266" s="6"/>
      <c r="H1266" s="6"/>
      <c r="I1266" s="6"/>
      <c r="J1266" s="6"/>
      <c r="K1266" s="6"/>
      <c r="L1266" s="6"/>
      <c r="M1266" s="6"/>
    </row>
    <row r="1267" spans="1:13" ht="15.75" customHeight="1">
      <c r="A1267" s="1">
        <v>292519</v>
      </c>
      <c r="B1267" s="1" t="s">
        <v>1279</v>
      </c>
      <c r="C1267" s="1" t="str">
        <f ca="1">IFERROR(__xludf.DUMMYFUNCTION("REGEXEXTRACT(B1267, ""^([^:]+)"")"),"Imides and their derivatives")</f>
        <v>Imides and their derivatives</v>
      </c>
      <c r="D1267" s="1" t="s">
        <v>11</v>
      </c>
      <c r="E1267" s="1" t="s">
        <v>11</v>
      </c>
    </row>
    <row r="1268" spans="1:13" ht="15.75" customHeight="1">
      <c r="A1268" s="1">
        <v>292521</v>
      </c>
      <c r="B1268" s="1" t="s">
        <v>1281</v>
      </c>
      <c r="C1268" s="1" t="str">
        <f ca="1">IFERROR(__xludf.DUMMYFUNCTION("REGEXEXTRACT(B1268, ""^([^:]+)"")"),"Imines and their derivatives")</f>
        <v>Imines and their derivatives</v>
      </c>
      <c r="D1268" s="1" t="s">
        <v>11</v>
      </c>
      <c r="E1268" s="1" t="s">
        <v>11</v>
      </c>
    </row>
    <row r="1269" spans="1:13" ht="15.75" customHeight="1">
      <c r="A1269" s="1">
        <v>292529</v>
      </c>
      <c r="B1269" s="1" t="s">
        <v>1282</v>
      </c>
      <c r="C1269" s="1" t="str">
        <f ca="1">IFERROR(__xludf.DUMMYFUNCTION("REGEXEXTRACT(B1269, ""^([^:]+)"")"),"Imines and their derivatives")</f>
        <v>Imines and their derivatives</v>
      </c>
      <c r="D1269" s="1" t="s">
        <v>11</v>
      </c>
      <c r="E1269" s="1" t="s">
        <v>11</v>
      </c>
    </row>
    <row r="1270" spans="1:13" ht="15.75" customHeight="1">
      <c r="A1270" s="1">
        <v>292610</v>
      </c>
      <c r="B1270" s="1" t="s">
        <v>1283</v>
      </c>
      <c r="C1270" s="1" t="str">
        <f ca="1">IFERROR(__xludf.DUMMYFUNCTION("REGEXEXTRACT(B1270, ""^([^:]+)"")"),"Nitrile-function compounds")</f>
        <v>Nitrile-function compounds</v>
      </c>
      <c r="D1270" s="1" t="s">
        <v>11</v>
      </c>
      <c r="E1270" s="1" t="s">
        <v>11</v>
      </c>
    </row>
    <row r="1271" spans="1:13" ht="15.75" customHeight="1">
      <c r="A1271" s="1">
        <v>292620</v>
      </c>
      <c r="B1271" s="1" t="s">
        <v>1284</v>
      </c>
      <c r="C1271" s="1" t="str">
        <f ca="1">IFERROR(__xludf.DUMMYFUNCTION("REGEXEXTRACT(B1271, ""^([^:]+)"")"),"Nitrile-function compounds")</f>
        <v>Nitrile-function compounds</v>
      </c>
      <c r="D1271" s="1" t="s">
        <v>11</v>
      </c>
      <c r="E1271" s="1" t="s">
        <v>11</v>
      </c>
    </row>
    <row r="1272" spans="1:13" ht="15.75" customHeight="1">
      <c r="A1272" s="1">
        <v>292630</v>
      </c>
      <c r="B1272" s="1" t="s">
        <v>1285</v>
      </c>
      <c r="C1272" s="1" t="str">
        <f ca="1">IFERROR(__xludf.DUMMYFUNCTION("REGEXEXTRACT(B1272, ""^([^:]+)"")"),"Nitrile-function compounds")</f>
        <v>Nitrile-function compounds</v>
      </c>
      <c r="D1272" s="1" t="s">
        <v>11</v>
      </c>
      <c r="E1272" s="1" t="s">
        <v>11</v>
      </c>
    </row>
    <row r="1273" spans="1:13" ht="15.75" customHeight="1">
      <c r="A1273" s="1">
        <v>292690</v>
      </c>
      <c r="B1273" s="1" t="s">
        <v>1286</v>
      </c>
      <c r="C1273" s="1" t="str">
        <f ca="1">IFERROR(__xludf.DUMMYFUNCTION("REGEXEXTRACT(B1273, ""^([^:]+)"")"),"methadone (INN) intermediate (4-cyano-2-dimethylamino-4,4-diphenylbutane")</f>
        <v>methadone (INN) intermediate (4-cyano-2-dimethylamino-4,4-diphenylbutane</v>
      </c>
      <c r="D1273" s="1" t="s">
        <v>11</v>
      </c>
      <c r="E1273" s="1" t="s">
        <v>11</v>
      </c>
    </row>
    <row r="1274" spans="1:13" ht="15.75" customHeight="1">
      <c r="A1274" s="1">
        <v>292700</v>
      </c>
      <c r="B1274" s="1" t="s">
        <v>1287</v>
      </c>
      <c r="C1274" s="1" t="str">
        <f ca="1">IFERROR(__xludf.DUMMYFUNCTION("REGEXEXTRACT(B1274, ""^([^:]+)"")"),"Diazo-, azo- or azoxy compounds")</f>
        <v>Diazo-, azo- or azoxy compounds</v>
      </c>
      <c r="D1274" s="1" t="s">
        <v>11</v>
      </c>
      <c r="E1274" s="1" t="s">
        <v>11</v>
      </c>
    </row>
    <row r="1275" spans="1:13" ht="15.75" customHeight="1">
      <c r="A1275" s="1">
        <v>292800</v>
      </c>
      <c r="B1275" s="1" t="s">
        <v>1288</v>
      </c>
      <c r="C1275" s="1" t="str">
        <f ca="1">IFERROR(__xludf.DUMMYFUNCTION("REGEXEXTRACT(B1275, ""^([^:]+)"")"),"Organic derivatives of hydrazine or of hydroxylamine")</f>
        <v>Organic derivatives of hydrazine or of hydroxylamine</v>
      </c>
      <c r="D1275" s="1" t="s">
        <v>11</v>
      </c>
      <c r="E1275" s="1" t="s">
        <v>11</v>
      </c>
    </row>
    <row r="1276" spans="1:13" ht="15.75" customHeight="1">
      <c r="A1276" s="1">
        <v>292910</v>
      </c>
      <c r="B1276" s="1" t="s">
        <v>1289</v>
      </c>
      <c r="C1276" s="1" t="str">
        <f ca="1">IFERROR(__xludf.DUMMYFUNCTION("REGEXEXTRACT(B1276, ""^([^:]+)"")"),"Nitrogen-function compounds")</f>
        <v>Nitrogen-function compounds</v>
      </c>
      <c r="D1276" s="1" t="s">
        <v>11</v>
      </c>
      <c r="E1276" s="1" t="s">
        <v>11</v>
      </c>
    </row>
    <row r="1277" spans="1:13" ht="0.75" customHeight="1">
      <c r="A1277" s="1">
        <v>292990</v>
      </c>
      <c r="B1277" s="1" t="s">
        <v>1290</v>
      </c>
      <c r="C1277" s="1" t="str">
        <f ca="1">IFERROR(__xludf.DUMMYFUNCTION("REGEXEXTRACT(B1277, ""^([^:]+)"")"),"Nitrogen-function compounds")</f>
        <v>Nitrogen-function compounds</v>
      </c>
      <c r="D1277" s="1" t="s">
        <v>11</v>
      </c>
      <c r="E1277" s="1" t="s">
        <v>11</v>
      </c>
    </row>
    <row r="1278" spans="1:13" ht="15.75" customHeight="1">
      <c r="A1278" s="1">
        <v>293020</v>
      </c>
      <c r="B1278" s="1" t="s">
        <v>1291</v>
      </c>
      <c r="C1278" s="1" t="str">
        <f ca="1">IFERROR(__xludf.DUMMYFUNCTION("REGEXEXTRACT(B1278, ""^([^:]+)"")"),"Organo-sulphur compounds")</f>
        <v>Organo-sulphur compounds</v>
      </c>
      <c r="D1278" s="1" t="s">
        <v>11</v>
      </c>
      <c r="E1278" s="1" t="s">
        <v>11</v>
      </c>
    </row>
    <row r="1279" spans="1:13" ht="15.75" customHeight="1">
      <c r="A1279" s="1">
        <v>293030</v>
      </c>
      <c r="B1279" s="1" t="s">
        <v>1292</v>
      </c>
      <c r="C1279" s="1" t="str">
        <f ca="1">IFERROR(__xludf.DUMMYFUNCTION("REGEXEXTRACT(B1279, ""^([^:]+)"")"),"Organo-sulphur compounds")</f>
        <v>Organo-sulphur compounds</v>
      </c>
      <c r="D1279" s="1" t="s">
        <v>11</v>
      </c>
      <c r="E1279" s="1" t="s">
        <v>11</v>
      </c>
    </row>
    <row r="1280" spans="1:13" ht="15.75" customHeight="1">
      <c r="A1280" s="1">
        <v>293040</v>
      </c>
      <c r="B1280" s="1" t="s">
        <v>1293</v>
      </c>
      <c r="C1280" s="1" t="str">
        <f ca="1">IFERROR(__xludf.DUMMYFUNCTION("REGEXEXTRACT(B1280, ""^([^:]+)"")"),"Organo-sulphur compounds")</f>
        <v>Organo-sulphur compounds</v>
      </c>
      <c r="D1280" s="1" t="s">
        <v>11</v>
      </c>
      <c r="E1280" s="1" t="s">
        <v>11</v>
      </c>
    </row>
    <row r="1281" spans="1:6" ht="15.75" customHeight="1">
      <c r="A1281" s="1">
        <v>293050</v>
      </c>
      <c r="B1281" s="1" t="s">
        <v>1294</v>
      </c>
      <c r="C1281" s="1" t="str">
        <f ca="1">IFERROR(__xludf.DUMMYFUNCTION("REGEXEXTRACT(B1281, ""^([^:]+)"")"),"Organo-sulphur compounds")</f>
        <v>Organo-sulphur compounds</v>
      </c>
      <c r="D1281" s="1" t="s">
        <v>11</v>
      </c>
      <c r="E1281" s="1" t="s">
        <v>11</v>
      </c>
    </row>
    <row r="1282" spans="1:6" ht="15.75" customHeight="1">
      <c r="A1282" s="1">
        <v>293090</v>
      </c>
      <c r="B1282" s="1" t="s">
        <v>1295</v>
      </c>
      <c r="C1282" s="1" t="str">
        <f ca="1">IFERROR(__xludf.DUMMYFUNCTION("REGEXEXTRACT(B1282, ""^([^:]+)"")"),"Organo-sulphur compounds")</f>
        <v>Organo-sulphur compounds</v>
      </c>
      <c r="D1282" s="1" t="s">
        <v>11</v>
      </c>
      <c r="E1282" s="1" t="s">
        <v>11</v>
      </c>
    </row>
    <row r="1283" spans="1:6" ht="15.75" customHeight="1">
      <c r="A1283" s="1">
        <v>293100</v>
      </c>
      <c r="B1283" s="1" t="s">
        <v>1296</v>
      </c>
      <c r="C1283" s="1" t="str">
        <f ca="1">IFERROR(__xludf.DUMMYFUNCTION("REGEXEXTRACT(B1283, ""^([^:]+)"")"),"Organo-inorganic compounds")</f>
        <v>Organo-inorganic compounds</v>
      </c>
      <c r="D1283" s="1" t="s">
        <v>11</v>
      </c>
      <c r="E1283" s="1" t="s">
        <v>11</v>
      </c>
    </row>
    <row r="1284" spans="1:6" ht="15.75" customHeight="1">
      <c r="A1284" s="1">
        <v>293211</v>
      </c>
      <c r="B1284" s="1" t="s">
        <v>1297</v>
      </c>
      <c r="C1284" s="1" t="str">
        <f ca="1">IFERROR(__xludf.DUMMYFUNCTION("REGEXEXTRACT(B1284, ""^([^:]+)"")"),"Heterocyclic compounds")</f>
        <v>Heterocyclic compounds</v>
      </c>
      <c r="D1284" s="1" t="s">
        <v>11</v>
      </c>
      <c r="E1284" s="1" t="s">
        <v>11</v>
      </c>
    </row>
    <row r="1285" spans="1:6" ht="15.75" customHeight="1">
      <c r="A1285" s="1">
        <v>293212</v>
      </c>
      <c r="B1285" s="1" t="s">
        <v>1298</v>
      </c>
      <c r="C1285" s="1" t="str">
        <f ca="1">IFERROR(__xludf.DUMMYFUNCTION("REGEXEXTRACT(B1285, ""^([^:]+)"")"),"Heterocyclic compounds")</f>
        <v>Heterocyclic compounds</v>
      </c>
      <c r="D1285" s="1" t="s">
        <v>11</v>
      </c>
      <c r="E1285" s="1" t="s">
        <v>11</v>
      </c>
    </row>
    <row r="1286" spans="1:6" ht="15.75" customHeight="1">
      <c r="A1286" s="1">
        <v>293213</v>
      </c>
      <c r="B1286" s="1" t="s">
        <v>1299</v>
      </c>
      <c r="C1286" s="1" t="str">
        <f ca="1">IFERROR(__xludf.DUMMYFUNCTION("REGEXEXTRACT(B1286, ""^([^:]+)"")"),"Heterocyclic compounds")</f>
        <v>Heterocyclic compounds</v>
      </c>
      <c r="D1286" s="1" t="s">
        <v>11</v>
      </c>
      <c r="E1286" s="1" t="s">
        <v>11</v>
      </c>
    </row>
    <row r="1287" spans="1:6" ht="15.75" customHeight="1">
      <c r="A1287" s="1">
        <v>293219</v>
      </c>
      <c r="B1287" s="1" t="s">
        <v>1300</v>
      </c>
      <c r="C1287" s="1" t="str">
        <f ca="1">IFERROR(__xludf.DUMMYFUNCTION("REGEXEXTRACT(B1287, ""^([^:]+)"")"),"Heterocyclic compounds")</f>
        <v>Heterocyclic compounds</v>
      </c>
      <c r="D1287" s="1" t="s">
        <v>11</v>
      </c>
      <c r="E1287" s="1" t="s">
        <v>11</v>
      </c>
    </row>
    <row r="1288" spans="1:6" ht="15.75" customHeight="1">
      <c r="A1288" s="1">
        <v>293221</v>
      </c>
      <c r="B1288" s="1" t="s">
        <v>1301</v>
      </c>
      <c r="C1288" s="1" t="str">
        <f ca="1">IFERROR(__xludf.DUMMYFUNCTION("REGEXEXTRACT(B1288, ""^([^:]+)"")"),"Heterocyclic compounds")</f>
        <v>Heterocyclic compounds</v>
      </c>
      <c r="D1288" s="1" t="s">
        <v>11</v>
      </c>
      <c r="E1288" s="1" t="s">
        <v>11</v>
      </c>
    </row>
    <row r="1289" spans="1:6" ht="15.75" customHeight="1">
      <c r="A1289" s="1">
        <v>292241</v>
      </c>
      <c r="B1289" s="1" t="s">
        <v>1261</v>
      </c>
      <c r="C1289" s="1" t="str">
        <f ca="1">IFERROR(__xludf.DUMMYFUNCTION("REGEXEXTRACT(B1289, ""^([^:]+)"")"),"Amino-acids, other than those containing more than one kind of oxygen function, and their esters")</f>
        <v>Amino-acids, other than those containing more than one kind of oxygen function, and their esters</v>
      </c>
      <c r="D1289" s="1">
        <v>1</v>
      </c>
      <c r="E1289" s="2" t="s">
        <v>5089</v>
      </c>
      <c r="F1289" s="1" t="s">
        <v>1224</v>
      </c>
    </row>
    <row r="1290" spans="1:6" ht="15.75" customHeight="1">
      <c r="A1290" s="1">
        <v>293291</v>
      </c>
      <c r="B1290" s="1" t="s">
        <v>1303</v>
      </c>
      <c r="C1290" s="1" t="str">
        <f ca="1">IFERROR(__xludf.DUMMYFUNCTION("REGEXEXTRACT(B1290, ""^([^:]+)"")"),"Heterocyclic compounds")</f>
        <v>Heterocyclic compounds</v>
      </c>
      <c r="D1290" s="1" t="s">
        <v>11</v>
      </c>
      <c r="E1290" s="1" t="s">
        <v>11</v>
      </c>
    </row>
    <row r="1291" spans="1:6" ht="15.75" customHeight="1">
      <c r="A1291" s="1">
        <v>293292</v>
      </c>
      <c r="B1291" s="1" t="s">
        <v>1304</v>
      </c>
      <c r="C1291" s="1" t="str">
        <f ca="1">IFERROR(__xludf.DUMMYFUNCTION("REGEXEXTRACT(B1291, ""^([^:]+)"")"),"Heterocyclic compounds")</f>
        <v>Heterocyclic compounds</v>
      </c>
      <c r="D1291" s="1" t="s">
        <v>11</v>
      </c>
      <c r="E1291" s="1" t="s">
        <v>11</v>
      </c>
    </row>
    <row r="1292" spans="1:6" ht="15.75" customHeight="1">
      <c r="A1292" s="1">
        <v>293293</v>
      </c>
      <c r="B1292" s="1" t="s">
        <v>1305</v>
      </c>
      <c r="C1292" s="1" t="str">
        <f ca="1">IFERROR(__xludf.DUMMYFUNCTION("REGEXEXTRACT(B1292, ""^([^:]+)"")"),"Heterocyclic compounds")</f>
        <v>Heterocyclic compounds</v>
      </c>
      <c r="D1292" s="1" t="s">
        <v>11</v>
      </c>
      <c r="E1292" s="1" t="s">
        <v>11</v>
      </c>
    </row>
    <row r="1293" spans="1:6" ht="15.75" customHeight="1">
      <c r="A1293" s="1">
        <v>293294</v>
      </c>
      <c r="B1293" s="1" t="s">
        <v>1306</v>
      </c>
      <c r="C1293" s="1" t="str">
        <f ca="1">IFERROR(__xludf.DUMMYFUNCTION("REGEXEXTRACT(B1293, ""^([^:]+)"")"),"Heterocyclic compounds")</f>
        <v>Heterocyclic compounds</v>
      </c>
      <c r="D1293" s="1" t="s">
        <v>11</v>
      </c>
      <c r="E1293" s="1" t="s">
        <v>11</v>
      </c>
    </row>
    <row r="1294" spans="1:6" ht="15.75" customHeight="1">
      <c r="A1294" s="1">
        <v>293295</v>
      </c>
      <c r="B1294" s="1" t="s">
        <v>1307</v>
      </c>
      <c r="C1294" s="1" t="str">
        <f ca="1">IFERROR(__xludf.DUMMYFUNCTION("REGEXEXTRACT(B1294, ""^([^:]+)"")"),"Heterocyclic compounds")</f>
        <v>Heterocyclic compounds</v>
      </c>
      <c r="D1294" s="1" t="s">
        <v>11</v>
      </c>
      <c r="E1294" s="1" t="s">
        <v>11</v>
      </c>
    </row>
    <row r="1295" spans="1:6" ht="15.75" customHeight="1">
      <c r="A1295" s="1">
        <v>293299</v>
      </c>
      <c r="B1295" s="1" t="s">
        <v>1308</v>
      </c>
      <c r="C1295" s="1" t="str">
        <f ca="1">IFERROR(__xludf.DUMMYFUNCTION("REGEXEXTRACT(B1295, ""^([^:]+)"")"),"Heterocyclic compounds")</f>
        <v>Heterocyclic compounds</v>
      </c>
      <c r="D1295" s="1" t="s">
        <v>11</v>
      </c>
      <c r="E1295" s="1" t="s">
        <v>11</v>
      </c>
    </row>
    <row r="1296" spans="1:6" ht="15.75" customHeight="1">
      <c r="A1296" s="1">
        <v>292242</v>
      </c>
      <c r="B1296" s="1" t="s">
        <v>1262</v>
      </c>
      <c r="C1296" s="1" t="str">
        <f ca="1">IFERROR(__xludf.DUMMYFUNCTION("REGEXEXTRACT(B1296, ""^([^:]+)"")"),"Amino-acids, other than those containing more than one kind of oxygen function, and their esters")</f>
        <v>Amino-acids, other than those containing more than one kind of oxygen function, and their esters</v>
      </c>
      <c r="D1296" s="1">
        <v>1</v>
      </c>
      <c r="E1296" s="2" t="s">
        <v>5089</v>
      </c>
      <c r="F1296" s="1" t="s">
        <v>1224</v>
      </c>
    </row>
    <row r="1297" spans="1:6" ht="15.75" customHeight="1">
      <c r="A1297" s="1">
        <v>292310</v>
      </c>
      <c r="B1297" s="1" t="s">
        <v>1267</v>
      </c>
      <c r="C1297" s="1" t="str">
        <f ca="1">IFERROR(__xludf.DUMMYFUNCTION("REGEXEXTRACT(B1297, ""^([^:]+)"")"),"Quaternary ammonium salts and hydroxides")</f>
        <v>Quaternary ammonium salts and hydroxides</v>
      </c>
      <c r="D1297" s="1">
        <v>1</v>
      </c>
      <c r="E1297" s="2" t="s">
        <v>5089</v>
      </c>
      <c r="F1297" s="1" t="s">
        <v>1224</v>
      </c>
    </row>
    <row r="1298" spans="1:6" ht="15.75" customHeight="1">
      <c r="A1298" s="1">
        <v>292320</v>
      </c>
      <c r="B1298" s="1" t="s">
        <v>1268</v>
      </c>
      <c r="C1298" s="1" t="str">
        <f ca="1">IFERROR(__xludf.DUMMYFUNCTION("REGEXEXTRACT(B1298, ""^([^:]+)"")"),"Lecithins and other phosphoaminolipids, whether or not chemically defined")</f>
        <v>Lecithins and other phosphoaminolipids, whether or not chemically defined</v>
      </c>
      <c r="D1298" s="1">
        <v>1</v>
      </c>
      <c r="E1298" s="2" t="s">
        <v>5089</v>
      </c>
      <c r="F1298" s="1" t="s">
        <v>1224</v>
      </c>
    </row>
    <row r="1299" spans="1:6" ht="15.75" customHeight="1">
      <c r="A1299" s="1">
        <v>293329</v>
      </c>
      <c r="B1299" s="1" t="s">
        <v>1312</v>
      </c>
      <c r="C1299" s="1" t="str">
        <f ca="1">IFERROR(__xludf.DUMMYFUNCTION("REGEXEXTRACT(B1299, ""^([^:]+)"")"),"Heterocyclic compounds")</f>
        <v>Heterocyclic compounds</v>
      </c>
      <c r="D1299" s="1" t="s">
        <v>11</v>
      </c>
      <c r="E1299" s="1" t="s">
        <v>11</v>
      </c>
    </row>
    <row r="1300" spans="1:6" ht="15.75" customHeight="1">
      <c r="A1300" s="1">
        <v>293331</v>
      </c>
      <c r="B1300" s="1" t="s">
        <v>1313</v>
      </c>
      <c r="C1300" s="1" t="str">
        <f ca="1">IFERROR(__xludf.DUMMYFUNCTION("REGEXEXTRACT(B1300, ""^([^:]+)"")"),"Heterocyclic compounds")</f>
        <v>Heterocyclic compounds</v>
      </c>
      <c r="D1300" s="1" t="s">
        <v>11</v>
      </c>
      <c r="E1300" s="1" t="s">
        <v>11</v>
      </c>
    </row>
    <row r="1301" spans="1:6" ht="15.75" customHeight="1">
      <c r="A1301" s="1">
        <v>293332</v>
      </c>
      <c r="B1301" s="1" t="s">
        <v>1314</v>
      </c>
      <c r="C1301" s="1" t="str">
        <f ca="1">IFERROR(__xludf.DUMMYFUNCTION("REGEXEXTRACT(B1301, ""^([^:]+)"")"),"Heterocyclic compounds")</f>
        <v>Heterocyclic compounds</v>
      </c>
      <c r="D1301" s="1" t="s">
        <v>11</v>
      </c>
      <c r="E1301" s="1" t="s">
        <v>11</v>
      </c>
    </row>
    <row r="1302" spans="1:6" ht="15.75" customHeight="1">
      <c r="A1302" s="1">
        <v>293333</v>
      </c>
      <c r="B1302" s="1" t="s">
        <v>1315</v>
      </c>
      <c r="C1302" s="1" t="str">
        <f ca="1">IFERROR(__xludf.DUMMYFUNCTION("REGEXEXTRACT(B1302, ""^([^:]+)"")"),"Heterocyclic compounds")</f>
        <v>Heterocyclic compounds</v>
      </c>
      <c r="D1302" s="1" t="s">
        <v>11</v>
      </c>
      <c r="E1302" s="1" t="s">
        <v>11</v>
      </c>
    </row>
    <row r="1303" spans="1:6" ht="15.75" customHeight="1">
      <c r="A1303" s="1">
        <v>293339</v>
      </c>
      <c r="B1303" s="1" t="s">
        <v>1316</v>
      </c>
      <c r="C1303" s="1" t="str">
        <f ca="1">IFERROR(__xludf.DUMMYFUNCTION("REGEXEXTRACT(B1303, ""^([^:]+)"")"),"Heterocyclic compounds")</f>
        <v>Heterocyclic compounds</v>
      </c>
      <c r="D1303" s="1" t="s">
        <v>11</v>
      </c>
      <c r="E1303" s="1" t="s">
        <v>11</v>
      </c>
    </row>
    <row r="1304" spans="1:6" ht="15.75" customHeight="1">
      <c r="A1304" s="1">
        <v>293341</v>
      </c>
      <c r="B1304" s="1" t="s">
        <v>1317</v>
      </c>
      <c r="C1304" s="1" t="str">
        <f ca="1">IFERROR(__xludf.DUMMYFUNCTION("REGEXEXTRACT(B1304, ""^([^:]+)"")"),"Heterocyclic compounds")</f>
        <v>Heterocyclic compounds</v>
      </c>
      <c r="D1304" s="1" t="s">
        <v>11</v>
      </c>
      <c r="E1304" s="1" t="s">
        <v>11</v>
      </c>
    </row>
    <row r="1305" spans="1:6" ht="15.75" customHeight="1">
      <c r="A1305" s="1">
        <v>293349</v>
      </c>
      <c r="B1305" s="1" t="s">
        <v>1318</v>
      </c>
      <c r="C1305" s="1" t="str">
        <f ca="1">IFERROR(__xludf.DUMMYFUNCTION("REGEXEXTRACT(B1305, ""^([^:]+)"")"),"Heterocyclic compounds")</f>
        <v>Heterocyclic compounds</v>
      </c>
      <c r="D1305" s="1" t="s">
        <v>11</v>
      </c>
      <c r="E1305" s="1" t="s">
        <v>11</v>
      </c>
    </row>
    <row r="1306" spans="1:6" ht="15.75" customHeight="1">
      <c r="A1306" s="1">
        <v>292390</v>
      </c>
      <c r="B1306" s="1" t="s">
        <v>1269</v>
      </c>
      <c r="C1306" s="1" t="str">
        <f ca="1">IFERROR(__xludf.DUMMYFUNCTION("REGEXEXTRACT(B1306, ""^([^:]+)"")"),"Quaternary ammonium salts and hydroxides")</f>
        <v>Quaternary ammonium salts and hydroxides</v>
      </c>
      <c r="D1306" s="1">
        <v>1</v>
      </c>
      <c r="E1306" s="2" t="s">
        <v>5089</v>
      </c>
      <c r="F1306" s="1" t="s">
        <v>1224</v>
      </c>
    </row>
    <row r="1307" spans="1:6" ht="15.75" customHeight="1">
      <c r="A1307" s="1">
        <v>292411</v>
      </c>
      <c r="B1307" s="1" t="s">
        <v>1270</v>
      </c>
      <c r="C1307" s="1" t="str">
        <f ca="1">IFERROR(__xludf.DUMMYFUNCTION("REGEXEXTRACT(B1307, ""^([^:]+)"")"),"Acyclic amides (including acyclic carbamates) and their derivatives")</f>
        <v>Acyclic amides (including acyclic carbamates) and their derivatives</v>
      </c>
      <c r="D1307" s="1">
        <v>1</v>
      </c>
      <c r="E1307" s="2" t="s">
        <v>5089</v>
      </c>
      <c r="F1307" s="1" t="s">
        <v>1224</v>
      </c>
    </row>
    <row r="1308" spans="1:6" ht="15.75" customHeight="1">
      <c r="A1308" s="1">
        <v>292412</v>
      </c>
      <c r="B1308" s="1" t="s">
        <v>1271</v>
      </c>
      <c r="C1308" s="1" t="str">
        <f ca="1">IFERROR(__xludf.DUMMYFUNCTION("REGEXEXTRACT(B1308, ""^([^:]+)"")"),"Acyclic amides (including acyclic carbamates) and their derivatives")</f>
        <v>Acyclic amides (including acyclic carbamates) and their derivatives</v>
      </c>
      <c r="D1308" s="1">
        <v>1</v>
      </c>
      <c r="E1308" s="2" t="s">
        <v>5089</v>
      </c>
      <c r="F1308" s="1" t="s">
        <v>1224</v>
      </c>
    </row>
    <row r="1309" spans="1:6" ht="15.75" customHeight="1">
      <c r="A1309" s="1">
        <v>292419</v>
      </c>
      <c r="B1309" s="1" t="s">
        <v>1272</v>
      </c>
      <c r="C1309" s="1" t="str">
        <f ca="1">IFERROR(__xludf.DUMMYFUNCTION("REGEXEXTRACT(B1309, ""^([^:]+)"")"),"Acyclic amides (including acyclic carbamates) and their derivatives")</f>
        <v>Acyclic amides (including acyclic carbamates) and their derivatives</v>
      </c>
      <c r="D1309" s="1">
        <v>1</v>
      </c>
      <c r="E1309" s="2" t="s">
        <v>5089</v>
      </c>
      <c r="F1309" s="1" t="s">
        <v>1224</v>
      </c>
    </row>
    <row r="1310" spans="1:6" ht="15.75" customHeight="1">
      <c r="A1310" s="1">
        <v>292423</v>
      </c>
      <c r="B1310" s="1" t="s">
        <v>1274</v>
      </c>
      <c r="C1310" s="1" t="str">
        <f ca="1">IFERROR(__xludf.DUMMYFUNCTION("REGEXEXTRACT(B1310, ""^([^:]+)"")"),"Cyclic amides (including cyclic carbamates) and their derivatives")</f>
        <v>Cyclic amides (including cyclic carbamates) and their derivatives</v>
      </c>
      <c r="D1310" s="1">
        <v>1</v>
      </c>
      <c r="E1310" s="2" t="s">
        <v>5089</v>
      </c>
      <c r="F1310" s="1" t="s">
        <v>1224</v>
      </c>
    </row>
    <row r="1311" spans="1:6" ht="15.75" customHeight="1">
      <c r="A1311" s="1">
        <v>293361</v>
      </c>
      <c r="B1311" s="1" t="s">
        <v>1324</v>
      </c>
      <c r="C1311" s="1" t="str">
        <f ca="1">IFERROR(__xludf.DUMMYFUNCTION("REGEXEXTRACT(B1311, ""^([^:]+)"")"),"Heterocyclic compounds")</f>
        <v>Heterocyclic compounds</v>
      </c>
      <c r="D1311" s="1" t="s">
        <v>11</v>
      </c>
      <c r="E1311" s="1" t="s">
        <v>11</v>
      </c>
    </row>
    <row r="1312" spans="1:6" ht="12.75" customHeight="1">
      <c r="A1312" s="1">
        <v>292424</v>
      </c>
      <c r="B1312" s="1" t="s">
        <v>1275</v>
      </c>
      <c r="C1312" s="1" t="str">
        <f ca="1">IFERROR(__xludf.DUMMYFUNCTION("REGEXEXTRACT(B1312, ""^([^:]+)"")"),"Cyclic amides (including cyclic carbamates) and their derivatives")</f>
        <v>Cyclic amides (including cyclic carbamates) and their derivatives</v>
      </c>
      <c r="D1312" s="1">
        <v>1</v>
      </c>
      <c r="E1312" s="2" t="s">
        <v>5089</v>
      </c>
      <c r="F1312" s="1" t="s">
        <v>1224</v>
      </c>
    </row>
    <row r="1313" spans="1:8" ht="15.75" customHeight="1">
      <c r="A1313" s="1">
        <v>293371</v>
      </c>
      <c r="B1313" s="1" t="s">
        <v>1326</v>
      </c>
      <c r="C1313" s="1" t="str">
        <f ca="1">IFERROR(__xludf.DUMMYFUNCTION("REGEXEXTRACT(B1313, ""^([^:]+)"")"),"Heterocyclic compounds")</f>
        <v>Heterocyclic compounds</v>
      </c>
      <c r="D1313" s="1" t="s">
        <v>11</v>
      </c>
      <c r="E1313" s="1" t="s">
        <v>11</v>
      </c>
    </row>
    <row r="1314" spans="1:8" ht="15.75" customHeight="1">
      <c r="A1314" s="1">
        <v>293372</v>
      </c>
      <c r="B1314" s="1" t="s">
        <v>1327</v>
      </c>
      <c r="C1314" s="1" t="str">
        <f ca="1">IFERROR(__xludf.DUMMYFUNCTION("REGEXEXTRACT(B1314, ""^([^:]+)"")"),"Heterocyclic compounds")</f>
        <v>Heterocyclic compounds</v>
      </c>
      <c r="D1314" s="1" t="s">
        <v>11</v>
      </c>
      <c r="E1314" s="1" t="s">
        <v>11</v>
      </c>
    </row>
    <row r="1315" spans="1:8" ht="15.75" customHeight="1">
      <c r="A1315" s="1">
        <v>293379</v>
      </c>
      <c r="B1315" s="1" t="s">
        <v>1328</v>
      </c>
      <c r="C1315" s="1" t="str">
        <f ca="1">IFERROR(__xludf.DUMMYFUNCTION("REGEXEXTRACT(B1315, ""^([^:]+)"")"),"Heterocyclic compounds")</f>
        <v>Heterocyclic compounds</v>
      </c>
      <c r="D1315" s="1" t="s">
        <v>11</v>
      </c>
      <c r="E1315" s="1" t="s">
        <v>11</v>
      </c>
    </row>
    <row r="1316" spans="1:8" ht="15.75" customHeight="1">
      <c r="A1316" s="1">
        <v>293391</v>
      </c>
      <c r="B1316" s="1" t="s">
        <v>1329</v>
      </c>
      <c r="C1316" s="1" t="str">
        <f ca="1">IFERROR(__xludf.DUMMYFUNCTION("REGEXEXTRACT(B1316, ""^([^:]+)"")"),"Heterocyclic compounds")</f>
        <v>Heterocyclic compounds</v>
      </c>
      <c r="D1316" s="1" t="s">
        <v>11</v>
      </c>
      <c r="E1316" s="1" t="s">
        <v>11</v>
      </c>
    </row>
    <row r="1317" spans="1:8" ht="15.75" customHeight="1">
      <c r="A1317" s="1">
        <v>293399</v>
      </c>
      <c r="B1317" s="1" t="s">
        <v>1330</v>
      </c>
      <c r="C1317" s="1" t="str">
        <f ca="1">IFERROR(__xludf.DUMMYFUNCTION("REGEXEXTRACT(B1317, ""^([^:]+)"")"),"Heterocyclic compounds")</f>
        <v>Heterocyclic compounds</v>
      </c>
      <c r="D1317" s="1" t="s">
        <v>11</v>
      </c>
      <c r="E1317" s="1" t="s">
        <v>11</v>
      </c>
    </row>
    <row r="1318" spans="1:8" ht="15.75" customHeight="1">
      <c r="A1318" s="1">
        <v>293410</v>
      </c>
      <c r="B1318" s="1" t="s">
        <v>1331</v>
      </c>
      <c r="C1318" s="1" t="str">
        <f ca="1">IFERROR(__xludf.DUMMYFUNCTION("REGEXEXTRACT(B1318, ""^([^:]+)"")"),"Heterocyclic compounds")</f>
        <v>Heterocyclic compounds</v>
      </c>
      <c r="D1318" s="1" t="s">
        <v>11</v>
      </c>
      <c r="E1318" s="1" t="s">
        <v>11</v>
      </c>
    </row>
    <row r="1319" spans="1:8" ht="15.75" customHeight="1">
      <c r="A1319" s="1">
        <v>293420</v>
      </c>
      <c r="B1319" s="1" t="s">
        <v>1332</v>
      </c>
      <c r="C1319" s="1" t="str">
        <f ca="1">IFERROR(__xludf.DUMMYFUNCTION("REGEXEXTRACT(B1319, ""^([^:]+)"")"),"Heterocyclic compounds")</f>
        <v>Heterocyclic compounds</v>
      </c>
      <c r="D1319" s="1" t="s">
        <v>11</v>
      </c>
      <c r="E1319" s="1" t="s">
        <v>11</v>
      </c>
    </row>
    <row r="1320" spans="1:8" ht="15.75" customHeight="1">
      <c r="A1320" s="1">
        <v>292429</v>
      </c>
      <c r="B1320" s="1" t="s">
        <v>1276</v>
      </c>
      <c r="C1320" s="1" t="str">
        <f ca="1">IFERROR(__xludf.DUMMYFUNCTION("REGEXEXTRACT(B1320, ""^([^:]+)"")"),"Cyclic amides (including cyclic carbamates) and their derivatives")</f>
        <v>Cyclic amides (including cyclic carbamates) and their derivatives</v>
      </c>
      <c r="D1320" s="1">
        <v>1</v>
      </c>
      <c r="E1320" s="2" t="s">
        <v>5089</v>
      </c>
      <c r="F1320" s="1" t="s">
        <v>1224</v>
      </c>
    </row>
    <row r="1321" spans="1:8" ht="15.75" customHeight="1">
      <c r="A1321" s="1">
        <v>293491</v>
      </c>
      <c r="B1321" s="1" t="s">
        <v>1334</v>
      </c>
      <c r="C1321" s="1" t="str">
        <f ca="1">IFERROR(__xludf.DUMMYFUNCTION("REGEXEXTRACT(B1321, ""^([^:]+)"")"),"Other heterocyclic compounds, n.e.c. in 2934.1, 2934.2 and 2934.3")</f>
        <v>Other heterocyclic compounds, n.e.c. in 2934.1, 2934.2 and 2934.3</v>
      </c>
      <c r="D1321" s="1" t="s">
        <v>11</v>
      </c>
      <c r="E1321" s="1" t="s">
        <v>11</v>
      </c>
    </row>
    <row r="1322" spans="1:8" ht="15.75" customHeight="1">
      <c r="A1322" s="1">
        <v>293499</v>
      </c>
      <c r="B1322" s="1" t="s">
        <v>1335</v>
      </c>
      <c r="C1322" s="1" t="str">
        <f ca="1">IFERROR(__xludf.DUMMYFUNCTION("REGEXEXTRACT(B1322, ""^([^:]+)"")"),"Nucleic acids and their salts, other heterocyclic compounds, n.e.c. in heading number 2934")</f>
        <v>Nucleic acids and their salts, other heterocyclic compounds, n.e.c. in heading number 2934</v>
      </c>
      <c r="D1322" s="1" t="s">
        <v>11</v>
      </c>
      <c r="E1322" s="1" t="s">
        <v>11</v>
      </c>
    </row>
    <row r="1323" spans="1:8" ht="15.75" customHeight="1">
      <c r="A1323" s="1">
        <v>293229</v>
      </c>
      <c r="B1323" s="1" t="s">
        <v>1302</v>
      </c>
      <c r="C1323" s="1" t="str">
        <f ca="1">IFERROR(__xludf.DUMMYFUNCTION("REGEXEXTRACT(B1323, ""^([^:]+)"")"),"Heterocyclic compounds with oxygen hetero-atom(s) only")</f>
        <v>Heterocyclic compounds with oxygen hetero-atom(s) only</v>
      </c>
      <c r="D1323" s="1">
        <v>1</v>
      </c>
      <c r="E1323" s="2" t="s">
        <v>5089</v>
      </c>
      <c r="F1323" s="1" t="s">
        <v>1224</v>
      </c>
      <c r="G1323" s="2">
        <v>293220</v>
      </c>
      <c r="H1323" s="16" t="s">
        <v>5090</v>
      </c>
    </row>
    <row r="1324" spans="1:8" ht="15.75" customHeight="1">
      <c r="A1324" s="1">
        <v>293311</v>
      </c>
      <c r="B1324" s="1" t="s">
        <v>1309</v>
      </c>
      <c r="C1324" s="1" t="str">
        <f ca="1">IFERROR(__xludf.DUMMYFUNCTION("REGEXEXTRACT(B1324, ""^([^:]+)"")"),"Heterocyclic compounds")</f>
        <v>Heterocyclic compounds</v>
      </c>
      <c r="D1324" s="1">
        <v>1</v>
      </c>
      <c r="E1324" s="2" t="s">
        <v>5089</v>
      </c>
      <c r="F1324" s="1" t="s">
        <v>1224</v>
      </c>
    </row>
    <row r="1325" spans="1:8" ht="15.75" customHeight="1">
      <c r="A1325" s="1">
        <v>293622</v>
      </c>
      <c r="B1325" s="1" t="s">
        <v>1338</v>
      </c>
      <c r="C1325" s="1" t="str">
        <f ca="1">IFERROR(__xludf.DUMMYFUNCTION("REGEXEXTRACT(B1325, ""^([^:]+)"")"),"Vitamins")</f>
        <v>Vitamins</v>
      </c>
      <c r="D1325" s="1" t="s">
        <v>11</v>
      </c>
      <c r="E1325" s="1" t="s">
        <v>11</v>
      </c>
    </row>
    <row r="1326" spans="1:8" ht="15.75" customHeight="1">
      <c r="A1326" s="1">
        <v>293319</v>
      </c>
      <c r="B1326" s="1" t="s">
        <v>1310</v>
      </c>
      <c r="C1326" s="1" t="str">
        <f ca="1">IFERROR(__xludf.DUMMYFUNCTION("REGEXEXTRACT(B1326, ""^([^:]+)"")"),"Heterocyclic compounds")</f>
        <v>Heterocyclic compounds</v>
      </c>
      <c r="D1326" s="1">
        <v>1</v>
      </c>
      <c r="E1326" s="2" t="s">
        <v>5089</v>
      </c>
      <c r="F1326" s="1" t="s">
        <v>1224</v>
      </c>
    </row>
    <row r="1327" spans="1:8" ht="15.75" customHeight="1">
      <c r="A1327" s="1">
        <v>293321</v>
      </c>
      <c r="B1327" s="1" t="s">
        <v>1311</v>
      </c>
      <c r="C1327" s="1" t="str">
        <f ca="1">IFERROR(__xludf.DUMMYFUNCTION("REGEXEXTRACT(B1327, ""^([^:]+)"")"),"Heterocyclic compounds")</f>
        <v>Heterocyclic compounds</v>
      </c>
      <c r="D1327" s="1">
        <v>1</v>
      </c>
      <c r="E1327" s="2" t="s">
        <v>5089</v>
      </c>
      <c r="F1327" s="1" t="s">
        <v>1224</v>
      </c>
    </row>
    <row r="1328" spans="1:8" ht="15.75" customHeight="1">
      <c r="A1328" s="1">
        <v>293352</v>
      </c>
      <c r="B1328" s="1" t="s">
        <v>1319</v>
      </c>
      <c r="C1328" s="1" t="str">
        <f ca="1">IFERROR(__xludf.DUMMYFUNCTION("REGEXEXTRACT(B1328, ""^([^:]+)"")"),"Heterocyclic compounds")</f>
        <v>Heterocyclic compounds</v>
      </c>
      <c r="D1328" s="1">
        <v>1</v>
      </c>
      <c r="E1328" s="2" t="s">
        <v>5089</v>
      </c>
      <c r="F1328" s="1" t="s">
        <v>1224</v>
      </c>
    </row>
    <row r="1329" spans="1:8" ht="15.75" customHeight="1">
      <c r="A1329" s="1">
        <v>293353</v>
      </c>
      <c r="B1329" s="1" t="s">
        <v>1320</v>
      </c>
      <c r="C1329" s="1" t="str">
        <f ca="1">IFERROR(__xludf.DUMMYFUNCTION("REGEXEXTRACT(B1329, ""^([^:]+)"")"),"Allobarbital (INN), amobarbital (INN), barbital (INN), butalbital (INN), butobarbital, cyclobarbital (INN), methylphenobarbital (INN), pentobarbital (INN), phenobarbital (INN), secbutabarbital (INN), secobarbital (INN) and vinylbital (INN)")</f>
        <v>Allobarbital (INN), amobarbital (INN), barbital (INN), butalbital (INN), butobarbital, cyclobarbital (INN), methylphenobarbital (INN), pentobarbital (INN), phenobarbital (INN), secbutabarbital (INN), secobarbital (INN) and vinylbital (INN)</v>
      </c>
      <c r="D1329" s="1">
        <v>1</v>
      </c>
      <c r="E1329" s="2" t="s">
        <v>5089</v>
      </c>
      <c r="F1329" s="1" t="s">
        <v>1224</v>
      </c>
    </row>
    <row r="1330" spans="1:8" ht="15.75" customHeight="1">
      <c r="A1330" s="1">
        <v>293354</v>
      </c>
      <c r="B1330" s="1" t="s">
        <v>1321</v>
      </c>
      <c r="C1330" s="1" t="str">
        <f ca="1">IFERROR(__xludf.DUMMYFUNCTION("REGEXEXTRACT(B1330, ""^([^:]+)"")"),"Heterocyclic compounds")</f>
        <v>Heterocyclic compounds</v>
      </c>
      <c r="D1330" s="1">
        <v>1</v>
      </c>
      <c r="E1330" s="2" t="s">
        <v>5089</v>
      </c>
      <c r="F1330" s="1" t="s">
        <v>1224</v>
      </c>
    </row>
    <row r="1331" spans="1:8" ht="15.75" customHeight="1">
      <c r="A1331" s="1">
        <v>293355</v>
      </c>
      <c r="B1331" s="1" t="s">
        <v>1322</v>
      </c>
      <c r="C1331" s="1" t="str">
        <f ca="1">IFERROR(__xludf.DUMMYFUNCTION("REGEXEXTRACT(B1331, ""^([^:]+)"")"),"Heterocyclic compounds")</f>
        <v>Heterocyclic compounds</v>
      </c>
      <c r="D1331" s="1">
        <v>1</v>
      </c>
      <c r="E1331" s="2" t="s">
        <v>5089</v>
      </c>
      <c r="F1331" s="1" t="s">
        <v>1224</v>
      </c>
    </row>
    <row r="1332" spans="1:8" ht="15.75" customHeight="1">
      <c r="A1332" s="1">
        <v>293359</v>
      </c>
      <c r="B1332" s="1" t="s">
        <v>1323</v>
      </c>
      <c r="C1332" s="1" t="str">
        <f ca="1">IFERROR(__xludf.DUMMYFUNCTION("REGEXEXTRACT(B1332, ""^([^:]+)"")"),"Heterocyclic compounds")</f>
        <v>Heterocyclic compounds</v>
      </c>
      <c r="D1332" s="1">
        <v>1</v>
      </c>
      <c r="E1332" s="2" t="s">
        <v>5089</v>
      </c>
      <c r="F1332" s="1" t="s">
        <v>1224</v>
      </c>
    </row>
    <row r="1333" spans="1:8" ht="15.75" customHeight="1">
      <c r="A1333" s="1">
        <v>293369</v>
      </c>
      <c r="B1333" s="1" t="s">
        <v>1325</v>
      </c>
      <c r="C1333" s="1" t="str">
        <f ca="1">IFERROR(__xludf.DUMMYFUNCTION("REGEXEXTRACT(B1333, ""^([^:]+)"")"),"Heterocyclic compounds")</f>
        <v>Heterocyclic compounds</v>
      </c>
      <c r="D1333" s="1">
        <v>1</v>
      </c>
      <c r="E1333" s="2" t="s">
        <v>5089</v>
      </c>
      <c r="F1333" s="1" t="s">
        <v>1224</v>
      </c>
    </row>
    <row r="1334" spans="1:8" ht="15.75" customHeight="1">
      <c r="A1334" s="1">
        <v>293430</v>
      </c>
      <c r="B1334" s="1" t="s">
        <v>1333</v>
      </c>
      <c r="C1334" s="1" t="str">
        <f ca="1">IFERROR(__xludf.DUMMYFUNCTION("REGEXEXTRACT(B1334, ""^([^:]+)"")"),"Heterocyclic compounds")</f>
        <v>Heterocyclic compounds</v>
      </c>
      <c r="D1334" s="1">
        <v>1</v>
      </c>
      <c r="E1334" s="2" t="s">
        <v>5089</v>
      </c>
      <c r="F1334" s="1" t="s">
        <v>1224</v>
      </c>
    </row>
    <row r="1335" spans="1:8" ht="15.75" customHeight="1">
      <c r="A1335" s="1">
        <v>293500</v>
      </c>
      <c r="B1335" s="1" t="s">
        <v>1336</v>
      </c>
      <c r="C1335" s="1" t="str">
        <f ca="1">IFERROR(__xludf.DUMMYFUNCTION("REGEXEXTRACT(B1335, ""^([^:]+)"")"),"Sulphonamides")</f>
        <v>Sulphonamides</v>
      </c>
      <c r="D1335" s="1">
        <v>1</v>
      </c>
      <c r="E1335" s="2" t="s">
        <v>5089</v>
      </c>
      <c r="F1335" s="1" t="s">
        <v>1224</v>
      </c>
      <c r="G1335" s="17">
        <v>293510</v>
      </c>
      <c r="H1335" s="18" t="s">
        <v>5091</v>
      </c>
    </row>
    <row r="1336" spans="1:8" ht="15.75" customHeight="1">
      <c r="A1336" s="1">
        <v>293500</v>
      </c>
      <c r="B1336" s="1" t="s">
        <v>1336</v>
      </c>
      <c r="C1336" s="1" t="str">
        <f ca="1">IFERROR(__xludf.DUMMYFUNCTION("REGEXEXTRACT(B1336, ""^([^:]+)"")"),"Sulphonamides")</f>
        <v>Sulphonamides</v>
      </c>
      <c r="D1336" s="1">
        <v>1</v>
      </c>
      <c r="E1336" s="2" t="s">
        <v>5089</v>
      </c>
      <c r="F1336" s="1" t="s">
        <v>1224</v>
      </c>
      <c r="G1336" s="19">
        <v>293520</v>
      </c>
      <c r="H1336" s="18" t="s">
        <v>5092</v>
      </c>
    </row>
    <row r="1337" spans="1:8" ht="15.75" customHeight="1">
      <c r="A1337" s="1">
        <v>293500</v>
      </c>
      <c r="B1337" s="1" t="s">
        <v>1336</v>
      </c>
      <c r="C1337" s="1" t="str">
        <f ca="1">IFERROR(__xludf.DUMMYFUNCTION("REGEXEXTRACT(B1337, ""^([^:]+)"")"),"Sulphonamides")</f>
        <v>Sulphonamides</v>
      </c>
      <c r="D1337" s="1">
        <v>1</v>
      </c>
      <c r="E1337" s="2" t="s">
        <v>5089</v>
      </c>
      <c r="F1337" s="1" t="s">
        <v>1224</v>
      </c>
      <c r="G1337" s="17">
        <v>293530</v>
      </c>
      <c r="H1337" s="18" t="s">
        <v>5093</v>
      </c>
    </row>
    <row r="1338" spans="1:8" ht="15.75" customHeight="1">
      <c r="A1338" s="1">
        <v>293500</v>
      </c>
      <c r="B1338" s="1" t="s">
        <v>1336</v>
      </c>
      <c r="C1338" s="1" t="str">
        <f ca="1">IFERROR(__xludf.DUMMYFUNCTION("REGEXEXTRACT(B1338, ""^([^:]+)"")"),"Sulphonamides")</f>
        <v>Sulphonamides</v>
      </c>
      <c r="D1338" s="1">
        <v>1</v>
      </c>
      <c r="E1338" s="2" t="s">
        <v>5089</v>
      </c>
      <c r="F1338" s="1" t="s">
        <v>1224</v>
      </c>
      <c r="G1338" s="19">
        <v>293540</v>
      </c>
      <c r="H1338" s="18" t="s">
        <v>5094</v>
      </c>
    </row>
    <row r="1339" spans="1:8" ht="15.75" customHeight="1">
      <c r="A1339" s="1">
        <v>293500</v>
      </c>
      <c r="B1339" s="1" t="s">
        <v>1336</v>
      </c>
      <c r="C1339" s="1" t="str">
        <f ca="1">IFERROR(__xludf.DUMMYFUNCTION("REGEXEXTRACT(B1339, ""^([^:]+)"")"),"Sulphonamides")</f>
        <v>Sulphonamides</v>
      </c>
      <c r="D1339" s="1">
        <v>1</v>
      </c>
      <c r="E1339" s="2" t="s">
        <v>5089</v>
      </c>
      <c r="F1339" s="1" t="s">
        <v>1224</v>
      </c>
      <c r="G1339" s="17">
        <v>293550</v>
      </c>
      <c r="H1339" s="18" t="s">
        <v>5095</v>
      </c>
    </row>
    <row r="1340" spans="1:8" ht="15.75" customHeight="1">
      <c r="A1340" s="1">
        <v>293500</v>
      </c>
      <c r="B1340" s="1" t="s">
        <v>1336</v>
      </c>
      <c r="C1340" s="1" t="str">
        <f ca="1">IFERROR(__xludf.DUMMYFUNCTION("REGEXEXTRACT(B1340, ""^([^:]+)"")"),"Sulphonamides")</f>
        <v>Sulphonamides</v>
      </c>
      <c r="D1340" s="1">
        <v>1</v>
      </c>
      <c r="E1340" s="2" t="s">
        <v>5089</v>
      </c>
      <c r="F1340" s="1" t="s">
        <v>1224</v>
      </c>
      <c r="G1340" s="19">
        <v>293590</v>
      </c>
      <c r="H1340" s="18" t="s">
        <v>5096</v>
      </c>
    </row>
    <row r="1341" spans="1:8" ht="15.75" customHeight="1">
      <c r="A1341" s="1">
        <v>293621</v>
      </c>
      <c r="B1341" s="1" t="s">
        <v>1337</v>
      </c>
      <c r="C1341" s="1" t="str">
        <f ca="1">IFERROR(__xludf.DUMMYFUNCTION("REGEXEXTRACT(B1341, ""^([^:]+)"")"),"Vitamins")</f>
        <v>Vitamins</v>
      </c>
      <c r="D1341" s="1">
        <v>1</v>
      </c>
      <c r="E1341" s="2" t="s">
        <v>5089</v>
      </c>
      <c r="F1341" s="1" t="s">
        <v>1224</v>
      </c>
    </row>
    <row r="1342" spans="1:8" ht="15.75" customHeight="1">
      <c r="A1342" s="1">
        <v>293623</v>
      </c>
      <c r="B1342" s="1" t="s">
        <v>1339</v>
      </c>
      <c r="C1342" s="1" t="str">
        <f ca="1">IFERROR(__xludf.DUMMYFUNCTION("REGEXEXTRACT(B1342, ""^([^:]+)"")"),"Vitamins")</f>
        <v>Vitamins</v>
      </c>
      <c r="D1342" s="1">
        <v>1</v>
      </c>
      <c r="E1342" s="2" t="s">
        <v>5089</v>
      </c>
      <c r="F1342" s="1" t="s">
        <v>1224</v>
      </c>
    </row>
    <row r="1343" spans="1:8" ht="15.75" customHeight="1">
      <c r="A1343" s="1">
        <v>293624</v>
      </c>
      <c r="B1343" s="1" t="s">
        <v>1340</v>
      </c>
      <c r="C1343" s="1" t="str">
        <f ca="1">IFERROR(__xludf.DUMMYFUNCTION("REGEXEXTRACT(B1343, ""^([^:]+)"")"),"Vitamins")</f>
        <v>Vitamins</v>
      </c>
      <c r="D1343" s="1">
        <v>1</v>
      </c>
      <c r="E1343" s="2" t="s">
        <v>5089</v>
      </c>
      <c r="F1343" s="1" t="s">
        <v>1224</v>
      </c>
    </row>
    <row r="1344" spans="1:8" ht="15.75" customHeight="1">
      <c r="A1344" s="1">
        <v>293625</v>
      </c>
      <c r="B1344" s="1" t="s">
        <v>1341</v>
      </c>
      <c r="C1344" s="1" t="str">
        <f ca="1">IFERROR(__xludf.DUMMYFUNCTION("REGEXEXTRACT(B1344, ""^([^:]+)"")"),"Vitamins")</f>
        <v>Vitamins</v>
      </c>
      <c r="D1344" s="1">
        <v>1</v>
      </c>
      <c r="E1344" s="2" t="s">
        <v>5089</v>
      </c>
      <c r="F1344" s="1" t="s">
        <v>1224</v>
      </c>
    </row>
    <row r="1345" spans="1:6" ht="15.75" customHeight="1">
      <c r="A1345" s="1">
        <v>293626</v>
      </c>
      <c r="B1345" s="1" t="s">
        <v>1342</v>
      </c>
      <c r="C1345" s="1" t="str">
        <f ca="1">IFERROR(__xludf.DUMMYFUNCTION("REGEXEXTRACT(B1345, ""^([^:]+)"")"),"Vitamins")</f>
        <v>Vitamins</v>
      </c>
      <c r="D1345" s="1">
        <v>1</v>
      </c>
      <c r="E1345" s="2" t="s">
        <v>5089</v>
      </c>
      <c r="F1345" s="1" t="s">
        <v>1224</v>
      </c>
    </row>
    <row r="1346" spans="1:6" ht="15.75" customHeight="1">
      <c r="A1346" s="1">
        <v>293627</v>
      </c>
      <c r="B1346" s="1" t="s">
        <v>1343</v>
      </c>
      <c r="C1346" s="1" t="str">
        <f ca="1">IFERROR(__xludf.DUMMYFUNCTION("REGEXEXTRACT(B1346, ""^([^:]+)"")"),"Vitamins")</f>
        <v>Vitamins</v>
      </c>
      <c r="D1346" s="1">
        <v>1</v>
      </c>
      <c r="E1346" s="2" t="s">
        <v>5089</v>
      </c>
      <c r="F1346" s="1" t="s">
        <v>1224</v>
      </c>
    </row>
    <row r="1347" spans="1:6" ht="15.75" customHeight="1">
      <c r="A1347" s="1">
        <v>293628</v>
      </c>
      <c r="B1347" s="1" t="s">
        <v>1344</v>
      </c>
      <c r="C1347" s="1" t="str">
        <f ca="1">IFERROR(__xludf.DUMMYFUNCTION("REGEXEXTRACT(B1347, ""^([^:]+)"")"),"Vitamins")</f>
        <v>Vitamins</v>
      </c>
      <c r="D1347" s="1">
        <v>1</v>
      </c>
      <c r="E1347" s="2" t="s">
        <v>5089</v>
      </c>
      <c r="F1347" s="1" t="s">
        <v>1224</v>
      </c>
    </row>
    <row r="1348" spans="1:6" ht="15.75" customHeight="1">
      <c r="A1348" s="1">
        <v>293629</v>
      </c>
      <c r="B1348" s="1" t="s">
        <v>1345</v>
      </c>
      <c r="C1348" s="1" t="str">
        <f ca="1">IFERROR(__xludf.DUMMYFUNCTION("REGEXEXTRACT(B1348, ""^([^:]+)"")"),"Vitamins")</f>
        <v>Vitamins</v>
      </c>
      <c r="D1348" s="1">
        <v>1</v>
      </c>
      <c r="E1348" s="2" t="s">
        <v>5089</v>
      </c>
      <c r="F1348" s="1" t="s">
        <v>1224</v>
      </c>
    </row>
    <row r="1349" spans="1:6" ht="15.75" customHeight="1">
      <c r="A1349" s="1">
        <v>293690</v>
      </c>
      <c r="B1349" s="1" t="s">
        <v>1346</v>
      </c>
      <c r="C1349" s="1" t="str">
        <f ca="1">IFERROR(__xludf.DUMMYFUNCTION("REGEXEXTRACT(B1349, ""^([^:]+)"")"),"Vitamins")</f>
        <v>Vitamins</v>
      </c>
      <c r="D1349" s="1">
        <v>1</v>
      </c>
      <c r="E1349" s="2" t="s">
        <v>5089</v>
      </c>
      <c r="F1349" s="1" t="s">
        <v>1224</v>
      </c>
    </row>
    <row r="1350" spans="1:6" ht="15.75" customHeight="1">
      <c r="A1350" s="1">
        <v>293711</v>
      </c>
      <c r="B1350" s="1" t="s">
        <v>1347</v>
      </c>
      <c r="C1350" s="1" t="str">
        <f ca="1">IFERROR(__xludf.DUMMYFUNCTION("REGEXEXTRACT(B1350, ""^([^:]+)"")"),"Polypeptide hormones, protein hormones and glycoprotein hormones, their derivatives and structural analogues")</f>
        <v>Polypeptide hormones, protein hormones and glycoprotein hormones, their derivatives and structural analogues</v>
      </c>
      <c r="D1350" s="1">
        <v>1</v>
      </c>
      <c r="E1350" s="2" t="s">
        <v>5089</v>
      </c>
      <c r="F1350" s="1" t="s">
        <v>1224</v>
      </c>
    </row>
    <row r="1351" spans="1:6" ht="15.75" customHeight="1">
      <c r="A1351" s="1">
        <v>293712</v>
      </c>
      <c r="B1351" s="1" t="s">
        <v>1348</v>
      </c>
      <c r="C1351" s="1" t="str">
        <f ca="1">IFERROR(__xludf.DUMMYFUNCTION("REGEXEXTRACT(B1351, ""^([^:]+)"")"),"Polypeptide hormones, protein hormones and glycoprotein hormones, their derivatives and structural analogues")</f>
        <v>Polypeptide hormones, protein hormones and glycoprotein hormones, their derivatives and structural analogues</v>
      </c>
      <c r="D1351" s="1">
        <v>1</v>
      </c>
      <c r="E1351" s="2" t="s">
        <v>5089</v>
      </c>
      <c r="F1351" s="1" t="s">
        <v>1224</v>
      </c>
    </row>
    <row r="1352" spans="1:6" ht="15.75" customHeight="1">
      <c r="A1352" s="1">
        <v>293719</v>
      </c>
      <c r="B1352" s="1" t="s">
        <v>1349</v>
      </c>
      <c r="C1352" s="1" t="str">
        <f ca="1">IFERROR(__xludf.DUMMYFUNCTION("REGEXEXTRACT(B1352, ""^([^:]+)"")"),"Polypeptide hormones, protein hormones and glycoprotein hormones, their derivatives and structural analogues")</f>
        <v>Polypeptide hormones, protein hormones and glycoprotein hormones, their derivatives and structural analogues</v>
      </c>
      <c r="D1352" s="1">
        <v>1</v>
      </c>
      <c r="E1352" s="2" t="s">
        <v>5089</v>
      </c>
      <c r="F1352" s="1" t="s">
        <v>1224</v>
      </c>
    </row>
    <row r="1353" spans="1:6" ht="15.75" customHeight="1">
      <c r="A1353" s="1">
        <v>293721</v>
      </c>
      <c r="B1353" s="1" t="s">
        <v>1350</v>
      </c>
      <c r="C1353" s="1" t="str">
        <f ca="1">IFERROR(__xludf.DUMMYFUNCTION("REGEXEXTRACT(B1353, ""^([^:]+)"")"),"Steroidal hormones, their derivatives and structural analogues")</f>
        <v>Steroidal hormones, their derivatives and structural analogues</v>
      </c>
      <c r="D1353" s="1">
        <v>1</v>
      </c>
      <c r="E1353" s="2" t="s">
        <v>5089</v>
      </c>
      <c r="F1353" s="1" t="s">
        <v>1224</v>
      </c>
    </row>
    <row r="1354" spans="1:6" ht="15.75" customHeight="1">
      <c r="A1354" s="1">
        <v>293722</v>
      </c>
      <c r="B1354" s="1" t="s">
        <v>1351</v>
      </c>
      <c r="C1354" s="1" t="str">
        <f ca="1">IFERROR(__xludf.DUMMYFUNCTION("REGEXEXTRACT(B1354, ""^([^:]+)"")"),"Steroidal hormones, their derivatives and structural analogues")</f>
        <v>Steroidal hormones, their derivatives and structural analogues</v>
      </c>
      <c r="D1354" s="1">
        <v>1</v>
      </c>
      <c r="E1354" s="2" t="s">
        <v>5089</v>
      </c>
      <c r="F1354" s="1" t="s">
        <v>1224</v>
      </c>
    </row>
    <row r="1355" spans="1:6" ht="15.75" customHeight="1">
      <c r="A1355" s="1">
        <v>293723</v>
      </c>
      <c r="B1355" s="1" t="s">
        <v>1352</v>
      </c>
      <c r="C1355" s="1" t="str">
        <f ca="1">IFERROR(__xludf.DUMMYFUNCTION("REGEXEXTRACT(B1355, ""^([^:]+)"")"),"Steroidal hormones, their derivatives and structural analogues")</f>
        <v>Steroidal hormones, their derivatives and structural analogues</v>
      </c>
      <c r="D1355" s="1">
        <v>1</v>
      </c>
      <c r="E1355" s="2" t="s">
        <v>5089</v>
      </c>
      <c r="F1355" s="1" t="s">
        <v>1224</v>
      </c>
    </row>
    <row r="1356" spans="1:6" ht="15.75" customHeight="1">
      <c r="A1356" s="1">
        <v>293729</v>
      </c>
      <c r="B1356" s="1" t="s">
        <v>1353</v>
      </c>
      <c r="C1356" s="1" t="str">
        <f ca="1">IFERROR(__xludf.DUMMYFUNCTION("REGEXEXTRACT(B1356, ""^([^:]+)"")"),"Steroidal hormones, their derivatives and structural analogues")</f>
        <v>Steroidal hormones, their derivatives and structural analogues</v>
      </c>
      <c r="D1356" s="1">
        <v>1</v>
      </c>
      <c r="E1356" s="2" t="s">
        <v>5089</v>
      </c>
      <c r="F1356" s="1" t="s">
        <v>1224</v>
      </c>
    </row>
    <row r="1357" spans="1:6" ht="15.75" customHeight="1">
      <c r="A1357" s="1">
        <v>293731</v>
      </c>
      <c r="B1357" s="1" t="s">
        <v>1354</v>
      </c>
      <c r="C1357" s="1" t="str">
        <f ca="1">IFERROR(__xludf.DUMMYFUNCTION("REGEXEXTRACT(B1357, ""^([^:]+)"")"),"Hormones")</f>
        <v>Hormones</v>
      </c>
      <c r="D1357" s="1">
        <v>1</v>
      </c>
      <c r="E1357" s="2" t="s">
        <v>5089</v>
      </c>
      <c r="F1357" s="1" t="s">
        <v>1224</v>
      </c>
    </row>
    <row r="1358" spans="1:6" ht="15.75" customHeight="1">
      <c r="A1358" s="1">
        <v>293739</v>
      </c>
      <c r="B1358" s="1" t="s">
        <v>1355</v>
      </c>
      <c r="C1358" s="1" t="str">
        <f ca="1">IFERROR(__xludf.DUMMYFUNCTION("REGEXEXTRACT(B1358, ""^([^:]+)"")"),"Hormones")</f>
        <v>Hormones</v>
      </c>
      <c r="D1358" s="1">
        <v>1</v>
      </c>
      <c r="E1358" s="2" t="s">
        <v>5089</v>
      </c>
      <c r="F1358" s="1" t="s">
        <v>1224</v>
      </c>
    </row>
    <row r="1359" spans="1:6" ht="15.75" customHeight="1">
      <c r="A1359" s="1">
        <v>293740</v>
      </c>
      <c r="B1359" s="1" t="s">
        <v>1356</v>
      </c>
      <c r="C1359" s="1" t="str">
        <f ca="1">IFERROR(__xludf.DUMMYFUNCTION("REGEXEXTRACT(B1359, ""^([^:]+)"")"),"Hormones")</f>
        <v>Hormones</v>
      </c>
      <c r="D1359" s="1">
        <v>1</v>
      </c>
      <c r="E1359" s="2" t="s">
        <v>5089</v>
      </c>
      <c r="F1359" s="1" t="s">
        <v>1224</v>
      </c>
    </row>
    <row r="1360" spans="1:6" ht="15.75" customHeight="1">
      <c r="A1360" s="1">
        <v>293750</v>
      </c>
      <c r="B1360" s="1" t="s">
        <v>1357</v>
      </c>
      <c r="C1360" s="1" t="str">
        <f ca="1">IFERROR(__xludf.DUMMYFUNCTION("REGEXEXTRACT(B1360, ""^([^:]+)"")"),"Prostaglandins, thromboxanes and leukotrienes, their derivatives and structural analogues")</f>
        <v>Prostaglandins, thromboxanes and leukotrienes, their derivatives and structural analogues</v>
      </c>
      <c r="D1360" s="1">
        <v>1</v>
      </c>
      <c r="E1360" s="2" t="s">
        <v>5089</v>
      </c>
      <c r="F1360" s="1" t="s">
        <v>1224</v>
      </c>
    </row>
    <row r="1361" spans="1:13" ht="15.75" customHeight="1">
      <c r="A1361" s="1">
        <v>293790</v>
      </c>
      <c r="B1361" s="1" t="s">
        <v>1358</v>
      </c>
      <c r="C1361" s="1" t="str">
        <f ca="1">IFERROR(__xludf.DUMMYFUNCTION("REGEXEXTRACT(B1361, ""^([^:]+)"")"),"Hormones, prostaglandins, thromboxanes and leukotrienes, natural or reproduced by synthesis")</f>
        <v>Hormones, prostaglandins, thromboxanes and leukotrienes, natural or reproduced by synthesis</v>
      </c>
      <c r="D1361" s="1">
        <v>1</v>
      </c>
      <c r="E1361" s="2" t="s">
        <v>5089</v>
      </c>
      <c r="F1361" s="1" t="s">
        <v>1224</v>
      </c>
    </row>
    <row r="1362" spans="1:13" ht="15.75" customHeight="1">
      <c r="A1362" s="1">
        <v>293810</v>
      </c>
      <c r="B1362" s="1" t="s">
        <v>1359</v>
      </c>
      <c r="C1362" s="1" t="str">
        <f ca="1">IFERROR(__xludf.DUMMYFUNCTION("REGEXEXTRACT(B1362, ""^([^:]+)"")"),"Glycosides")</f>
        <v>Glycosides</v>
      </c>
      <c r="D1362" s="1">
        <v>1</v>
      </c>
      <c r="E1362" s="2" t="s">
        <v>5089</v>
      </c>
      <c r="F1362" s="1" t="s">
        <v>1224</v>
      </c>
    </row>
    <row r="1363" spans="1:13" ht="15.75" customHeight="1">
      <c r="A1363" s="1">
        <v>293890</v>
      </c>
      <c r="B1363" s="1" t="s">
        <v>1360</v>
      </c>
      <c r="C1363" s="1" t="str">
        <f ca="1">IFERROR(__xludf.DUMMYFUNCTION("REGEXEXTRACT(B1363, ""^([^:]+)"")"),"Glycosides")</f>
        <v>Glycosides</v>
      </c>
      <c r="D1363" s="1">
        <v>1</v>
      </c>
      <c r="E1363" s="2" t="s">
        <v>5089</v>
      </c>
      <c r="F1363" s="1" t="s">
        <v>1224</v>
      </c>
    </row>
    <row r="1364" spans="1:13" ht="15.75" customHeight="1">
      <c r="A1364" s="1">
        <v>293911</v>
      </c>
      <c r="B1364" s="1" t="s">
        <v>1361</v>
      </c>
      <c r="C1364" s="1" t="str">
        <f ca="1">IFERROR(__xludf.DUMMYFUNCTION("REGEXEXTRACT(B1364, ""^([^:]+)"")"),"Alkaloids, vegetable")</f>
        <v>Alkaloids, vegetable</v>
      </c>
      <c r="D1364" s="1">
        <v>1</v>
      </c>
      <c r="E1364" s="2" t="s">
        <v>5089</v>
      </c>
      <c r="F1364" s="1" t="s">
        <v>1224</v>
      </c>
    </row>
    <row r="1365" spans="1:13" ht="15.75" customHeight="1">
      <c r="A1365" s="1">
        <v>293919</v>
      </c>
      <c r="B1365" s="1" t="s">
        <v>1362</v>
      </c>
      <c r="C1365" s="1" t="str">
        <f ca="1">IFERROR(__xludf.DUMMYFUNCTION("REGEXEXTRACT(B1365, ""^([^:]+)"")"),"Alkaloids, vegetable")</f>
        <v>Alkaloids, vegetable</v>
      </c>
      <c r="D1365" s="1">
        <v>1</v>
      </c>
      <c r="E1365" s="2" t="s">
        <v>5089</v>
      </c>
      <c r="F1365" s="1" t="s">
        <v>1224</v>
      </c>
    </row>
    <row r="1366" spans="1:13" ht="15.75" customHeight="1">
      <c r="A1366" s="1">
        <v>293920</v>
      </c>
      <c r="B1366" s="1" t="s">
        <v>1363</v>
      </c>
      <c r="C1366" s="1" t="str">
        <f ca="1">IFERROR(__xludf.DUMMYFUNCTION("REGEXEXTRACT(B1366, ""^([^:]+)"")"),"Alkaloids, vegetable")</f>
        <v>Alkaloids, vegetable</v>
      </c>
      <c r="D1366" s="1">
        <v>1</v>
      </c>
      <c r="E1366" s="2" t="s">
        <v>5089</v>
      </c>
      <c r="F1366" s="1" t="s">
        <v>1224</v>
      </c>
    </row>
    <row r="1367" spans="1:13" ht="15.75" customHeight="1">
      <c r="A1367" s="1">
        <v>293930</v>
      </c>
      <c r="B1367" s="1" t="s">
        <v>1364</v>
      </c>
      <c r="C1367" s="1" t="str">
        <f ca="1">IFERROR(__xludf.DUMMYFUNCTION("REGEXEXTRACT(B1367, ""^([^:]+)"")"),"Alkaloids, vegetable")</f>
        <v>Alkaloids, vegetable</v>
      </c>
      <c r="D1367" s="1">
        <v>1</v>
      </c>
      <c r="E1367" s="2" t="s">
        <v>5089</v>
      </c>
      <c r="F1367" s="1" t="s">
        <v>1224</v>
      </c>
    </row>
    <row r="1368" spans="1:13" ht="15.75" customHeight="1">
      <c r="A1368" s="1">
        <v>293941</v>
      </c>
      <c r="B1368" s="1" t="s">
        <v>1365</v>
      </c>
      <c r="C1368" s="1" t="str">
        <f ca="1">IFERROR(__xludf.DUMMYFUNCTION("REGEXEXTRACT(B1368, ""^([^:]+)"")"),"Alkaloids, vegetable")</f>
        <v>Alkaloids, vegetable</v>
      </c>
      <c r="D1368" s="1">
        <v>1</v>
      </c>
      <c r="E1368" s="2" t="s">
        <v>5089</v>
      </c>
      <c r="F1368" s="1" t="s">
        <v>1224</v>
      </c>
    </row>
    <row r="1369" spans="1:13" ht="15.75" customHeight="1">
      <c r="A1369" s="14">
        <v>293942</v>
      </c>
      <c r="B1369" s="14" t="s">
        <v>1366</v>
      </c>
      <c r="C1369" s="1" t="str">
        <f ca="1">IFERROR(__xludf.DUMMYFUNCTION("REGEXEXTRACT(B1369, ""^([^:]+)"")"),"Alkaloids, vegetable")</f>
        <v>Alkaloids, vegetable</v>
      </c>
      <c r="D1369" s="14">
        <v>1</v>
      </c>
      <c r="E1369" s="2" t="s">
        <v>5089</v>
      </c>
      <c r="F1369" s="1" t="s">
        <v>1224</v>
      </c>
      <c r="G1369" s="8"/>
      <c r="H1369" s="8"/>
      <c r="I1369" s="8"/>
      <c r="J1369" s="8"/>
      <c r="K1369" s="8"/>
      <c r="L1369" s="8"/>
      <c r="M1369" s="8"/>
    </row>
    <row r="1370" spans="1:13" ht="15.75" customHeight="1">
      <c r="A1370" s="1">
        <v>293943</v>
      </c>
      <c r="B1370" s="1" t="s">
        <v>1367</v>
      </c>
      <c r="C1370" s="1" t="str">
        <f ca="1">IFERROR(__xludf.DUMMYFUNCTION("REGEXEXTRACT(B1370, ""^([^:]+)"")"),"Alkaloids, vegetable")</f>
        <v>Alkaloids, vegetable</v>
      </c>
      <c r="D1370" s="1">
        <v>1</v>
      </c>
      <c r="E1370" s="2" t="s">
        <v>5089</v>
      </c>
      <c r="F1370" s="1" t="s">
        <v>1224</v>
      </c>
    </row>
    <row r="1371" spans="1:13" ht="15.75" customHeight="1">
      <c r="A1371" s="1">
        <v>293949</v>
      </c>
      <c r="B1371" s="1" t="s">
        <v>1368</v>
      </c>
      <c r="C1371" s="1" t="str">
        <f ca="1">IFERROR(__xludf.DUMMYFUNCTION("REGEXEXTRACT(B1371, ""^([^:]+)"")"),"Alkaloids, vegetable")</f>
        <v>Alkaloids, vegetable</v>
      </c>
      <c r="D1371" s="1">
        <v>1</v>
      </c>
      <c r="E1371" s="2" t="s">
        <v>5089</v>
      </c>
      <c r="F1371" s="1" t="s">
        <v>1224</v>
      </c>
    </row>
    <row r="1372" spans="1:13" ht="15.75" customHeight="1">
      <c r="A1372" s="1">
        <v>293951</v>
      </c>
      <c r="B1372" s="1" t="s">
        <v>1369</v>
      </c>
      <c r="C1372" s="1" t="str">
        <f ca="1">IFERROR(__xludf.DUMMYFUNCTION("REGEXEXTRACT(B1372, ""^([^:]+)"")"),"Alkaloids vegetable")</f>
        <v>Alkaloids vegetable</v>
      </c>
      <c r="D1372" s="1">
        <v>1</v>
      </c>
      <c r="E1372" s="2" t="s">
        <v>5089</v>
      </c>
      <c r="F1372" s="1" t="s">
        <v>1224</v>
      </c>
    </row>
    <row r="1373" spans="1:13" ht="15.75" customHeight="1">
      <c r="A1373" s="1">
        <v>293959</v>
      </c>
      <c r="B1373" s="1" t="s">
        <v>1370</v>
      </c>
      <c r="C1373" s="1" t="str">
        <f ca="1">IFERROR(__xludf.DUMMYFUNCTION("REGEXEXTRACT(B1373, ""^([^:]+)"")"),"Alkaloids vegetable")</f>
        <v>Alkaloids vegetable</v>
      </c>
      <c r="D1373" s="1">
        <v>1</v>
      </c>
      <c r="E1373" s="2" t="s">
        <v>5089</v>
      </c>
      <c r="F1373" s="1" t="s">
        <v>1224</v>
      </c>
    </row>
    <row r="1374" spans="1:13" ht="15.75" customHeight="1">
      <c r="A1374" s="1">
        <v>293961</v>
      </c>
      <c r="B1374" s="1" t="s">
        <v>1371</v>
      </c>
      <c r="C1374" s="1" t="str">
        <f ca="1">IFERROR(__xludf.DUMMYFUNCTION("REGEXEXTRACT(B1374, ""^([^:]+)"")"),"Alkaloids, vegetable")</f>
        <v>Alkaloids, vegetable</v>
      </c>
      <c r="D1374" s="1">
        <v>1</v>
      </c>
      <c r="E1374" s="2" t="s">
        <v>5089</v>
      </c>
      <c r="F1374" s="1" t="s">
        <v>1224</v>
      </c>
    </row>
    <row r="1375" spans="1:13" ht="15.75" customHeight="1">
      <c r="A1375" s="1">
        <v>293962</v>
      </c>
      <c r="B1375" s="1" t="s">
        <v>1372</v>
      </c>
      <c r="C1375" s="1" t="str">
        <f ca="1">IFERROR(__xludf.DUMMYFUNCTION("REGEXEXTRACT(B1375, ""^([^:]+)"")"),"Alkaloids, vegetable")</f>
        <v>Alkaloids, vegetable</v>
      </c>
      <c r="D1375" s="1">
        <v>1</v>
      </c>
      <c r="E1375" s="2" t="s">
        <v>5089</v>
      </c>
      <c r="F1375" s="1" t="s">
        <v>1224</v>
      </c>
    </row>
    <row r="1376" spans="1:13" ht="15.75" customHeight="1">
      <c r="A1376" s="1">
        <v>294200</v>
      </c>
      <c r="B1376" s="1" t="s">
        <v>1386</v>
      </c>
      <c r="C1376" s="1" t="str">
        <f ca="1">IFERROR(__xludf.DUMMYFUNCTION("REGEXEXTRACT(B1376, ""^([^:]+)"")"),"Organic compounds")</f>
        <v>Organic compounds</v>
      </c>
      <c r="D1376" s="1" t="s">
        <v>11</v>
      </c>
      <c r="E1376" s="1" t="s">
        <v>11</v>
      </c>
    </row>
    <row r="1377" spans="1:13" ht="15.75" customHeight="1">
      <c r="A1377" s="1">
        <v>293963</v>
      </c>
      <c r="B1377" s="1" t="s">
        <v>1373</v>
      </c>
      <c r="C1377" s="1" t="str">
        <f ca="1">IFERROR(__xludf.DUMMYFUNCTION("REGEXEXTRACT(B1377, ""^([^:]+)"")"),"Alkaloids, vegetable")</f>
        <v>Alkaloids, vegetable</v>
      </c>
      <c r="D1377" s="1">
        <v>1</v>
      </c>
      <c r="E1377" s="2" t="s">
        <v>5089</v>
      </c>
      <c r="F1377" s="1" t="s">
        <v>1224</v>
      </c>
    </row>
    <row r="1378" spans="1:13" ht="15.75" customHeight="1">
      <c r="A1378" s="1">
        <v>293969</v>
      </c>
      <c r="B1378" s="1" t="s">
        <v>1374</v>
      </c>
      <c r="C1378" s="1" t="str">
        <f ca="1">IFERROR(__xludf.DUMMYFUNCTION("REGEXEXTRACT(B1378, ""^([^:]+)"")"),"Alkaloids, vegetable")</f>
        <v>Alkaloids, vegetable</v>
      </c>
      <c r="D1378" s="1">
        <v>1</v>
      </c>
      <c r="E1378" s="2" t="s">
        <v>5089</v>
      </c>
      <c r="F1378" s="1" t="s">
        <v>1224</v>
      </c>
    </row>
    <row r="1379" spans="1:13" ht="15.75" customHeight="1">
      <c r="A1379" s="1">
        <v>293991</v>
      </c>
      <c r="B1379" s="1" t="s">
        <v>1375</v>
      </c>
      <c r="C1379" s="1" t="str">
        <f ca="1">IFERROR(__xludf.DUMMYFUNCTION("REGEXEXTRACT(B1379, ""^([^:]+)"")"),"Alkaloids, vegetable")</f>
        <v>Alkaloids, vegetable</v>
      </c>
      <c r="D1379" s="1">
        <v>1</v>
      </c>
      <c r="E1379" s="2" t="s">
        <v>5089</v>
      </c>
      <c r="F1379" s="1" t="s">
        <v>1224</v>
      </c>
    </row>
    <row r="1380" spans="1:13" ht="15.75" customHeight="1">
      <c r="A1380" s="1">
        <v>293999</v>
      </c>
      <c r="B1380" s="1" t="s">
        <v>1376</v>
      </c>
      <c r="C1380" s="1" t="str">
        <f ca="1">IFERROR(__xludf.DUMMYFUNCTION("REGEXEXTRACT(B1380, ""^([^:]+)"")"),"Alkaloids, vegetable")</f>
        <v>Alkaloids, vegetable</v>
      </c>
      <c r="D1380" s="1">
        <v>1</v>
      </c>
      <c r="E1380" s="2" t="s">
        <v>5089</v>
      </c>
      <c r="F1380" s="1" t="s">
        <v>1224</v>
      </c>
    </row>
    <row r="1381" spans="1:13" ht="15.75" customHeight="1">
      <c r="A1381" s="14">
        <v>294110</v>
      </c>
      <c r="B1381" s="14" t="s">
        <v>1380</v>
      </c>
      <c r="C1381" s="1" t="str">
        <f ca="1">IFERROR(__xludf.DUMMYFUNCTION("REGEXEXTRACT(B1381, ""^([^:]+)"")"),"Antibiotics")</f>
        <v>Antibiotics</v>
      </c>
      <c r="D1381" s="14">
        <v>1</v>
      </c>
      <c r="E1381" s="2" t="s">
        <v>5089</v>
      </c>
      <c r="F1381" s="1" t="s">
        <v>1224</v>
      </c>
      <c r="G1381" s="8"/>
      <c r="H1381" s="8"/>
      <c r="I1381" s="8"/>
      <c r="J1381" s="8"/>
      <c r="K1381" s="8"/>
      <c r="L1381" s="8"/>
      <c r="M1381" s="8"/>
    </row>
    <row r="1382" spans="1:13" ht="15.75" customHeight="1">
      <c r="A1382" s="1">
        <v>294120</v>
      </c>
      <c r="B1382" s="1" t="s">
        <v>1381</v>
      </c>
      <c r="C1382" s="1" t="str">
        <f ca="1">IFERROR(__xludf.DUMMYFUNCTION("REGEXEXTRACT(B1382, ""^([^:]+)"")"),"Antibiotics")</f>
        <v>Antibiotics</v>
      </c>
      <c r="D1382" s="1">
        <v>1</v>
      </c>
      <c r="E1382" s="2" t="s">
        <v>5089</v>
      </c>
      <c r="F1382" s="1" t="s">
        <v>1224</v>
      </c>
    </row>
    <row r="1383" spans="1:13" ht="15.75" customHeight="1">
      <c r="A1383" s="1">
        <v>294130</v>
      </c>
      <c r="B1383" s="1" t="s">
        <v>1382</v>
      </c>
      <c r="C1383" s="1" t="str">
        <f ca="1">IFERROR(__xludf.DUMMYFUNCTION("REGEXEXTRACT(B1383, ""^([^:]+)"")"),"Antibiotics")</f>
        <v>Antibiotics</v>
      </c>
      <c r="D1383" s="1">
        <v>1</v>
      </c>
      <c r="E1383" s="2" t="s">
        <v>5089</v>
      </c>
      <c r="F1383" s="1" t="s">
        <v>1224</v>
      </c>
    </row>
    <row r="1384" spans="1:13" ht="15.75" customHeight="1">
      <c r="A1384" s="1">
        <v>294140</v>
      </c>
      <c r="B1384" s="1" t="s">
        <v>1383</v>
      </c>
      <c r="C1384" s="1" t="str">
        <f ca="1">IFERROR(__xludf.DUMMYFUNCTION("REGEXEXTRACT(B1384, ""^([^:]+)"")"),"Antibiotics")</f>
        <v>Antibiotics</v>
      </c>
      <c r="D1384" s="1">
        <v>1</v>
      </c>
      <c r="E1384" s="2" t="s">
        <v>5089</v>
      </c>
      <c r="F1384" s="1" t="s">
        <v>1224</v>
      </c>
    </row>
    <row r="1385" spans="1:13" ht="15.75" customHeight="1">
      <c r="A1385" s="1">
        <v>294150</v>
      </c>
      <c r="B1385" s="1" t="s">
        <v>1384</v>
      </c>
      <c r="C1385" s="1" t="str">
        <f ca="1">IFERROR(__xludf.DUMMYFUNCTION("REGEXEXTRACT(B1385, ""^([^:]+)"")"),"Antibiotics")</f>
        <v>Antibiotics</v>
      </c>
      <c r="D1385" s="1">
        <v>1</v>
      </c>
      <c r="E1385" s="2" t="s">
        <v>5089</v>
      </c>
      <c r="F1385" s="1" t="s">
        <v>1224</v>
      </c>
    </row>
    <row r="1386" spans="1:13" ht="15.75" customHeight="1">
      <c r="A1386" s="1">
        <v>294190</v>
      </c>
      <c r="B1386" s="1" t="s">
        <v>1385</v>
      </c>
      <c r="C1386" s="1" t="str">
        <f ca="1">IFERROR(__xludf.DUMMYFUNCTION("REGEXEXTRACT(B1386, ""^([^:]+)"")"),"Antibiotics")</f>
        <v>Antibiotics</v>
      </c>
      <c r="D1386" s="1">
        <v>1</v>
      </c>
      <c r="E1386" s="2" t="s">
        <v>5089</v>
      </c>
      <c r="F1386" s="1" t="s">
        <v>1224</v>
      </c>
    </row>
    <row r="1387" spans="1:13" ht="15.75" customHeight="1">
      <c r="A1387" s="1">
        <v>300120</v>
      </c>
      <c r="B1387" s="1" t="s">
        <v>1387</v>
      </c>
      <c r="C1387" s="1" t="str">
        <f ca="1">IFERROR(__xludf.DUMMYFUNCTION("REGEXEXTRACT(B1387, ""^([^:]+)"")"),"Glands and other organs")</f>
        <v>Glands and other organs</v>
      </c>
      <c r="D1387" s="1">
        <v>1</v>
      </c>
      <c r="E1387" s="2" t="s">
        <v>5089</v>
      </c>
      <c r="F1387" s="1" t="s">
        <v>1388</v>
      </c>
    </row>
    <row r="1388" spans="1:13" ht="15.75" customHeight="1">
      <c r="A1388" s="1">
        <v>300190</v>
      </c>
      <c r="B1388" s="1" t="s">
        <v>1390</v>
      </c>
      <c r="C1388" s="1" t="str">
        <f ca="1">IFERROR(__xludf.DUMMYFUNCTION("REGEXEXTRACT(B1388, ""^([^:]+)"")"),"Glands and other organs")</f>
        <v>Glands and other organs</v>
      </c>
      <c r="D1388" s="1">
        <v>1</v>
      </c>
      <c r="E1388" s="2" t="s">
        <v>5089</v>
      </c>
      <c r="F1388" s="1" t="s">
        <v>1388</v>
      </c>
    </row>
    <row r="1389" spans="1:13" ht="15.75" customHeight="1">
      <c r="A1389" s="1">
        <v>300210</v>
      </c>
      <c r="B1389" s="1" t="s">
        <v>1391</v>
      </c>
      <c r="C1389" s="1" t="str">
        <f ca="1">IFERROR(__xludf.DUMMYFUNCTION("REGEXEXTRACT(B1389, ""^([^:]+)"")"),"Blood")</f>
        <v>Blood</v>
      </c>
      <c r="D1389" s="1">
        <v>1</v>
      </c>
      <c r="E1389" s="2" t="s">
        <v>5089</v>
      </c>
      <c r="F1389" s="1" t="s">
        <v>1388</v>
      </c>
    </row>
    <row r="1390" spans="1:13" ht="15.75" customHeight="1">
      <c r="A1390" s="1">
        <v>300310</v>
      </c>
      <c r="B1390" s="1" t="s">
        <v>1401</v>
      </c>
      <c r="C1390" s="1" t="str">
        <f ca="1">IFERROR(__xludf.DUMMYFUNCTION("REGEXEXTRACT(B1390, ""^([^:]+)"")"),"Medicaments")</f>
        <v>Medicaments</v>
      </c>
      <c r="D1390" s="1">
        <v>1</v>
      </c>
      <c r="E1390" s="2" t="s">
        <v>5089</v>
      </c>
      <c r="F1390" s="1" t="s">
        <v>1402</v>
      </c>
    </row>
    <row r="1391" spans="1:13" ht="15.75" customHeight="1">
      <c r="A1391" s="1">
        <v>300320</v>
      </c>
      <c r="B1391" s="1" t="s">
        <v>1403</v>
      </c>
      <c r="C1391" s="1" t="str">
        <f ca="1">IFERROR(__xludf.DUMMYFUNCTION("REGEXEXTRACT(B1391, ""^([^:]+)"")"),"Medicaments")</f>
        <v>Medicaments</v>
      </c>
      <c r="D1391" s="1">
        <v>1</v>
      </c>
      <c r="E1391" s="2" t="s">
        <v>5089</v>
      </c>
      <c r="F1391" s="1" t="s">
        <v>1402</v>
      </c>
    </row>
    <row r="1392" spans="1:13" ht="15.75" customHeight="1">
      <c r="A1392" s="1">
        <v>300331</v>
      </c>
      <c r="B1392" s="1" t="s">
        <v>1404</v>
      </c>
      <c r="C1392" s="1" t="str">
        <f ca="1">IFERROR(__xludf.DUMMYFUNCTION("REGEXEXTRACT(B1392, ""^([^:]+)"")"),"Medicaments")</f>
        <v>Medicaments</v>
      </c>
      <c r="D1392" s="1">
        <v>1</v>
      </c>
      <c r="E1392" s="2" t="s">
        <v>5089</v>
      </c>
      <c r="F1392" s="1" t="s">
        <v>1402</v>
      </c>
    </row>
    <row r="1393" spans="1:13" ht="15.75" customHeight="1">
      <c r="A1393" s="1">
        <v>300339</v>
      </c>
      <c r="B1393" s="1" t="s">
        <v>1406</v>
      </c>
      <c r="C1393" s="1" t="str">
        <f ca="1">IFERROR(__xludf.DUMMYFUNCTION("REGEXEXTRACT(B1393, ""^([^:]+)"")"),"Medicaments")</f>
        <v>Medicaments</v>
      </c>
      <c r="D1393" s="1">
        <v>1</v>
      </c>
      <c r="E1393" s="2" t="s">
        <v>5089</v>
      </c>
      <c r="F1393" s="1" t="s">
        <v>1402</v>
      </c>
    </row>
    <row r="1394" spans="1:13" ht="15.75" customHeight="1">
      <c r="A1394" s="1">
        <v>300340</v>
      </c>
      <c r="B1394" s="1" t="s">
        <v>1407</v>
      </c>
      <c r="C1394" s="1" t="str">
        <f ca="1">IFERROR(__xludf.DUMMYFUNCTION("REGEXEXTRACT(B1394, ""^([^:]+)"")"),"Medicaments")</f>
        <v>Medicaments</v>
      </c>
      <c r="D1394" s="1">
        <v>1</v>
      </c>
      <c r="E1394" s="2" t="s">
        <v>5089</v>
      </c>
      <c r="F1394" s="1" t="s">
        <v>1402</v>
      </c>
    </row>
    <row r="1395" spans="1:13" ht="15.75" customHeight="1">
      <c r="A1395" s="1">
        <v>300390</v>
      </c>
      <c r="B1395" s="1" t="s">
        <v>1408</v>
      </c>
      <c r="C1395" s="1" t="str">
        <f ca="1">IFERROR(__xludf.DUMMYFUNCTION("REGEXEXTRACT(B1395, ""^([^:]+)"")"),"Medicaments")</f>
        <v>Medicaments</v>
      </c>
      <c r="D1395" s="1">
        <v>1</v>
      </c>
      <c r="E1395" s="2" t="s">
        <v>5089</v>
      </c>
      <c r="F1395" s="1" t="s">
        <v>1402</v>
      </c>
    </row>
    <row r="1396" spans="1:13" ht="15.75" customHeight="1">
      <c r="A1396" s="1">
        <v>300410</v>
      </c>
      <c r="B1396" s="1" t="s">
        <v>1409</v>
      </c>
      <c r="C1396" s="1" t="str">
        <f ca="1">IFERROR(__xludf.DUMMYFUNCTION("REGEXEXTRACT(B1396, ""^([^:]+)"")"),"Medicaments")</f>
        <v>Medicaments</v>
      </c>
      <c r="D1396" s="1">
        <v>1</v>
      </c>
      <c r="E1396" s="2" t="s">
        <v>5089</v>
      </c>
      <c r="F1396" s="1" t="s">
        <v>1402</v>
      </c>
    </row>
    <row r="1397" spans="1:13" ht="15.75" customHeight="1">
      <c r="A1397" s="1">
        <v>300420</v>
      </c>
      <c r="B1397" s="1" t="s">
        <v>1410</v>
      </c>
      <c r="C1397" s="1" t="str">
        <f ca="1">IFERROR(__xludf.DUMMYFUNCTION("REGEXEXTRACT(B1397, ""^([^:]+)"")"),"Medicaments")</f>
        <v>Medicaments</v>
      </c>
      <c r="D1397" s="1">
        <v>1</v>
      </c>
      <c r="E1397" s="2" t="s">
        <v>5089</v>
      </c>
      <c r="F1397" s="1" t="s">
        <v>1402</v>
      </c>
    </row>
    <row r="1398" spans="1:13" ht="15.75" customHeight="1">
      <c r="A1398" s="1">
        <v>300431</v>
      </c>
      <c r="B1398" s="1" t="s">
        <v>1411</v>
      </c>
      <c r="C1398" s="1" t="str">
        <f ca="1">IFERROR(__xludf.DUMMYFUNCTION("REGEXEXTRACT(B1398, ""^([^:]+)"")"),"Medicaments")</f>
        <v>Medicaments</v>
      </c>
      <c r="D1398" s="1">
        <v>1</v>
      </c>
      <c r="E1398" s="2" t="s">
        <v>5089</v>
      </c>
      <c r="F1398" s="1" t="s">
        <v>1402</v>
      </c>
    </row>
    <row r="1399" spans="1:13" ht="15.75" customHeight="1">
      <c r="A1399" s="1">
        <v>300432</v>
      </c>
      <c r="B1399" s="1" t="s">
        <v>1412</v>
      </c>
      <c r="C1399" s="1" t="str">
        <f ca="1">IFERROR(__xludf.DUMMYFUNCTION("REGEXEXTRACT(B1399, ""^([^:]+)"")"),"Medicaments")</f>
        <v>Medicaments</v>
      </c>
      <c r="D1399" s="1">
        <v>1</v>
      </c>
      <c r="E1399" s="2" t="s">
        <v>5089</v>
      </c>
      <c r="F1399" s="1" t="s">
        <v>1402</v>
      </c>
    </row>
    <row r="1400" spans="1:13" ht="15.75" customHeight="1">
      <c r="A1400" s="14">
        <v>300439</v>
      </c>
      <c r="B1400" s="14" t="s">
        <v>1413</v>
      </c>
      <c r="C1400" s="1" t="str">
        <f ca="1">IFERROR(__xludf.DUMMYFUNCTION("REGEXEXTRACT(B1400, ""^([^:]+)"")"),"Medicaments")</f>
        <v>Medicaments</v>
      </c>
      <c r="D1400" s="14">
        <v>1</v>
      </c>
      <c r="E1400" s="2" t="s">
        <v>5089</v>
      </c>
      <c r="F1400" s="1" t="s">
        <v>1402</v>
      </c>
      <c r="G1400" s="6"/>
      <c r="H1400" s="6"/>
      <c r="I1400" s="6"/>
      <c r="J1400" s="6"/>
      <c r="K1400" s="6"/>
      <c r="L1400" s="6"/>
      <c r="M1400" s="6"/>
    </row>
    <row r="1401" spans="1:13" ht="15.75" customHeight="1">
      <c r="A1401" s="14">
        <v>300440</v>
      </c>
      <c r="B1401" s="14" t="s">
        <v>1414</v>
      </c>
      <c r="C1401" s="1" t="str">
        <f ca="1">IFERROR(__xludf.DUMMYFUNCTION("REGEXEXTRACT(B1401, ""^([^:]+)"")"),"Medicaments")</f>
        <v>Medicaments</v>
      </c>
      <c r="D1401" s="14">
        <v>1</v>
      </c>
      <c r="E1401" s="2" t="s">
        <v>5089</v>
      </c>
      <c r="F1401" s="1" t="s">
        <v>1402</v>
      </c>
    </row>
    <row r="1402" spans="1:13" ht="15.75" customHeight="1">
      <c r="A1402" s="1">
        <v>300450</v>
      </c>
      <c r="B1402" s="1" t="s">
        <v>1415</v>
      </c>
      <c r="C1402" s="1" t="str">
        <f ca="1">IFERROR(__xludf.DUMMYFUNCTION("REGEXEXTRACT(B1402, ""^([^:]+)"")"),"Medicaments")</f>
        <v>Medicaments</v>
      </c>
      <c r="D1402" s="1">
        <v>1</v>
      </c>
      <c r="E1402" s="2" t="s">
        <v>5089</v>
      </c>
      <c r="F1402" s="1" t="s">
        <v>1402</v>
      </c>
    </row>
    <row r="1403" spans="1:13" ht="15.75" customHeight="1">
      <c r="A1403" s="1">
        <v>300490</v>
      </c>
      <c r="B1403" s="1" t="s">
        <v>1416</v>
      </c>
      <c r="C1403" s="1" t="str">
        <f ca="1">IFERROR(__xludf.DUMMYFUNCTION("REGEXEXTRACT(B1403, ""^([^:]+)"")"),"Medicaments")</f>
        <v>Medicaments</v>
      </c>
      <c r="D1403" s="1">
        <v>1</v>
      </c>
      <c r="E1403" s="2" t="s">
        <v>5089</v>
      </c>
      <c r="F1403" s="1" t="s">
        <v>1402</v>
      </c>
    </row>
    <row r="1404" spans="1:13" ht="15.75" customHeight="1">
      <c r="A1404" s="1">
        <v>300510</v>
      </c>
      <c r="B1404" s="1" t="s">
        <v>1417</v>
      </c>
      <c r="C1404" s="1" t="str">
        <f ca="1">IFERROR(__xludf.DUMMYFUNCTION("REGEXEXTRACT(B1404, ""^([^:]+)"")"),"Dressings, adhesive")</f>
        <v>Dressings, adhesive</v>
      </c>
      <c r="D1404" s="1">
        <v>1</v>
      </c>
      <c r="E1404" s="11" t="s">
        <v>1419</v>
      </c>
      <c r="F1404" s="2" t="s">
        <v>1419</v>
      </c>
    </row>
    <row r="1405" spans="1:13" ht="15.75" customHeight="1">
      <c r="A1405" s="1">
        <v>300590</v>
      </c>
      <c r="B1405" s="1" t="s">
        <v>1420</v>
      </c>
      <c r="C1405" s="1" t="str">
        <f ca="1">IFERROR(__xludf.DUMMYFUNCTION("REGEXEXTRACT(B1405, ""^([^:]+)"")"),"Wadding, gauze, bandages and similar articles")</f>
        <v>Wadding, gauze, bandages and similar articles</v>
      </c>
      <c r="D1405" s="1">
        <v>1</v>
      </c>
      <c r="E1405" s="11" t="s">
        <v>1419</v>
      </c>
      <c r="F1405" s="2" t="s">
        <v>1419</v>
      </c>
    </row>
    <row r="1406" spans="1:13" ht="15.75" customHeight="1">
      <c r="A1406" s="1">
        <v>300610</v>
      </c>
      <c r="B1406" s="1" t="s">
        <v>1421</v>
      </c>
      <c r="C1406" s="1" t="str">
        <f ca="1">IFERROR(__xludf.DUMMYFUNCTION("REGEXEXTRACT(B1406, ""^([^:]+)"")"),"Pharmaceutical goods")</f>
        <v>Pharmaceutical goods</v>
      </c>
      <c r="D1406" s="1">
        <v>1</v>
      </c>
      <c r="E1406" s="11" t="s">
        <v>1419</v>
      </c>
      <c r="F1406" s="2" t="s">
        <v>1419</v>
      </c>
    </row>
    <row r="1407" spans="1:13" ht="15.75" customHeight="1">
      <c r="A1407" s="1">
        <v>300640</v>
      </c>
      <c r="B1407" s="1" t="s">
        <v>1426</v>
      </c>
      <c r="C1407" s="1" t="str">
        <f ca="1">IFERROR(__xludf.DUMMYFUNCTION("REGEXEXTRACT(B1407, ""^([^:]+)"")"),"Pharmaceutical goods")</f>
        <v>Pharmaceutical goods</v>
      </c>
      <c r="D1407" s="1">
        <v>1</v>
      </c>
      <c r="E1407" s="11" t="s">
        <v>1419</v>
      </c>
      <c r="F1407" s="2" t="s">
        <v>1419</v>
      </c>
    </row>
    <row r="1408" spans="1:13" ht="15.75" customHeight="1">
      <c r="A1408" s="1">
        <v>310100</v>
      </c>
      <c r="B1408" s="1" t="s">
        <v>1434</v>
      </c>
      <c r="C1408" s="1" t="str">
        <f ca="1">IFERROR(__xludf.DUMMYFUNCTION("REGEXEXTRACT(B1408, ""^([^:]+)"")"),"Fertilizers, animal or vegetable")</f>
        <v>Fertilizers, animal or vegetable</v>
      </c>
      <c r="D1408" s="1" t="s">
        <v>11</v>
      </c>
      <c r="E1408" s="1" t="s">
        <v>11</v>
      </c>
    </row>
    <row r="1409" spans="1:5" ht="15.75" customHeight="1">
      <c r="A1409" s="1">
        <v>310210</v>
      </c>
      <c r="B1409" s="1" t="s">
        <v>1435</v>
      </c>
      <c r="C1409" s="1" t="str">
        <f ca="1">IFERROR(__xludf.DUMMYFUNCTION("REGEXEXTRACT(B1409, ""^([^:]+)"")"),"Fertilizers, mineral or chemical")</f>
        <v>Fertilizers, mineral or chemical</v>
      </c>
      <c r="D1409" s="1" t="s">
        <v>11</v>
      </c>
      <c r="E1409" s="1" t="s">
        <v>11</v>
      </c>
    </row>
    <row r="1410" spans="1:5" ht="15.75" customHeight="1">
      <c r="A1410" s="1">
        <v>310221</v>
      </c>
      <c r="B1410" s="1" t="s">
        <v>1436</v>
      </c>
      <c r="C1410" s="1" t="str">
        <f ca="1">IFERROR(__xludf.DUMMYFUNCTION("REGEXEXTRACT(B1410, ""^([^:]+)"")"),"Fertilizers, mineral or chemical")</f>
        <v>Fertilizers, mineral or chemical</v>
      </c>
      <c r="D1410" s="1" t="s">
        <v>11</v>
      </c>
      <c r="E1410" s="1" t="s">
        <v>11</v>
      </c>
    </row>
    <row r="1411" spans="1:5" ht="15.75" customHeight="1">
      <c r="A1411" s="1">
        <v>310229</v>
      </c>
      <c r="B1411" s="1" t="s">
        <v>1437</v>
      </c>
      <c r="C1411" s="1" t="str">
        <f ca="1">IFERROR(__xludf.DUMMYFUNCTION("REGEXEXTRACT(B1411, ""^([^:]+)"")"),"Fertilizers, mineral or chemical")</f>
        <v>Fertilizers, mineral or chemical</v>
      </c>
      <c r="D1411" s="1" t="s">
        <v>11</v>
      </c>
      <c r="E1411" s="1" t="s">
        <v>11</v>
      </c>
    </row>
    <row r="1412" spans="1:5" ht="15.75" customHeight="1">
      <c r="A1412" s="1">
        <v>310230</v>
      </c>
      <c r="B1412" s="1" t="s">
        <v>1438</v>
      </c>
      <c r="C1412" s="1" t="str">
        <f ca="1">IFERROR(__xludf.DUMMYFUNCTION("REGEXEXTRACT(B1412, ""^([^:]+)"")"),"Fertilizers, mineral or chemical")</f>
        <v>Fertilizers, mineral or chemical</v>
      </c>
      <c r="D1412" s="1" t="s">
        <v>11</v>
      </c>
      <c r="E1412" s="1" t="s">
        <v>11</v>
      </c>
    </row>
    <row r="1413" spans="1:5" ht="15.75" customHeight="1">
      <c r="A1413" s="1">
        <v>310240</v>
      </c>
      <c r="B1413" s="1" t="s">
        <v>1439</v>
      </c>
      <c r="C1413" s="1" t="str">
        <f ca="1">IFERROR(__xludf.DUMMYFUNCTION("REGEXEXTRACT(B1413, ""^([^:]+)"")"),"Fertilizers, mineral or chemical")</f>
        <v>Fertilizers, mineral or chemical</v>
      </c>
      <c r="D1413" s="1" t="s">
        <v>11</v>
      </c>
      <c r="E1413" s="1" t="s">
        <v>11</v>
      </c>
    </row>
    <row r="1414" spans="1:5" ht="15.75" customHeight="1">
      <c r="A1414" s="1">
        <v>310250</v>
      </c>
      <c r="B1414" s="1" t="s">
        <v>1440</v>
      </c>
      <c r="C1414" s="1" t="str">
        <f ca="1">IFERROR(__xludf.DUMMYFUNCTION("REGEXEXTRACT(B1414, ""^([^:]+)"")"),"Fertilizers, mineral or chemical")</f>
        <v>Fertilizers, mineral or chemical</v>
      </c>
      <c r="D1414" s="1" t="s">
        <v>11</v>
      </c>
      <c r="E1414" s="1" t="s">
        <v>11</v>
      </c>
    </row>
    <row r="1415" spans="1:5" ht="15.75" customHeight="1">
      <c r="A1415" s="1">
        <v>310260</v>
      </c>
      <c r="B1415" s="1" t="s">
        <v>1441</v>
      </c>
      <c r="C1415" s="1" t="str">
        <f ca="1">IFERROR(__xludf.DUMMYFUNCTION("REGEXEXTRACT(B1415, ""^([^:]+)"")"),"Fertilizers, mineral or chemical")</f>
        <v>Fertilizers, mineral or chemical</v>
      </c>
      <c r="D1415" s="1" t="s">
        <v>11</v>
      </c>
      <c r="E1415" s="1" t="s">
        <v>11</v>
      </c>
    </row>
    <row r="1416" spans="1:5" ht="15.75" customHeight="1">
      <c r="A1416" s="1">
        <v>310280</v>
      </c>
      <c r="B1416" s="1" t="s">
        <v>1442</v>
      </c>
      <c r="C1416" s="1" t="str">
        <f ca="1">IFERROR(__xludf.DUMMYFUNCTION("REGEXEXTRACT(B1416, ""^([^:]+)"")"),"Fertilizers, mineral or chemical")</f>
        <v>Fertilizers, mineral or chemical</v>
      </c>
      <c r="D1416" s="1" t="s">
        <v>11</v>
      </c>
      <c r="E1416" s="1" t="s">
        <v>11</v>
      </c>
    </row>
    <row r="1417" spans="1:5" ht="15.75" customHeight="1">
      <c r="A1417" s="1">
        <v>310290</v>
      </c>
      <c r="B1417" s="1" t="s">
        <v>1443</v>
      </c>
      <c r="C1417" s="1" t="str">
        <f ca="1">IFERROR(__xludf.DUMMYFUNCTION("REGEXEXTRACT(B1417, ""^([^:]+)"")"),"Fertilizers, mineral or chemical")</f>
        <v>Fertilizers, mineral or chemical</v>
      </c>
      <c r="D1417" s="1" t="s">
        <v>11</v>
      </c>
      <c r="E1417" s="1" t="s">
        <v>11</v>
      </c>
    </row>
    <row r="1418" spans="1:5" ht="15.75" customHeight="1">
      <c r="A1418" s="1">
        <v>310310</v>
      </c>
      <c r="B1418" s="1" t="s">
        <v>1444</v>
      </c>
      <c r="C1418" s="1" t="str">
        <f ca="1">IFERROR(__xludf.DUMMYFUNCTION("REGEXEXTRACT(B1418, ""^([^:]+)"")"),"Fertilizers, mineral or chemical")</f>
        <v>Fertilizers, mineral or chemical</v>
      </c>
      <c r="D1418" s="1" t="s">
        <v>11</v>
      </c>
      <c r="E1418" s="1" t="s">
        <v>11</v>
      </c>
    </row>
    <row r="1419" spans="1:5" ht="15.75" customHeight="1">
      <c r="A1419" s="1">
        <v>310390</v>
      </c>
      <c r="B1419" s="1" t="s">
        <v>1445</v>
      </c>
      <c r="C1419" s="1" t="str">
        <f ca="1">IFERROR(__xludf.DUMMYFUNCTION("REGEXEXTRACT(B1419, ""^([^:]+)"")"),"Fertilizers, mineral or chemical")</f>
        <v>Fertilizers, mineral or chemical</v>
      </c>
      <c r="D1419" s="1" t="s">
        <v>11</v>
      </c>
      <c r="E1419" s="1" t="s">
        <v>11</v>
      </c>
    </row>
    <row r="1420" spans="1:5" ht="15.75" customHeight="1">
      <c r="A1420" s="1">
        <v>310420</v>
      </c>
      <c r="B1420" s="1" t="s">
        <v>1446</v>
      </c>
      <c r="C1420" s="1" t="str">
        <f ca="1">IFERROR(__xludf.DUMMYFUNCTION("REGEXEXTRACT(B1420, ""^([^:]+)"")"),"Fertilizers, mineral or chemical")</f>
        <v>Fertilizers, mineral or chemical</v>
      </c>
      <c r="D1420" s="1" t="s">
        <v>11</v>
      </c>
      <c r="E1420" s="1" t="s">
        <v>11</v>
      </c>
    </row>
    <row r="1421" spans="1:5" ht="15.75" customHeight="1">
      <c r="A1421" s="1">
        <v>310430</v>
      </c>
      <c r="B1421" s="1" t="s">
        <v>1447</v>
      </c>
      <c r="C1421" s="1" t="str">
        <f ca="1">IFERROR(__xludf.DUMMYFUNCTION("REGEXEXTRACT(B1421, ""^([^:]+)"")"),"Fertilizers, mineral or chemical")</f>
        <v>Fertilizers, mineral or chemical</v>
      </c>
      <c r="D1421" s="1" t="s">
        <v>11</v>
      </c>
      <c r="E1421" s="1" t="s">
        <v>11</v>
      </c>
    </row>
    <row r="1422" spans="1:5" ht="15.75" customHeight="1">
      <c r="A1422" s="1">
        <v>310490</v>
      </c>
      <c r="B1422" s="1" t="s">
        <v>1448</v>
      </c>
      <c r="C1422" s="1" t="str">
        <f ca="1">IFERROR(__xludf.DUMMYFUNCTION("REGEXEXTRACT(B1422, ""^([^:]+)"")"),"Fertilizers, mineral or chemical")</f>
        <v>Fertilizers, mineral or chemical</v>
      </c>
      <c r="D1422" s="1" t="s">
        <v>11</v>
      </c>
      <c r="E1422" s="1" t="s">
        <v>11</v>
      </c>
    </row>
    <row r="1423" spans="1:5" ht="15.75" customHeight="1">
      <c r="A1423" s="1">
        <v>310510</v>
      </c>
      <c r="B1423" s="1" t="s">
        <v>1449</v>
      </c>
      <c r="C1423" s="1" t="str">
        <f ca="1">IFERROR(__xludf.DUMMYFUNCTION("REGEXEXTRACT(B1423, ""^([^:]+)"")"),"Fertilizers, mineral or chemical")</f>
        <v>Fertilizers, mineral or chemical</v>
      </c>
      <c r="D1423" s="1" t="s">
        <v>11</v>
      </c>
      <c r="E1423" s="1" t="s">
        <v>11</v>
      </c>
    </row>
    <row r="1424" spans="1:5" ht="15.75" customHeight="1">
      <c r="A1424" s="1">
        <v>310520</v>
      </c>
      <c r="B1424" s="1" t="s">
        <v>1450</v>
      </c>
      <c r="C1424" s="1" t="str">
        <f ca="1">IFERROR(__xludf.DUMMYFUNCTION("REGEXEXTRACT(B1424, ""^([^:]+)"")"),"Fertilizers, mineral or chemical")</f>
        <v>Fertilizers, mineral or chemical</v>
      </c>
      <c r="D1424" s="1" t="s">
        <v>11</v>
      </c>
      <c r="E1424" s="1" t="s">
        <v>11</v>
      </c>
    </row>
    <row r="1425" spans="1:5" ht="15.75" customHeight="1">
      <c r="A1425" s="1">
        <v>310530</v>
      </c>
      <c r="B1425" s="1" t="s">
        <v>1451</v>
      </c>
      <c r="C1425" s="1" t="str">
        <f ca="1">IFERROR(__xludf.DUMMYFUNCTION("REGEXEXTRACT(B1425, ""^([^:]+)"")"),"Fertilizers, mineral or chemical")</f>
        <v>Fertilizers, mineral or chemical</v>
      </c>
      <c r="D1425" s="1" t="s">
        <v>11</v>
      </c>
      <c r="E1425" s="1" t="s">
        <v>11</v>
      </c>
    </row>
    <row r="1426" spans="1:5" ht="15.75" customHeight="1">
      <c r="A1426" s="1">
        <v>310540</v>
      </c>
      <c r="B1426" s="1" t="s">
        <v>1452</v>
      </c>
      <c r="C1426" s="1" t="str">
        <f ca="1">IFERROR(__xludf.DUMMYFUNCTION("REGEXEXTRACT(B1426, ""^([^:]+)"")"),"Fertilizers, mineral or chemical")</f>
        <v>Fertilizers, mineral or chemical</v>
      </c>
      <c r="D1426" s="1" t="s">
        <v>11</v>
      </c>
      <c r="E1426" s="1" t="s">
        <v>11</v>
      </c>
    </row>
    <row r="1427" spans="1:5" ht="15.75" customHeight="1">
      <c r="A1427" s="1">
        <v>310551</v>
      </c>
      <c r="B1427" s="1" t="s">
        <v>1453</v>
      </c>
      <c r="C1427" s="1" t="str">
        <f ca="1">IFERROR(__xludf.DUMMYFUNCTION("REGEXEXTRACT(B1427, ""^([^:]+)"")"),"Fertilizers, mineral or chemical")</f>
        <v>Fertilizers, mineral or chemical</v>
      </c>
      <c r="D1427" s="1" t="s">
        <v>11</v>
      </c>
      <c r="E1427" s="1" t="s">
        <v>11</v>
      </c>
    </row>
    <row r="1428" spans="1:5" ht="15.75" customHeight="1">
      <c r="A1428" s="1">
        <v>310559</v>
      </c>
      <c r="B1428" s="1" t="s">
        <v>1454</v>
      </c>
      <c r="C1428" s="1" t="str">
        <f ca="1">IFERROR(__xludf.DUMMYFUNCTION("REGEXEXTRACT(B1428, ""^([^:]+)"")"),"Fertilizers, mineral or chemical")</f>
        <v>Fertilizers, mineral or chemical</v>
      </c>
      <c r="D1428" s="1" t="s">
        <v>11</v>
      </c>
      <c r="E1428" s="1" t="s">
        <v>11</v>
      </c>
    </row>
    <row r="1429" spans="1:5" ht="15.75" customHeight="1">
      <c r="A1429" s="1">
        <v>310560</v>
      </c>
      <c r="B1429" s="1" t="s">
        <v>1455</v>
      </c>
      <c r="C1429" s="1" t="str">
        <f ca="1">IFERROR(__xludf.DUMMYFUNCTION("REGEXEXTRACT(B1429, ""^([^:]+)"")"),"Fertilizers, mineral or chemical")</f>
        <v>Fertilizers, mineral or chemical</v>
      </c>
      <c r="D1429" s="1" t="s">
        <v>11</v>
      </c>
      <c r="E1429" s="1" t="s">
        <v>11</v>
      </c>
    </row>
    <row r="1430" spans="1:5" ht="15.75" customHeight="1">
      <c r="A1430" s="1">
        <v>310590</v>
      </c>
      <c r="B1430" s="1" t="s">
        <v>1456</v>
      </c>
      <c r="C1430" s="1" t="str">
        <f ca="1">IFERROR(__xludf.DUMMYFUNCTION("REGEXEXTRACT(B1430, ""^([^:]+)"")"),"Fertilizers, mineral or chemical")</f>
        <v>Fertilizers, mineral or chemical</v>
      </c>
      <c r="D1430" s="1" t="s">
        <v>11</v>
      </c>
      <c r="E1430" s="1" t="s">
        <v>11</v>
      </c>
    </row>
    <row r="1431" spans="1:5" ht="15.75" customHeight="1">
      <c r="A1431" s="1">
        <v>320110</v>
      </c>
      <c r="B1431" s="1" t="s">
        <v>1457</v>
      </c>
      <c r="C1431" s="1" t="str">
        <f ca="1">IFERROR(__xludf.DUMMYFUNCTION("REGEXEXTRACT(B1431, ""^([^:]+)"")"),"Tanning extracts of vegetable origin")</f>
        <v>Tanning extracts of vegetable origin</v>
      </c>
      <c r="D1431" s="1" t="s">
        <v>11</v>
      </c>
      <c r="E1431" s="1" t="s">
        <v>11</v>
      </c>
    </row>
    <row r="1432" spans="1:5" ht="15.75" customHeight="1">
      <c r="A1432" s="1">
        <v>320120</v>
      </c>
      <c r="B1432" s="1" t="s">
        <v>1458</v>
      </c>
      <c r="C1432" s="1" t="str">
        <f ca="1">IFERROR(__xludf.DUMMYFUNCTION("REGEXEXTRACT(B1432, ""^([^:]+)"")"),"Tanning extracts of vegetable origin")</f>
        <v>Tanning extracts of vegetable origin</v>
      </c>
      <c r="D1432" s="1" t="s">
        <v>11</v>
      </c>
      <c r="E1432" s="1" t="s">
        <v>11</v>
      </c>
    </row>
    <row r="1433" spans="1:5" ht="15.75" customHeight="1">
      <c r="A1433" s="1">
        <v>320190</v>
      </c>
      <c r="B1433" s="1" t="s">
        <v>1459</v>
      </c>
      <c r="C1433" s="1" t="str">
        <f ca="1">IFERROR(__xludf.DUMMYFUNCTION("REGEXEXTRACT(B1433, ""^([^:]+)"")"),"Tanning extracts of vegetable origin")</f>
        <v>Tanning extracts of vegetable origin</v>
      </c>
      <c r="D1433" s="1" t="s">
        <v>11</v>
      </c>
      <c r="E1433" s="1" t="s">
        <v>11</v>
      </c>
    </row>
    <row r="1434" spans="1:5" ht="15.75" customHeight="1">
      <c r="A1434" s="1">
        <v>320210</v>
      </c>
      <c r="B1434" s="1" t="s">
        <v>1460</v>
      </c>
      <c r="C1434" s="1" t="str">
        <f ca="1">IFERROR(__xludf.DUMMYFUNCTION("REGEXEXTRACT(B1434, ""^([^:]+)"")"),"Tanning substances")</f>
        <v>Tanning substances</v>
      </c>
      <c r="D1434" s="1" t="s">
        <v>11</v>
      </c>
      <c r="E1434" s="1" t="s">
        <v>11</v>
      </c>
    </row>
    <row r="1435" spans="1:5" ht="15.75" customHeight="1">
      <c r="A1435" s="1">
        <v>320290</v>
      </c>
      <c r="B1435" s="1" t="s">
        <v>1461</v>
      </c>
      <c r="C1435" s="1" t="str">
        <f ca="1">IFERROR(__xludf.DUMMYFUNCTION("REGEXEXTRACT(B1435, ""^([^:]+)"")"),"Tanning substances")</f>
        <v>Tanning substances</v>
      </c>
      <c r="D1435" s="1" t="s">
        <v>11</v>
      </c>
      <c r="E1435" s="1" t="s">
        <v>11</v>
      </c>
    </row>
    <row r="1436" spans="1:5" ht="15.75" customHeight="1">
      <c r="A1436" s="1">
        <v>320300</v>
      </c>
      <c r="B1436" s="1" t="s">
        <v>1462</v>
      </c>
      <c r="C1436" s="1" t="str">
        <f ca="1">IFERROR(__xludf.DUMMYFUNCTION("REGEXEXTRACT(B1436, ""^([^:]+)"")"),"Colouring matter of vegetable or animal origin, including dyeing extracts not animal black, whether or not chemically defined")</f>
        <v>Colouring matter of vegetable or animal origin, including dyeing extracts not animal black, whether or not chemically defined</v>
      </c>
      <c r="D1436" s="1" t="s">
        <v>11</v>
      </c>
      <c r="E1436" s="1" t="s">
        <v>11</v>
      </c>
    </row>
    <row r="1437" spans="1:5" ht="15.75" customHeight="1">
      <c r="A1437" s="1">
        <v>320411</v>
      </c>
      <c r="B1437" s="1" t="s">
        <v>1463</v>
      </c>
      <c r="C1437" s="1" t="str">
        <f ca="1">IFERROR(__xludf.DUMMYFUNCTION("REGEXEXTRACT(B1437, ""^([^:]+)"")"),"Dyes")</f>
        <v>Dyes</v>
      </c>
      <c r="D1437" s="1" t="s">
        <v>11</v>
      </c>
      <c r="E1437" s="1" t="s">
        <v>11</v>
      </c>
    </row>
    <row r="1438" spans="1:5" ht="15.75" customHeight="1">
      <c r="A1438" s="1">
        <v>320412</v>
      </c>
      <c r="B1438" s="1" t="s">
        <v>1464</v>
      </c>
      <c r="C1438" s="1" t="str">
        <f ca="1">IFERROR(__xludf.DUMMYFUNCTION("REGEXEXTRACT(B1438, ""^([^:]+)"")"),"Dyes")</f>
        <v>Dyes</v>
      </c>
      <c r="D1438" s="1" t="s">
        <v>11</v>
      </c>
      <c r="E1438" s="1" t="s">
        <v>11</v>
      </c>
    </row>
    <row r="1439" spans="1:5" ht="15.75" customHeight="1">
      <c r="A1439" s="1">
        <v>320413</v>
      </c>
      <c r="B1439" s="1" t="s">
        <v>1465</v>
      </c>
      <c r="C1439" s="1" t="str">
        <f ca="1">IFERROR(__xludf.DUMMYFUNCTION("REGEXEXTRACT(B1439, ""^([^:]+)"")"),"Dyes")</f>
        <v>Dyes</v>
      </c>
      <c r="D1439" s="1" t="s">
        <v>11</v>
      </c>
      <c r="E1439" s="1" t="s">
        <v>11</v>
      </c>
    </row>
    <row r="1440" spans="1:5" ht="15.75" customHeight="1">
      <c r="A1440" s="1">
        <v>320414</v>
      </c>
      <c r="B1440" s="1" t="s">
        <v>1466</v>
      </c>
      <c r="C1440" s="1" t="str">
        <f ca="1">IFERROR(__xludf.DUMMYFUNCTION("REGEXEXTRACT(B1440, ""^([^:]+)"")"),"Dyes")</f>
        <v>Dyes</v>
      </c>
      <c r="D1440" s="1" t="s">
        <v>11</v>
      </c>
      <c r="E1440" s="1" t="s">
        <v>11</v>
      </c>
    </row>
    <row r="1441" spans="1:5" ht="15.75" customHeight="1">
      <c r="A1441" s="1">
        <v>320415</v>
      </c>
      <c r="B1441" s="1" t="s">
        <v>1467</v>
      </c>
      <c r="C1441" s="1" t="str">
        <f ca="1">IFERROR(__xludf.DUMMYFUNCTION("REGEXEXTRACT(B1441, ""^([^:]+)"")"),"Dyes")</f>
        <v>Dyes</v>
      </c>
      <c r="D1441" s="1" t="s">
        <v>11</v>
      </c>
      <c r="E1441" s="1" t="s">
        <v>11</v>
      </c>
    </row>
    <row r="1442" spans="1:5" ht="15.75" customHeight="1">
      <c r="A1442" s="1">
        <v>320416</v>
      </c>
      <c r="B1442" s="1" t="s">
        <v>1468</v>
      </c>
      <c r="C1442" s="1" t="str">
        <f ca="1">IFERROR(__xludf.DUMMYFUNCTION("REGEXEXTRACT(B1442, ""^([^:]+)"")"),"Dyes")</f>
        <v>Dyes</v>
      </c>
      <c r="D1442" s="1" t="s">
        <v>11</v>
      </c>
      <c r="E1442" s="1" t="s">
        <v>11</v>
      </c>
    </row>
    <row r="1443" spans="1:5" ht="15.75" customHeight="1">
      <c r="A1443" s="1">
        <v>320417</v>
      </c>
      <c r="B1443" s="1" t="s">
        <v>1469</v>
      </c>
      <c r="C1443" s="1" t="str">
        <f ca="1">IFERROR(__xludf.DUMMYFUNCTION("REGEXEXTRACT(B1443, ""^([^:]+)"")"),"Dyes")</f>
        <v>Dyes</v>
      </c>
      <c r="D1443" s="1" t="s">
        <v>11</v>
      </c>
      <c r="E1443" s="1" t="s">
        <v>11</v>
      </c>
    </row>
    <row r="1444" spans="1:5" ht="15.75" customHeight="1">
      <c r="A1444" s="1">
        <v>320419</v>
      </c>
      <c r="B1444" s="1" t="s">
        <v>1470</v>
      </c>
      <c r="C1444" s="1" t="str">
        <f ca="1">IFERROR(__xludf.DUMMYFUNCTION("REGEXEXTRACT(B1444, ""^([^:]+)"")"),"Dyes")</f>
        <v>Dyes</v>
      </c>
      <c r="D1444" s="1" t="s">
        <v>11</v>
      </c>
      <c r="E1444" s="1" t="s">
        <v>11</v>
      </c>
    </row>
    <row r="1445" spans="1:5" ht="15.75" customHeight="1">
      <c r="A1445" s="1">
        <v>320420</v>
      </c>
      <c r="B1445" s="1" t="s">
        <v>1471</v>
      </c>
      <c r="C1445" s="1" t="str">
        <f ca="1">IFERROR(__xludf.DUMMYFUNCTION("REGEXEXTRACT(B1445, ""^([^:]+)"")"),"Dyes")</f>
        <v>Dyes</v>
      </c>
      <c r="D1445" s="1" t="s">
        <v>11</v>
      </c>
      <c r="E1445" s="1" t="s">
        <v>11</v>
      </c>
    </row>
    <row r="1446" spans="1:5" ht="15.75" customHeight="1">
      <c r="A1446" s="1">
        <v>320490</v>
      </c>
      <c r="B1446" s="1" t="s">
        <v>1472</v>
      </c>
      <c r="C1446" s="1" t="str">
        <f ca="1">IFERROR(__xludf.DUMMYFUNCTION("REGEXEXTRACT(B1446, ""^([^:]+)"")"),"Dyes")</f>
        <v>Dyes</v>
      </c>
      <c r="D1446" s="1" t="s">
        <v>11</v>
      </c>
      <c r="E1446" s="1" t="s">
        <v>11</v>
      </c>
    </row>
    <row r="1447" spans="1:5" ht="15.75" customHeight="1">
      <c r="A1447" s="1">
        <v>320500</v>
      </c>
      <c r="B1447" s="1" t="s">
        <v>1473</v>
      </c>
      <c r="C1447" s="1" t="str">
        <f ca="1">IFERROR(__xludf.DUMMYFUNCTION("REGEXEXTRACT(B1447, ""^([^:]+)"")"),"Colour lakes")</f>
        <v>Colour lakes</v>
      </c>
      <c r="D1447" s="1" t="s">
        <v>11</v>
      </c>
      <c r="E1447" s="1" t="s">
        <v>11</v>
      </c>
    </row>
    <row r="1448" spans="1:5" ht="15.75" customHeight="1">
      <c r="A1448" s="1">
        <v>320611</v>
      </c>
      <c r="B1448" s="1" t="s">
        <v>1474</v>
      </c>
      <c r="C1448" s="1" t="str">
        <f ca="1">IFERROR(__xludf.DUMMYFUNCTION("REGEXEXTRACT(B1448, ""^([^:]+)"")"),"Colouring matter")</f>
        <v>Colouring matter</v>
      </c>
      <c r="D1448" s="1" t="s">
        <v>11</v>
      </c>
      <c r="E1448" s="1" t="s">
        <v>11</v>
      </c>
    </row>
    <row r="1449" spans="1:5" ht="15.75" customHeight="1">
      <c r="A1449" s="1">
        <v>320619</v>
      </c>
      <c r="B1449" s="1" t="s">
        <v>1475</v>
      </c>
      <c r="C1449" s="1" t="str">
        <f ca="1">IFERROR(__xludf.DUMMYFUNCTION("REGEXEXTRACT(B1449, ""^([^:]+)"")"),"Colouring matter")</f>
        <v>Colouring matter</v>
      </c>
      <c r="D1449" s="1" t="s">
        <v>11</v>
      </c>
      <c r="E1449" s="1" t="s">
        <v>11</v>
      </c>
    </row>
    <row r="1450" spans="1:5" ht="15.75" customHeight="1">
      <c r="A1450" s="1">
        <v>320620</v>
      </c>
      <c r="B1450" s="1" t="s">
        <v>1476</v>
      </c>
      <c r="C1450" s="1" t="str">
        <f ca="1">IFERROR(__xludf.DUMMYFUNCTION("REGEXEXTRACT(B1450, ""^([^:]+)"")"),"Colouring matter")</f>
        <v>Colouring matter</v>
      </c>
      <c r="D1450" s="1" t="s">
        <v>11</v>
      </c>
      <c r="E1450" s="1" t="s">
        <v>11</v>
      </c>
    </row>
    <row r="1451" spans="1:5" ht="15.75" customHeight="1">
      <c r="A1451" s="1">
        <v>320641</v>
      </c>
      <c r="B1451" s="1" t="s">
        <v>1477</v>
      </c>
      <c r="C1451" s="1" t="str">
        <f ca="1">IFERROR(__xludf.DUMMYFUNCTION("REGEXEXTRACT(B1451, ""^([^:]+)"")"),"Colouring matter")</f>
        <v>Colouring matter</v>
      </c>
      <c r="D1451" s="1" t="s">
        <v>11</v>
      </c>
      <c r="E1451" s="1" t="s">
        <v>11</v>
      </c>
    </row>
    <row r="1452" spans="1:5" ht="15.75" customHeight="1">
      <c r="A1452" s="1">
        <v>320642</v>
      </c>
      <c r="B1452" s="1" t="s">
        <v>1478</v>
      </c>
      <c r="C1452" s="1" t="str">
        <f ca="1">IFERROR(__xludf.DUMMYFUNCTION("REGEXEXTRACT(B1452, ""^([^:]+)"")"),"Colouring matter")</f>
        <v>Colouring matter</v>
      </c>
      <c r="D1452" s="1" t="s">
        <v>11</v>
      </c>
      <c r="E1452" s="1" t="s">
        <v>11</v>
      </c>
    </row>
    <row r="1453" spans="1:5" ht="15.75" customHeight="1">
      <c r="A1453" s="1">
        <v>320649</v>
      </c>
      <c r="B1453" s="1" t="s">
        <v>1479</v>
      </c>
      <c r="C1453" s="1" t="str">
        <f ca="1">IFERROR(__xludf.DUMMYFUNCTION("REGEXEXTRACT(B1453, ""^([^:]+)"")"),"Colouring matter")</f>
        <v>Colouring matter</v>
      </c>
      <c r="D1453" s="1" t="s">
        <v>11</v>
      </c>
      <c r="E1453" s="1" t="s">
        <v>11</v>
      </c>
    </row>
    <row r="1454" spans="1:5" ht="15.75" customHeight="1">
      <c r="A1454" s="1">
        <v>320650</v>
      </c>
      <c r="B1454" s="1" t="s">
        <v>1480</v>
      </c>
      <c r="C1454" s="1" t="str">
        <f ca="1">IFERROR(__xludf.DUMMYFUNCTION("REGEXEXTRACT(B1454, ""^([^:]+)"")"),"Colouring matter")</f>
        <v>Colouring matter</v>
      </c>
      <c r="D1454" s="1" t="s">
        <v>11</v>
      </c>
      <c r="E1454" s="1" t="s">
        <v>11</v>
      </c>
    </row>
    <row r="1455" spans="1:5" ht="15.75" customHeight="1">
      <c r="A1455" s="1">
        <v>320710</v>
      </c>
      <c r="B1455" s="1" t="s">
        <v>1481</v>
      </c>
      <c r="C1455" s="1" t="str">
        <f ca="1">IFERROR(__xludf.DUMMYFUNCTION("REGEXEXTRACT(B1455, ""^([^:]+)"")"),"Pigments")</f>
        <v>Pigments</v>
      </c>
      <c r="D1455" s="1" t="s">
        <v>11</v>
      </c>
      <c r="E1455" s="1" t="s">
        <v>11</v>
      </c>
    </row>
    <row r="1456" spans="1:5" ht="15.75" customHeight="1">
      <c r="A1456" s="1">
        <v>320720</v>
      </c>
      <c r="B1456" s="1" t="s">
        <v>1482</v>
      </c>
      <c r="C1456" s="1" t="str">
        <f ca="1">IFERROR(__xludf.DUMMYFUNCTION("REGEXEXTRACT(B1456, ""^([^:]+)"")"),"Enamels and glazes")</f>
        <v>Enamels and glazes</v>
      </c>
      <c r="D1456" s="1" t="s">
        <v>11</v>
      </c>
      <c r="E1456" s="1" t="s">
        <v>11</v>
      </c>
    </row>
    <row r="1457" spans="1:5" ht="15.75" customHeight="1">
      <c r="A1457" s="1">
        <v>320730</v>
      </c>
      <c r="B1457" s="1" t="s">
        <v>1483</v>
      </c>
      <c r="C1457" s="1" t="str">
        <f ca="1">IFERROR(__xludf.DUMMYFUNCTION("REGEXEXTRACT(B1457, ""^([^:]+)"")"),"Lustres")</f>
        <v>Lustres</v>
      </c>
      <c r="D1457" s="1" t="s">
        <v>11</v>
      </c>
      <c r="E1457" s="1" t="s">
        <v>11</v>
      </c>
    </row>
    <row r="1458" spans="1:5" ht="15.75" customHeight="1">
      <c r="A1458" s="1">
        <v>320740</v>
      </c>
      <c r="B1458" s="1" t="s">
        <v>1484</v>
      </c>
      <c r="C1458" s="1" t="str">
        <f ca="1">IFERROR(__xludf.DUMMYFUNCTION("REGEXEXTRACT(B1458, ""^([^:]+)"")"),"Glass")</f>
        <v>Glass</v>
      </c>
      <c r="D1458" s="1" t="s">
        <v>11</v>
      </c>
      <c r="E1458" s="1" t="s">
        <v>11</v>
      </c>
    </row>
    <row r="1459" spans="1:5" ht="15.75" customHeight="1">
      <c r="A1459" s="1">
        <v>320810</v>
      </c>
      <c r="B1459" s="1" t="s">
        <v>1485</v>
      </c>
      <c r="C1459" s="1" t="str">
        <f ca="1">IFERROR(__xludf.DUMMYFUNCTION("REGEXEXTRACT(B1459, ""^([^:]+)"")"),"Paints and varnishes")</f>
        <v>Paints and varnishes</v>
      </c>
      <c r="D1459" s="1" t="s">
        <v>11</v>
      </c>
      <c r="E1459" s="1" t="s">
        <v>11</v>
      </c>
    </row>
    <row r="1460" spans="1:5" ht="15.75" customHeight="1">
      <c r="A1460" s="1">
        <v>320820</v>
      </c>
      <c r="B1460" s="1" t="s">
        <v>1486</v>
      </c>
      <c r="C1460" s="1" t="str">
        <f ca="1">IFERROR(__xludf.DUMMYFUNCTION("REGEXEXTRACT(B1460, ""^([^:]+)"")"),"Paints and varnishes")</f>
        <v>Paints and varnishes</v>
      </c>
      <c r="D1460" s="1" t="s">
        <v>11</v>
      </c>
      <c r="E1460" s="1" t="s">
        <v>11</v>
      </c>
    </row>
    <row r="1461" spans="1:5" ht="15.75" customHeight="1">
      <c r="A1461" s="1">
        <v>320890</v>
      </c>
      <c r="B1461" s="1" t="s">
        <v>1487</v>
      </c>
      <c r="C1461" s="1" t="str">
        <f ca="1">IFERROR(__xludf.DUMMYFUNCTION("REGEXEXTRACT(B1461, ""^([^:]+)"")"),"Paints and varnishes")</f>
        <v>Paints and varnishes</v>
      </c>
      <c r="D1461" s="1" t="s">
        <v>11</v>
      </c>
      <c r="E1461" s="1" t="s">
        <v>11</v>
      </c>
    </row>
    <row r="1462" spans="1:5" ht="15.75" customHeight="1">
      <c r="A1462" s="1">
        <v>320910</v>
      </c>
      <c r="B1462" s="1" t="s">
        <v>1488</v>
      </c>
      <c r="C1462" s="1" t="str">
        <f ca="1">IFERROR(__xludf.DUMMYFUNCTION("REGEXEXTRACT(B1462, ""^([^:]+)"")"),"Paints and varnishes")</f>
        <v>Paints and varnishes</v>
      </c>
      <c r="D1462" s="1" t="s">
        <v>11</v>
      </c>
      <c r="E1462" s="1" t="s">
        <v>11</v>
      </c>
    </row>
    <row r="1463" spans="1:5" ht="15.75" customHeight="1">
      <c r="A1463" s="1">
        <v>320990</v>
      </c>
      <c r="B1463" s="1" t="s">
        <v>1489</v>
      </c>
      <c r="C1463" s="1" t="str">
        <f ca="1">IFERROR(__xludf.DUMMYFUNCTION("REGEXEXTRACT(B1463, ""^([^:]+)"")"),"Paints and varnishes")</f>
        <v>Paints and varnishes</v>
      </c>
      <c r="D1463" s="1" t="s">
        <v>11</v>
      </c>
      <c r="E1463" s="1" t="s">
        <v>11</v>
      </c>
    </row>
    <row r="1464" spans="1:5" ht="15.75" customHeight="1">
      <c r="A1464" s="1">
        <v>321000</v>
      </c>
      <c r="B1464" s="1" t="s">
        <v>1490</v>
      </c>
      <c r="C1464" s="1" t="str">
        <f ca="1">IFERROR(__xludf.DUMMYFUNCTION("REGEXEXTRACT(B1464, ""^([^:]+)"")"),"Paints and varnishes")</f>
        <v>Paints and varnishes</v>
      </c>
      <c r="D1464" s="1" t="s">
        <v>11</v>
      </c>
      <c r="E1464" s="1" t="s">
        <v>11</v>
      </c>
    </row>
    <row r="1465" spans="1:5" ht="15.75" customHeight="1">
      <c r="A1465" s="1">
        <v>321100</v>
      </c>
      <c r="B1465" s="1" t="s">
        <v>1491</v>
      </c>
      <c r="C1465" s="1" t="str">
        <f ca="1">IFERROR(__xludf.DUMMYFUNCTION("REGEXEXTRACT(B1465, ""^([^:]+)"")"),"Driers")</f>
        <v>Driers</v>
      </c>
      <c r="D1465" s="1" t="s">
        <v>11</v>
      </c>
      <c r="E1465" s="1" t="s">
        <v>11</v>
      </c>
    </row>
    <row r="1466" spans="1:5" ht="15.75" customHeight="1">
      <c r="A1466" s="1">
        <v>321210</v>
      </c>
      <c r="B1466" s="1" t="s">
        <v>1492</v>
      </c>
      <c r="C1466" s="1" t="str">
        <f ca="1">IFERROR(__xludf.DUMMYFUNCTION("REGEXEXTRACT(B1466, ""^([^:]+)"")"),"Pigments")</f>
        <v>Pigments</v>
      </c>
      <c r="D1466" s="1" t="s">
        <v>11</v>
      </c>
      <c r="E1466" s="1" t="s">
        <v>11</v>
      </c>
    </row>
    <row r="1467" spans="1:5" ht="15.75" customHeight="1">
      <c r="A1467" s="1">
        <v>321290</v>
      </c>
      <c r="B1467" s="1" t="s">
        <v>1493</v>
      </c>
      <c r="C1467" s="1" t="str">
        <f ca="1">IFERROR(__xludf.DUMMYFUNCTION("REGEXEXTRACT(B1467, ""^([^:]+)"")"),"Pigments")</f>
        <v>Pigments</v>
      </c>
      <c r="D1467" s="1" t="s">
        <v>11</v>
      </c>
      <c r="E1467" s="1" t="s">
        <v>11</v>
      </c>
    </row>
    <row r="1468" spans="1:5" ht="15.75" customHeight="1">
      <c r="A1468" s="1">
        <v>321310</v>
      </c>
      <c r="B1468" s="1" t="s">
        <v>1494</v>
      </c>
      <c r="C1468" s="1" t="str">
        <f ca="1">IFERROR(__xludf.DUMMYFUNCTION("REGEXEXTRACT(B1468, ""^([^:]+)"")"),"Colours")</f>
        <v>Colours</v>
      </c>
      <c r="D1468" s="1" t="s">
        <v>11</v>
      </c>
      <c r="E1468" s="1" t="s">
        <v>11</v>
      </c>
    </row>
    <row r="1469" spans="1:5" ht="15.75" customHeight="1">
      <c r="A1469" s="1">
        <v>321390</v>
      </c>
      <c r="B1469" s="1" t="s">
        <v>1495</v>
      </c>
      <c r="C1469" s="1" t="str">
        <f ca="1">IFERROR(__xludf.DUMMYFUNCTION("REGEXEXTRACT(B1469, ""^([^:]+)"")"),"Colours")</f>
        <v>Colours</v>
      </c>
      <c r="D1469" s="1" t="s">
        <v>11</v>
      </c>
      <c r="E1469" s="1" t="s">
        <v>11</v>
      </c>
    </row>
    <row r="1470" spans="1:5" ht="15.75" customHeight="1">
      <c r="A1470" s="1">
        <v>321410</v>
      </c>
      <c r="B1470" s="1" t="s">
        <v>1496</v>
      </c>
      <c r="C1470" s="1" t="str">
        <f ca="1">IFERROR(__xludf.DUMMYFUNCTION("REGEXEXTRACT(B1470, ""^([^:]+)"")"),"Mastics")</f>
        <v>Mastics</v>
      </c>
      <c r="D1470" s="1" t="s">
        <v>11</v>
      </c>
      <c r="E1470" s="1" t="s">
        <v>11</v>
      </c>
    </row>
    <row r="1471" spans="1:5" ht="15.75" customHeight="1">
      <c r="A1471" s="1">
        <v>321490</v>
      </c>
      <c r="B1471" s="1" t="s">
        <v>1497</v>
      </c>
      <c r="C1471" s="1" t="str">
        <f ca="1">IFERROR(__xludf.DUMMYFUNCTION("REGEXEXTRACT(B1471, ""^([^:]+)"")"),"Mastics")</f>
        <v>Mastics</v>
      </c>
      <c r="D1471" s="1" t="s">
        <v>11</v>
      </c>
      <c r="E1471" s="1" t="s">
        <v>11</v>
      </c>
    </row>
    <row r="1472" spans="1:5" ht="15.75" customHeight="1">
      <c r="A1472" s="1">
        <v>321511</v>
      </c>
      <c r="B1472" s="1" t="s">
        <v>1498</v>
      </c>
      <c r="C1472" s="1" t="str">
        <f ca="1">IFERROR(__xludf.DUMMYFUNCTION("REGEXEXTRACT(B1472, ""^([^:]+)"")"),"Ink")</f>
        <v>Ink</v>
      </c>
      <c r="D1472" s="1" t="s">
        <v>11</v>
      </c>
      <c r="E1472" s="1" t="s">
        <v>11</v>
      </c>
    </row>
    <row r="1473" spans="1:5" ht="15.75" customHeight="1">
      <c r="A1473" s="1">
        <v>321519</v>
      </c>
      <c r="B1473" s="1" t="s">
        <v>1499</v>
      </c>
      <c r="C1473" s="1" t="str">
        <f ca="1">IFERROR(__xludf.DUMMYFUNCTION("REGEXEXTRACT(B1473, ""^([^:]+)"")"),"Ink")</f>
        <v>Ink</v>
      </c>
      <c r="D1473" s="1" t="s">
        <v>11</v>
      </c>
      <c r="E1473" s="1" t="s">
        <v>11</v>
      </c>
    </row>
    <row r="1474" spans="1:5" ht="15.75" customHeight="1">
      <c r="A1474" s="1">
        <v>321590</v>
      </c>
      <c r="B1474" s="1" t="s">
        <v>1500</v>
      </c>
      <c r="C1474" s="1" t="str">
        <f ca="1">IFERROR(__xludf.DUMMYFUNCTION("REGEXEXTRACT(B1474, ""^([^:]+)"")"),"Ink")</f>
        <v>Ink</v>
      </c>
      <c r="D1474" s="1" t="s">
        <v>11</v>
      </c>
      <c r="E1474" s="1" t="s">
        <v>11</v>
      </c>
    </row>
    <row r="1475" spans="1:5" ht="15.75" customHeight="1">
      <c r="A1475" s="1">
        <v>330112</v>
      </c>
      <c r="B1475" s="1" t="s">
        <v>1501</v>
      </c>
      <c r="C1475" s="1" t="str">
        <f ca="1">IFERROR(__xludf.DUMMYFUNCTION("REGEXEXTRACT(B1475, ""^([^:]+)"")"),"Oils, essential")</f>
        <v>Oils, essential</v>
      </c>
      <c r="D1475" s="1" t="s">
        <v>11</v>
      </c>
      <c r="E1475" s="1" t="s">
        <v>11</v>
      </c>
    </row>
    <row r="1476" spans="1:5" ht="15.75" customHeight="1">
      <c r="A1476" s="1">
        <v>330113</v>
      </c>
      <c r="B1476" s="1" t="s">
        <v>1502</v>
      </c>
      <c r="C1476" s="1" t="str">
        <f ca="1">IFERROR(__xludf.DUMMYFUNCTION("REGEXEXTRACT(B1476, ""^([^:]+)"")"),"Oils, essential")</f>
        <v>Oils, essential</v>
      </c>
      <c r="D1476" s="1" t="s">
        <v>11</v>
      </c>
      <c r="E1476" s="1" t="s">
        <v>11</v>
      </c>
    </row>
    <row r="1477" spans="1:5" ht="15.75" customHeight="1">
      <c r="A1477" s="1">
        <v>330119</v>
      </c>
      <c r="B1477" s="1" t="s">
        <v>1503</v>
      </c>
      <c r="C1477" s="1" t="str">
        <f ca="1">IFERROR(__xludf.DUMMYFUNCTION("REGEXEXTRACT(B1477, ""^([^:]+)"")"),"Oils, essential")</f>
        <v>Oils, essential</v>
      </c>
      <c r="D1477" s="1" t="s">
        <v>11</v>
      </c>
      <c r="E1477" s="1" t="s">
        <v>11</v>
      </c>
    </row>
    <row r="1478" spans="1:5" ht="15.75" customHeight="1">
      <c r="A1478" s="1">
        <v>330124</v>
      </c>
      <c r="B1478" s="1" t="s">
        <v>1504</v>
      </c>
      <c r="C1478" s="1" t="str">
        <f ca="1">IFERROR(__xludf.DUMMYFUNCTION("REGEXEXTRACT(B1478, ""^([^:]+)"")"),"Oils, essential")</f>
        <v>Oils, essential</v>
      </c>
      <c r="D1478" s="1" t="s">
        <v>11</v>
      </c>
      <c r="E1478" s="1" t="s">
        <v>11</v>
      </c>
    </row>
    <row r="1479" spans="1:5" ht="15.75" customHeight="1">
      <c r="A1479" s="1">
        <v>330125</v>
      </c>
      <c r="B1479" s="1" t="s">
        <v>1505</v>
      </c>
      <c r="C1479" s="1" t="str">
        <f ca="1">IFERROR(__xludf.DUMMYFUNCTION("REGEXEXTRACT(B1479, ""^([^:]+)"")"),"Oils, essential")</f>
        <v>Oils, essential</v>
      </c>
      <c r="D1479" s="1" t="s">
        <v>11</v>
      </c>
      <c r="E1479" s="1" t="s">
        <v>11</v>
      </c>
    </row>
    <row r="1480" spans="1:5" ht="15.75" customHeight="1">
      <c r="A1480" s="1">
        <v>330129</v>
      </c>
      <c r="B1480" s="1" t="s">
        <v>1506</v>
      </c>
      <c r="C1480" s="1" t="str">
        <f ca="1">IFERROR(__xludf.DUMMYFUNCTION("REGEXEXTRACT(B1480, ""^([^:]+)"")"),"Oils, essential")</f>
        <v>Oils, essential</v>
      </c>
      <c r="D1480" s="1" t="s">
        <v>11</v>
      </c>
      <c r="E1480" s="1" t="s">
        <v>11</v>
      </c>
    </row>
    <row r="1481" spans="1:5" ht="15.75" customHeight="1">
      <c r="A1481" s="1">
        <v>330130</v>
      </c>
      <c r="B1481" s="1" t="s">
        <v>1507</v>
      </c>
      <c r="C1481" s="1" t="str">
        <f ca="1">IFERROR(__xludf.DUMMYFUNCTION("REGEXEXTRACT(B1481, ""^([^:]+)"")"),"Resinoids")</f>
        <v>Resinoids</v>
      </c>
      <c r="D1481" s="1" t="s">
        <v>11</v>
      </c>
      <c r="E1481" s="1" t="s">
        <v>11</v>
      </c>
    </row>
    <row r="1482" spans="1:5" ht="15.75" customHeight="1">
      <c r="A1482" s="1">
        <v>330190</v>
      </c>
      <c r="B1482" s="1" t="s">
        <v>1508</v>
      </c>
      <c r="C1482" s="1" t="str">
        <f ca="1">IFERROR(__xludf.DUMMYFUNCTION("REGEXEXTRACT(B1482, ""^([^:]+)"")"),"Oils, essential")</f>
        <v>Oils, essential</v>
      </c>
      <c r="D1482" s="1" t="s">
        <v>11</v>
      </c>
      <c r="E1482" s="1" t="s">
        <v>11</v>
      </c>
    </row>
    <row r="1483" spans="1:5" ht="15.75" customHeight="1">
      <c r="A1483" s="1">
        <v>330210</v>
      </c>
      <c r="B1483" s="1" t="s">
        <v>1509</v>
      </c>
      <c r="C1483" s="1" t="str">
        <f ca="1">IFERROR(__xludf.DUMMYFUNCTION("REGEXEXTRACT(B1483, ""^([^:]+)"")"),"Odoriferous substances and mixtures")</f>
        <v>Odoriferous substances and mixtures</v>
      </c>
      <c r="D1483" s="1" t="s">
        <v>11</v>
      </c>
      <c r="E1483" s="1" t="s">
        <v>11</v>
      </c>
    </row>
    <row r="1484" spans="1:5" ht="15.75" customHeight="1">
      <c r="A1484" s="1">
        <v>330290</v>
      </c>
      <c r="B1484" s="1" t="s">
        <v>1510</v>
      </c>
      <c r="C1484" s="1" t="str">
        <f ca="1">IFERROR(__xludf.DUMMYFUNCTION("REGEXEXTRACT(B1484, ""^([^:]+)"")"),"Odoriferous substances and mixtures")</f>
        <v>Odoriferous substances and mixtures</v>
      </c>
      <c r="D1484" s="1" t="s">
        <v>11</v>
      </c>
      <c r="E1484" s="1" t="s">
        <v>11</v>
      </c>
    </row>
    <row r="1485" spans="1:5" ht="15.75" customHeight="1">
      <c r="A1485" s="1">
        <v>330300</v>
      </c>
      <c r="B1485" s="1" t="s">
        <v>1511</v>
      </c>
      <c r="C1485" s="1" t="str">
        <f ca="1">IFERROR(__xludf.DUMMYFUNCTION("REGEXEXTRACT(B1485, ""^([^:]+)"")"),"Perfumes and toilet waters")</f>
        <v>Perfumes and toilet waters</v>
      </c>
      <c r="D1485" s="1" t="s">
        <v>11</v>
      </c>
      <c r="E1485" s="1" t="s">
        <v>11</v>
      </c>
    </row>
    <row r="1486" spans="1:5" ht="15.75" customHeight="1">
      <c r="A1486" s="1">
        <v>330410</v>
      </c>
      <c r="B1486" s="1" t="s">
        <v>1512</v>
      </c>
      <c r="C1486" s="1" t="str">
        <f ca="1">IFERROR(__xludf.DUMMYFUNCTION("REGEXEXTRACT(B1486, ""^([^:]+)"")"),"Cosmetic and toilet preparations")</f>
        <v>Cosmetic and toilet preparations</v>
      </c>
      <c r="D1486" s="1" t="s">
        <v>11</v>
      </c>
      <c r="E1486" s="1" t="s">
        <v>11</v>
      </c>
    </row>
    <row r="1487" spans="1:5" ht="15.75" customHeight="1">
      <c r="A1487" s="1">
        <v>330420</v>
      </c>
      <c r="B1487" s="1" t="s">
        <v>1513</v>
      </c>
      <c r="C1487" s="1" t="str">
        <f ca="1">IFERROR(__xludf.DUMMYFUNCTION("REGEXEXTRACT(B1487, ""^([^:]+)"")"),"Cosmetic and toilet preparations")</f>
        <v>Cosmetic and toilet preparations</v>
      </c>
      <c r="D1487" s="1" t="s">
        <v>11</v>
      </c>
      <c r="E1487" s="1" t="s">
        <v>11</v>
      </c>
    </row>
    <row r="1488" spans="1:5" ht="15.75" customHeight="1">
      <c r="A1488" s="1">
        <v>330430</v>
      </c>
      <c r="B1488" s="1" t="s">
        <v>1514</v>
      </c>
      <c r="C1488" s="1" t="str">
        <f ca="1">IFERROR(__xludf.DUMMYFUNCTION("REGEXEXTRACT(B1488, ""^([^:]+)"")"),"Cosmetic and toilet preparations")</f>
        <v>Cosmetic and toilet preparations</v>
      </c>
      <c r="D1488" s="1" t="s">
        <v>11</v>
      </c>
      <c r="E1488" s="1" t="s">
        <v>11</v>
      </c>
    </row>
    <row r="1489" spans="1:5" ht="15.75" customHeight="1">
      <c r="A1489" s="1">
        <v>330491</v>
      </c>
      <c r="B1489" s="1" t="s">
        <v>1515</v>
      </c>
      <c r="C1489" s="1" t="str">
        <f ca="1">IFERROR(__xludf.DUMMYFUNCTION("REGEXEXTRACT(B1489, ""^([^:]+)"")"),"Cosmetic and toilet preparations")</f>
        <v>Cosmetic and toilet preparations</v>
      </c>
      <c r="D1489" s="1" t="s">
        <v>11</v>
      </c>
      <c r="E1489" s="1" t="s">
        <v>11</v>
      </c>
    </row>
    <row r="1490" spans="1:5" ht="15.75" customHeight="1">
      <c r="A1490" s="1">
        <v>330499</v>
      </c>
      <c r="B1490" s="1" t="s">
        <v>1516</v>
      </c>
      <c r="C1490" s="1" t="str">
        <f ca="1">IFERROR(__xludf.DUMMYFUNCTION("REGEXEXTRACT(B1490, ""^([^:]+)"")"),"Cosmetic and toilet preparations")</f>
        <v>Cosmetic and toilet preparations</v>
      </c>
      <c r="D1490" s="1" t="s">
        <v>11</v>
      </c>
      <c r="E1490" s="1" t="s">
        <v>11</v>
      </c>
    </row>
    <row r="1491" spans="1:5" ht="15.75" customHeight="1">
      <c r="A1491" s="1">
        <v>330510</v>
      </c>
      <c r="B1491" s="1" t="s">
        <v>1517</v>
      </c>
      <c r="C1491" s="1" t="str">
        <f ca="1">IFERROR(__xludf.DUMMYFUNCTION("REGEXEXTRACT(B1491, ""^([^:]+)"")"),"Hair preparations")</f>
        <v>Hair preparations</v>
      </c>
      <c r="D1491" s="1" t="s">
        <v>11</v>
      </c>
      <c r="E1491" s="1" t="s">
        <v>11</v>
      </c>
    </row>
    <row r="1492" spans="1:5" ht="15.75" customHeight="1">
      <c r="A1492" s="1">
        <v>330520</v>
      </c>
      <c r="B1492" s="1" t="s">
        <v>1518</v>
      </c>
      <c r="C1492" s="1" t="str">
        <f ca="1">IFERROR(__xludf.DUMMYFUNCTION("REGEXEXTRACT(B1492, ""^([^:]+)"")"),"Hair preparations")</f>
        <v>Hair preparations</v>
      </c>
      <c r="D1492" s="1" t="s">
        <v>11</v>
      </c>
      <c r="E1492" s="1" t="s">
        <v>11</v>
      </c>
    </row>
    <row r="1493" spans="1:5" ht="15.75" customHeight="1">
      <c r="A1493" s="1">
        <v>330530</v>
      </c>
      <c r="B1493" s="1" t="s">
        <v>1519</v>
      </c>
      <c r="C1493" s="1" t="str">
        <f ca="1">IFERROR(__xludf.DUMMYFUNCTION("REGEXEXTRACT(B1493, ""^([^:]+)"")"),"Hair preparations")</f>
        <v>Hair preparations</v>
      </c>
      <c r="D1493" s="1" t="s">
        <v>11</v>
      </c>
      <c r="E1493" s="1" t="s">
        <v>11</v>
      </c>
    </row>
    <row r="1494" spans="1:5" ht="15.75" customHeight="1">
      <c r="A1494" s="1">
        <v>330590</v>
      </c>
      <c r="B1494" s="1" t="s">
        <v>1520</v>
      </c>
      <c r="C1494" s="1" t="str">
        <f ca="1">IFERROR(__xludf.DUMMYFUNCTION("REGEXEXTRACT(B1494, ""^([^:]+)"")"),"Hair preparations")</f>
        <v>Hair preparations</v>
      </c>
      <c r="D1494" s="1" t="s">
        <v>11</v>
      </c>
      <c r="E1494" s="1" t="s">
        <v>11</v>
      </c>
    </row>
    <row r="1495" spans="1:5" ht="15.75" customHeight="1">
      <c r="A1495" s="1">
        <v>330610</v>
      </c>
      <c r="B1495" s="1" t="s">
        <v>1521</v>
      </c>
      <c r="C1495" s="1" t="str">
        <f ca="1">IFERROR(__xludf.DUMMYFUNCTION("REGEXEXTRACT(B1495, ""^([^:]+)"")"),"Oral or dental hygiene preparations")</f>
        <v>Oral or dental hygiene preparations</v>
      </c>
      <c r="D1495" s="1" t="s">
        <v>11</v>
      </c>
      <c r="E1495" s="1" t="s">
        <v>11</v>
      </c>
    </row>
    <row r="1496" spans="1:5" ht="15.75" customHeight="1">
      <c r="A1496" s="1">
        <v>330620</v>
      </c>
      <c r="B1496" s="1" t="s">
        <v>1522</v>
      </c>
      <c r="C1496" s="1" t="str">
        <f ca="1">IFERROR(__xludf.DUMMYFUNCTION("REGEXEXTRACT(B1496, ""^([^:]+)"")"),"Oral or dental hygiene preparations")</f>
        <v>Oral or dental hygiene preparations</v>
      </c>
      <c r="D1496" s="1" t="s">
        <v>11</v>
      </c>
      <c r="E1496" s="1" t="s">
        <v>11</v>
      </c>
    </row>
    <row r="1497" spans="1:5" ht="15.75" customHeight="1">
      <c r="A1497" s="1">
        <v>330690</v>
      </c>
      <c r="B1497" s="1" t="s">
        <v>1523</v>
      </c>
      <c r="C1497" s="1" t="str">
        <f ca="1">IFERROR(__xludf.DUMMYFUNCTION("REGEXEXTRACT(B1497, ""^([^:]+)"")"),"Oral or dental hygiene preparations")</f>
        <v>Oral or dental hygiene preparations</v>
      </c>
      <c r="D1497" s="1" t="s">
        <v>11</v>
      </c>
      <c r="E1497" s="1" t="s">
        <v>11</v>
      </c>
    </row>
    <row r="1498" spans="1:5" ht="15.75" customHeight="1">
      <c r="A1498" s="1">
        <v>330710</v>
      </c>
      <c r="B1498" s="1" t="s">
        <v>1524</v>
      </c>
      <c r="C1498" s="1" t="str">
        <f ca="1">IFERROR(__xludf.DUMMYFUNCTION("REGEXEXTRACT(B1498, ""^([^:]+)"")"),"Perfumery, cosmetic or toilet preparations")</f>
        <v>Perfumery, cosmetic or toilet preparations</v>
      </c>
      <c r="D1498" s="1" t="s">
        <v>11</v>
      </c>
      <c r="E1498" s="1" t="s">
        <v>11</v>
      </c>
    </row>
    <row r="1499" spans="1:5" ht="15.75" customHeight="1">
      <c r="A1499" s="1">
        <v>330720</v>
      </c>
      <c r="B1499" s="1" t="s">
        <v>1525</v>
      </c>
      <c r="C1499" s="1" t="str">
        <f ca="1">IFERROR(__xludf.DUMMYFUNCTION("REGEXEXTRACT(B1499, ""^([^:]+)"")"),"Perfumery, cosmetic or toilet preparations")</f>
        <v>Perfumery, cosmetic or toilet preparations</v>
      </c>
      <c r="D1499" s="1" t="s">
        <v>11</v>
      </c>
      <c r="E1499" s="1" t="s">
        <v>11</v>
      </c>
    </row>
    <row r="1500" spans="1:5" ht="15.75" customHeight="1">
      <c r="A1500" s="1">
        <v>330730</v>
      </c>
      <c r="B1500" s="1" t="s">
        <v>1526</v>
      </c>
      <c r="C1500" s="1" t="str">
        <f ca="1">IFERROR(__xludf.DUMMYFUNCTION("REGEXEXTRACT(B1500, ""^([^:]+)"")"),"Perfumery, cosmetic or toilet preparations")</f>
        <v>Perfumery, cosmetic or toilet preparations</v>
      </c>
      <c r="D1500" s="1" t="s">
        <v>11</v>
      </c>
      <c r="E1500" s="1" t="s">
        <v>11</v>
      </c>
    </row>
    <row r="1501" spans="1:5" ht="15.75" customHeight="1">
      <c r="A1501" s="1">
        <v>330741</v>
      </c>
      <c r="B1501" s="1" t="s">
        <v>1527</v>
      </c>
      <c r="C1501" s="1" t="str">
        <f ca="1">IFERROR(__xludf.DUMMYFUNCTION("REGEXEXTRACT(B1501, ""^([^:]+)"")"),"Perfumes and deodorizers")</f>
        <v>Perfumes and deodorizers</v>
      </c>
      <c r="D1501" s="1" t="s">
        <v>11</v>
      </c>
      <c r="E1501" s="1" t="s">
        <v>11</v>
      </c>
    </row>
    <row r="1502" spans="1:5" ht="15.75" customHeight="1">
      <c r="A1502" s="1">
        <v>330749</v>
      </c>
      <c r="B1502" s="1" t="s">
        <v>1528</v>
      </c>
      <c r="C1502" s="1" t="str">
        <f ca="1">IFERROR(__xludf.DUMMYFUNCTION("REGEXEXTRACT(B1502, ""^([^:]+)"")"),"Perfumes and deodorizers")</f>
        <v>Perfumes and deodorizers</v>
      </c>
      <c r="D1502" s="1" t="s">
        <v>11</v>
      </c>
      <c r="E1502" s="1" t="s">
        <v>11</v>
      </c>
    </row>
    <row r="1503" spans="1:5" ht="15.75" customHeight="1">
      <c r="A1503" s="1">
        <v>330790</v>
      </c>
      <c r="B1503" s="1" t="s">
        <v>1529</v>
      </c>
      <c r="C1503" s="1" t="str">
        <f ca="1">IFERROR(__xludf.DUMMYFUNCTION("REGEXEXTRACT(B1503, ""^([^:]+)"")"),"Perfumes and deodorizers")</f>
        <v>Perfumes and deodorizers</v>
      </c>
      <c r="D1503" s="1" t="s">
        <v>11</v>
      </c>
      <c r="E1503" s="1" t="s">
        <v>11</v>
      </c>
    </row>
    <row r="1504" spans="1:5" ht="15.75" customHeight="1">
      <c r="A1504" s="1">
        <v>340111</v>
      </c>
      <c r="B1504" s="1" t="s">
        <v>1530</v>
      </c>
      <c r="C1504" s="1" t="str">
        <f ca="1">IFERROR(__xludf.DUMMYFUNCTION("REGEXEXTRACT(B1504, ""^([^:]+)"")"),"Soap and organic surface-active products")</f>
        <v>Soap and organic surface-active products</v>
      </c>
      <c r="D1504" s="1" t="s">
        <v>11</v>
      </c>
      <c r="E1504" s="1" t="s">
        <v>11</v>
      </c>
    </row>
    <row r="1505" spans="1:5" ht="15.75" customHeight="1">
      <c r="A1505" s="1">
        <v>340119</v>
      </c>
      <c r="B1505" s="1" t="s">
        <v>1531</v>
      </c>
      <c r="C1505" s="1" t="str">
        <f ca="1">IFERROR(__xludf.DUMMYFUNCTION("REGEXEXTRACT(B1505, ""^([^:]+)"")"),"Soap and organic surface-active products")</f>
        <v>Soap and organic surface-active products</v>
      </c>
      <c r="D1505" s="1" t="s">
        <v>11</v>
      </c>
      <c r="E1505" s="1" t="s">
        <v>11</v>
      </c>
    </row>
    <row r="1506" spans="1:5" ht="15.75" customHeight="1">
      <c r="A1506" s="1">
        <v>340120</v>
      </c>
      <c r="B1506" s="1" t="s">
        <v>1532</v>
      </c>
      <c r="C1506" s="1" t="str">
        <f ca="1">IFERROR(__xludf.DUMMYFUNCTION("REGEXEXTRACT(B1506, ""^([^:]+)"")"),"Soap")</f>
        <v>Soap</v>
      </c>
      <c r="D1506" s="1" t="s">
        <v>11</v>
      </c>
      <c r="E1506" s="1" t="s">
        <v>11</v>
      </c>
    </row>
    <row r="1507" spans="1:5" ht="15.75" customHeight="1">
      <c r="A1507" s="1">
        <v>340130</v>
      </c>
      <c r="B1507" s="1" t="s">
        <v>1533</v>
      </c>
      <c r="C1507" s="1" t="str">
        <f ca="1">IFERROR(__xludf.DUMMYFUNCTION("REGEXEXTRACT(B1507, ""^([^:]+)"")"),"Organic surface-active products and preparations for washing the skin, in the form of liquid or cream and put up for retail sale, whether or not containing soap")</f>
        <v>Organic surface-active products and preparations for washing the skin, in the form of liquid or cream and put up for retail sale, whether or not containing soap</v>
      </c>
      <c r="D1507" s="1" t="s">
        <v>11</v>
      </c>
      <c r="E1507" s="1" t="s">
        <v>11</v>
      </c>
    </row>
    <row r="1508" spans="1:5" ht="15.75" customHeight="1">
      <c r="A1508" s="1">
        <v>340211</v>
      </c>
      <c r="B1508" s="1" t="s">
        <v>1534</v>
      </c>
      <c r="C1508" s="1" t="str">
        <f ca="1">IFERROR(__xludf.DUMMYFUNCTION("REGEXEXTRACT(B1508, ""^([^:]+)"")"),"Organic surface-active agents")</f>
        <v>Organic surface-active agents</v>
      </c>
      <c r="D1508" s="1" t="s">
        <v>11</v>
      </c>
      <c r="E1508" s="1" t="s">
        <v>11</v>
      </c>
    </row>
    <row r="1509" spans="1:5" ht="15.75" customHeight="1">
      <c r="A1509" s="1">
        <v>340212</v>
      </c>
      <c r="B1509" s="1" t="s">
        <v>1535</v>
      </c>
      <c r="C1509" s="1" t="str">
        <f ca="1">IFERROR(__xludf.DUMMYFUNCTION("REGEXEXTRACT(B1509, ""^([^:]+)"")"),"Organic surface-active agents")</f>
        <v>Organic surface-active agents</v>
      </c>
      <c r="D1509" s="1" t="s">
        <v>11</v>
      </c>
      <c r="E1509" s="1" t="s">
        <v>11</v>
      </c>
    </row>
    <row r="1510" spans="1:5" ht="15.75" customHeight="1">
      <c r="A1510" s="1">
        <v>340213</v>
      </c>
      <c r="B1510" s="1" t="s">
        <v>1536</v>
      </c>
      <c r="C1510" s="1" t="str">
        <f ca="1">IFERROR(__xludf.DUMMYFUNCTION("REGEXEXTRACT(B1510, ""^([^:]+)"")"),"Organic surface-active agents")</f>
        <v>Organic surface-active agents</v>
      </c>
      <c r="D1510" s="1" t="s">
        <v>11</v>
      </c>
      <c r="E1510" s="1" t="s">
        <v>11</v>
      </c>
    </row>
    <row r="1511" spans="1:5" ht="15.75" customHeight="1">
      <c r="A1511" s="1">
        <v>340219</v>
      </c>
      <c r="B1511" s="1" t="s">
        <v>1537</v>
      </c>
      <c r="C1511" s="1" t="str">
        <f ca="1">IFERROR(__xludf.DUMMYFUNCTION("REGEXEXTRACT(B1511, ""^([^:]+)"")"),"Organic surface-active agents")</f>
        <v>Organic surface-active agents</v>
      </c>
      <c r="D1511" s="1" t="s">
        <v>11</v>
      </c>
      <c r="E1511" s="1" t="s">
        <v>11</v>
      </c>
    </row>
    <row r="1512" spans="1:5" ht="15.75" customHeight="1">
      <c r="A1512" s="1">
        <v>340220</v>
      </c>
      <c r="B1512" s="1" t="s">
        <v>1538</v>
      </c>
      <c r="C1512" s="1" t="str">
        <f ca="1">IFERROR(__xludf.DUMMYFUNCTION("REGEXEXTRACT(B1512, ""^([^:]+)"")"),"Washing and cleaning preparations")</f>
        <v>Washing and cleaning preparations</v>
      </c>
      <c r="D1512" s="1" t="s">
        <v>11</v>
      </c>
      <c r="E1512" s="1" t="s">
        <v>11</v>
      </c>
    </row>
    <row r="1513" spans="1:5" ht="15.75" customHeight="1">
      <c r="A1513" s="1">
        <v>340290</v>
      </c>
      <c r="B1513" s="1" t="s">
        <v>1539</v>
      </c>
      <c r="C1513" s="1" t="str">
        <f ca="1">IFERROR(__xludf.DUMMYFUNCTION("REGEXEXTRACT(B1513, ""^([^:]+)"")"),"Washing and cleaning preparations")</f>
        <v>Washing and cleaning preparations</v>
      </c>
      <c r="D1513" s="1" t="s">
        <v>11</v>
      </c>
      <c r="E1513" s="1" t="s">
        <v>11</v>
      </c>
    </row>
    <row r="1514" spans="1:5" ht="15.75" customHeight="1">
      <c r="A1514" s="1">
        <v>340311</v>
      </c>
      <c r="B1514" s="1" t="s">
        <v>1540</v>
      </c>
      <c r="C1514" s="1" t="str">
        <f ca="1">IFERROR(__xludf.DUMMYFUNCTION("REGEXEXTRACT(B1514, ""^([^:]+)"")"),"Lubricating preparations")</f>
        <v>Lubricating preparations</v>
      </c>
      <c r="D1514" s="1" t="s">
        <v>11</v>
      </c>
      <c r="E1514" s="1" t="s">
        <v>11</v>
      </c>
    </row>
    <row r="1515" spans="1:5" ht="15.75" customHeight="1">
      <c r="A1515" s="1">
        <v>340319</v>
      </c>
      <c r="B1515" s="1" t="s">
        <v>1541</v>
      </c>
      <c r="C1515" s="1" t="str">
        <f ca="1">IFERROR(__xludf.DUMMYFUNCTION("REGEXEXTRACT(B1515, ""^([^:]+)"")"),"Lubricating preparations")</f>
        <v>Lubricating preparations</v>
      </c>
      <c r="D1515" s="1" t="s">
        <v>11</v>
      </c>
      <c r="E1515" s="1" t="s">
        <v>11</v>
      </c>
    </row>
    <row r="1516" spans="1:5" ht="15.75" customHeight="1">
      <c r="A1516" s="1">
        <v>340391</v>
      </c>
      <c r="B1516" s="1" t="s">
        <v>1542</v>
      </c>
      <c r="C1516" s="1" t="str">
        <f ca="1">IFERROR(__xludf.DUMMYFUNCTION("REGEXEXTRACT(B1516, ""^([^:]+)"")"),"Lubricating preparations")</f>
        <v>Lubricating preparations</v>
      </c>
      <c r="D1516" s="1" t="s">
        <v>11</v>
      </c>
      <c r="E1516" s="1" t="s">
        <v>11</v>
      </c>
    </row>
    <row r="1517" spans="1:5" ht="15.75" customHeight="1">
      <c r="A1517" s="1">
        <v>340399</v>
      </c>
      <c r="B1517" s="1" t="s">
        <v>1543</v>
      </c>
      <c r="C1517" s="1" t="str">
        <f ca="1">IFERROR(__xludf.DUMMYFUNCTION("REGEXEXTRACT(B1517, ""^([^:]+)"")"),"Lubricating preparations")</f>
        <v>Lubricating preparations</v>
      </c>
      <c r="D1517" s="1" t="s">
        <v>11</v>
      </c>
      <c r="E1517" s="1" t="s">
        <v>11</v>
      </c>
    </row>
    <row r="1518" spans="1:5" ht="15.75" customHeight="1">
      <c r="A1518" s="1">
        <v>340420</v>
      </c>
      <c r="B1518" s="1" t="s">
        <v>1544</v>
      </c>
      <c r="C1518" s="1" t="str">
        <f ca="1">IFERROR(__xludf.DUMMYFUNCTION("REGEXEXTRACT(B1518, ""^([^:]+)"")"),"Waxes")</f>
        <v>Waxes</v>
      </c>
      <c r="D1518" s="1" t="s">
        <v>11</v>
      </c>
      <c r="E1518" s="1" t="s">
        <v>11</v>
      </c>
    </row>
    <row r="1519" spans="1:5" ht="15.75" customHeight="1">
      <c r="A1519" s="1">
        <v>340490</v>
      </c>
      <c r="B1519" s="1" t="s">
        <v>1545</v>
      </c>
      <c r="C1519" s="1" t="str">
        <f ca="1">IFERROR(__xludf.DUMMYFUNCTION("REGEXEXTRACT(B1519, ""^([^:]+)"")"),"Waxes")</f>
        <v>Waxes</v>
      </c>
      <c r="D1519" s="1" t="s">
        <v>11</v>
      </c>
      <c r="E1519" s="1" t="s">
        <v>11</v>
      </c>
    </row>
    <row r="1520" spans="1:5" ht="15.75" customHeight="1">
      <c r="A1520" s="1">
        <v>340510</v>
      </c>
      <c r="B1520" s="1" t="s">
        <v>1546</v>
      </c>
      <c r="C1520" s="1" t="str">
        <f ca="1">IFERROR(__xludf.DUMMYFUNCTION("REGEXEXTRACT(B1520, ""^([^:]+)"")"),"Polishes, creams and similar preparations")</f>
        <v>Polishes, creams and similar preparations</v>
      </c>
      <c r="D1520" s="1" t="s">
        <v>11</v>
      </c>
      <c r="E1520" s="1" t="s">
        <v>11</v>
      </c>
    </row>
    <row r="1521" spans="1:6" ht="15.75" customHeight="1">
      <c r="A1521" s="1">
        <v>340520</v>
      </c>
      <c r="B1521" s="1" t="s">
        <v>1547</v>
      </c>
      <c r="C1521" s="1" t="str">
        <f ca="1">IFERROR(__xludf.DUMMYFUNCTION("REGEXEXTRACT(B1521, ""^([^:]+)"")"),"Polishes, creams and similar preparations")</f>
        <v>Polishes, creams and similar preparations</v>
      </c>
      <c r="D1521" s="1" t="s">
        <v>11</v>
      </c>
      <c r="E1521" s="1" t="s">
        <v>11</v>
      </c>
    </row>
    <row r="1522" spans="1:6" ht="15.75" customHeight="1">
      <c r="A1522" s="1">
        <v>340530</v>
      </c>
      <c r="B1522" s="1" t="s">
        <v>1548</v>
      </c>
      <c r="C1522" s="1" t="str">
        <f ca="1">IFERROR(__xludf.DUMMYFUNCTION("REGEXEXTRACT(B1522, ""^([^:]+)"")"),"Polishes, creams and similar preparations")</f>
        <v>Polishes, creams and similar preparations</v>
      </c>
      <c r="D1522" s="1" t="s">
        <v>11</v>
      </c>
      <c r="E1522" s="1" t="s">
        <v>11</v>
      </c>
    </row>
    <row r="1523" spans="1:6" ht="15.75" customHeight="1">
      <c r="A1523" s="1">
        <v>340540</v>
      </c>
      <c r="B1523" s="1" t="s">
        <v>1549</v>
      </c>
      <c r="C1523" s="1" t="str">
        <f ca="1">IFERROR(__xludf.DUMMYFUNCTION("REGEXEXTRACT(B1523, ""^([^:]+)"")"),"Scouring pastes and powders and other scouring preparations")</f>
        <v>Scouring pastes and powders and other scouring preparations</v>
      </c>
      <c r="D1523" s="1" t="s">
        <v>11</v>
      </c>
      <c r="E1523" s="1" t="s">
        <v>11</v>
      </c>
    </row>
    <row r="1524" spans="1:6" ht="15.75" customHeight="1">
      <c r="A1524" s="1">
        <v>340590</v>
      </c>
      <c r="B1524" s="1" t="s">
        <v>1550</v>
      </c>
      <c r="C1524" s="1" t="str">
        <f ca="1">IFERROR(__xludf.DUMMYFUNCTION("REGEXEXTRACT(B1524, ""^([^:]+)"")"),"Polishes, creams and similar preparations")</f>
        <v>Polishes, creams and similar preparations</v>
      </c>
      <c r="D1524" s="1" t="s">
        <v>11</v>
      </c>
      <c r="E1524" s="1" t="s">
        <v>11</v>
      </c>
    </row>
    <row r="1525" spans="1:6" ht="15.75" customHeight="1">
      <c r="A1525" s="1">
        <v>340600</v>
      </c>
      <c r="B1525" s="1" t="s">
        <v>1551</v>
      </c>
      <c r="C1525" s="1" t="str">
        <f ca="1">IFERROR(__xludf.DUMMYFUNCTION("REGEXEXTRACT(B1525, ""^([^:]+)"")"),"Candles, tapers and the like")</f>
        <v>Candles, tapers and the like</v>
      </c>
      <c r="D1525" s="1" t="s">
        <v>11</v>
      </c>
      <c r="E1525" s="1" t="s">
        <v>11</v>
      </c>
    </row>
    <row r="1526" spans="1:6" ht="24.75" customHeight="1">
      <c r="A1526" s="1">
        <v>300650</v>
      </c>
      <c r="B1526" s="1" t="s">
        <v>1427</v>
      </c>
      <c r="C1526" s="1" t="str">
        <f ca="1">IFERROR(__xludf.DUMMYFUNCTION("REGEXEXTRACT(B1526, ""^([^:]+)"")"),"Pharmaceutical goods")</f>
        <v>Pharmaceutical goods</v>
      </c>
      <c r="D1526" s="1">
        <v>1</v>
      </c>
      <c r="E1526" s="11" t="s">
        <v>1419</v>
      </c>
      <c r="F1526" s="2" t="s">
        <v>1419</v>
      </c>
    </row>
    <row r="1527" spans="1:6" ht="15.75" customHeight="1">
      <c r="A1527" s="1">
        <v>350110</v>
      </c>
      <c r="B1527" s="1" t="s">
        <v>1553</v>
      </c>
      <c r="C1527" s="1" t="str">
        <f ca="1">IFERROR(__xludf.DUMMYFUNCTION("REGEXEXTRACT(B1527, ""^([^:]+)"")"),"Casein")</f>
        <v>Casein</v>
      </c>
      <c r="D1527" s="1" t="s">
        <v>11</v>
      </c>
      <c r="E1527" s="1" t="s">
        <v>11</v>
      </c>
    </row>
    <row r="1528" spans="1:6" ht="15.75" customHeight="1">
      <c r="A1528" s="1">
        <v>350190</v>
      </c>
      <c r="B1528" s="1" t="s">
        <v>1554</v>
      </c>
      <c r="C1528" s="1" t="str">
        <f ca="1">IFERROR(__xludf.DUMMYFUNCTION("REGEXEXTRACT(B1528, ""^([^:]+)"")"),"Caseinates and other casein derivatives")</f>
        <v>Caseinates and other casein derivatives</v>
      </c>
      <c r="D1528" s="1" t="s">
        <v>11</v>
      </c>
      <c r="E1528" s="1" t="s">
        <v>11</v>
      </c>
    </row>
    <row r="1529" spans="1:6" ht="15.75" customHeight="1">
      <c r="A1529" s="1">
        <v>350211</v>
      </c>
      <c r="B1529" s="1" t="s">
        <v>1555</v>
      </c>
      <c r="C1529" s="1" t="str">
        <f ca="1">IFERROR(__xludf.DUMMYFUNCTION("REGEXEXTRACT(B1529, ""^([^:]+)"")"),"Albumins")</f>
        <v>Albumins</v>
      </c>
      <c r="D1529" s="1" t="s">
        <v>11</v>
      </c>
      <c r="E1529" s="1" t="s">
        <v>11</v>
      </c>
    </row>
    <row r="1530" spans="1:6" ht="15.75" customHeight="1">
      <c r="A1530" s="1">
        <v>350219</v>
      </c>
      <c r="B1530" s="1" t="s">
        <v>1556</v>
      </c>
      <c r="C1530" s="1" t="str">
        <f ca="1">IFERROR(__xludf.DUMMYFUNCTION("REGEXEXTRACT(B1530, ""^([^:]+)"")"),"Albumins")</f>
        <v>Albumins</v>
      </c>
      <c r="D1530" s="1" t="s">
        <v>11</v>
      </c>
      <c r="E1530" s="1" t="s">
        <v>11</v>
      </c>
    </row>
    <row r="1531" spans="1:6" ht="15.75" customHeight="1">
      <c r="A1531" s="1">
        <v>350220</v>
      </c>
      <c r="B1531" s="1" t="s">
        <v>1557</v>
      </c>
      <c r="C1531" s="1" t="str">
        <f ca="1">IFERROR(__xludf.DUMMYFUNCTION("REGEXEXTRACT(B1531, ""^([^:]+)"")"),"Albumins")</f>
        <v>Albumins</v>
      </c>
      <c r="D1531" s="1" t="s">
        <v>11</v>
      </c>
      <c r="E1531" s="1" t="s">
        <v>11</v>
      </c>
    </row>
    <row r="1532" spans="1:6" ht="15.75" customHeight="1">
      <c r="A1532" s="1">
        <v>350290</v>
      </c>
      <c r="B1532" s="1" t="s">
        <v>1558</v>
      </c>
      <c r="C1532" s="1" t="str">
        <f ca="1">IFERROR(__xludf.DUMMYFUNCTION("REGEXEXTRACT(B1532, ""^([^:]+)"")"),"Albumins, albuminates and other albumin derivatives")</f>
        <v>Albumins, albuminates and other albumin derivatives</v>
      </c>
      <c r="D1532" s="1" t="s">
        <v>11</v>
      </c>
      <c r="E1532" s="1" t="s">
        <v>11</v>
      </c>
    </row>
    <row r="1533" spans="1:6" ht="15.75" customHeight="1">
      <c r="A1533" s="1">
        <v>350300</v>
      </c>
      <c r="B1533" s="1" t="s">
        <v>1559</v>
      </c>
      <c r="C1533" s="1" t="str">
        <f ca="1">IFERROR(__xludf.DUMMYFUNCTION("REGEXEXTRACT(B1533, ""^([^:]+)"")"),"Gelatin (including gelatin in rectangular sheets, whether or not surface-worked or coloured) and gelatin derivatives")</f>
        <v>Gelatin (including gelatin in rectangular sheets, whether or not surface-worked or coloured) and gelatin derivatives</v>
      </c>
      <c r="D1533" s="1" t="s">
        <v>11</v>
      </c>
      <c r="E1533" s="1" t="s">
        <v>11</v>
      </c>
    </row>
    <row r="1534" spans="1:6" ht="15.75" customHeight="1">
      <c r="A1534" s="1">
        <v>350400</v>
      </c>
      <c r="B1534" s="1" t="s">
        <v>1560</v>
      </c>
      <c r="C1534" s="1" t="str">
        <f ca="1">IFERROR(__xludf.DUMMYFUNCTION("REGEXEXTRACT(B1534, ""^([^:]+)"")"),"Peptones and their derivatives")</f>
        <v>Peptones and their derivatives</v>
      </c>
      <c r="D1534" s="1" t="s">
        <v>11</v>
      </c>
      <c r="E1534" s="1" t="s">
        <v>11</v>
      </c>
    </row>
    <row r="1535" spans="1:6" ht="15.75" customHeight="1">
      <c r="A1535" s="1">
        <v>350510</v>
      </c>
      <c r="B1535" s="1" t="s">
        <v>1561</v>
      </c>
      <c r="C1535" s="1" t="str">
        <f ca="1">IFERROR(__xludf.DUMMYFUNCTION("REGEXEXTRACT(B1535, ""^([^:]+)"")"),"Dextrins and other modified starches")</f>
        <v>Dextrins and other modified starches</v>
      </c>
      <c r="D1535" s="1" t="s">
        <v>11</v>
      </c>
      <c r="E1535" s="1" t="s">
        <v>11</v>
      </c>
    </row>
    <row r="1536" spans="1:6" ht="15.75" customHeight="1">
      <c r="A1536" s="1">
        <v>350520</v>
      </c>
      <c r="B1536" s="1" t="s">
        <v>1562</v>
      </c>
      <c r="C1536" s="1" t="str">
        <f ca="1">IFERROR(__xludf.DUMMYFUNCTION("REGEXEXTRACT(B1536, ""^([^:]+)"")"),"Glues")</f>
        <v>Glues</v>
      </c>
      <c r="D1536" s="1" t="s">
        <v>11</v>
      </c>
      <c r="E1536" s="1" t="s">
        <v>11</v>
      </c>
    </row>
    <row r="1537" spans="1:5" ht="15.75" customHeight="1">
      <c r="A1537" s="1">
        <v>350610</v>
      </c>
      <c r="B1537" s="1" t="s">
        <v>1563</v>
      </c>
      <c r="C1537" s="1" t="str">
        <f ca="1">IFERROR(__xludf.DUMMYFUNCTION("REGEXEXTRACT(B1537, ""^([^:]+)"")"),"Glues or adhesives")</f>
        <v>Glues or adhesives</v>
      </c>
      <c r="D1537" s="1" t="s">
        <v>11</v>
      </c>
      <c r="E1537" s="1" t="s">
        <v>11</v>
      </c>
    </row>
    <row r="1538" spans="1:5" ht="15.75" customHeight="1">
      <c r="A1538" s="1">
        <v>350691</v>
      </c>
      <c r="B1538" s="1" t="s">
        <v>1564</v>
      </c>
      <c r="C1538" s="1" t="str">
        <f ca="1">IFERROR(__xludf.DUMMYFUNCTION("REGEXEXTRACT(B1538, ""^([^:]+)"")"),"Adhesives")</f>
        <v>Adhesives</v>
      </c>
      <c r="D1538" s="1" t="s">
        <v>11</v>
      </c>
      <c r="E1538" s="1" t="s">
        <v>11</v>
      </c>
    </row>
    <row r="1539" spans="1:5" ht="15.75" customHeight="1">
      <c r="A1539" s="1">
        <v>350699</v>
      </c>
      <c r="B1539" s="1" t="s">
        <v>1565</v>
      </c>
      <c r="C1539" s="1" t="str">
        <f ca="1">IFERROR(__xludf.DUMMYFUNCTION("REGEXEXTRACT(B1539, ""^([^:]+)"")"),"Glues and other adhesives")</f>
        <v>Glues and other adhesives</v>
      </c>
      <c r="D1539" s="1" t="s">
        <v>11</v>
      </c>
      <c r="E1539" s="1" t="s">
        <v>11</v>
      </c>
    </row>
    <row r="1540" spans="1:5" ht="15.75" customHeight="1">
      <c r="A1540" s="1">
        <v>350710</v>
      </c>
      <c r="B1540" s="1" t="s">
        <v>1566</v>
      </c>
      <c r="C1540" s="1" t="str">
        <f ca="1">IFERROR(__xludf.DUMMYFUNCTION("REGEXEXTRACT(B1540, ""^([^:]+)"")"),"Enzymes")</f>
        <v>Enzymes</v>
      </c>
      <c r="D1540" s="1" t="s">
        <v>11</v>
      </c>
      <c r="E1540" s="1" t="s">
        <v>11</v>
      </c>
    </row>
    <row r="1541" spans="1:5" ht="15.75" customHeight="1">
      <c r="A1541" s="1">
        <v>350790</v>
      </c>
      <c r="B1541" s="1" t="s">
        <v>1567</v>
      </c>
      <c r="C1541" s="1" t="str">
        <f ca="1">IFERROR(__xludf.DUMMYFUNCTION("REGEXEXTRACT(B1541, ""^([^:]+)"")"),"Enzymes and prepared enzymes")</f>
        <v>Enzymes and prepared enzymes</v>
      </c>
      <c r="D1541" s="1" t="s">
        <v>11</v>
      </c>
      <c r="E1541" s="1" t="s">
        <v>11</v>
      </c>
    </row>
    <row r="1542" spans="1:5" ht="15.75" customHeight="1">
      <c r="A1542" s="1">
        <v>360100</v>
      </c>
      <c r="B1542" s="1" t="s">
        <v>1568</v>
      </c>
      <c r="C1542" s="1" t="str">
        <f ca="1">IFERROR(__xludf.DUMMYFUNCTION("REGEXEXTRACT(B1542, ""^([^:]+)"")"),"Explosives")</f>
        <v>Explosives</v>
      </c>
      <c r="D1542" s="1" t="s">
        <v>11</v>
      </c>
      <c r="E1542" s="1" t="s">
        <v>11</v>
      </c>
    </row>
    <row r="1543" spans="1:5" ht="15.75" customHeight="1">
      <c r="A1543" s="1">
        <v>360200</v>
      </c>
      <c r="B1543" s="1" t="s">
        <v>1569</v>
      </c>
      <c r="C1543" s="1" t="str">
        <f ca="1">IFERROR(__xludf.DUMMYFUNCTION("REGEXEXTRACT(B1543, ""^([^:]+)"")"),"Explosives, prepared")</f>
        <v>Explosives, prepared</v>
      </c>
      <c r="D1543" s="1" t="s">
        <v>11</v>
      </c>
      <c r="E1543" s="1" t="s">
        <v>11</v>
      </c>
    </row>
    <row r="1544" spans="1:5" ht="15.75" customHeight="1">
      <c r="A1544" s="1">
        <v>360300</v>
      </c>
      <c r="B1544" s="1" t="s">
        <v>1570</v>
      </c>
      <c r="C1544" s="1" t="str">
        <f ca="1">IFERROR(__xludf.DUMMYFUNCTION("REGEXEXTRACT(B1544, ""^([^:]+)"")"),"Fuses and detonators")</f>
        <v>Fuses and detonators</v>
      </c>
      <c r="D1544" s="1" t="s">
        <v>11</v>
      </c>
      <c r="E1544" s="1" t="s">
        <v>11</v>
      </c>
    </row>
    <row r="1545" spans="1:5" ht="15.75" customHeight="1">
      <c r="A1545" s="1">
        <v>360410</v>
      </c>
      <c r="B1545" s="1" t="s">
        <v>1571</v>
      </c>
      <c r="C1545" s="1" t="str">
        <f ca="1">IFERROR(__xludf.DUMMYFUNCTION("REGEXEXTRACT(B1545, ""^([^:]+)"")"),"Pyrotechnic products")</f>
        <v>Pyrotechnic products</v>
      </c>
      <c r="D1545" s="1" t="s">
        <v>11</v>
      </c>
      <c r="E1545" s="1" t="s">
        <v>11</v>
      </c>
    </row>
    <row r="1546" spans="1:5" ht="15.75" customHeight="1">
      <c r="A1546" s="1">
        <v>360490</v>
      </c>
      <c r="B1546" s="1" t="s">
        <v>1572</v>
      </c>
      <c r="C1546" s="1" t="str">
        <f ca="1">IFERROR(__xludf.DUMMYFUNCTION("REGEXEXTRACT(B1546, ""^([^:]+)"")"),"Pyrotechnic products")</f>
        <v>Pyrotechnic products</v>
      </c>
      <c r="D1546" s="1" t="s">
        <v>11</v>
      </c>
      <c r="E1546" s="1" t="s">
        <v>11</v>
      </c>
    </row>
    <row r="1547" spans="1:5" ht="15.75" customHeight="1">
      <c r="A1547" s="1">
        <v>360500</v>
      </c>
      <c r="B1547" s="1" t="s">
        <v>1573</v>
      </c>
      <c r="C1547" s="1" t="str">
        <f ca="1">IFERROR(__xludf.DUMMYFUNCTION("REGEXEXTRACT(B1547, ""^([^:]+)"")"),"Matches")</f>
        <v>Matches</v>
      </c>
      <c r="D1547" s="1" t="s">
        <v>11</v>
      </c>
      <c r="E1547" s="1" t="s">
        <v>11</v>
      </c>
    </row>
    <row r="1548" spans="1:5" ht="15.75" customHeight="1">
      <c r="A1548" s="1">
        <v>360610</v>
      </c>
      <c r="B1548" s="1" t="s">
        <v>1574</v>
      </c>
      <c r="C1548" s="1" t="str">
        <f ca="1">IFERROR(__xludf.DUMMYFUNCTION("REGEXEXTRACT(B1548, ""^([^:]+)"")"),"Fuels")</f>
        <v>Fuels</v>
      </c>
      <c r="D1548" s="1" t="s">
        <v>11</v>
      </c>
      <c r="E1548" s="1" t="s">
        <v>11</v>
      </c>
    </row>
    <row r="1549" spans="1:5" ht="15.75" customHeight="1">
      <c r="A1549" s="1">
        <v>360690</v>
      </c>
      <c r="B1549" s="1" t="s">
        <v>1575</v>
      </c>
      <c r="C1549" s="1" t="str">
        <f ca="1">IFERROR(__xludf.DUMMYFUNCTION("REGEXEXTRACT(B1549, ""^([^:]+)"")"),"Ferro-cerium and other pyrophoric alloys in all forms")</f>
        <v>Ferro-cerium and other pyrophoric alloys in all forms</v>
      </c>
      <c r="D1549" s="1" t="s">
        <v>11</v>
      </c>
      <c r="E1549" s="1" t="s">
        <v>11</v>
      </c>
    </row>
    <row r="1550" spans="1:5" ht="15.75" customHeight="1">
      <c r="A1550" s="1">
        <v>370110</v>
      </c>
      <c r="B1550" s="1" t="s">
        <v>1576</v>
      </c>
      <c r="C1550" s="1" t="str">
        <f ca="1">IFERROR(__xludf.DUMMYFUNCTION("REGEXEXTRACT(B1550, ""^([^:]+)"")"),"Photographic plates and film")</f>
        <v>Photographic plates and film</v>
      </c>
      <c r="D1550" s="1" t="s">
        <v>11</v>
      </c>
      <c r="E1550" s="1" t="s">
        <v>11</v>
      </c>
    </row>
    <row r="1551" spans="1:5" ht="15.75" customHeight="1">
      <c r="A1551" s="1">
        <v>370120</v>
      </c>
      <c r="B1551" s="1" t="s">
        <v>1577</v>
      </c>
      <c r="C1551" s="1" t="str">
        <f ca="1">IFERROR(__xludf.DUMMYFUNCTION("REGEXEXTRACT(B1551, ""^([^:]+)"")"),"Photographic plates and film")</f>
        <v>Photographic plates and film</v>
      </c>
      <c r="D1551" s="1" t="s">
        <v>11</v>
      </c>
      <c r="E1551" s="1" t="s">
        <v>11</v>
      </c>
    </row>
    <row r="1552" spans="1:5" ht="15.75" customHeight="1">
      <c r="A1552" s="1">
        <v>370130</v>
      </c>
      <c r="B1552" s="1" t="s">
        <v>1578</v>
      </c>
      <c r="C1552" s="1" t="str">
        <f ca="1">IFERROR(__xludf.DUMMYFUNCTION("REGEXEXTRACT(B1552, ""^([^:]+)"")"),"Photographic plates and film")</f>
        <v>Photographic plates and film</v>
      </c>
      <c r="D1552" s="1" t="s">
        <v>11</v>
      </c>
      <c r="E1552" s="1" t="s">
        <v>11</v>
      </c>
    </row>
    <row r="1553" spans="1:5" ht="15.75" customHeight="1">
      <c r="A1553" s="1">
        <v>370191</v>
      </c>
      <c r="B1553" s="1" t="s">
        <v>1579</v>
      </c>
      <c r="C1553" s="1" t="str">
        <f ca="1">IFERROR(__xludf.DUMMYFUNCTION("REGEXEXTRACT(B1553, ""^([^:]+)"")"),"Photographic plates and film")</f>
        <v>Photographic plates and film</v>
      </c>
      <c r="D1553" s="1" t="s">
        <v>11</v>
      </c>
      <c r="E1553" s="1" t="s">
        <v>11</v>
      </c>
    </row>
    <row r="1554" spans="1:5" ht="15.75" customHeight="1">
      <c r="A1554" s="1">
        <v>370199</v>
      </c>
      <c r="B1554" s="1" t="s">
        <v>1580</v>
      </c>
      <c r="C1554" s="1" t="str">
        <f ca="1">IFERROR(__xludf.DUMMYFUNCTION("REGEXEXTRACT(B1554, ""^([^:]+)"")"),"Photographic plates and film")</f>
        <v>Photographic plates and film</v>
      </c>
      <c r="D1554" s="1" t="s">
        <v>11</v>
      </c>
      <c r="E1554" s="1" t="s">
        <v>11</v>
      </c>
    </row>
    <row r="1555" spans="1:5" ht="15.75" customHeight="1">
      <c r="A1555" s="1">
        <v>370210</v>
      </c>
      <c r="B1555" s="1" t="s">
        <v>1581</v>
      </c>
      <c r="C1555" s="1" t="str">
        <f ca="1">IFERROR(__xludf.DUMMYFUNCTION("REGEXEXTRACT(B1555, ""^([^:]+)"")"),"Photographic film")</f>
        <v>Photographic film</v>
      </c>
      <c r="D1555" s="1" t="s">
        <v>11</v>
      </c>
      <c r="E1555" s="1" t="s">
        <v>11</v>
      </c>
    </row>
    <row r="1556" spans="1:5" ht="15.75" customHeight="1">
      <c r="A1556" s="1">
        <v>370231</v>
      </c>
      <c r="B1556" s="1" t="s">
        <v>1582</v>
      </c>
      <c r="C1556" s="1" t="str">
        <f ca="1">IFERROR(__xludf.DUMMYFUNCTION("REGEXEXTRACT(B1556, ""^([^:]+)"")"),"Photographic film")</f>
        <v>Photographic film</v>
      </c>
      <c r="D1556" s="1" t="s">
        <v>11</v>
      </c>
      <c r="E1556" s="1" t="s">
        <v>11</v>
      </c>
    </row>
    <row r="1557" spans="1:5" ht="15.75" customHeight="1">
      <c r="A1557" s="1">
        <v>370232</v>
      </c>
      <c r="B1557" s="1" t="s">
        <v>1583</v>
      </c>
      <c r="C1557" s="1" t="str">
        <f ca="1">IFERROR(__xludf.DUMMYFUNCTION("REGEXEXTRACT(B1557, ""^([^:]+)"")"),"Photographic film")</f>
        <v>Photographic film</v>
      </c>
      <c r="D1557" s="1" t="s">
        <v>11</v>
      </c>
      <c r="E1557" s="1" t="s">
        <v>11</v>
      </c>
    </row>
    <row r="1558" spans="1:5" ht="15.75" customHeight="1">
      <c r="A1558" s="1">
        <v>370239</v>
      </c>
      <c r="B1558" s="1" t="s">
        <v>1584</v>
      </c>
      <c r="C1558" s="1" t="str">
        <f ca="1">IFERROR(__xludf.DUMMYFUNCTION("REGEXEXTRACT(B1558, ""^([^:]+)"")"),"Photographic film")</f>
        <v>Photographic film</v>
      </c>
      <c r="D1558" s="1" t="s">
        <v>11</v>
      </c>
      <c r="E1558" s="1" t="s">
        <v>11</v>
      </c>
    </row>
    <row r="1559" spans="1:5" ht="15.75" customHeight="1">
      <c r="A1559" s="1">
        <v>370241</v>
      </c>
      <c r="B1559" s="1" t="s">
        <v>1585</v>
      </c>
      <c r="C1559" s="1" t="str">
        <f ca="1">IFERROR(__xludf.DUMMYFUNCTION("REGEXEXTRACT(B1559, ""^([^:]+)"")"),"Photographic film")</f>
        <v>Photographic film</v>
      </c>
      <c r="D1559" s="1" t="s">
        <v>11</v>
      </c>
      <c r="E1559" s="1" t="s">
        <v>11</v>
      </c>
    </row>
    <row r="1560" spans="1:5" ht="15.75" customHeight="1">
      <c r="A1560" s="1">
        <v>370242</v>
      </c>
      <c r="B1560" s="1" t="s">
        <v>1586</v>
      </c>
      <c r="C1560" s="1" t="str">
        <f ca="1">IFERROR(__xludf.DUMMYFUNCTION("REGEXEXTRACT(B1560, ""^([^:]+)"")"),"Photographic film")</f>
        <v>Photographic film</v>
      </c>
      <c r="D1560" s="1" t="s">
        <v>11</v>
      </c>
      <c r="E1560" s="1" t="s">
        <v>11</v>
      </c>
    </row>
    <row r="1561" spans="1:5" ht="15.75" customHeight="1">
      <c r="A1561" s="1">
        <v>370243</v>
      </c>
      <c r="B1561" s="1" t="s">
        <v>1587</v>
      </c>
      <c r="C1561" s="1" t="str">
        <f ca="1">IFERROR(__xludf.DUMMYFUNCTION("REGEXEXTRACT(B1561, ""^([^:]+)"")"),"Photographic film")</f>
        <v>Photographic film</v>
      </c>
      <c r="D1561" s="1" t="s">
        <v>11</v>
      </c>
      <c r="E1561" s="1" t="s">
        <v>11</v>
      </c>
    </row>
    <row r="1562" spans="1:5" ht="15.75" customHeight="1">
      <c r="A1562" s="1">
        <v>370244</v>
      </c>
      <c r="B1562" s="1" t="s">
        <v>1588</v>
      </c>
      <c r="C1562" s="1" t="str">
        <f ca="1">IFERROR(__xludf.DUMMYFUNCTION("REGEXEXTRACT(B1562, ""^([^:]+)"")"),"Photographic film")</f>
        <v>Photographic film</v>
      </c>
      <c r="D1562" s="1" t="s">
        <v>11</v>
      </c>
      <c r="E1562" s="1" t="s">
        <v>11</v>
      </c>
    </row>
    <row r="1563" spans="1:5" ht="15.75" customHeight="1">
      <c r="A1563" s="1">
        <v>370251</v>
      </c>
      <c r="B1563" s="1" t="s">
        <v>1589</v>
      </c>
      <c r="C1563" s="1" t="str">
        <f ca="1">IFERROR(__xludf.DUMMYFUNCTION("REGEXEXTRACT(B1563, ""^([^:]+)"")"),"Photographic film")</f>
        <v>Photographic film</v>
      </c>
      <c r="D1563" s="1" t="s">
        <v>11</v>
      </c>
      <c r="E1563" s="1" t="s">
        <v>11</v>
      </c>
    </row>
    <row r="1564" spans="1:5" ht="15.75" customHeight="1">
      <c r="A1564" s="1">
        <v>370252</v>
      </c>
      <c r="B1564" s="1" t="s">
        <v>1590</v>
      </c>
      <c r="C1564" s="1" t="str">
        <f ca="1">IFERROR(__xludf.DUMMYFUNCTION("REGEXEXTRACT(B1564, ""^([^:]+)"")"),"Photographic film")</f>
        <v>Photographic film</v>
      </c>
      <c r="D1564" s="1" t="s">
        <v>11</v>
      </c>
      <c r="E1564" s="1" t="s">
        <v>11</v>
      </c>
    </row>
    <row r="1565" spans="1:5" ht="15.75" customHeight="1">
      <c r="A1565" s="1">
        <v>370253</v>
      </c>
      <c r="B1565" s="1" t="s">
        <v>1591</v>
      </c>
      <c r="C1565" s="1" t="str">
        <f ca="1">IFERROR(__xludf.DUMMYFUNCTION("REGEXEXTRACT(B1565, ""^([^:]+)"")"),"Photographic film")</f>
        <v>Photographic film</v>
      </c>
      <c r="D1565" s="1" t="s">
        <v>11</v>
      </c>
      <c r="E1565" s="1" t="s">
        <v>11</v>
      </c>
    </row>
    <row r="1566" spans="1:5" ht="15.75" customHeight="1">
      <c r="A1566" s="1">
        <v>370254</v>
      </c>
      <c r="B1566" s="1" t="s">
        <v>1592</v>
      </c>
      <c r="C1566" s="1" t="str">
        <f ca="1">IFERROR(__xludf.DUMMYFUNCTION("REGEXEXTRACT(B1566, ""^([^:]+)"")"),"Photographic film")</f>
        <v>Photographic film</v>
      </c>
      <c r="D1566" s="1" t="s">
        <v>11</v>
      </c>
      <c r="E1566" s="1" t="s">
        <v>11</v>
      </c>
    </row>
    <row r="1567" spans="1:5" ht="15.75" customHeight="1">
      <c r="A1567" s="1">
        <v>370255</v>
      </c>
      <c r="B1567" s="1" t="s">
        <v>1593</v>
      </c>
      <c r="C1567" s="1" t="str">
        <f ca="1">IFERROR(__xludf.DUMMYFUNCTION("REGEXEXTRACT(B1567, ""^([^:]+)"")"),"Photographic film")</f>
        <v>Photographic film</v>
      </c>
      <c r="D1567" s="1" t="s">
        <v>11</v>
      </c>
      <c r="E1567" s="1" t="s">
        <v>11</v>
      </c>
    </row>
    <row r="1568" spans="1:5" ht="15.75" customHeight="1">
      <c r="A1568" s="1">
        <v>370256</v>
      </c>
      <c r="B1568" s="1" t="s">
        <v>1594</v>
      </c>
      <c r="C1568" s="1" t="str">
        <f ca="1">IFERROR(__xludf.DUMMYFUNCTION("REGEXEXTRACT(B1568, ""^([^:]+)"")"),"Photographic film")</f>
        <v>Photographic film</v>
      </c>
      <c r="D1568" s="1" t="s">
        <v>11</v>
      </c>
      <c r="E1568" s="1" t="s">
        <v>11</v>
      </c>
    </row>
    <row r="1569" spans="1:5" ht="15.75" customHeight="1">
      <c r="A1569" s="1">
        <v>370291</v>
      </c>
      <c r="B1569" s="1" t="s">
        <v>1595</v>
      </c>
      <c r="C1569" s="1" t="str">
        <f ca="1">IFERROR(__xludf.DUMMYFUNCTION("REGEXEXTRACT(B1569, ""^([^:]+)"")"),"Photographic film")</f>
        <v>Photographic film</v>
      </c>
      <c r="D1569" s="1" t="s">
        <v>11</v>
      </c>
      <c r="E1569" s="1" t="s">
        <v>11</v>
      </c>
    </row>
    <row r="1570" spans="1:5" ht="15.75" customHeight="1">
      <c r="A1570" s="1">
        <v>370293</v>
      </c>
      <c r="B1570" s="1" t="s">
        <v>1596</v>
      </c>
      <c r="C1570" s="1" t="str">
        <f ca="1">IFERROR(__xludf.DUMMYFUNCTION("REGEXEXTRACT(B1570, ""^([^:]+)"")"),"Photographic film")</f>
        <v>Photographic film</v>
      </c>
      <c r="D1570" s="1" t="s">
        <v>11</v>
      </c>
      <c r="E1570" s="1" t="s">
        <v>11</v>
      </c>
    </row>
    <row r="1571" spans="1:5" ht="15.75" customHeight="1">
      <c r="A1571" s="1">
        <v>370294</v>
      </c>
      <c r="B1571" s="1" t="s">
        <v>1597</v>
      </c>
      <c r="C1571" s="1" t="str">
        <f ca="1">IFERROR(__xludf.DUMMYFUNCTION("REGEXEXTRACT(B1571, ""^([^:]+)"")"),"Photographic film")</f>
        <v>Photographic film</v>
      </c>
      <c r="D1571" s="1" t="s">
        <v>11</v>
      </c>
      <c r="E1571" s="1" t="s">
        <v>11</v>
      </c>
    </row>
    <row r="1572" spans="1:5" ht="15.75" customHeight="1">
      <c r="A1572" s="1">
        <v>370295</v>
      </c>
      <c r="B1572" s="1" t="s">
        <v>1598</v>
      </c>
      <c r="C1572" s="1" t="str">
        <f ca="1">IFERROR(__xludf.DUMMYFUNCTION("REGEXEXTRACT(B1572, ""^([^:]+)"")"),"Photographic film")</f>
        <v>Photographic film</v>
      </c>
      <c r="D1572" s="1" t="s">
        <v>11</v>
      </c>
      <c r="E1572" s="1" t="s">
        <v>11</v>
      </c>
    </row>
    <row r="1573" spans="1:5" ht="15.75" customHeight="1">
      <c r="A1573" s="1">
        <v>370310</v>
      </c>
      <c r="B1573" s="1" t="s">
        <v>1599</v>
      </c>
      <c r="C1573" s="1" t="str">
        <f ca="1">IFERROR(__xludf.DUMMYFUNCTION("REGEXEXTRACT(B1573, ""^([^:]+)"")"),"Photographic paper, paperboard and textiles")</f>
        <v>Photographic paper, paperboard and textiles</v>
      </c>
      <c r="D1573" s="1" t="s">
        <v>11</v>
      </c>
      <c r="E1573" s="1" t="s">
        <v>11</v>
      </c>
    </row>
    <row r="1574" spans="1:5" ht="15.75" customHeight="1">
      <c r="A1574" s="1">
        <v>370320</v>
      </c>
      <c r="B1574" s="1" t="s">
        <v>1600</v>
      </c>
      <c r="C1574" s="1" t="str">
        <f ca="1">IFERROR(__xludf.DUMMYFUNCTION("REGEXEXTRACT(B1574, ""^([^:]+)"")"),"Photographic paper, paperboard and textiles")</f>
        <v>Photographic paper, paperboard and textiles</v>
      </c>
      <c r="D1574" s="1" t="s">
        <v>11</v>
      </c>
      <c r="E1574" s="1" t="s">
        <v>11</v>
      </c>
    </row>
    <row r="1575" spans="1:5" ht="15.75" customHeight="1">
      <c r="A1575" s="1">
        <v>370390</v>
      </c>
      <c r="B1575" s="1" t="s">
        <v>1601</v>
      </c>
      <c r="C1575" s="1" t="str">
        <f ca="1">IFERROR(__xludf.DUMMYFUNCTION("REGEXEXTRACT(B1575, ""^([^:]+)"")"),"Photographic paper, paperboard and textiles")</f>
        <v>Photographic paper, paperboard and textiles</v>
      </c>
      <c r="D1575" s="1" t="s">
        <v>11</v>
      </c>
      <c r="E1575" s="1" t="s">
        <v>11</v>
      </c>
    </row>
    <row r="1576" spans="1:5" ht="15.75" customHeight="1">
      <c r="A1576" s="1">
        <v>370400</v>
      </c>
      <c r="B1576" s="1" t="s">
        <v>1602</v>
      </c>
      <c r="C1576" s="1" t="str">
        <f ca="1">IFERROR(__xludf.DUMMYFUNCTION("REGEXEXTRACT(B1576, ""^([^:]+)"")"),"Photographic plates, film, paper, paperboard and textiles")</f>
        <v>Photographic plates, film, paper, paperboard and textiles</v>
      </c>
      <c r="D1576" s="1" t="s">
        <v>11</v>
      </c>
      <c r="E1576" s="1" t="s">
        <v>11</v>
      </c>
    </row>
    <row r="1577" spans="1:5" ht="15.75" customHeight="1">
      <c r="A1577" s="1">
        <v>370510</v>
      </c>
      <c r="B1577" s="1" t="s">
        <v>1603</v>
      </c>
      <c r="C1577" s="1" t="str">
        <f ca="1">IFERROR(__xludf.DUMMYFUNCTION("REGEXEXTRACT(B1577, ""^([^:]+)"")"),"Photographic plates and film")</f>
        <v>Photographic plates and film</v>
      </c>
      <c r="D1577" s="1" t="s">
        <v>11</v>
      </c>
      <c r="E1577" s="1" t="s">
        <v>11</v>
      </c>
    </row>
    <row r="1578" spans="1:5" ht="15.75" customHeight="1">
      <c r="A1578" s="1">
        <v>370590</v>
      </c>
      <c r="B1578" s="1" t="s">
        <v>1604</v>
      </c>
      <c r="C1578" s="1" t="str">
        <f ca="1">IFERROR(__xludf.DUMMYFUNCTION("REGEXEXTRACT(B1578, ""^([^:]+)"")"),"Photographic plates and film")</f>
        <v>Photographic plates and film</v>
      </c>
      <c r="D1578" s="1" t="s">
        <v>11</v>
      </c>
      <c r="E1578" s="1" t="s">
        <v>11</v>
      </c>
    </row>
    <row r="1579" spans="1:5" ht="15.75" customHeight="1">
      <c r="A1579" s="1">
        <v>370610</v>
      </c>
      <c r="B1579" s="1" t="s">
        <v>1605</v>
      </c>
      <c r="C1579" s="1" t="str">
        <f ca="1">IFERROR(__xludf.DUMMYFUNCTION("REGEXEXTRACT(B1579, ""^([^:]+)"")"),"Cinematographic film")</f>
        <v>Cinematographic film</v>
      </c>
      <c r="D1579" s="1" t="s">
        <v>11</v>
      </c>
      <c r="E1579" s="1" t="s">
        <v>11</v>
      </c>
    </row>
    <row r="1580" spans="1:5" ht="15.75" customHeight="1">
      <c r="A1580" s="1">
        <v>370690</v>
      </c>
      <c r="B1580" s="1" t="s">
        <v>1606</v>
      </c>
      <c r="C1580" s="1" t="str">
        <f ca="1">IFERROR(__xludf.DUMMYFUNCTION("REGEXEXTRACT(B1580, ""^([^:]+)"")"),"Cinematographic film")</f>
        <v>Cinematographic film</v>
      </c>
      <c r="D1580" s="1" t="s">
        <v>11</v>
      </c>
      <c r="E1580" s="1" t="s">
        <v>11</v>
      </c>
    </row>
    <row r="1581" spans="1:5" ht="15.75" customHeight="1">
      <c r="A1581" s="1">
        <v>370710</v>
      </c>
      <c r="B1581" s="1" t="s">
        <v>1607</v>
      </c>
      <c r="C1581" s="1" t="str">
        <f ca="1">IFERROR(__xludf.DUMMYFUNCTION("REGEXEXTRACT(B1581, ""^([^:]+)"")"),"Photographic goods")</f>
        <v>Photographic goods</v>
      </c>
      <c r="D1581" s="1" t="s">
        <v>11</v>
      </c>
      <c r="E1581" s="1" t="s">
        <v>11</v>
      </c>
    </row>
    <row r="1582" spans="1:5" ht="15.75" customHeight="1">
      <c r="A1582" s="1">
        <v>370790</v>
      </c>
      <c r="B1582" s="1" t="s">
        <v>1608</v>
      </c>
      <c r="C1582" s="1" t="str">
        <f ca="1">IFERROR(__xludf.DUMMYFUNCTION("REGEXEXTRACT(B1582, ""^([^:]+)"")"),"Photographic goods")</f>
        <v>Photographic goods</v>
      </c>
      <c r="D1582" s="1" t="s">
        <v>11</v>
      </c>
      <c r="E1582" s="1" t="s">
        <v>11</v>
      </c>
    </row>
    <row r="1583" spans="1:5" ht="15.75" customHeight="1">
      <c r="A1583" s="1">
        <v>380110</v>
      </c>
      <c r="B1583" s="1" t="s">
        <v>1609</v>
      </c>
      <c r="C1583" s="1" t="str">
        <f ca="1">IFERROR(__xludf.DUMMYFUNCTION("REGEXEXTRACT(B1583, ""^([^:]+)"")"),"Graphite")</f>
        <v>Graphite</v>
      </c>
      <c r="D1583" s="1" t="s">
        <v>11</v>
      </c>
      <c r="E1583" s="1" t="s">
        <v>11</v>
      </c>
    </row>
    <row r="1584" spans="1:5" ht="15.75" customHeight="1">
      <c r="A1584" s="1">
        <v>380120</v>
      </c>
      <c r="B1584" s="1" t="s">
        <v>1610</v>
      </c>
      <c r="C1584" s="1" t="str">
        <f ca="1">IFERROR(__xludf.DUMMYFUNCTION("REGEXEXTRACT(B1584, ""^([^:]+)"")"),"Graphite")</f>
        <v>Graphite</v>
      </c>
      <c r="D1584" s="1" t="s">
        <v>11</v>
      </c>
      <c r="E1584" s="1" t="s">
        <v>11</v>
      </c>
    </row>
    <row r="1585" spans="1:5" ht="15.75" customHeight="1">
      <c r="A1585" s="1">
        <v>380130</v>
      </c>
      <c r="B1585" s="1" t="s">
        <v>1611</v>
      </c>
      <c r="C1585" s="1" t="str">
        <f ca="1">IFERROR(__xludf.DUMMYFUNCTION("REGEXEXTRACT(B1585, ""^([^:]+)"")"),"Carbonaceous pastes")</f>
        <v>Carbonaceous pastes</v>
      </c>
      <c r="D1585" s="1" t="s">
        <v>11</v>
      </c>
      <c r="E1585" s="1" t="s">
        <v>11</v>
      </c>
    </row>
    <row r="1586" spans="1:5" ht="15.75" customHeight="1">
      <c r="A1586" s="1">
        <v>380190</v>
      </c>
      <c r="B1586" s="1" t="s">
        <v>1612</v>
      </c>
      <c r="C1586" s="1" t="str">
        <f ca="1">IFERROR(__xludf.DUMMYFUNCTION("REGEXEXTRACT(B1586, ""^([^:]+)"")"),"Graphite or other carbon based preparations")</f>
        <v>Graphite or other carbon based preparations</v>
      </c>
      <c r="D1586" s="1" t="s">
        <v>11</v>
      </c>
      <c r="E1586" s="1" t="s">
        <v>11</v>
      </c>
    </row>
    <row r="1587" spans="1:5" ht="15.75" customHeight="1">
      <c r="A1587" s="1">
        <v>380210</v>
      </c>
      <c r="B1587" s="1" t="s">
        <v>1613</v>
      </c>
      <c r="C1587" s="1" t="str">
        <f ca="1">IFERROR(__xludf.DUMMYFUNCTION("REGEXEXTRACT(B1587, ""^([^:]+)"")"),"Carbon")</f>
        <v>Carbon</v>
      </c>
      <c r="D1587" s="1" t="s">
        <v>11</v>
      </c>
      <c r="E1587" s="1" t="s">
        <v>11</v>
      </c>
    </row>
    <row r="1588" spans="1:5" ht="15.75" customHeight="1">
      <c r="A1588" s="1">
        <v>380290</v>
      </c>
      <c r="B1588" s="1" t="s">
        <v>1614</v>
      </c>
      <c r="C1588" s="1" t="str">
        <f ca="1">IFERROR(__xludf.DUMMYFUNCTION("REGEXEXTRACT(B1588, ""^([^:]+)"")"),"Chemical products")</f>
        <v>Chemical products</v>
      </c>
      <c r="D1588" s="1" t="s">
        <v>11</v>
      </c>
      <c r="E1588" s="1" t="s">
        <v>11</v>
      </c>
    </row>
    <row r="1589" spans="1:5" ht="15.75" customHeight="1">
      <c r="A1589" s="1">
        <v>380300</v>
      </c>
      <c r="B1589" s="1" t="s">
        <v>1615</v>
      </c>
      <c r="C1589" s="1" t="str">
        <f ca="1">IFERROR(__xludf.DUMMYFUNCTION("REGEXEXTRACT(B1589, ""^([^:]+)"")"),"Chemical products")</f>
        <v>Chemical products</v>
      </c>
      <c r="D1589" s="1" t="s">
        <v>11</v>
      </c>
      <c r="E1589" s="1" t="s">
        <v>11</v>
      </c>
    </row>
    <row r="1590" spans="1:5" ht="15.75" customHeight="1">
      <c r="A1590" s="1">
        <v>380400</v>
      </c>
      <c r="B1590" s="1" t="s">
        <v>1616</v>
      </c>
      <c r="C1590" s="1" t="str">
        <f ca="1">IFERROR(__xludf.DUMMYFUNCTION("REGEXEXTRACT(B1590, ""^([^:]+)"")"),"Lyes, residual")</f>
        <v>Lyes, residual</v>
      </c>
      <c r="D1590" s="1" t="s">
        <v>11</v>
      </c>
      <c r="E1590" s="1" t="s">
        <v>11</v>
      </c>
    </row>
    <row r="1591" spans="1:5" ht="15.75" customHeight="1">
      <c r="A1591" s="1">
        <v>380510</v>
      </c>
      <c r="B1591" s="1" t="s">
        <v>1617</v>
      </c>
      <c r="C1591" s="1" t="str">
        <f ca="1">IFERROR(__xludf.DUMMYFUNCTION("REGEXEXTRACT(B1591, ""^([^:]+)"")"),"Terpenic oils")</f>
        <v>Terpenic oils</v>
      </c>
      <c r="D1591" s="1" t="s">
        <v>11</v>
      </c>
      <c r="E1591" s="1" t="s">
        <v>11</v>
      </c>
    </row>
    <row r="1592" spans="1:5" ht="15.75" customHeight="1">
      <c r="A1592" s="1">
        <v>380590</v>
      </c>
      <c r="B1592" s="1" t="s">
        <v>1618</v>
      </c>
      <c r="C1592" s="1" t="str">
        <f ca="1">IFERROR(__xludf.DUMMYFUNCTION("REGEXEXTRACT(B1592, ""^([^:]+)"")"),"Terpenic oils")</f>
        <v>Terpenic oils</v>
      </c>
      <c r="D1592" s="1" t="s">
        <v>11</v>
      </c>
      <c r="E1592" s="1" t="s">
        <v>11</v>
      </c>
    </row>
    <row r="1593" spans="1:5" ht="15.75" customHeight="1">
      <c r="A1593" s="1">
        <v>380610</v>
      </c>
      <c r="B1593" s="1" t="s">
        <v>1619</v>
      </c>
      <c r="C1593" s="1" t="str">
        <f ca="1">IFERROR(__xludf.DUMMYFUNCTION("REGEXEXTRACT(B1593, ""^([^:]+)"")"),"Rosin and resin acids")</f>
        <v>Rosin and resin acids</v>
      </c>
      <c r="D1593" s="1" t="s">
        <v>11</v>
      </c>
      <c r="E1593" s="1" t="s">
        <v>11</v>
      </c>
    </row>
    <row r="1594" spans="1:5" ht="15.75" customHeight="1">
      <c r="A1594" s="1">
        <v>380620</v>
      </c>
      <c r="B1594" s="1" t="s">
        <v>1620</v>
      </c>
      <c r="C1594" s="1" t="str">
        <f ca="1">IFERROR(__xludf.DUMMYFUNCTION("REGEXEXTRACT(B1594, ""^([^:]+)"")"),"Rosin and resin")</f>
        <v>Rosin and resin</v>
      </c>
      <c r="D1594" s="1" t="s">
        <v>11</v>
      </c>
      <c r="E1594" s="1" t="s">
        <v>11</v>
      </c>
    </row>
    <row r="1595" spans="1:5" ht="15.75" customHeight="1">
      <c r="A1595" s="1">
        <v>380630</v>
      </c>
      <c r="B1595" s="1" t="s">
        <v>1621</v>
      </c>
      <c r="C1595" s="1" t="str">
        <f ca="1">IFERROR(__xludf.DUMMYFUNCTION("REGEXEXTRACT(B1595, ""^([^:]+)"")"),"Ester gums")</f>
        <v>Ester gums</v>
      </c>
      <c r="D1595" s="1" t="s">
        <v>11</v>
      </c>
      <c r="E1595" s="1" t="s">
        <v>11</v>
      </c>
    </row>
    <row r="1596" spans="1:5" ht="15.75" customHeight="1">
      <c r="A1596" s="1">
        <v>380690</v>
      </c>
      <c r="B1596" s="1" t="s">
        <v>1622</v>
      </c>
      <c r="C1596" s="1" t="str">
        <f ca="1">IFERROR(__xludf.DUMMYFUNCTION("REGEXEXTRACT(B1596, ""^([^:]+)"")"),"Rosin")</f>
        <v>Rosin</v>
      </c>
      <c r="D1596" s="1" t="s">
        <v>11</v>
      </c>
      <c r="E1596" s="1" t="s">
        <v>11</v>
      </c>
    </row>
    <row r="1597" spans="1:5" ht="15.75" customHeight="1">
      <c r="A1597" s="1">
        <v>380700</v>
      </c>
      <c r="B1597" s="1" t="s">
        <v>1623</v>
      </c>
      <c r="C1597" s="1" t="str">
        <f ca="1">IFERROR(__xludf.DUMMYFUNCTION("REGEXEXTRACT(B1597, ""^([^:]+)"")"),"Wood tar")</f>
        <v>Wood tar</v>
      </c>
      <c r="D1597" s="1" t="s">
        <v>11</v>
      </c>
      <c r="E1597" s="1" t="s">
        <v>11</v>
      </c>
    </row>
    <row r="1598" spans="1:5" ht="15.75" customHeight="1">
      <c r="A1598" s="1">
        <v>380850</v>
      </c>
      <c r="B1598" s="1" t="s">
        <v>1624</v>
      </c>
      <c r="C1598" s="1" t="str">
        <f ca="1">IFERROR(__xludf.DUMMYFUNCTION("REGEXEXTRACT(B1598, ""^([^:]+)"")"),"Insecticides, rodenticides, fungicides, disinfectants, herbicides and the like")</f>
        <v>Insecticides, rodenticides, fungicides, disinfectants, herbicides and the like</v>
      </c>
      <c r="D1598" s="1" t="s">
        <v>11</v>
      </c>
      <c r="E1598" s="1" t="s">
        <v>11</v>
      </c>
    </row>
    <row r="1599" spans="1:5" ht="15.75" customHeight="1">
      <c r="A1599" s="1">
        <v>380891</v>
      </c>
      <c r="B1599" s="1" t="s">
        <v>1625</v>
      </c>
      <c r="C1599" s="1" t="str">
        <f ca="1">IFERROR(__xludf.DUMMYFUNCTION("REGEXEXTRACT(B1599, ""^([^:]+)"")"),"Insecticides")</f>
        <v>Insecticides</v>
      </c>
      <c r="D1599" s="1" t="s">
        <v>11</v>
      </c>
      <c r="E1599" s="1" t="s">
        <v>11</v>
      </c>
    </row>
    <row r="1600" spans="1:5" ht="15.75" customHeight="1">
      <c r="A1600" s="1">
        <v>380892</v>
      </c>
      <c r="B1600" s="1" t="s">
        <v>1626</v>
      </c>
      <c r="C1600" s="1" t="str">
        <f ca="1">IFERROR(__xludf.DUMMYFUNCTION("REGEXEXTRACT(B1600, ""^([^:]+)"")"),"Fungicides")</f>
        <v>Fungicides</v>
      </c>
      <c r="D1600" s="1" t="s">
        <v>11</v>
      </c>
      <c r="E1600" s="1" t="s">
        <v>11</v>
      </c>
    </row>
    <row r="1601" spans="1:5" ht="15.75" customHeight="1">
      <c r="A1601" s="1">
        <v>380893</v>
      </c>
      <c r="B1601" s="1" t="s">
        <v>1627</v>
      </c>
      <c r="C1601" s="1" t="str">
        <f ca="1">IFERROR(__xludf.DUMMYFUNCTION("REGEXEXTRACT(B1601, ""^([^:]+)"")"),"Herbicides, anti-sprouting products and plant-growth regulators")</f>
        <v>Herbicides, anti-sprouting products and plant-growth regulators</v>
      </c>
      <c r="D1601" s="1" t="s">
        <v>11</v>
      </c>
      <c r="E1601" s="1" t="s">
        <v>11</v>
      </c>
    </row>
    <row r="1602" spans="1:5" ht="15.75" customHeight="1">
      <c r="A1602" s="1">
        <v>380894</v>
      </c>
      <c r="B1602" s="1" t="s">
        <v>1628</v>
      </c>
      <c r="C1602" s="1" t="str">
        <f ca="1">IFERROR(__xludf.DUMMYFUNCTION("REGEXEXTRACT(B1602, ""^([^:]+)"")"),"Disinfectants and similar products")</f>
        <v>Disinfectants and similar products</v>
      </c>
      <c r="D1602" s="1" t="s">
        <v>11</v>
      </c>
      <c r="E1602" s="1" t="s">
        <v>11</v>
      </c>
    </row>
    <row r="1603" spans="1:5" ht="15.75" customHeight="1">
      <c r="A1603" s="1">
        <v>380899</v>
      </c>
      <c r="B1603" s="1" t="s">
        <v>1629</v>
      </c>
      <c r="C1603" s="1" t="str">
        <f ca="1">IFERROR(__xludf.DUMMYFUNCTION("REGEXEXTRACT(B1603, ""^([^:]+)"")"),"Rodenticides and similar products")</f>
        <v>Rodenticides and similar products</v>
      </c>
      <c r="D1603" s="1" t="s">
        <v>11</v>
      </c>
      <c r="E1603" s="1" t="s">
        <v>11</v>
      </c>
    </row>
    <row r="1604" spans="1:5" ht="15.75" customHeight="1">
      <c r="A1604" s="1">
        <v>380910</v>
      </c>
      <c r="B1604" s="1" t="s">
        <v>1630</v>
      </c>
      <c r="C1604" s="1" t="str">
        <f ca="1">IFERROR(__xludf.DUMMYFUNCTION("REGEXEXTRACT(B1604, ""^([^:]+)"")"),"Finishing agents and dye carriers")</f>
        <v>Finishing agents and dye carriers</v>
      </c>
      <c r="D1604" s="1" t="s">
        <v>11</v>
      </c>
      <c r="E1604" s="1" t="s">
        <v>11</v>
      </c>
    </row>
    <row r="1605" spans="1:5" ht="15.75" customHeight="1">
      <c r="A1605" s="1">
        <v>380991</v>
      </c>
      <c r="B1605" s="1" t="s">
        <v>1631</v>
      </c>
      <c r="C1605" s="1" t="str">
        <f ca="1">IFERROR(__xludf.DUMMYFUNCTION("REGEXEXTRACT(B1605, ""^([^:]+)"")"),"Finishing agents and dye carriers")</f>
        <v>Finishing agents and dye carriers</v>
      </c>
      <c r="D1605" s="1" t="s">
        <v>11</v>
      </c>
      <c r="E1605" s="1" t="s">
        <v>11</v>
      </c>
    </row>
    <row r="1606" spans="1:5" ht="15.75" customHeight="1">
      <c r="A1606" s="1">
        <v>380992</v>
      </c>
      <c r="B1606" s="1" t="s">
        <v>1632</v>
      </c>
      <c r="C1606" s="1" t="str">
        <f ca="1">IFERROR(__xludf.DUMMYFUNCTION("REGEXEXTRACT(B1606, ""^([^:]+)"")"),"Finishing agents and dye carriers")</f>
        <v>Finishing agents and dye carriers</v>
      </c>
      <c r="D1606" s="1" t="s">
        <v>11</v>
      </c>
      <c r="E1606" s="1" t="s">
        <v>11</v>
      </c>
    </row>
    <row r="1607" spans="1:5" ht="15.75" customHeight="1">
      <c r="A1607" s="1">
        <v>380993</v>
      </c>
      <c r="B1607" s="1" t="s">
        <v>1633</v>
      </c>
      <c r="C1607" s="1" t="str">
        <f ca="1">IFERROR(__xludf.DUMMYFUNCTION("REGEXEXTRACT(B1607, ""^([^:]+)"")"),"Finishing agents and dye carriers")</f>
        <v>Finishing agents and dye carriers</v>
      </c>
      <c r="D1607" s="1" t="s">
        <v>11</v>
      </c>
      <c r="E1607" s="1" t="s">
        <v>11</v>
      </c>
    </row>
    <row r="1608" spans="1:5" ht="15.75" customHeight="1">
      <c r="A1608" s="1">
        <v>381010</v>
      </c>
      <c r="B1608" s="1" t="s">
        <v>1634</v>
      </c>
      <c r="C1608" s="1" t="str">
        <f ca="1">IFERROR(__xludf.DUMMYFUNCTION("REGEXEXTRACT(B1608, ""^([^:]+)"")"),"Pickling preparations for metal surfaces")</f>
        <v>Pickling preparations for metal surfaces</v>
      </c>
      <c r="D1608" s="1" t="s">
        <v>11</v>
      </c>
      <c r="E1608" s="1" t="s">
        <v>11</v>
      </c>
    </row>
    <row r="1609" spans="1:5" ht="15.75" customHeight="1">
      <c r="A1609" s="1">
        <v>381090</v>
      </c>
      <c r="B1609" s="1" t="s">
        <v>1635</v>
      </c>
      <c r="C1609" s="1" t="str">
        <f ca="1">IFERROR(__xludf.DUMMYFUNCTION("REGEXEXTRACT(B1609, ""^([^:]+)"")"),"Fluxes and other auxiliary preparations")</f>
        <v>Fluxes and other auxiliary preparations</v>
      </c>
      <c r="D1609" s="1" t="s">
        <v>11</v>
      </c>
      <c r="E1609" s="1" t="s">
        <v>11</v>
      </c>
    </row>
    <row r="1610" spans="1:5" ht="15.75" customHeight="1">
      <c r="A1610" s="1">
        <v>381111</v>
      </c>
      <c r="B1610" s="1" t="s">
        <v>1636</v>
      </c>
      <c r="C1610" s="1" t="str">
        <f ca="1">IFERROR(__xludf.DUMMYFUNCTION("REGEXEXTRACT(B1610, ""^([^:]+)"")"),"Anti-knock preparations")</f>
        <v>Anti-knock preparations</v>
      </c>
      <c r="D1610" s="1" t="s">
        <v>11</v>
      </c>
      <c r="E1610" s="1" t="s">
        <v>11</v>
      </c>
    </row>
    <row r="1611" spans="1:5" ht="15.75" customHeight="1">
      <c r="A1611" s="1">
        <v>381119</v>
      </c>
      <c r="B1611" s="1" t="s">
        <v>1637</v>
      </c>
      <c r="C1611" s="1" t="str">
        <f ca="1">IFERROR(__xludf.DUMMYFUNCTION("REGEXEXTRACT(B1611, ""^([^:]+)"")"),"Anti-knock preparations")</f>
        <v>Anti-knock preparations</v>
      </c>
      <c r="D1611" s="1" t="s">
        <v>11</v>
      </c>
      <c r="E1611" s="1" t="s">
        <v>11</v>
      </c>
    </row>
    <row r="1612" spans="1:5" ht="15.75" customHeight="1">
      <c r="A1612" s="1">
        <v>381121</v>
      </c>
      <c r="B1612" s="1" t="s">
        <v>1638</v>
      </c>
      <c r="C1612" s="1" t="str">
        <f ca="1">IFERROR(__xludf.DUMMYFUNCTION("REGEXEXTRACT(B1612, ""^([^:]+)"")"),"Lubricating oil additives")</f>
        <v>Lubricating oil additives</v>
      </c>
      <c r="D1612" s="1" t="s">
        <v>11</v>
      </c>
      <c r="E1612" s="1" t="s">
        <v>11</v>
      </c>
    </row>
    <row r="1613" spans="1:5" ht="15.75" customHeight="1">
      <c r="A1613" s="1">
        <v>381129</v>
      </c>
      <c r="B1613" s="1" t="s">
        <v>1639</v>
      </c>
      <c r="C1613" s="1" t="str">
        <f ca="1">IFERROR(__xludf.DUMMYFUNCTION("REGEXEXTRACT(B1613, ""^([^:]+)"")"),"Lubricating oil additives")</f>
        <v>Lubricating oil additives</v>
      </c>
      <c r="D1613" s="1" t="s">
        <v>11</v>
      </c>
      <c r="E1613" s="1" t="s">
        <v>11</v>
      </c>
    </row>
    <row r="1614" spans="1:5" ht="15.75" customHeight="1">
      <c r="A1614" s="1">
        <v>381190</v>
      </c>
      <c r="B1614" s="1" t="s">
        <v>1640</v>
      </c>
      <c r="C1614" s="1" t="str">
        <f ca="1">IFERROR(__xludf.DUMMYFUNCTION("REGEXEXTRACT(B1614, ""^([^:]+)"")"),"Oxidation and gum inhibitors, viscosity improvers, anti-corrosive preparations, other prepared additives for mineral oils or liquids used as mineral oils (including gasoline), n.e.c. in heading no. 3811")</f>
        <v>Oxidation and gum inhibitors, viscosity improvers, anti-corrosive preparations, other prepared additives for mineral oils or liquids used as mineral oils (including gasoline), n.e.c. in heading no. 3811</v>
      </c>
      <c r="D1614" s="1" t="s">
        <v>11</v>
      </c>
      <c r="E1614" s="1" t="s">
        <v>11</v>
      </c>
    </row>
    <row r="1615" spans="1:5" ht="15.75" customHeight="1">
      <c r="A1615" s="1">
        <v>381210</v>
      </c>
      <c r="B1615" s="1" t="s">
        <v>1641</v>
      </c>
      <c r="C1615" s="1" t="str">
        <f ca="1">IFERROR(__xludf.DUMMYFUNCTION("REGEXEXTRACT(B1615, ""^([^:]+)"")"),"Rubber accelerators")</f>
        <v>Rubber accelerators</v>
      </c>
      <c r="D1615" s="1" t="s">
        <v>11</v>
      </c>
      <c r="E1615" s="1" t="s">
        <v>11</v>
      </c>
    </row>
    <row r="1616" spans="1:5" ht="15.75" customHeight="1">
      <c r="A1616" s="1">
        <v>381220</v>
      </c>
      <c r="B1616" s="1" t="s">
        <v>1642</v>
      </c>
      <c r="C1616" s="1" t="str">
        <f ca="1">IFERROR(__xludf.DUMMYFUNCTION("REGEXEXTRACT(B1616, ""^([^:]+)"")"),"Plasticisers, compound")</f>
        <v>Plasticisers, compound</v>
      </c>
      <c r="D1616" s="1" t="s">
        <v>11</v>
      </c>
      <c r="E1616" s="1" t="s">
        <v>11</v>
      </c>
    </row>
    <row r="1617" spans="1:13" ht="15.75" customHeight="1">
      <c r="A1617" s="1">
        <v>381230</v>
      </c>
      <c r="B1617" s="1" t="s">
        <v>1643</v>
      </c>
      <c r="C1617" s="1" t="str">
        <f ca="1">IFERROR(__xludf.DUMMYFUNCTION("REGEXEXTRACT(B1617, ""^([^:]+)"")"),"Anti-oxidising preparations and other compound stabilisers")</f>
        <v>Anti-oxidising preparations and other compound stabilisers</v>
      </c>
      <c r="D1617" s="1" t="s">
        <v>11</v>
      </c>
      <c r="E1617" s="1" t="s">
        <v>11</v>
      </c>
    </row>
    <row r="1618" spans="1:13" ht="15.75" customHeight="1">
      <c r="A1618" s="1">
        <v>381300</v>
      </c>
      <c r="B1618" s="1" t="s">
        <v>1644</v>
      </c>
      <c r="C1618" s="1" t="str">
        <f ca="1">IFERROR(__xludf.DUMMYFUNCTION("REGEXEXTRACT(B1618, ""^([^:]+)"")"),"Fire-extinguishers")</f>
        <v>Fire-extinguishers</v>
      </c>
      <c r="D1618" s="1" t="s">
        <v>11</v>
      </c>
      <c r="E1618" s="1" t="s">
        <v>11</v>
      </c>
    </row>
    <row r="1619" spans="1:13" ht="15.75" customHeight="1">
      <c r="A1619" s="1">
        <v>381400</v>
      </c>
      <c r="B1619" s="1" t="s">
        <v>1645</v>
      </c>
      <c r="C1619" s="1" t="str">
        <f ca="1">IFERROR(__xludf.DUMMYFUNCTION("REGEXEXTRACT(B1619, ""^([^:]+)"")"),"Solvents and thinners")</f>
        <v>Solvents and thinners</v>
      </c>
      <c r="D1619" s="1" t="s">
        <v>11</v>
      </c>
      <c r="E1619" s="1" t="s">
        <v>11</v>
      </c>
    </row>
    <row r="1620" spans="1:13" ht="15.75" customHeight="1">
      <c r="A1620" s="1">
        <v>381511</v>
      </c>
      <c r="B1620" s="1" t="s">
        <v>1646</v>
      </c>
      <c r="C1620" s="1" t="str">
        <f ca="1">IFERROR(__xludf.DUMMYFUNCTION("REGEXEXTRACT(B1620, ""^([^:]+)"")"),"Catalysts, supported")</f>
        <v>Catalysts, supported</v>
      </c>
      <c r="D1620" s="1" t="s">
        <v>11</v>
      </c>
      <c r="E1620" s="1" t="s">
        <v>11</v>
      </c>
    </row>
    <row r="1621" spans="1:13" ht="15.75" customHeight="1">
      <c r="A1621" s="1">
        <v>381512</v>
      </c>
      <c r="B1621" s="1" t="s">
        <v>1647</v>
      </c>
      <c r="C1621" s="1" t="str">
        <f ca="1">IFERROR(__xludf.DUMMYFUNCTION("REGEXEXTRACT(B1621, ""^([^:]+)"")"),"Catalysts, supported")</f>
        <v>Catalysts, supported</v>
      </c>
      <c r="D1621" s="1" t="s">
        <v>11</v>
      </c>
      <c r="E1621" s="1" t="s">
        <v>11</v>
      </c>
    </row>
    <row r="1622" spans="1:13" ht="15.75" customHeight="1">
      <c r="A1622" s="1">
        <v>381519</v>
      </c>
      <c r="B1622" s="1" t="s">
        <v>1648</v>
      </c>
      <c r="C1622" s="1" t="str">
        <f ca="1">IFERROR(__xludf.DUMMYFUNCTION("REGEXEXTRACT(B1622, ""^([^:]+)"")"),"Catalysts, supported")</f>
        <v>Catalysts, supported</v>
      </c>
      <c r="D1622" s="1" t="s">
        <v>11</v>
      </c>
      <c r="E1622" s="1" t="s">
        <v>11</v>
      </c>
    </row>
    <row r="1623" spans="1:13" ht="15.75" customHeight="1">
      <c r="A1623" s="1">
        <v>381590</v>
      </c>
      <c r="B1623" s="1" t="s">
        <v>1649</v>
      </c>
      <c r="C1623" s="1" t="str">
        <f ca="1">IFERROR(__xludf.DUMMYFUNCTION("REGEXEXTRACT(B1623, ""^([^:]+)"")"),"Reaction initiators, reaction accelerators and catalytic preparations, unsupported, n.e.c. or included")</f>
        <v>Reaction initiators, reaction accelerators and catalytic preparations, unsupported, n.e.c. or included</v>
      </c>
      <c r="D1623" s="1" t="s">
        <v>11</v>
      </c>
      <c r="E1623" s="1" t="s">
        <v>11</v>
      </c>
    </row>
    <row r="1624" spans="1:13" ht="15.75" customHeight="1">
      <c r="A1624" s="1">
        <v>381600</v>
      </c>
      <c r="B1624" s="1" t="s">
        <v>1650</v>
      </c>
      <c r="C1624" s="1" t="str">
        <f ca="1">IFERROR(__xludf.DUMMYFUNCTION("REGEXEXTRACT(B1624, ""^([^:]+)"")"),"Refractory cements, mortars, concretes and similar compositions")</f>
        <v>Refractory cements, mortars, concretes and similar compositions</v>
      </c>
      <c r="D1624" s="1" t="s">
        <v>11</v>
      </c>
      <c r="E1624" s="1" t="s">
        <v>11</v>
      </c>
    </row>
    <row r="1625" spans="1:13" ht="15.75" customHeight="1">
      <c r="A1625" s="1">
        <v>381700</v>
      </c>
      <c r="B1625" s="1" t="s">
        <v>1651</v>
      </c>
      <c r="C1625" s="1" t="str">
        <f ca="1">IFERROR(__xludf.DUMMYFUNCTION("REGEXEXTRACT(B1625, ""^([^:]+)"")"),"Mixed alkylbenzenes and mixed alkylnaphthalenes, other than those of heading no. 2707 or 2902")</f>
        <v>Mixed alkylbenzenes and mixed alkylnaphthalenes, other than those of heading no. 2707 or 2902</v>
      </c>
      <c r="D1625" s="1" t="s">
        <v>11</v>
      </c>
      <c r="E1625" s="1" t="s">
        <v>11</v>
      </c>
    </row>
    <row r="1626" spans="1:13" ht="15.75" customHeight="1">
      <c r="A1626" s="1">
        <v>381800</v>
      </c>
      <c r="B1626" s="1" t="s">
        <v>1652</v>
      </c>
      <c r="C1626" s="1" t="str">
        <f ca="1">IFERROR(__xludf.DUMMYFUNCTION("REGEXEXTRACT(B1626, ""^([^:]+)"")"),"Chemical elements")</f>
        <v>Chemical elements</v>
      </c>
      <c r="D1626" s="1" t="s">
        <v>11</v>
      </c>
      <c r="E1626" s="1" t="s">
        <v>11</v>
      </c>
    </row>
    <row r="1627" spans="1:13" ht="15.75" customHeight="1">
      <c r="A1627" s="1">
        <v>381900</v>
      </c>
      <c r="B1627" s="1" t="s">
        <v>1653</v>
      </c>
      <c r="C1627" s="1" t="str">
        <f ca="1">IFERROR(__xludf.DUMMYFUNCTION("REGEXEXTRACT(B1627, ""^([^:]+)"")"),"Hydraulic fluids")</f>
        <v>Hydraulic fluids</v>
      </c>
      <c r="D1627" s="1" t="s">
        <v>11</v>
      </c>
      <c r="E1627" s="1" t="s">
        <v>11</v>
      </c>
    </row>
    <row r="1628" spans="1:13" ht="15.75" customHeight="1">
      <c r="A1628" s="1">
        <v>382000</v>
      </c>
      <c r="B1628" s="1" t="s">
        <v>1654</v>
      </c>
      <c r="C1628" s="1" t="str">
        <f ca="1">IFERROR(__xludf.DUMMYFUNCTION("REGEXEXTRACT(B1628, ""^([^:]+)"")"),"Anti-freezing preparations and prepared de-icing fluids")</f>
        <v>Anti-freezing preparations and prepared de-icing fluids</v>
      </c>
      <c r="D1628" s="1" t="s">
        <v>11</v>
      </c>
      <c r="E1628" s="1" t="s">
        <v>11</v>
      </c>
    </row>
    <row r="1629" spans="1:13" ht="15.75" customHeight="1">
      <c r="A1629" s="14">
        <v>300660</v>
      </c>
      <c r="B1629" s="14" t="s">
        <v>1428</v>
      </c>
      <c r="C1629" s="1" t="str">
        <f ca="1">IFERROR(__xludf.DUMMYFUNCTION("REGEXEXTRACT(B1629, ""^([^:]+)"")"),"Pharmaceutical goods")</f>
        <v>Pharmaceutical goods</v>
      </c>
      <c r="D1629" s="14">
        <v>1</v>
      </c>
      <c r="E1629" s="11" t="s">
        <v>1419</v>
      </c>
      <c r="F1629" s="15" t="s">
        <v>1419</v>
      </c>
      <c r="G1629" s="8"/>
      <c r="H1629" s="8"/>
      <c r="I1629" s="8"/>
      <c r="J1629" s="8"/>
      <c r="K1629" s="8"/>
      <c r="L1629" s="8"/>
      <c r="M1629" s="8"/>
    </row>
    <row r="1630" spans="1:13" ht="15.75" customHeight="1">
      <c r="A1630" s="14">
        <v>300670</v>
      </c>
      <c r="B1630" s="14" t="s">
        <v>1430</v>
      </c>
      <c r="C1630" s="1" t="str">
        <f ca="1">IFERROR(__xludf.DUMMYFUNCTION("REGEXEXTRACT(B1630, ""^([^:]+)"")"),"Pharmaceutical goods")</f>
        <v>Pharmaceutical goods</v>
      </c>
      <c r="D1630" s="14">
        <v>1</v>
      </c>
      <c r="E1630" s="11" t="s">
        <v>1419</v>
      </c>
      <c r="F1630" s="2" t="s">
        <v>1419</v>
      </c>
    </row>
    <row r="1631" spans="1:13" ht="15.75" customHeight="1">
      <c r="A1631" s="1">
        <v>382311</v>
      </c>
      <c r="B1631" s="1" t="s">
        <v>1658</v>
      </c>
      <c r="C1631" s="1" t="str">
        <f ca="1">IFERROR(__xludf.DUMMYFUNCTION("REGEXEXTRACT(B1631, ""^([^:]+)"")"),"Industrial monocarboxylic fatty acids, acid oils from refining")</f>
        <v>Industrial monocarboxylic fatty acids, acid oils from refining</v>
      </c>
      <c r="D1631" s="1" t="s">
        <v>11</v>
      </c>
      <c r="E1631" s="1" t="s">
        <v>11</v>
      </c>
    </row>
    <row r="1632" spans="1:13" ht="15.75" customHeight="1">
      <c r="A1632" s="1">
        <v>382312</v>
      </c>
      <c r="B1632" s="1" t="s">
        <v>1659</v>
      </c>
      <c r="C1632" s="1" t="str">
        <f ca="1">IFERROR(__xludf.DUMMYFUNCTION("REGEXEXTRACT(B1632, ""^([^:]+)"")"),"Industrial monocarboxylic fatty acids, acid oils from refining")</f>
        <v>Industrial monocarboxylic fatty acids, acid oils from refining</v>
      </c>
      <c r="D1632" s="1" t="s">
        <v>11</v>
      </c>
      <c r="E1632" s="1" t="s">
        <v>11</v>
      </c>
    </row>
    <row r="1633" spans="1:5" ht="15.75" customHeight="1">
      <c r="A1633" s="1">
        <v>382313</v>
      </c>
      <c r="B1633" s="1" t="s">
        <v>1660</v>
      </c>
      <c r="C1633" s="1" t="str">
        <f ca="1">IFERROR(__xludf.DUMMYFUNCTION("REGEXEXTRACT(B1633, ""^([^:]+)"")"),"Industrial monocarboxylic fatty acids, acid oils from refining")</f>
        <v>Industrial monocarboxylic fatty acids, acid oils from refining</v>
      </c>
      <c r="D1633" s="1" t="s">
        <v>11</v>
      </c>
      <c r="E1633" s="1" t="s">
        <v>11</v>
      </c>
    </row>
    <row r="1634" spans="1:5" ht="15.75" customHeight="1">
      <c r="A1634" s="1">
        <v>382319</v>
      </c>
      <c r="B1634" s="1" t="s">
        <v>1661</v>
      </c>
      <c r="C1634" s="1" t="str">
        <f ca="1">IFERROR(__xludf.DUMMYFUNCTION("REGEXEXTRACT(B1634, ""^([^:]+)"")"),"Industrial monocarboxylic fatty acids")</f>
        <v>Industrial monocarboxylic fatty acids</v>
      </c>
      <c r="D1634" s="1" t="s">
        <v>11</v>
      </c>
      <c r="E1634" s="1" t="s">
        <v>11</v>
      </c>
    </row>
    <row r="1635" spans="1:5" ht="15.75" customHeight="1">
      <c r="A1635" s="1">
        <v>382370</v>
      </c>
      <c r="B1635" s="1" t="s">
        <v>1662</v>
      </c>
      <c r="C1635" s="1" t="str">
        <f ca="1">IFERROR(__xludf.DUMMYFUNCTION("REGEXEXTRACT(B1635, ""^([^:]+)"")"),"Industrial fatty alcohols")</f>
        <v>Industrial fatty alcohols</v>
      </c>
      <c r="D1635" s="1" t="s">
        <v>11</v>
      </c>
      <c r="E1635" s="1" t="s">
        <v>11</v>
      </c>
    </row>
    <row r="1636" spans="1:5" ht="15.75" customHeight="1">
      <c r="A1636" s="1">
        <v>382410</v>
      </c>
      <c r="B1636" s="1" t="s">
        <v>1663</v>
      </c>
      <c r="C1636" s="1" t="str">
        <f ca="1">IFERROR(__xludf.DUMMYFUNCTION("REGEXEXTRACT(B1636, ""^([^:]+)"")"),"Binders, prepared")</f>
        <v>Binders, prepared</v>
      </c>
      <c r="D1636" s="1" t="s">
        <v>11</v>
      </c>
      <c r="E1636" s="1" t="s">
        <v>11</v>
      </c>
    </row>
    <row r="1637" spans="1:5" ht="15.75" customHeight="1">
      <c r="A1637" s="1">
        <v>382430</v>
      </c>
      <c r="B1637" s="1" t="s">
        <v>1664</v>
      </c>
      <c r="C1637" s="1" t="str">
        <f ca="1">IFERROR(__xludf.DUMMYFUNCTION("REGEXEXTRACT(B1637, ""^([^:]+)"")"),"Metal carbides, non-agglomerated")</f>
        <v>Metal carbides, non-agglomerated</v>
      </c>
      <c r="D1637" s="1" t="s">
        <v>11</v>
      </c>
      <c r="E1637" s="1" t="s">
        <v>11</v>
      </c>
    </row>
    <row r="1638" spans="1:5" ht="15.75" customHeight="1">
      <c r="A1638" s="1">
        <v>382440</v>
      </c>
      <c r="B1638" s="1" t="s">
        <v>1665</v>
      </c>
      <c r="C1638" s="1" t="str">
        <f ca="1">IFERROR(__xludf.DUMMYFUNCTION("REGEXEXTRACT(B1638, ""^([^:]+)"")"),"Cements, mortars or concretes")</f>
        <v>Cements, mortars or concretes</v>
      </c>
      <c r="D1638" s="1" t="s">
        <v>11</v>
      </c>
      <c r="E1638" s="1" t="s">
        <v>11</v>
      </c>
    </row>
    <row r="1639" spans="1:5" ht="15.75" customHeight="1">
      <c r="A1639" s="1">
        <v>382450</v>
      </c>
      <c r="B1639" s="1" t="s">
        <v>1666</v>
      </c>
      <c r="C1639" s="1" t="str">
        <f ca="1">IFERROR(__xludf.DUMMYFUNCTION("REGEXEXTRACT(B1639, ""^([^:]+)"")"),"Mortars and concretes")</f>
        <v>Mortars and concretes</v>
      </c>
      <c r="D1639" s="1" t="s">
        <v>11</v>
      </c>
      <c r="E1639" s="1" t="s">
        <v>11</v>
      </c>
    </row>
    <row r="1640" spans="1:5" ht="15.75" customHeight="1">
      <c r="A1640" s="1">
        <v>382460</v>
      </c>
      <c r="B1640" s="1" t="s">
        <v>1667</v>
      </c>
      <c r="C1640" s="1" t="str">
        <f ca="1">IFERROR(__xludf.DUMMYFUNCTION("REGEXEXTRACT(B1640, ""^([^:]+)"")"),"Sorbitol")</f>
        <v>Sorbitol</v>
      </c>
      <c r="D1640" s="1" t="s">
        <v>11</v>
      </c>
      <c r="E1640" s="1" t="s">
        <v>11</v>
      </c>
    </row>
    <row r="1641" spans="1:5" ht="15.75" customHeight="1">
      <c r="A1641" s="1">
        <v>382471</v>
      </c>
      <c r="B1641" s="1" t="s">
        <v>1668</v>
      </c>
      <c r="C1641" s="1" t="str">
        <f ca="1">IFERROR(__xludf.DUMMYFUNCTION("REGEXEXTRACT(B1641, ""^([^:]+)"")"),"Mixtures containing halogenated derivatives of methane, ethane or propane")</f>
        <v>Mixtures containing halogenated derivatives of methane, ethane or propane</v>
      </c>
      <c r="D1641" s="1" t="s">
        <v>11</v>
      </c>
      <c r="E1641" s="1" t="s">
        <v>11</v>
      </c>
    </row>
    <row r="1642" spans="1:5" ht="15.75" customHeight="1">
      <c r="A1642" s="1">
        <v>382472</v>
      </c>
      <c r="B1642" s="1" t="s">
        <v>1669</v>
      </c>
      <c r="C1642" s="1" t="str">
        <f ca="1">IFERROR(__xludf.DUMMYFUNCTION("REGEXEXTRACT(B1642, ""^([^:]+)"")"),"Mixtures containing halogenated derivatives of methane, ethane or propane")</f>
        <v>Mixtures containing halogenated derivatives of methane, ethane or propane</v>
      </c>
      <c r="D1642" s="1" t="s">
        <v>11</v>
      </c>
      <c r="E1642" s="1" t="s">
        <v>11</v>
      </c>
    </row>
    <row r="1643" spans="1:5" ht="15.75" customHeight="1">
      <c r="A1643" s="1">
        <v>382473</v>
      </c>
      <c r="B1643" s="1" t="s">
        <v>1670</v>
      </c>
      <c r="C1643" s="1" t="str">
        <f ca="1">IFERROR(__xludf.DUMMYFUNCTION("REGEXEXTRACT(B1643, ""^([^:]+)"")"),"Mixtures containing halogenated derivatives of methane, ethane or propane")</f>
        <v>Mixtures containing halogenated derivatives of methane, ethane or propane</v>
      </c>
      <c r="D1643" s="1" t="s">
        <v>11</v>
      </c>
      <c r="E1643" s="1" t="s">
        <v>11</v>
      </c>
    </row>
    <row r="1644" spans="1:5" ht="15.75" customHeight="1">
      <c r="A1644" s="1">
        <v>382474</v>
      </c>
      <c r="B1644" s="1" t="s">
        <v>1671</v>
      </c>
      <c r="C1644" s="1" t="str">
        <f ca="1">IFERROR(__xludf.DUMMYFUNCTION("REGEXEXTRACT(B1644, ""^([^:]+)"")"),"Mixtures containing halogenated derivatives of methane, ethane or propane")</f>
        <v>Mixtures containing halogenated derivatives of methane, ethane or propane</v>
      </c>
      <c r="D1644" s="1" t="s">
        <v>11</v>
      </c>
      <c r="E1644" s="1" t="s">
        <v>11</v>
      </c>
    </row>
    <row r="1645" spans="1:5" ht="15.75" customHeight="1">
      <c r="A1645" s="1">
        <v>382475</v>
      </c>
      <c r="B1645" s="1" t="s">
        <v>1672</v>
      </c>
      <c r="C1645" s="1" t="str">
        <f ca="1">IFERROR(__xludf.DUMMYFUNCTION("REGEXEXTRACT(B1645, ""^([^:]+)"")"),"Mixtures containing halogenated derivatives of methane, ethane or propane")</f>
        <v>Mixtures containing halogenated derivatives of methane, ethane or propane</v>
      </c>
      <c r="D1645" s="1" t="s">
        <v>11</v>
      </c>
      <c r="E1645" s="1" t="s">
        <v>11</v>
      </c>
    </row>
    <row r="1646" spans="1:5" ht="15.75" customHeight="1">
      <c r="A1646" s="1">
        <v>382476</v>
      </c>
      <c r="B1646" s="1" t="s">
        <v>1673</v>
      </c>
      <c r="C1646" s="1" t="str">
        <f ca="1">IFERROR(__xludf.DUMMYFUNCTION("REGEXEXTRACT(B1646, ""^([^:]+)"")"),"Mixtures containing halogenated derivatives of methane, ethane or propane")</f>
        <v>Mixtures containing halogenated derivatives of methane, ethane or propane</v>
      </c>
      <c r="D1646" s="1" t="s">
        <v>11</v>
      </c>
      <c r="E1646" s="1" t="s">
        <v>11</v>
      </c>
    </row>
    <row r="1647" spans="1:5" ht="15.75" customHeight="1">
      <c r="A1647" s="1">
        <v>382477</v>
      </c>
      <c r="B1647" s="1" t="s">
        <v>1674</v>
      </c>
      <c r="C1647" s="1" t="str">
        <f ca="1">IFERROR(__xludf.DUMMYFUNCTION("REGEXEXTRACT(B1647, ""^([^:]+)"")"),"Mixtures containing halogenated derivatives of methane, ethane or propane")</f>
        <v>Mixtures containing halogenated derivatives of methane, ethane or propane</v>
      </c>
      <c r="D1647" s="1" t="s">
        <v>11</v>
      </c>
      <c r="E1647" s="1" t="s">
        <v>11</v>
      </c>
    </row>
    <row r="1648" spans="1:5" ht="15.75" customHeight="1">
      <c r="A1648" s="1">
        <v>382478</v>
      </c>
      <c r="B1648" s="1" t="s">
        <v>1675</v>
      </c>
      <c r="C1648" s="1" t="str">
        <f ca="1">IFERROR(__xludf.DUMMYFUNCTION("REGEXEXTRACT(B1648, ""^([^:]+)"")"),"Mixtures containing halogenated derivatives of methane, ethane or propane")</f>
        <v>Mixtures containing halogenated derivatives of methane, ethane or propane</v>
      </c>
      <c r="D1648" s="1" t="s">
        <v>11</v>
      </c>
      <c r="E1648" s="1" t="s">
        <v>11</v>
      </c>
    </row>
    <row r="1649" spans="1:5" ht="15.75" customHeight="1">
      <c r="A1649" s="1">
        <v>382479</v>
      </c>
      <c r="B1649" s="1" t="s">
        <v>1676</v>
      </c>
      <c r="C1649" s="1" t="str">
        <f ca="1">IFERROR(__xludf.DUMMYFUNCTION("REGEXEXTRACT(B1649, ""^([^:]+)"")"),"Mixtures containing halogenated derivatives of methane, ethane or propane")</f>
        <v>Mixtures containing halogenated derivatives of methane, ethane or propane</v>
      </c>
      <c r="D1649" s="1" t="s">
        <v>11</v>
      </c>
      <c r="E1649" s="1" t="s">
        <v>11</v>
      </c>
    </row>
    <row r="1650" spans="1:5" ht="15.75" customHeight="1">
      <c r="A1650" s="1">
        <v>382481</v>
      </c>
      <c r="B1650" s="1" t="s">
        <v>1677</v>
      </c>
      <c r="C1650" s="1" t="str">
        <f ca="1">IFERROR(__xludf.DUMMYFUNCTION("REGEXEXTRACT(B1650, ""^([^:]+)"")"),"Mixtures and preparations containing oxirane (ethylene oxide)")</f>
        <v>Mixtures and preparations containing oxirane (ethylene oxide)</v>
      </c>
      <c r="D1650" s="1" t="s">
        <v>11</v>
      </c>
      <c r="E1650" s="1" t="s">
        <v>11</v>
      </c>
    </row>
    <row r="1651" spans="1:5" ht="15.75" customHeight="1">
      <c r="A1651" s="1">
        <v>382482</v>
      </c>
      <c r="B1651" s="1" t="s">
        <v>1678</v>
      </c>
      <c r="C1651" s="1" t="str">
        <f ca="1">IFERROR(__xludf.DUMMYFUNCTION("REGEXEXTRACT(B1651, ""^([^:]+)"")"),"Mixtures and preparations containing polychlorinated biphenyls (PCBs), polychlorinated terphenyls (PCTs) or polybrominated biphenyls (PBBs)")</f>
        <v>Mixtures and preparations containing polychlorinated biphenyls (PCBs), polychlorinated terphenyls (PCTs) or polybrominated biphenyls (PBBs)</v>
      </c>
      <c r="D1651" s="1" t="s">
        <v>11</v>
      </c>
      <c r="E1651" s="1" t="s">
        <v>11</v>
      </c>
    </row>
    <row r="1652" spans="1:5" ht="15.75" customHeight="1">
      <c r="A1652" s="1">
        <v>382483</v>
      </c>
      <c r="B1652" s="1" t="s">
        <v>1679</v>
      </c>
      <c r="C1652" s="1" t="str">
        <f ca="1">IFERROR(__xludf.DUMMYFUNCTION("REGEXEXTRACT(B1652, ""^([^:]+)"")"),"Mixtures and preparations containing tris(2,3-dibromopropyl) phosphate")</f>
        <v>Mixtures and preparations containing tris(2,3-dibromopropyl) phosphate</v>
      </c>
      <c r="D1652" s="1" t="s">
        <v>11</v>
      </c>
      <c r="E1652" s="1" t="s">
        <v>11</v>
      </c>
    </row>
    <row r="1653" spans="1:5" ht="15.75" customHeight="1">
      <c r="A1653" s="1">
        <v>382490</v>
      </c>
      <c r="B1653" s="1" t="s">
        <v>1680</v>
      </c>
      <c r="C1653" s="1" t="str">
        <f ca="1">IFERROR(__xludf.DUMMYFUNCTION("REGEXEXTRACT(B1653, ""^([^:]+)"")"),"Chemical products, preparations and residual products of the chemical or allied industries, n.e.c. or included in heading no. 3824")</f>
        <v>Chemical products, preparations and residual products of the chemical or allied industries, n.e.c. or included in heading no. 3824</v>
      </c>
      <c r="D1653" s="1" t="s">
        <v>11</v>
      </c>
      <c r="E1653" s="1" t="s">
        <v>11</v>
      </c>
    </row>
    <row r="1654" spans="1:5" ht="15.75" customHeight="1">
      <c r="A1654" s="1">
        <v>382510</v>
      </c>
      <c r="B1654" s="1" t="s">
        <v>1681</v>
      </c>
      <c r="C1654" s="1" t="str">
        <f ca="1">IFERROR(__xludf.DUMMYFUNCTION("REGEXEXTRACT(B1654, ""^([^:]+)"")"),"Residual products of the chemical or allied industries, not elsewhere specified or included")</f>
        <v>Residual products of the chemical or allied industries, not elsewhere specified or included</v>
      </c>
      <c r="D1654" s="1" t="s">
        <v>11</v>
      </c>
      <c r="E1654" s="1" t="s">
        <v>11</v>
      </c>
    </row>
    <row r="1655" spans="1:5" ht="15.75" customHeight="1">
      <c r="A1655" s="1">
        <v>382520</v>
      </c>
      <c r="B1655" s="1" t="s">
        <v>1682</v>
      </c>
      <c r="C1655" s="1" t="str">
        <f ca="1">IFERROR(__xludf.DUMMYFUNCTION("REGEXEXTRACT(B1655, ""^([^:]+)"")"),"Residual products of the chemical or allied industries, not elsewhere specified or included")</f>
        <v>Residual products of the chemical or allied industries, not elsewhere specified or included</v>
      </c>
      <c r="D1655" s="1" t="s">
        <v>11</v>
      </c>
      <c r="E1655" s="1" t="s">
        <v>11</v>
      </c>
    </row>
    <row r="1656" spans="1:5" ht="15.75" customHeight="1">
      <c r="A1656" s="1">
        <v>382530</v>
      </c>
      <c r="B1656" s="1" t="s">
        <v>1683</v>
      </c>
      <c r="C1656" s="1" t="str">
        <f ca="1">IFERROR(__xludf.DUMMYFUNCTION("REGEXEXTRACT(B1656, ""^([^:]+)"")"),"Residual products of the chemical or allied industries, not elsewhere specified or included")</f>
        <v>Residual products of the chemical or allied industries, not elsewhere specified or included</v>
      </c>
      <c r="D1656" s="1" t="s">
        <v>11</v>
      </c>
      <c r="E1656" s="1" t="s">
        <v>11</v>
      </c>
    </row>
    <row r="1657" spans="1:5" ht="15.75" customHeight="1">
      <c r="A1657" s="1">
        <v>382541</v>
      </c>
      <c r="B1657" s="1" t="s">
        <v>1684</v>
      </c>
      <c r="C1657" s="1" t="str">
        <f ca="1">IFERROR(__xludf.DUMMYFUNCTION("REGEXEXTRACT(B1657, ""^([^:]+)"")"),"Residual products of the chemical or allied industries, not elsewhere specified or included")</f>
        <v>Residual products of the chemical or allied industries, not elsewhere specified or included</v>
      </c>
      <c r="D1657" s="1" t="s">
        <v>11</v>
      </c>
      <c r="E1657" s="1" t="s">
        <v>11</v>
      </c>
    </row>
    <row r="1658" spans="1:5" ht="15.75" customHeight="1">
      <c r="A1658" s="1">
        <v>382549</v>
      </c>
      <c r="B1658" s="1" t="s">
        <v>1685</v>
      </c>
      <c r="C1658" s="1" t="str">
        <f ca="1">IFERROR(__xludf.DUMMYFUNCTION("REGEXEXTRACT(B1658, ""^([^:]+)"")"),"Residual products of the chemical or allied industries, not elsewhere specified or included")</f>
        <v>Residual products of the chemical or allied industries, not elsewhere specified or included</v>
      </c>
      <c r="D1658" s="1" t="s">
        <v>11</v>
      </c>
      <c r="E1658" s="1" t="s">
        <v>11</v>
      </c>
    </row>
    <row r="1659" spans="1:5" ht="15.75" customHeight="1">
      <c r="A1659" s="1">
        <v>382550</v>
      </c>
      <c r="B1659" s="1" t="s">
        <v>1686</v>
      </c>
      <c r="C1659" s="1" t="str">
        <f ca="1">IFERROR(__xludf.DUMMYFUNCTION("REGEXEXTRACT(B1659, ""^([^:]+)"")"),"Residual products of chemical or allied industries, not elsewhere specified or included")</f>
        <v>Residual products of chemical or allied industries, not elsewhere specified or included</v>
      </c>
      <c r="D1659" s="1" t="s">
        <v>11</v>
      </c>
      <c r="E1659" s="1" t="s">
        <v>11</v>
      </c>
    </row>
    <row r="1660" spans="1:5" ht="15.75" customHeight="1">
      <c r="A1660" s="1">
        <v>382561</v>
      </c>
      <c r="B1660" s="1" t="s">
        <v>1687</v>
      </c>
      <c r="C1660" s="1" t="str">
        <f ca="1">IFERROR(__xludf.DUMMYFUNCTION("REGEXEXTRACT(B1660, ""^([^:]+)"")"),"Residual products of the chemical or allied industries, not elsewhere specified or included")</f>
        <v>Residual products of the chemical or allied industries, not elsewhere specified or included</v>
      </c>
      <c r="D1660" s="1" t="s">
        <v>11</v>
      </c>
      <c r="E1660" s="1" t="s">
        <v>11</v>
      </c>
    </row>
    <row r="1661" spans="1:5" ht="15.75" customHeight="1">
      <c r="A1661" s="1">
        <v>382569</v>
      </c>
      <c r="B1661" s="1" t="s">
        <v>1688</v>
      </c>
      <c r="C1661" s="1" t="str">
        <f ca="1">IFERROR(__xludf.DUMMYFUNCTION("REGEXEXTRACT(B1661, ""^([^:]+)"")"),"Residual products of the chemical or allied industries, not elsewhere specified or included")</f>
        <v>Residual products of the chemical or allied industries, not elsewhere specified or included</v>
      </c>
      <c r="D1661" s="1" t="s">
        <v>11</v>
      </c>
      <c r="E1661" s="1" t="s">
        <v>11</v>
      </c>
    </row>
    <row r="1662" spans="1:5" ht="15.75" customHeight="1">
      <c r="A1662" s="1">
        <v>382590</v>
      </c>
      <c r="B1662" s="1" t="s">
        <v>1689</v>
      </c>
      <c r="C1662" s="1" t="str">
        <f ca="1">IFERROR(__xludf.DUMMYFUNCTION("REGEXEXTRACT(B1662, ""^([^:]+)"")"),"Residual products of the chemical or allied industries, not elsewhere specified or included")</f>
        <v>Residual products of the chemical or allied industries, not elsewhere specified or included</v>
      </c>
      <c r="D1662" s="1" t="s">
        <v>11</v>
      </c>
      <c r="E1662" s="1" t="s">
        <v>11</v>
      </c>
    </row>
    <row r="1663" spans="1:5" ht="15.75" customHeight="1">
      <c r="A1663" s="1">
        <v>390110</v>
      </c>
      <c r="B1663" s="1" t="s">
        <v>1690</v>
      </c>
      <c r="C1663" s="1" t="str">
        <f ca="1">IFERROR(__xludf.DUMMYFUNCTION("REGEXEXTRACT(B1663, ""^([^:]+)"")"),"Ethylene polymers")</f>
        <v>Ethylene polymers</v>
      </c>
      <c r="D1663" s="1" t="s">
        <v>11</v>
      </c>
      <c r="E1663" s="1" t="s">
        <v>11</v>
      </c>
    </row>
    <row r="1664" spans="1:5" ht="15.75" customHeight="1">
      <c r="A1664" s="1">
        <v>390120</v>
      </c>
      <c r="B1664" s="1" t="s">
        <v>1691</v>
      </c>
      <c r="C1664" s="1" t="str">
        <f ca="1">IFERROR(__xludf.DUMMYFUNCTION("REGEXEXTRACT(B1664, ""^([^:]+)"")"),"Ethylene polymers")</f>
        <v>Ethylene polymers</v>
      </c>
      <c r="D1664" s="1" t="s">
        <v>11</v>
      </c>
      <c r="E1664" s="1" t="s">
        <v>11</v>
      </c>
    </row>
    <row r="1665" spans="1:5" ht="15.75" customHeight="1">
      <c r="A1665" s="1">
        <v>390130</v>
      </c>
      <c r="B1665" s="1" t="s">
        <v>1692</v>
      </c>
      <c r="C1665" s="1" t="str">
        <f ca="1">IFERROR(__xludf.DUMMYFUNCTION("REGEXEXTRACT(B1665, ""^([^:]+)"")"),"Ethylene polymers")</f>
        <v>Ethylene polymers</v>
      </c>
      <c r="D1665" s="1" t="s">
        <v>11</v>
      </c>
      <c r="E1665" s="1" t="s">
        <v>11</v>
      </c>
    </row>
    <row r="1666" spans="1:5" ht="15.75" customHeight="1">
      <c r="A1666" s="1">
        <v>390190</v>
      </c>
      <c r="B1666" s="1" t="s">
        <v>1693</v>
      </c>
      <c r="C1666" s="1" t="str">
        <f ca="1">IFERROR(__xludf.DUMMYFUNCTION("REGEXEXTRACT(B1666, ""^([^:]+)"")"),"Ethylene polymers")</f>
        <v>Ethylene polymers</v>
      </c>
      <c r="D1666" s="1" t="s">
        <v>11</v>
      </c>
      <c r="E1666" s="1" t="s">
        <v>11</v>
      </c>
    </row>
    <row r="1667" spans="1:5" ht="15.75" customHeight="1">
      <c r="A1667" s="1">
        <v>390210</v>
      </c>
      <c r="B1667" s="1" t="s">
        <v>1694</v>
      </c>
      <c r="C1667" s="1" t="str">
        <f ca="1">IFERROR(__xludf.DUMMYFUNCTION("REGEXEXTRACT(B1667, ""^([^:]+)"")"),"Propylene, other olefin polymers")</f>
        <v>Propylene, other olefin polymers</v>
      </c>
      <c r="D1667" s="1" t="s">
        <v>11</v>
      </c>
      <c r="E1667" s="1" t="s">
        <v>11</v>
      </c>
    </row>
    <row r="1668" spans="1:5" ht="15.75" customHeight="1">
      <c r="A1668" s="1">
        <v>390220</v>
      </c>
      <c r="B1668" s="1" t="s">
        <v>1695</v>
      </c>
      <c r="C1668" s="1" t="str">
        <f ca="1">IFERROR(__xludf.DUMMYFUNCTION("REGEXEXTRACT(B1668, ""^([^:]+)"")"),"Propylene, other olefin polymers")</f>
        <v>Propylene, other olefin polymers</v>
      </c>
      <c r="D1668" s="1" t="s">
        <v>11</v>
      </c>
      <c r="E1668" s="1" t="s">
        <v>11</v>
      </c>
    </row>
    <row r="1669" spans="1:5" ht="15.75" customHeight="1">
      <c r="A1669" s="1">
        <v>390230</v>
      </c>
      <c r="B1669" s="1" t="s">
        <v>1696</v>
      </c>
      <c r="C1669" s="1" t="str">
        <f ca="1">IFERROR(__xludf.DUMMYFUNCTION("REGEXEXTRACT(B1669, ""^([^:]+)"")"),"Propylene, other olefin polymers")</f>
        <v>Propylene, other olefin polymers</v>
      </c>
      <c r="D1669" s="1" t="s">
        <v>11</v>
      </c>
      <c r="E1669" s="1" t="s">
        <v>11</v>
      </c>
    </row>
    <row r="1670" spans="1:5" ht="15.75" customHeight="1">
      <c r="A1670" s="1">
        <v>390290</v>
      </c>
      <c r="B1670" s="1" t="s">
        <v>1697</v>
      </c>
      <c r="C1670" s="1" t="str">
        <f ca="1">IFERROR(__xludf.DUMMYFUNCTION("REGEXEXTRACT(B1670, ""^([^:]+)"")"),"Propylene, other olefin polymers")</f>
        <v>Propylene, other olefin polymers</v>
      </c>
      <c r="D1670" s="1" t="s">
        <v>11</v>
      </c>
      <c r="E1670" s="1" t="s">
        <v>11</v>
      </c>
    </row>
    <row r="1671" spans="1:5" ht="15.75" customHeight="1">
      <c r="A1671" s="1">
        <v>390311</v>
      </c>
      <c r="B1671" s="1" t="s">
        <v>1698</v>
      </c>
      <c r="C1671" s="1" t="str">
        <f ca="1">IFERROR(__xludf.DUMMYFUNCTION("REGEXEXTRACT(B1671, ""^([^:]+)"")"),"Styrene polymers")</f>
        <v>Styrene polymers</v>
      </c>
      <c r="D1671" s="1" t="s">
        <v>11</v>
      </c>
      <c r="E1671" s="1" t="s">
        <v>11</v>
      </c>
    </row>
    <row r="1672" spans="1:5" ht="15.75" customHeight="1">
      <c r="A1672" s="1">
        <v>390319</v>
      </c>
      <c r="B1672" s="1" t="s">
        <v>1699</v>
      </c>
      <c r="C1672" s="1" t="str">
        <f ca="1">IFERROR(__xludf.DUMMYFUNCTION("REGEXEXTRACT(B1672, ""^([^:]+)"")"),"Styrene polymers")</f>
        <v>Styrene polymers</v>
      </c>
      <c r="D1672" s="1" t="s">
        <v>11</v>
      </c>
      <c r="E1672" s="1" t="s">
        <v>11</v>
      </c>
    </row>
    <row r="1673" spans="1:5" ht="15.75" customHeight="1">
      <c r="A1673" s="1">
        <v>390320</v>
      </c>
      <c r="B1673" s="1" t="s">
        <v>1700</v>
      </c>
      <c r="C1673" s="1" t="str">
        <f ca="1">IFERROR(__xludf.DUMMYFUNCTION("REGEXEXTRACT(B1673, ""^([^:]+)"")"),"Styrene polymers")</f>
        <v>Styrene polymers</v>
      </c>
      <c r="D1673" s="1" t="s">
        <v>11</v>
      </c>
      <c r="E1673" s="1" t="s">
        <v>11</v>
      </c>
    </row>
    <row r="1674" spans="1:5" ht="15.75" customHeight="1">
      <c r="A1674" s="1">
        <v>390330</v>
      </c>
      <c r="B1674" s="1" t="s">
        <v>1701</v>
      </c>
      <c r="C1674" s="1" t="str">
        <f ca="1">IFERROR(__xludf.DUMMYFUNCTION("REGEXEXTRACT(B1674, ""^([^:]+)"")"),"Styrene polymers")</f>
        <v>Styrene polymers</v>
      </c>
      <c r="D1674" s="1" t="s">
        <v>11</v>
      </c>
      <c r="E1674" s="1" t="s">
        <v>11</v>
      </c>
    </row>
    <row r="1675" spans="1:5" ht="15.75" customHeight="1">
      <c r="A1675" s="1">
        <v>390390</v>
      </c>
      <c r="B1675" s="1" t="s">
        <v>1702</v>
      </c>
      <c r="C1675" s="1" t="str">
        <f ca="1">IFERROR(__xludf.DUMMYFUNCTION("REGEXEXTRACT(B1675, ""^([^:]+)"")"),"Styrene polymers")</f>
        <v>Styrene polymers</v>
      </c>
      <c r="D1675" s="1" t="s">
        <v>11</v>
      </c>
      <c r="E1675" s="1" t="s">
        <v>11</v>
      </c>
    </row>
    <row r="1676" spans="1:5" ht="15.75" customHeight="1">
      <c r="A1676" s="1">
        <v>390410</v>
      </c>
      <c r="B1676" s="1" t="s">
        <v>1703</v>
      </c>
      <c r="C1676" s="1" t="str">
        <f ca="1">IFERROR(__xludf.DUMMYFUNCTION("REGEXEXTRACT(B1676, ""^([^:]+)"")"),"Vinyl chloride, other halogenated olefin polymers")</f>
        <v>Vinyl chloride, other halogenated olefin polymers</v>
      </c>
      <c r="D1676" s="1" t="s">
        <v>11</v>
      </c>
      <c r="E1676" s="1" t="s">
        <v>11</v>
      </c>
    </row>
    <row r="1677" spans="1:5" ht="15.75" customHeight="1">
      <c r="A1677" s="1">
        <v>390421</v>
      </c>
      <c r="B1677" s="1" t="s">
        <v>1704</v>
      </c>
      <c r="C1677" s="1" t="str">
        <f ca="1">IFERROR(__xludf.DUMMYFUNCTION("REGEXEXTRACT(B1677, ""^([^:]+)"")"),"Vinyl chloride, other halogenated olefin polymers")</f>
        <v>Vinyl chloride, other halogenated olefin polymers</v>
      </c>
      <c r="D1677" s="1" t="s">
        <v>11</v>
      </c>
      <c r="E1677" s="1" t="s">
        <v>11</v>
      </c>
    </row>
    <row r="1678" spans="1:5" ht="15.75" customHeight="1">
      <c r="A1678" s="1">
        <v>390422</v>
      </c>
      <c r="B1678" s="1" t="s">
        <v>1705</v>
      </c>
      <c r="C1678" s="1" t="str">
        <f ca="1">IFERROR(__xludf.DUMMYFUNCTION("REGEXEXTRACT(B1678, ""^([^:]+)"")"),"Vinyl chloride, other halogenated olefin polymers")</f>
        <v>Vinyl chloride, other halogenated olefin polymers</v>
      </c>
      <c r="D1678" s="1" t="s">
        <v>11</v>
      </c>
      <c r="E1678" s="1" t="s">
        <v>11</v>
      </c>
    </row>
    <row r="1679" spans="1:5" ht="15.75" customHeight="1">
      <c r="A1679" s="1">
        <v>390430</v>
      </c>
      <c r="B1679" s="1" t="s">
        <v>1706</v>
      </c>
      <c r="C1679" s="1" t="str">
        <f ca="1">IFERROR(__xludf.DUMMYFUNCTION("REGEXEXTRACT(B1679, ""^([^:]+)"")"),"Vinyl chloride, other halogenated olefin polymers")</f>
        <v>Vinyl chloride, other halogenated olefin polymers</v>
      </c>
      <c r="D1679" s="1" t="s">
        <v>11</v>
      </c>
      <c r="E1679" s="1" t="s">
        <v>11</v>
      </c>
    </row>
    <row r="1680" spans="1:5" ht="15.75" customHeight="1">
      <c r="A1680" s="1">
        <v>390440</v>
      </c>
      <c r="B1680" s="1" t="s">
        <v>1707</v>
      </c>
      <c r="C1680" s="1" t="str">
        <f ca="1">IFERROR(__xludf.DUMMYFUNCTION("REGEXEXTRACT(B1680, ""^([^:]+)"")"),"Vinyl chloride, other halogenated olefin polymers")</f>
        <v>Vinyl chloride, other halogenated olefin polymers</v>
      </c>
      <c r="D1680" s="1" t="s">
        <v>11</v>
      </c>
      <c r="E1680" s="1" t="s">
        <v>11</v>
      </c>
    </row>
    <row r="1681" spans="1:5" ht="15.75" customHeight="1">
      <c r="A1681" s="1">
        <v>390450</v>
      </c>
      <c r="B1681" s="1" t="s">
        <v>1708</v>
      </c>
      <c r="C1681" s="1" t="str">
        <f ca="1">IFERROR(__xludf.DUMMYFUNCTION("REGEXEXTRACT(B1681, ""^([^:]+)"")"),"Vinyl chloride, other halogenated olefin polymers")</f>
        <v>Vinyl chloride, other halogenated olefin polymers</v>
      </c>
      <c r="D1681" s="1" t="s">
        <v>11</v>
      </c>
      <c r="E1681" s="1" t="s">
        <v>11</v>
      </c>
    </row>
    <row r="1682" spans="1:5" ht="15.75" customHeight="1">
      <c r="A1682" s="1">
        <v>390461</v>
      </c>
      <c r="B1682" s="1" t="s">
        <v>1709</v>
      </c>
      <c r="C1682" s="1" t="str">
        <f ca="1">IFERROR(__xludf.DUMMYFUNCTION("REGEXEXTRACT(B1682, ""^([^:]+)"")"),"Halogenated olefin polymers")</f>
        <v>Halogenated olefin polymers</v>
      </c>
      <c r="D1682" s="1" t="s">
        <v>11</v>
      </c>
      <c r="E1682" s="1" t="s">
        <v>11</v>
      </c>
    </row>
    <row r="1683" spans="1:5" ht="15.75" customHeight="1">
      <c r="A1683" s="1">
        <v>390469</v>
      </c>
      <c r="B1683" s="1" t="s">
        <v>1710</v>
      </c>
      <c r="C1683" s="1" t="str">
        <f ca="1">IFERROR(__xludf.DUMMYFUNCTION("REGEXEXTRACT(B1683, ""^([^:]+)"")"),"Halogenated olefin polymers")</f>
        <v>Halogenated olefin polymers</v>
      </c>
      <c r="D1683" s="1" t="s">
        <v>11</v>
      </c>
      <c r="E1683" s="1" t="s">
        <v>11</v>
      </c>
    </row>
    <row r="1684" spans="1:5" ht="15.75" customHeight="1">
      <c r="A1684" s="1">
        <v>390490</v>
      </c>
      <c r="B1684" s="1" t="s">
        <v>1711</v>
      </c>
      <c r="C1684" s="1" t="str">
        <f ca="1">IFERROR(__xludf.DUMMYFUNCTION("REGEXEXTRACT(B1684, ""^([^:]+)"")"),"Vinyl chloride, other halogenated olefin polymers")</f>
        <v>Vinyl chloride, other halogenated olefin polymers</v>
      </c>
      <c r="D1684" s="1" t="s">
        <v>11</v>
      </c>
      <c r="E1684" s="1" t="s">
        <v>11</v>
      </c>
    </row>
    <row r="1685" spans="1:5" ht="15.75" customHeight="1">
      <c r="A1685" s="1">
        <v>390512</v>
      </c>
      <c r="B1685" s="1" t="s">
        <v>1712</v>
      </c>
      <c r="C1685" s="1" t="str">
        <f ca="1">IFERROR(__xludf.DUMMYFUNCTION("REGEXEXTRACT(B1685, ""^([^:]+)"")"),"Poly(vinyl acetate)")</f>
        <v>Poly(vinyl acetate)</v>
      </c>
      <c r="D1685" s="1" t="s">
        <v>11</v>
      </c>
      <c r="E1685" s="1" t="s">
        <v>11</v>
      </c>
    </row>
    <row r="1686" spans="1:5" ht="15.75" customHeight="1">
      <c r="A1686" s="1">
        <v>390519</v>
      </c>
      <c r="B1686" s="1" t="s">
        <v>1713</v>
      </c>
      <c r="C1686" s="1" t="str">
        <f ca="1">IFERROR(__xludf.DUMMYFUNCTION("REGEXEXTRACT(B1686, ""^([^:]+)"")"),"Poly(vinyl acetate)")</f>
        <v>Poly(vinyl acetate)</v>
      </c>
      <c r="D1686" s="1" t="s">
        <v>11</v>
      </c>
      <c r="E1686" s="1" t="s">
        <v>11</v>
      </c>
    </row>
    <row r="1687" spans="1:5" ht="15.75" customHeight="1">
      <c r="A1687" s="1">
        <v>390521</v>
      </c>
      <c r="B1687" s="1" t="s">
        <v>1714</v>
      </c>
      <c r="C1687" s="1" t="str">
        <f ca="1">IFERROR(__xludf.DUMMYFUNCTION("REGEXEXTRACT(B1687, ""^([^:]+)"")"),"Vinyl acetate copolymers")</f>
        <v>Vinyl acetate copolymers</v>
      </c>
      <c r="D1687" s="1" t="s">
        <v>11</v>
      </c>
      <c r="E1687" s="1" t="s">
        <v>11</v>
      </c>
    </row>
    <row r="1688" spans="1:5" ht="15.75" customHeight="1">
      <c r="A1688" s="1">
        <v>390529</v>
      </c>
      <c r="B1688" s="1" t="s">
        <v>1715</v>
      </c>
      <c r="C1688" s="1" t="str">
        <f ca="1">IFERROR(__xludf.DUMMYFUNCTION("REGEXEXTRACT(B1688, ""^([^:]+)"")"),"Vinyl acetate copolymers")</f>
        <v>Vinyl acetate copolymers</v>
      </c>
      <c r="D1688" s="1" t="s">
        <v>11</v>
      </c>
      <c r="E1688" s="1" t="s">
        <v>11</v>
      </c>
    </row>
    <row r="1689" spans="1:5" ht="15.75" customHeight="1">
      <c r="A1689" s="1">
        <v>390530</v>
      </c>
      <c r="B1689" s="1" t="s">
        <v>1716</v>
      </c>
      <c r="C1689" s="1" t="str">
        <f ca="1">IFERROR(__xludf.DUMMYFUNCTION("REGEXEXTRACT(B1689, ""^([^:]+)"")"),"Poly(vinyl alcohol)")</f>
        <v>Poly(vinyl alcohol)</v>
      </c>
      <c r="D1689" s="1" t="s">
        <v>11</v>
      </c>
      <c r="E1689" s="1" t="s">
        <v>11</v>
      </c>
    </row>
    <row r="1690" spans="1:5" ht="15.75" customHeight="1">
      <c r="A1690" s="1">
        <v>390591</v>
      </c>
      <c r="B1690" s="1" t="s">
        <v>1717</v>
      </c>
      <c r="C1690" s="1" t="str">
        <f ca="1">IFERROR(__xludf.DUMMYFUNCTION("REGEXEXTRACT(B1690, ""^([^:]+)"")"),"Vinyl acetate, vinyl ester polymers, vinyl polymers")</f>
        <v>Vinyl acetate, vinyl ester polymers, vinyl polymers</v>
      </c>
      <c r="D1690" s="1" t="s">
        <v>11</v>
      </c>
      <c r="E1690" s="1" t="s">
        <v>11</v>
      </c>
    </row>
    <row r="1691" spans="1:5" ht="15.75" customHeight="1">
      <c r="A1691" s="1">
        <v>390599</v>
      </c>
      <c r="B1691" s="1" t="s">
        <v>1718</v>
      </c>
      <c r="C1691" s="1" t="str">
        <f ca="1">IFERROR(__xludf.DUMMYFUNCTION("REGEXEXTRACT(B1691, ""^([^:]+)"")"),"Vinyl acetate, vinyl ester polymers, vinyl polymers")</f>
        <v>Vinyl acetate, vinyl ester polymers, vinyl polymers</v>
      </c>
      <c r="D1691" s="1" t="s">
        <v>11</v>
      </c>
      <c r="E1691" s="1" t="s">
        <v>11</v>
      </c>
    </row>
    <row r="1692" spans="1:5" ht="15.75" customHeight="1">
      <c r="A1692" s="1">
        <v>390610</v>
      </c>
      <c r="B1692" s="1" t="s">
        <v>1719</v>
      </c>
      <c r="C1692" s="1" t="str">
        <f ca="1">IFERROR(__xludf.DUMMYFUNCTION("REGEXEXTRACT(B1692, ""^([^:]+)"")"),"Acrylic polymers")</f>
        <v>Acrylic polymers</v>
      </c>
      <c r="D1692" s="1" t="s">
        <v>11</v>
      </c>
      <c r="E1692" s="1" t="s">
        <v>11</v>
      </c>
    </row>
    <row r="1693" spans="1:5" ht="15.75" customHeight="1">
      <c r="A1693" s="1">
        <v>390690</v>
      </c>
      <c r="B1693" s="1" t="s">
        <v>1720</v>
      </c>
      <c r="C1693" s="1" t="str">
        <f ca="1">IFERROR(__xludf.DUMMYFUNCTION("REGEXEXTRACT(B1693, ""^([^:]+)"")"),"Acrylic polymers")</f>
        <v>Acrylic polymers</v>
      </c>
      <c r="D1693" s="1" t="s">
        <v>11</v>
      </c>
      <c r="E1693" s="1" t="s">
        <v>11</v>
      </c>
    </row>
    <row r="1694" spans="1:5" ht="15.75" customHeight="1">
      <c r="A1694" s="1">
        <v>390710</v>
      </c>
      <c r="B1694" s="1" t="s">
        <v>1721</v>
      </c>
      <c r="C1694" s="1" t="str">
        <f ca="1">IFERROR(__xludf.DUMMYFUNCTION("REGEXEXTRACT(B1694, ""^([^:]+)"")"),"Polyacetals")</f>
        <v>Polyacetals</v>
      </c>
      <c r="D1694" s="1" t="s">
        <v>11</v>
      </c>
      <c r="E1694" s="1" t="s">
        <v>11</v>
      </c>
    </row>
    <row r="1695" spans="1:5" ht="15.75" customHeight="1">
      <c r="A1695" s="1">
        <v>390720</v>
      </c>
      <c r="B1695" s="1" t="s">
        <v>1722</v>
      </c>
      <c r="C1695" s="1" t="str">
        <f ca="1">IFERROR(__xludf.DUMMYFUNCTION("REGEXEXTRACT(B1695, ""^([^:]+)"")"),"Polyethers")</f>
        <v>Polyethers</v>
      </c>
      <c r="D1695" s="1" t="s">
        <v>11</v>
      </c>
      <c r="E1695" s="1" t="s">
        <v>11</v>
      </c>
    </row>
    <row r="1696" spans="1:5" ht="15.75" customHeight="1">
      <c r="A1696" s="1">
        <v>390730</v>
      </c>
      <c r="B1696" s="1" t="s">
        <v>1723</v>
      </c>
      <c r="C1696" s="1" t="str">
        <f ca="1">IFERROR(__xludf.DUMMYFUNCTION("REGEXEXTRACT(B1696, ""^([^:]+)"")"),"Epoxide resins")</f>
        <v>Epoxide resins</v>
      </c>
      <c r="D1696" s="1" t="s">
        <v>11</v>
      </c>
      <c r="E1696" s="1" t="s">
        <v>11</v>
      </c>
    </row>
    <row r="1697" spans="1:5" ht="15.75" customHeight="1">
      <c r="A1697" s="1">
        <v>390740</v>
      </c>
      <c r="B1697" s="1" t="s">
        <v>1724</v>
      </c>
      <c r="C1697" s="1" t="str">
        <f ca="1">IFERROR(__xludf.DUMMYFUNCTION("REGEXEXTRACT(B1697, ""^([^:]+)"")"),"Polycarbonates")</f>
        <v>Polycarbonates</v>
      </c>
      <c r="D1697" s="1" t="s">
        <v>11</v>
      </c>
      <c r="E1697" s="1" t="s">
        <v>11</v>
      </c>
    </row>
    <row r="1698" spans="1:5" ht="15.75" customHeight="1">
      <c r="A1698" s="1">
        <v>390750</v>
      </c>
      <c r="B1698" s="1" t="s">
        <v>1725</v>
      </c>
      <c r="C1698" s="1" t="str">
        <f ca="1">IFERROR(__xludf.DUMMYFUNCTION("REGEXEXTRACT(B1698, ""^([^:]+)"")"),"Alkyd resins")</f>
        <v>Alkyd resins</v>
      </c>
      <c r="D1698" s="1" t="s">
        <v>11</v>
      </c>
      <c r="E1698" s="1" t="s">
        <v>11</v>
      </c>
    </row>
    <row r="1699" spans="1:5" ht="15.75" customHeight="1">
      <c r="A1699" s="1">
        <v>390760</v>
      </c>
      <c r="B1699" s="1" t="s">
        <v>1726</v>
      </c>
      <c r="C1699" s="1" t="str">
        <f ca="1">IFERROR(__xludf.DUMMYFUNCTION("REGEXEXTRACT(B1699, ""^([^:]+)"")"),"Poly(ethylene terephthalate)")</f>
        <v>Poly(ethylene terephthalate)</v>
      </c>
      <c r="D1699" s="1" t="s">
        <v>11</v>
      </c>
      <c r="E1699" s="1" t="s">
        <v>11</v>
      </c>
    </row>
    <row r="1700" spans="1:5" ht="15.75" customHeight="1">
      <c r="A1700" s="1">
        <v>390770</v>
      </c>
      <c r="B1700" s="1" t="s">
        <v>1727</v>
      </c>
      <c r="C1700" s="1" t="str">
        <f ca="1">IFERROR(__xludf.DUMMYFUNCTION("REGEXEXTRACT(B1700, ""^([^:]+)"")"),"Poly(lactic acid)")</f>
        <v>Poly(lactic acid)</v>
      </c>
      <c r="D1700" s="1" t="s">
        <v>11</v>
      </c>
      <c r="E1700" s="1" t="s">
        <v>11</v>
      </c>
    </row>
    <row r="1701" spans="1:5" ht="15.75" customHeight="1">
      <c r="A1701" s="1">
        <v>390791</v>
      </c>
      <c r="B1701" s="1" t="s">
        <v>1728</v>
      </c>
      <c r="C1701" s="1" t="str">
        <f ca="1">IFERROR(__xludf.DUMMYFUNCTION("REGEXEXTRACT(B1701, ""^([^:]+)"")"),"Polyesters")</f>
        <v>Polyesters</v>
      </c>
      <c r="D1701" s="1" t="s">
        <v>11</v>
      </c>
      <c r="E1701" s="1" t="s">
        <v>11</v>
      </c>
    </row>
    <row r="1702" spans="1:5" ht="15.75" customHeight="1">
      <c r="A1702" s="1">
        <v>390799</v>
      </c>
      <c r="B1702" s="1" t="s">
        <v>1729</v>
      </c>
      <c r="C1702" s="1" t="str">
        <f ca="1">IFERROR(__xludf.DUMMYFUNCTION("REGEXEXTRACT(B1702, ""^([^:]+)"")"),"Polyesters")</f>
        <v>Polyesters</v>
      </c>
      <c r="D1702" s="1" t="s">
        <v>11</v>
      </c>
      <c r="E1702" s="1" t="s">
        <v>11</v>
      </c>
    </row>
    <row r="1703" spans="1:5" ht="15.75" customHeight="1">
      <c r="A1703" s="1">
        <v>390810</v>
      </c>
      <c r="B1703" s="1" t="s">
        <v>1730</v>
      </c>
      <c r="C1703" s="1" t="str">
        <f ca="1">IFERROR(__xludf.DUMMYFUNCTION("REGEXEXTRACT(B1703, ""^([^:]+)"")"),"Polyamides")</f>
        <v>Polyamides</v>
      </c>
      <c r="D1703" s="1" t="s">
        <v>11</v>
      </c>
      <c r="E1703" s="1" t="s">
        <v>11</v>
      </c>
    </row>
    <row r="1704" spans="1:5" ht="15.75" customHeight="1">
      <c r="A1704" s="1">
        <v>390890</v>
      </c>
      <c r="B1704" s="1" t="s">
        <v>1731</v>
      </c>
      <c r="C1704" s="1" t="str">
        <f ca="1">IFERROR(__xludf.DUMMYFUNCTION("REGEXEXTRACT(B1704, ""^([^:]+)"")"),"Polyamides")</f>
        <v>Polyamides</v>
      </c>
      <c r="D1704" s="1" t="s">
        <v>11</v>
      </c>
      <c r="E1704" s="1" t="s">
        <v>11</v>
      </c>
    </row>
    <row r="1705" spans="1:5" ht="15.75" customHeight="1">
      <c r="A1705" s="1">
        <v>390910</v>
      </c>
      <c r="B1705" s="1" t="s">
        <v>1732</v>
      </c>
      <c r="C1705" s="1" t="str">
        <f ca="1">IFERROR(__xludf.DUMMYFUNCTION("REGEXEXTRACT(B1705, ""^([^:]+)"")"),"Amino-resins")</f>
        <v>Amino-resins</v>
      </c>
      <c r="D1705" s="1" t="s">
        <v>11</v>
      </c>
      <c r="E1705" s="1" t="s">
        <v>11</v>
      </c>
    </row>
    <row r="1706" spans="1:5" ht="15.75" customHeight="1">
      <c r="A1706" s="1">
        <v>390920</v>
      </c>
      <c r="B1706" s="1" t="s">
        <v>1733</v>
      </c>
      <c r="C1706" s="1" t="str">
        <f ca="1">IFERROR(__xludf.DUMMYFUNCTION("REGEXEXTRACT(B1706, ""^([^:]+)"")"),"Amino-resins")</f>
        <v>Amino-resins</v>
      </c>
      <c r="D1706" s="1" t="s">
        <v>11</v>
      </c>
      <c r="E1706" s="1" t="s">
        <v>11</v>
      </c>
    </row>
    <row r="1707" spans="1:5" ht="15.75" customHeight="1">
      <c r="A1707" s="1">
        <v>390930</v>
      </c>
      <c r="B1707" s="1" t="s">
        <v>1734</v>
      </c>
      <c r="C1707" s="1" t="str">
        <f ca="1">IFERROR(__xludf.DUMMYFUNCTION("REGEXEXTRACT(B1707, ""^([^:]+)"")"),"Amino-resins")</f>
        <v>Amino-resins</v>
      </c>
      <c r="D1707" s="1" t="s">
        <v>11</v>
      </c>
      <c r="E1707" s="1" t="s">
        <v>11</v>
      </c>
    </row>
    <row r="1708" spans="1:5" ht="15.75" customHeight="1">
      <c r="A1708" s="1">
        <v>390940</v>
      </c>
      <c r="B1708" s="1" t="s">
        <v>1735</v>
      </c>
      <c r="C1708" s="1" t="str">
        <f ca="1">IFERROR(__xludf.DUMMYFUNCTION("REGEXEXTRACT(B1708, ""^([^:]+)"")"),"Phenolic resins")</f>
        <v>Phenolic resins</v>
      </c>
      <c r="D1708" s="1" t="s">
        <v>11</v>
      </c>
      <c r="E1708" s="1" t="s">
        <v>11</v>
      </c>
    </row>
    <row r="1709" spans="1:5" ht="15.75" customHeight="1">
      <c r="A1709" s="1">
        <v>390950</v>
      </c>
      <c r="B1709" s="1" t="s">
        <v>1736</v>
      </c>
      <c r="C1709" s="1" t="str">
        <f ca="1">IFERROR(__xludf.DUMMYFUNCTION("REGEXEXTRACT(B1709, ""^([^:]+)"")"),"Polyurethanes")</f>
        <v>Polyurethanes</v>
      </c>
      <c r="D1709" s="1" t="s">
        <v>11</v>
      </c>
      <c r="E1709" s="1" t="s">
        <v>11</v>
      </c>
    </row>
    <row r="1710" spans="1:5" ht="15.75" customHeight="1">
      <c r="A1710" s="1">
        <v>391000</v>
      </c>
      <c r="B1710" s="1" t="s">
        <v>1737</v>
      </c>
      <c r="C1710" s="1" t="str">
        <f ca="1">IFERROR(__xludf.DUMMYFUNCTION("REGEXEXTRACT(B1710, ""^([^:]+)"")"),"Silicones")</f>
        <v>Silicones</v>
      </c>
      <c r="D1710" s="1" t="s">
        <v>11</v>
      </c>
      <c r="E1710" s="1" t="s">
        <v>11</v>
      </c>
    </row>
    <row r="1711" spans="1:5" ht="15.75" customHeight="1">
      <c r="A1711" s="1">
        <v>391110</v>
      </c>
      <c r="B1711" s="1" t="s">
        <v>1738</v>
      </c>
      <c r="C1711" s="1" t="str">
        <f ca="1">IFERROR(__xludf.DUMMYFUNCTION("REGEXEXTRACT(B1711, ""^([^:]+)"")"),"Petroleum resins, coumarone, indene or coumarone-indene resins and polyterpenes")</f>
        <v>Petroleum resins, coumarone, indene or coumarone-indene resins and polyterpenes</v>
      </c>
      <c r="D1711" s="1" t="s">
        <v>11</v>
      </c>
      <c r="E1711" s="1" t="s">
        <v>11</v>
      </c>
    </row>
    <row r="1712" spans="1:5" ht="15.75" customHeight="1">
      <c r="A1712" s="1">
        <v>391190</v>
      </c>
      <c r="B1712" s="1" t="s">
        <v>1739</v>
      </c>
      <c r="C1712" s="1" t="str">
        <f ca="1">IFERROR(__xludf.DUMMYFUNCTION("REGEXEXTRACT(B1712, ""^([^:]+)"")"),"Polysulphides, polysulphones and similar products of chemical synthesis n.e.c. in chapter 39")</f>
        <v>Polysulphides, polysulphones and similar products of chemical synthesis n.e.c. in chapter 39</v>
      </c>
      <c r="D1712" s="1" t="s">
        <v>11</v>
      </c>
      <c r="E1712" s="1" t="s">
        <v>11</v>
      </c>
    </row>
    <row r="1713" spans="1:5" ht="15.75" customHeight="1">
      <c r="A1713" s="1">
        <v>391211</v>
      </c>
      <c r="B1713" s="1" t="s">
        <v>1740</v>
      </c>
      <c r="C1713" s="1" t="str">
        <f ca="1">IFERROR(__xludf.DUMMYFUNCTION("REGEXEXTRACT(B1713, ""^([^:]+)"")"),"Cellulose acetates")</f>
        <v>Cellulose acetates</v>
      </c>
      <c r="D1713" s="1" t="s">
        <v>11</v>
      </c>
      <c r="E1713" s="1" t="s">
        <v>11</v>
      </c>
    </row>
    <row r="1714" spans="1:5" ht="15.75" customHeight="1">
      <c r="A1714" s="1">
        <v>391212</v>
      </c>
      <c r="B1714" s="1" t="s">
        <v>1741</v>
      </c>
      <c r="C1714" s="1" t="str">
        <f ca="1">IFERROR(__xludf.DUMMYFUNCTION("REGEXEXTRACT(B1714, ""^([^:]+)"")"),"Cellulose acetates")</f>
        <v>Cellulose acetates</v>
      </c>
      <c r="D1714" s="1" t="s">
        <v>11</v>
      </c>
      <c r="E1714" s="1" t="s">
        <v>11</v>
      </c>
    </row>
    <row r="1715" spans="1:5" ht="15.75" customHeight="1">
      <c r="A1715" s="1">
        <v>391220</v>
      </c>
      <c r="B1715" s="1" t="s">
        <v>1742</v>
      </c>
      <c r="C1715" s="1" t="str">
        <f ca="1">IFERROR(__xludf.DUMMYFUNCTION("REGEXEXTRACT(B1715, ""^([^:]+)"")"),"Cellulose nitrates (including collodions)")</f>
        <v>Cellulose nitrates (including collodions)</v>
      </c>
      <c r="D1715" s="1" t="s">
        <v>11</v>
      </c>
      <c r="E1715" s="1" t="s">
        <v>11</v>
      </c>
    </row>
    <row r="1716" spans="1:5" ht="15.75" customHeight="1">
      <c r="A1716" s="1">
        <v>391231</v>
      </c>
      <c r="B1716" s="1" t="s">
        <v>1743</v>
      </c>
      <c r="C1716" s="1" t="str">
        <f ca="1">IFERROR(__xludf.DUMMYFUNCTION("REGEXEXTRACT(B1716, ""^([^:]+)"")"),"Cellulose ethers")</f>
        <v>Cellulose ethers</v>
      </c>
      <c r="D1716" s="1" t="s">
        <v>11</v>
      </c>
      <c r="E1716" s="1" t="s">
        <v>11</v>
      </c>
    </row>
    <row r="1717" spans="1:5" ht="15.75" customHeight="1">
      <c r="A1717" s="1">
        <v>391239</v>
      </c>
      <c r="B1717" s="1" t="s">
        <v>1744</v>
      </c>
      <c r="C1717" s="1" t="str">
        <f ca="1">IFERROR(__xludf.DUMMYFUNCTION("REGEXEXTRACT(B1717, ""^([^:]+)"")"),"Cellulose ethers")</f>
        <v>Cellulose ethers</v>
      </c>
      <c r="D1717" s="1" t="s">
        <v>11</v>
      </c>
      <c r="E1717" s="1" t="s">
        <v>11</v>
      </c>
    </row>
    <row r="1718" spans="1:5" ht="15.75" customHeight="1">
      <c r="A1718" s="1">
        <v>391290</v>
      </c>
      <c r="B1718" s="1" t="s">
        <v>1745</v>
      </c>
      <c r="C1718" s="1" t="str">
        <f ca="1">IFERROR(__xludf.DUMMYFUNCTION("REGEXEXTRACT(B1718, ""^([^:]+)"")"),"Cellulose and its chemical derivatives")</f>
        <v>Cellulose and its chemical derivatives</v>
      </c>
      <c r="D1718" s="1" t="s">
        <v>11</v>
      </c>
      <c r="E1718" s="1" t="s">
        <v>11</v>
      </c>
    </row>
    <row r="1719" spans="1:5" ht="15.75" customHeight="1">
      <c r="A1719" s="1">
        <v>391310</v>
      </c>
      <c r="B1719" s="1" t="s">
        <v>1746</v>
      </c>
      <c r="C1719" s="1" t="str">
        <f ca="1">IFERROR(__xludf.DUMMYFUNCTION("REGEXEXTRACT(B1719, ""^([^:]+)"")"),"Polymers, natural")</f>
        <v>Polymers, natural</v>
      </c>
      <c r="D1719" s="1" t="s">
        <v>11</v>
      </c>
      <c r="E1719" s="1" t="s">
        <v>11</v>
      </c>
    </row>
    <row r="1720" spans="1:5" ht="15.75" customHeight="1">
      <c r="A1720" s="1">
        <v>391390</v>
      </c>
      <c r="B1720" s="1" t="s">
        <v>1747</v>
      </c>
      <c r="C1720" s="1" t="str">
        <f ca="1">IFERROR(__xludf.DUMMYFUNCTION("REGEXEXTRACT(B1720, ""^([^:]+)"")"),"Polymers, natural and modified natural")</f>
        <v>Polymers, natural and modified natural</v>
      </c>
      <c r="D1720" s="1" t="s">
        <v>11</v>
      </c>
      <c r="E1720" s="1" t="s">
        <v>11</v>
      </c>
    </row>
    <row r="1721" spans="1:5" ht="15.75" customHeight="1">
      <c r="A1721" s="1">
        <v>391400</v>
      </c>
      <c r="B1721" s="1" t="s">
        <v>1748</v>
      </c>
      <c r="C1721" s="1" t="str">
        <f ca="1">IFERROR(__xludf.DUMMYFUNCTION("REGEXEXTRACT(B1721, ""^([^:]+)"")"),"Ion-exchangers")</f>
        <v>Ion-exchangers</v>
      </c>
      <c r="D1721" s="1" t="s">
        <v>11</v>
      </c>
      <c r="E1721" s="1" t="s">
        <v>11</v>
      </c>
    </row>
    <row r="1722" spans="1:5" ht="15.75" customHeight="1">
      <c r="A1722" s="1">
        <v>391510</v>
      </c>
      <c r="B1722" s="1" t="s">
        <v>1749</v>
      </c>
      <c r="C1722" s="1" t="str">
        <f ca="1">IFERROR(__xludf.DUMMYFUNCTION("REGEXEXTRACT(B1722, ""^([^:]+)"")"),"Ethylene polymers")</f>
        <v>Ethylene polymers</v>
      </c>
      <c r="D1722" s="1" t="s">
        <v>11</v>
      </c>
      <c r="E1722" s="1" t="s">
        <v>11</v>
      </c>
    </row>
    <row r="1723" spans="1:5" ht="15.75" customHeight="1">
      <c r="A1723" s="1">
        <v>391520</v>
      </c>
      <c r="B1723" s="1" t="s">
        <v>1750</v>
      </c>
      <c r="C1723" s="1" t="str">
        <f ca="1">IFERROR(__xludf.DUMMYFUNCTION("REGEXEXTRACT(B1723, ""^([^:]+)"")"),"Styrene polymers")</f>
        <v>Styrene polymers</v>
      </c>
      <c r="D1723" s="1" t="s">
        <v>11</v>
      </c>
      <c r="E1723" s="1" t="s">
        <v>11</v>
      </c>
    </row>
    <row r="1724" spans="1:5" ht="15.75" customHeight="1">
      <c r="A1724" s="1">
        <v>391530</v>
      </c>
      <c r="B1724" s="1" t="s">
        <v>1751</v>
      </c>
      <c r="C1724" s="1" t="str">
        <f ca="1">IFERROR(__xludf.DUMMYFUNCTION("REGEXEXTRACT(B1724, ""^([^:]+)"")"),"Vinyl chloride polymers")</f>
        <v>Vinyl chloride polymers</v>
      </c>
      <c r="D1724" s="1" t="s">
        <v>11</v>
      </c>
      <c r="E1724" s="1" t="s">
        <v>11</v>
      </c>
    </row>
    <row r="1725" spans="1:5" ht="15.75" customHeight="1">
      <c r="A1725" s="1">
        <v>391590</v>
      </c>
      <c r="B1725" s="1" t="s">
        <v>1752</v>
      </c>
      <c r="C1725" s="1" t="str">
        <f ca="1">IFERROR(__xludf.DUMMYFUNCTION("REGEXEXTRACT(B1725, ""^([^:]+)"")"),"Plastics n.e.c. in heading no. 3915")</f>
        <v>Plastics n.e.c. in heading no. 3915</v>
      </c>
      <c r="D1725" s="1" t="s">
        <v>11</v>
      </c>
      <c r="E1725" s="1" t="s">
        <v>11</v>
      </c>
    </row>
    <row r="1726" spans="1:5" ht="15.75" customHeight="1">
      <c r="A1726" s="1">
        <v>391610</v>
      </c>
      <c r="B1726" s="1" t="s">
        <v>1753</v>
      </c>
      <c r="C1726" s="1" t="str">
        <f ca="1">IFERROR(__xludf.DUMMYFUNCTION("REGEXEXTRACT(B1726, ""^([^:]+)"")"),"Ethylene polymers")</f>
        <v>Ethylene polymers</v>
      </c>
      <c r="D1726" s="1" t="s">
        <v>11</v>
      </c>
      <c r="E1726" s="1" t="s">
        <v>11</v>
      </c>
    </row>
    <row r="1727" spans="1:5" ht="15.75" customHeight="1">
      <c r="A1727" s="1">
        <v>391620</v>
      </c>
      <c r="B1727" s="1" t="s">
        <v>1754</v>
      </c>
      <c r="C1727" s="1" t="str">
        <f ca="1">IFERROR(__xludf.DUMMYFUNCTION("REGEXEXTRACT(B1727, ""^([^:]+)"")"),"Vinyl chloride polymers")</f>
        <v>Vinyl chloride polymers</v>
      </c>
      <c r="D1727" s="1" t="s">
        <v>11</v>
      </c>
      <c r="E1727" s="1" t="s">
        <v>11</v>
      </c>
    </row>
    <row r="1728" spans="1:5" ht="15.75" customHeight="1">
      <c r="A1728" s="1">
        <v>391690</v>
      </c>
      <c r="B1728" s="1" t="s">
        <v>1755</v>
      </c>
      <c r="C1728" s="1" t="str">
        <f ca="1">IFERROR(__xludf.DUMMYFUNCTION("REGEXEXTRACT(B1728, ""^([^:]+)"")"),"Plastics")</f>
        <v>Plastics</v>
      </c>
      <c r="D1728" s="1" t="s">
        <v>11</v>
      </c>
      <c r="E1728" s="1" t="s">
        <v>11</v>
      </c>
    </row>
    <row r="1729" spans="1:13" ht="15.75" customHeight="1">
      <c r="A1729" s="1">
        <v>391710</v>
      </c>
      <c r="B1729" s="1" t="s">
        <v>1756</v>
      </c>
      <c r="C1729" s="1" t="str">
        <f ca="1">IFERROR(__xludf.DUMMYFUNCTION("REGEXEXTRACT(B1729, ""^([^:]+)"")"),"Plastics")</f>
        <v>Plastics</v>
      </c>
      <c r="D1729" s="1" t="s">
        <v>11</v>
      </c>
      <c r="E1729" s="1" t="s">
        <v>11</v>
      </c>
    </row>
    <row r="1730" spans="1:13" ht="15.75" customHeight="1">
      <c r="A1730" s="1">
        <v>391721</v>
      </c>
      <c r="B1730" s="1" t="s">
        <v>1757</v>
      </c>
      <c r="C1730" s="1" t="str">
        <f ca="1">IFERROR(__xludf.DUMMYFUNCTION("REGEXEXTRACT(B1730, ""^([^:]+)"")"),"Plastics")</f>
        <v>Plastics</v>
      </c>
      <c r="D1730" s="1" t="s">
        <v>11</v>
      </c>
      <c r="E1730" s="1" t="s">
        <v>11</v>
      </c>
    </row>
    <row r="1731" spans="1:13" ht="15.75" customHeight="1">
      <c r="A1731" s="1">
        <v>391722</v>
      </c>
      <c r="B1731" s="1" t="s">
        <v>1758</v>
      </c>
      <c r="C1731" s="1" t="str">
        <f ca="1">IFERROR(__xludf.DUMMYFUNCTION("REGEXEXTRACT(B1731, ""^([^:]+)"")"),"Plastics")</f>
        <v>Plastics</v>
      </c>
      <c r="D1731" s="1" t="s">
        <v>11</v>
      </c>
      <c r="E1731" s="1" t="s">
        <v>11</v>
      </c>
    </row>
    <row r="1732" spans="1:13" ht="15.75" customHeight="1">
      <c r="A1732" s="1">
        <v>391723</v>
      </c>
      <c r="B1732" s="1" t="s">
        <v>1759</v>
      </c>
      <c r="C1732" s="1" t="str">
        <f ca="1">IFERROR(__xludf.DUMMYFUNCTION("REGEXEXTRACT(B1732, ""^([^:]+)"")"),"Plastics")</f>
        <v>Plastics</v>
      </c>
      <c r="D1732" s="1" t="s">
        <v>11</v>
      </c>
      <c r="E1732" s="1" t="s">
        <v>11</v>
      </c>
    </row>
    <row r="1733" spans="1:13" ht="15.75" customHeight="1">
      <c r="A1733" s="1">
        <v>391729</v>
      </c>
      <c r="B1733" s="1" t="s">
        <v>1760</v>
      </c>
      <c r="C1733" s="1" t="str">
        <f ca="1">IFERROR(__xludf.DUMMYFUNCTION("REGEXEXTRACT(B1733, ""^([^:]+)"")"),"Plastics")</f>
        <v>Plastics</v>
      </c>
      <c r="D1733" s="1" t="s">
        <v>11</v>
      </c>
      <c r="E1733" s="1" t="s">
        <v>11</v>
      </c>
    </row>
    <row r="1734" spans="1:13" ht="15.75" customHeight="1">
      <c r="A1734" s="1">
        <v>391731</v>
      </c>
      <c r="B1734" s="1" t="s">
        <v>1761</v>
      </c>
      <c r="C1734" s="1" t="str">
        <f ca="1">IFERROR(__xludf.DUMMYFUNCTION("REGEXEXTRACT(B1734, ""^([^:]+)"")"),"Plastics")</f>
        <v>Plastics</v>
      </c>
      <c r="D1734" s="1" t="s">
        <v>11</v>
      </c>
      <c r="E1734" s="1" t="s">
        <v>11</v>
      </c>
    </row>
    <row r="1735" spans="1:13" ht="15.75" customHeight="1">
      <c r="A1735" s="1">
        <v>391732</v>
      </c>
      <c r="B1735" s="1" t="s">
        <v>1762</v>
      </c>
      <c r="C1735" s="1" t="str">
        <f ca="1">IFERROR(__xludf.DUMMYFUNCTION("REGEXEXTRACT(B1735, ""^([^:]+)"")"),"Plastics")</f>
        <v>Plastics</v>
      </c>
      <c r="D1735" s="1" t="s">
        <v>11</v>
      </c>
      <c r="E1735" s="1" t="s">
        <v>11</v>
      </c>
    </row>
    <row r="1736" spans="1:13" ht="15.75" customHeight="1">
      <c r="A1736" s="1">
        <v>391733</v>
      </c>
      <c r="B1736" s="1" t="s">
        <v>1763</v>
      </c>
      <c r="C1736" s="1" t="str">
        <f ca="1">IFERROR(__xludf.DUMMYFUNCTION("REGEXEXTRACT(B1736, ""^([^:]+)"")"),"Plastics")</f>
        <v>Plastics</v>
      </c>
      <c r="D1736" s="1" t="s">
        <v>11</v>
      </c>
      <c r="E1736" s="1" t="s">
        <v>11</v>
      </c>
    </row>
    <row r="1737" spans="1:13" ht="15.75" customHeight="1">
      <c r="A1737" s="1">
        <v>391739</v>
      </c>
      <c r="B1737" s="1" t="s">
        <v>1764</v>
      </c>
      <c r="C1737" s="1" t="str">
        <f ca="1">IFERROR(__xludf.DUMMYFUNCTION("REGEXEXTRACT(B1737, ""^([^:]+)"")"),"Plastics")</f>
        <v>Plastics</v>
      </c>
      <c r="D1737" s="1" t="s">
        <v>11</v>
      </c>
      <c r="E1737" s="1" t="s">
        <v>11</v>
      </c>
    </row>
    <row r="1738" spans="1:13" ht="15.75" customHeight="1">
      <c r="A1738" s="14">
        <v>300691</v>
      </c>
      <c r="B1738" s="14" t="s">
        <v>1431</v>
      </c>
      <c r="C1738" s="1" t="str">
        <f ca="1">IFERROR(__xludf.DUMMYFUNCTION("REGEXEXTRACT(B1738, ""^([^:]+)"")"),"Pharmaceutical goods")</f>
        <v>Pharmaceutical goods</v>
      </c>
      <c r="D1738" s="14">
        <v>1</v>
      </c>
      <c r="E1738" s="11" t="s">
        <v>1419</v>
      </c>
      <c r="F1738" s="15" t="s">
        <v>1419</v>
      </c>
      <c r="G1738" s="8"/>
      <c r="H1738" s="8"/>
      <c r="I1738" s="8"/>
      <c r="J1738" s="8"/>
      <c r="K1738" s="8"/>
      <c r="L1738" s="8"/>
      <c r="M1738" s="8"/>
    </row>
    <row r="1739" spans="1:13" ht="15.75" customHeight="1">
      <c r="A1739" s="1">
        <v>391810</v>
      </c>
      <c r="B1739" s="1" t="s">
        <v>1766</v>
      </c>
      <c r="C1739" s="1" t="str">
        <f ca="1">IFERROR(__xludf.DUMMYFUNCTION("REGEXEXTRACT(B1739, ""^([^:]+)"")"),"Floor, wall or ceiling coverings")</f>
        <v>Floor, wall or ceiling coverings</v>
      </c>
      <c r="D1739" s="1" t="s">
        <v>11</v>
      </c>
      <c r="E1739" s="1" t="s">
        <v>11</v>
      </c>
    </row>
    <row r="1740" spans="1:13" ht="15.75" customHeight="1">
      <c r="A1740" s="1">
        <v>391890</v>
      </c>
      <c r="B1740" s="1" t="s">
        <v>1767</v>
      </c>
      <c r="C1740" s="1" t="str">
        <f ca="1">IFERROR(__xludf.DUMMYFUNCTION("REGEXEXTRACT(B1740, ""^([^:]+)"")"),"Floor, wall or ceiling coverings")</f>
        <v>Floor, wall or ceiling coverings</v>
      </c>
      <c r="D1740" s="1" t="s">
        <v>11</v>
      </c>
      <c r="E1740" s="1" t="s">
        <v>11</v>
      </c>
    </row>
    <row r="1741" spans="1:13" ht="15.75" customHeight="1">
      <c r="A1741" s="1">
        <v>391910</v>
      </c>
      <c r="B1741" s="1" t="s">
        <v>1768</v>
      </c>
      <c r="C1741" s="1" t="str">
        <f ca="1">IFERROR(__xludf.DUMMYFUNCTION("REGEXEXTRACT(B1741, ""^([^:]+)"")"),"Plastics")</f>
        <v>Plastics</v>
      </c>
      <c r="D1741" s="1" t="s">
        <v>11</v>
      </c>
      <c r="E1741" s="1" t="s">
        <v>11</v>
      </c>
    </row>
    <row r="1742" spans="1:13" ht="15.75" customHeight="1">
      <c r="A1742" s="1">
        <v>391990</v>
      </c>
      <c r="B1742" s="1" t="s">
        <v>1769</v>
      </c>
      <c r="C1742" s="1" t="str">
        <f ca="1">IFERROR(__xludf.DUMMYFUNCTION("REGEXEXTRACT(B1742, ""^([^:]+)"")"),"Plastics")</f>
        <v>Plastics</v>
      </c>
      <c r="D1742" s="1" t="s">
        <v>11</v>
      </c>
      <c r="E1742" s="1" t="s">
        <v>11</v>
      </c>
    </row>
    <row r="1743" spans="1:13" ht="15.75" customHeight="1">
      <c r="A1743" s="1">
        <v>392010</v>
      </c>
      <c r="B1743" s="1" t="s">
        <v>1770</v>
      </c>
      <c r="C1743" s="1" t="str">
        <f ca="1">IFERROR(__xludf.DUMMYFUNCTION("REGEXEXTRACT(B1743, ""^([^:]+)"")"),"Plastics")</f>
        <v>Plastics</v>
      </c>
      <c r="D1743" s="1" t="s">
        <v>11</v>
      </c>
      <c r="E1743" s="1" t="s">
        <v>11</v>
      </c>
    </row>
    <row r="1744" spans="1:13" ht="15.75" customHeight="1">
      <c r="A1744" s="1">
        <v>392020</v>
      </c>
      <c r="B1744" s="1" t="s">
        <v>1771</v>
      </c>
      <c r="C1744" s="1" t="str">
        <f ca="1">IFERROR(__xludf.DUMMYFUNCTION("REGEXEXTRACT(B1744, ""^([^:]+)"")"),"Plastics")</f>
        <v>Plastics</v>
      </c>
      <c r="D1744" s="1" t="s">
        <v>11</v>
      </c>
      <c r="E1744" s="1" t="s">
        <v>11</v>
      </c>
    </row>
    <row r="1745" spans="1:5" ht="15.75" customHeight="1">
      <c r="A1745" s="1">
        <v>392030</v>
      </c>
      <c r="B1745" s="1" t="s">
        <v>1772</v>
      </c>
      <c r="C1745" s="1" t="str">
        <f ca="1">IFERROR(__xludf.DUMMYFUNCTION("REGEXEXTRACT(B1745, ""^([^:]+)"")"),"Plastics")</f>
        <v>Plastics</v>
      </c>
      <c r="D1745" s="1" t="s">
        <v>11</v>
      </c>
      <c r="E1745" s="1" t="s">
        <v>11</v>
      </c>
    </row>
    <row r="1746" spans="1:5" ht="15.75" customHeight="1">
      <c r="A1746" s="1">
        <v>392043</v>
      </c>
      <c r="B1746" s="1" t="s">
        <v>1773</v>
      </c>
      <c r="C1746" s="1" t="str">
        <f ca="1">IFERROR(__xludf.DUMMYFUNCTION("REGEXEXTRACT(B1746, ""^([^:]+)"")"),"Plastics")</f>
        <v>Plastics</v>
      </c>
      <c r="D1746" s="1" t="s">
        <v>11</v>
      </c>
      <c r="E1746" s="1" t="s">
        <v>11</v>
      </c>
    </row>
    <row r="1747" spans="1:5" ht="15.75" customHeight="1">
      <c r="A1747" s="1">
        <v>392049</v>
      </c>
      <c r="B1747" s="1" t="s">
        <v>1774</v>
      </c>
      <c r="C1747" s="1" t="str">
        <f ca="1">IFERROR(__xludf.DUMMYFUNCTION("REGEXEXTRACT(B1747, ""^([^:]+)"")"),"Plastics")</f>
        <v>Plastics</v>
      </c>
      <c r="D1747" s="1" t="s">
        <v>11</v>
      </c>
      <c r="E1747" s="1" t="s">
        <v>11</v>
      </c>
    </row>
    <row r="1748" spans="1:5" ht="15.75" customHeight="1">
      <c r="A1748" s="1">
        <v>392051</v>
      </c>
      <c r="B1748" s="1" t="s">
        <v>1775</v>
      </c>
      <c r="C1748" s="1" t="str">
        <f ca="1">IFERROR(__xludf.DUMMYFUNCTION("REGEXEXTRACT(B1748, ""^([^:]+)"")"),"Plastics")</f>
        <v>Plastics</v>
      </c>
      <c r="D1748" s="1" t="s">
        <v>11</v>
      </c>
      <c r="E1748" s="1" t="s">
        <v>11</v>
      </c>
    </row>
    <row r="1749" spans="1:5" ht="15.75" customHeight="1">
      <c r="A1749" s="1">
        <v>392059</v>
      </c>
      <c r="B1749" s="1" t="s">
        <v>1776</v>
      </c>
      <c r="C1749" s="1" t="str">
        <f ca="1">IFERROR(__xludf.DUMMYFUNCTION("REGEXEXTRACT(B1749, ""^([^:]+)"")"),"Plastics")</f>
        <v>Plastics</v>
      </c>
      <c r="D1749" s="1" t="s">
        <v>11</v>
      </c>
      <c r="E1749" s="1" t="s">
        <v>11</v>
      </c>
    </row>
    <row r="1750" spans="1:5" ht="15.75" customHeight="1">
      <c r="A1750" s="1">
        <v>392061</v>
      </c>
      <c r="B1750" s="1" t="s">
        <v>1777</v>
      </c>
      <c r="C1750" s="1" t="str">
        <f ca="1">IFERROR(__xludf.DUMMYFUNCTION("REGEXEXTRACT(B1750, ""^([^:]+)"")"),"Plastics")</f>
        <v>Plastics</v>
      </c>
      <c r="D1750" s="1" t="s">
        <v>11</v>
      </c>
      <c r="E1750" s="1" t="s">
        <v>11</v>
      </c>
    </row>
    <row r="1751" spans="1:5" ht="15.75" customHeight="1">
      <c r="A1751" s="1">
        <v>392062</v>
      </c>
      <c r="B1751" s="1" t="s">
        <v>1778</v>
      </c>
      <c r="C1751" s="1" t="str">
        <f ca="1">IFERROR(__xludf.DUMMYFUNCTION("REGEXEXTRACT(B1751, ""^([^:]+)"")"),"Plastics")</f>
        <v>Plastics</v>
      </c>
      <c r="D1751" s="1" t="s">
        <v>11</v>
      </c>
      <c r="E1751" s="1" t="s">
        <v>11</v>
      </c>
    </row>
    <row r="1752" spans="1:5" ht="15.75" customHeight="1">
      <c r="A1752" s="1">
        <v>392063</v>
      </c>
      <c r="B1752" s="1" t="s">
        <v>1779</v>
      </c>
      <c r="C1752" s="1" t="str">
        <f ca="1">IFERROR(__xludf.DUMMYFUNCTION("REGEXEXTRACT(B1752, ""^([^:]+)"")"),"Plastics")</f>
        <v>Plastics</v>
      </c>
      <c r="D1752" s="1" t="s">
        <v>11</v>
      </c>
      <c r="E1752" s="1" t="s">
        <v>11</v>
      </c>
    </row>
    <row r="1753" spans="1:5" ht="15.75" customHeight="1">
      <c r="A1753" s="1">
        <v>392069</v>
      </c>
      <c r="B1753" s="1" t="s">
        <v>1780</v>
      </c>
      <c r="C1753" s="1" t="str">
        <f ca="1">IFERROR(__xludf.DUMMYFUNCTION("REGEXEXTRACT(B1753, ""^([^:]+)"")"),"Plastics")</f>
        <v>Plastics</v>
      </c>
      <c r="D1753" s="1" t="s">
        <v>11</v>
      </c>
      <c r="E1753" s="1" t="s">
        <v>11</v>
      </c>
    </row>
    <row r="1754" spans="1:5" ht="15.75" customHeight="1">
      <c r="A1754" s="1">
        <v>392071</v>
      </c>
      <c r="B1754" s="1" t="s">
        <v>1781</v>
      </c>
      <c r="C1754" s="1" t="str">
        <f ca="1">IFERROR(__xludf.DUMMYFUNCTION("REGEXEXTRACT(B1754, ""^([^:]+)"")"),"Plastics")</f>
        <v>Plastics</v>
      </c>
      <c r="D1754" s="1" t="s">
        <v>11</v>
      </c>
      <c r="E1754" s="1" t="s">
        <v>11</v>
      </c>
    </row>
    <row r="1755" spans="1:5" ht="15.75" customHeight="1">
      <c r="A1755" s="1">
        <v>392073</v>
      </c>
      <c r="B1755" s="1" t="s">
        <v>1782</v>
      </c>
      <c r="C1755" s="1" t="str">
        <f ca="1">IFERROR(__xludf.DUMMYFUNCTION("REGEXEXTRACT(B1755, ""^([^:]+)"")"),"Plastics")</f>
        <v>Plastics</v>
      </c>
      <c r="D1755" s="1" t="s">
        <v>11</v>
      </c>
      <c r="E1755" s="1" t="s">
        <v>11</v>
      </c>
    </row>
    <row r="1756" spans="1:5" ht="15.75" customHeight="1">
      <c r="A1756" s="1">
        <v>392079</v>
      </c>
      <c r="B1756" s="1" t="s">
        <v>1783</v>
      </c>
      <c r="C1756" s="1" t="str">
        <f ca="1">IFERROR(__xludf.DUMMYFUNCTION("REGEXEXTRACT(B1756, ""^([^:]+)"")"),"Plastics")</f>
        <v>Plastics</v>
      </c>
      <c r="D1756" s="1" t="s">
        <v>11</v>
      </c>
      <c r="E1756" s="1" t="s">
        <v>11</v>
      </c>
    </row>
    <row r="1757" spans="1:5" ht="15.75" customHeight="1">
      <c r="A1757" s="1">
        <v>392091</v>
      </c>
      <c r="B1757" s="1" t="s">
        <v>1784</v>
      </c>
      <c r="C1757" s="1" t="str">
        <f ca="1">IFERROR(__xludf.DUMMYFUNCTION("REGEXEXTRACT(B1757, ""^([^:]+)"")"),"Plastics")</f>
        <v>Plastics</v>
      </c>
      <c r="D1757" s="1" t="s">
        <v>11</v>
      </c>
      <c r="E1757" s="1" t="s">
        <v>11</v>
      </c>
    </row>
    <row r="1758" spans="1:5" ht="15.75" customHeight="1">
      <c r="A1758" s="1">
        <v>392092</v>
      </c>
      <c r="B1758" s="1" t="s">
        <v>1785</v>
      </c>
      <c r="C1758" s="1" t="str">
        <f ca="1">IFERROR(__xludf.DUMMYFUNCTION("REGEXEXTRACT(B1758, ""^([^:]+)"")"),"Plastics")</f>
        <v>Plastics</v>
      </c>
      <c r="D1758" s="1" t="s">
        <v>11</v>
      </c>
      <c r="E1758" s="1" t="s">
        <v>11</v>
      </c>
    </row>
    <row r="1759" spans="1:5" ht="15.75" customHeight="1">
      <c r="A1759" s="1">
        <v>392093</v>
      </c>
      <c r="B1759" s="1" t="s">
        <v>1786</v>
      </c>
      <c r="C1759" s="1" t="str">
        <f ca="1">IFERROR(__xludf.DUMMYFUNCTION("REGEXEXTRACT(B1759, ""^([^:]+)"")"),"Plastics")</f>
        <v>Plastics</v>
      </c>
      <c r="D1759" s="1" t="s">
        <v>11</v>
      </c>
      <c r="E1759" s="1" t="s">
        <v>11</v>
      </c>
    </row>
    <row r="1760" spans="1:5" ht="15.75" customHeight="1">
      <c r="A1760" s="1">
        <v>392094</v>
      </c>
      <c r="B1760" s="1" t="s">
        <v>1787</v>
      </c>
      <c r="C1760" s="1" t="str">
        <f ca="1">IFERROR(__xludf.DUMMYFUNCTION("REGEXEXTRACT(B1760, ""^([^:]+)"")"),"Plastics")</f>
        <v>Plastics</v>
      </c>
      <c r="D1760" s="1" t="s">
        <v>11</v>
      </c>
      <c r="E1760" s="1" t="s">
        <v>11</v>
      </c>
    </row>
    <row r="1761" spans="1:5" ht="15.75" customHeight="1">
      <c r="A1761" s="1">
        <v>392099</v>
      </c>
      <c r="B1761" s="1" t="s">
        <v>1788</v>
      </c>
      <c r="C1761" s="1" t="str">
        <f ca="1">IFERROR(__xludf.DUMMYFUNCTION("REGEXEXTRACT(B1761, ""^([^:]+)"")"),"Plastics")</f>
        <v>Plastics</v>
      </c>
      <c r="D1761" s="1" t="s">
        <v>11</v>
      </c>
      <c r="E1761" s="1" t="s">
        <v>11</v>
      </c>
    </row>
    <row r="1762" spans="1:5" ht="15.75" customHeight="1">
      <c r="A1762" s="1">
        <v>392111</v>
      </c>
      <c r="B1762" s="1" t="s">
        <v>1789</v>
      </c>
      <c r="C1762" s="1" t="str">
        <f ca="1">IFERROR(__xludf.DUMMYFUNCTION("REGEXEXTRACT(B1762, ""^([^:]+)"")"),"Plastics")</f>
        <v>Plastics</v>
      </c>
      <c r="D1762" s="1" t="s">
        <v>11</v>
      </c>
      <c r="E1762" s="1" t="s">
        <v>11</v>
      </c>
    </row>
    <row r="1763" spans="1:5" ht="15.75" customHeight="1">
      <c r="A1763" s="1">
        <v>392112</v>
      </c>
      <c r="B1763" s="1" t="s">
        <v>1790</v>
      </c>
      <c r="C1763" s="1" t="str">
        <f ca="1">IFERROR(__xludf.DUMMYFUNCTION("REGEXEXTRACT(B1763, ""^([^:]+)"")"),"Plastics")</f>
        <v>Plastics</v>
      </c>
      <c r="D1763" s="1" t="s">
        <v>11</v>
      </c>
      <c r="E1763" s="1" t="s">
        <v>11</v>
      </c>
    </row>
    <row r="1764" spans="1:5" ht="15.75" customHeight="1">
      <c r="A1764" s="1">
        <v>392113</v>
      </c>
      <c r="B1764" s="1" t="s">
        <v>1791</v>
      </c>
      <c r="C1764" s="1" t="str">
        <f ca="1">IFERROR(__xludf.DUMMYFUNCTION("REGEXEXTRACT(B1764, ""^([^:]+)"")"),"Plastics")</f>
        <v>Plastics</v>
      </c>
      <c r="D1764" s="1" t="s">
        <v>11</v>
      </c>
      <c r="E1764" s="1" t="s">
        <v>11</v>
      </c>
    </row>
    <row r="1765" spans="1:5" ht="15.75" customHeight="1">
      <c r="A1765" s="1">
        <v>392114</v>
      </c>
      <c r="B1765" s="1" t="s">
        <v>1792</v>
      </c>
      <c r="C1765" s="1" t="str">
        <f ca="1">IFERROR(__xludf.DUMMYFUNCTION("REGEXEXTRACT(B1765, ""^([^:]+)"")"),"Plastics")</f>
        <v>Plastics</v>
      </c>
      <c r="D1765" s="1" t="s">
        <v>11</v>
      </c>
      <c r="E1765" s="1" t="s">
        <v>11</v>
      </c>
    </row>
    <row r="1766" spans="1:5" ht="15.75" customHeight="1">
      <c r="A1766" s="1">
        <v>392119</v>
      </c>
      <c r="B1766" s="1" t="s">
        <v>1793</v>
      </c>
      <c r="C1766" s="1" t="str">
        <f ca="1">IFERROR(__xludf.DUMMYFUNCTION("REGEXEXTRACT(B1766, ""^([^:]+)"")"),"Plastics")</f>
        <v>Plastics</v>
      </c>
      <c r="D1766" s="1" t="s">
        <v>11</v>
      </c>
      <c r="E1766" s="1" t="s">
        <v>11</v>
      </c>
    </row>
    <row r="1767" spans="1:5" ht="15.75" customHeight="1">
      <c r="A1767" s="1">
        <v>392190</v>
      </c>
      <c r="B1767" s="1" t="s">
        <v>1794</v>
      </c>
      <c r="C1767" s="1" t="str">
        <f ca="1">IFERROR(__xludf.DUMMYFUNCTION("REGEXEXTRACT(B1767, ""^([^:]+)"")"),"Plastics")</f>
        <v>Plastics</v>
      </c>
      <c r="D1767" s="1" t="s">
        <v>11</v>
      </c>
      <c r="E1767" s="1" t="s">
        <v>11</v>
      </c>
    </row>
    <row r="1768" spans="1:5" ht="15.75" customHeight="1">
      <c r="A1768" s="1">
        <v>392210</v>
      </c>
      <c r="B1768" s="1" t="s">
        <v>1795</v>
      </c>
      <c r="C1768" s="1" t="str">
        <f ca="1">IFERROR(__xludf.DUMMYFUNCTION("REGEXEXTRACT(B1768, ""^([^:]+)"")"),"Plastics")</f>
        <v>Plastics</v>
      </c>
      <c r="D1768" s="1" t="s">
        <v>11</v>
      </c>
      <c r="E1768" s="1" t="s">
        <v>11</v>
      </c>
    </row>
    <row r="1769" spans="1:5" ht="15.75" customHeight="1">
      <c r="A1769" s="1">
        <v>392220</v>
      </c>
      <c r="B1769" s="1" t="s">
        <v>1796</v>
      </c>
      <c r="C1769" s="1" t="str">
        <f ca="1">IFERROR(__xludf.DUMMYFUNCTION("REGEXEXTRACT(B1769, ""^([^:]+)"")"),"Plastics")</f>
        <v>Plastics</v>
      </c>
      <c r="D1769" s="1" t="s">
        <v>11</v>
      </c>
      <c r="E1769" s="1" t="s">
        <v>11</v>
      </c>
    </row>
    <row r="1770" spans="1:5" ht="15.75" customHeight="1">
      <c r="A1770" s="1">
        <v>392290</v>
      </c>
      <c r="B1770" s="1" t="s">
        <v>1797</v>
      </c>
      <c r="C1770" s="1" t="str">
        <f ca="1">IFERROR(__xludf.DUMMYFUNCTION("REGEXEXTRACT(B1770, ""^([^:]+)"")"),"Plastics")</f>
        <v>Plastics</v>
      </c>
      <c r="D1770" s="1" t="s">
        <v>11</v>
      </c>
      <c r="E1770" s="1" t="s">
        <v>11</v>
      </c>
    </row>
    <row r="1771" spans="1:5" ht="15.75" customHeight="1">
      <c r="A1771" s="1">
        <v>392310</v>
      </c>
      <c r="B1771" s="1" t="s">
        <v>1798</v>
      </c>
      <c r="C1771" s="1" t="str">
        <f ca="1">IFERROR(__xludf.DUMMYFUNCTION("REGEXEXTRACT(B1771, ""^([^:]+)"")"),"Plastics")</f>
        <v>Plastics</v>
      </c>
      <c r="D1771" s="1" t="s">
        <v>11</v>
      </c>
      <c r="E1771" s="1" t="s">
        <v>11</v>
      </c>
    </row>
    <row r="1772" spans="1:5" ht="15.75" customHeight="1">
      <c r="A1772" s="1">
        <v>392321</v>
      </c>
      <c r="B1772" s="1" t="s">
        <v>1799</v>
      </c>
      <c r="C1772" s="1" t="str">
        <f ca="1">IFERROR(__xludf.DUMMYFUNCTION("REGEXEXTRACT(B1772, ""^([^:]+)"")"),"Ethylene polymers")</f>
        <v>Ethylene polymers</v>
      </c>
      <c r="D1772" s="1" t="s">
        <v>11</v>
      </c>
      <c r="E1772" s="1" t="s">
        <v>11</v>
      </c>
    </row>
    <row r="1773" spans="1:5" ht="15.75" customHeight="1">
      <c r="A1773" s="1">
        <v>392329</v>
      </c>
      <c r="B1773" s="1" t="s">
        <v>1800</v>
      </c>
      <c r="C1773" s="1" t="str">
        <f ca="1">IFERROR(__xludf.DUMMYFUNCTION("REGEXEXTRACT(B1773, ""^([^:]+)"")"),"Plastics")</f>
        <v>Plastics</v>
      </c>
      <c r="D1773" s="1" t="s">
        <v>11</v>
      </c>
      <c r="E1773" s="1" t="s">
        <v>11</v>
      </c>
    </row>
    <row r="1774" spans="1:5" ht="15.75" customHeight="1">
      <c r="A1774" s="1">
        <v>392330</v>
      </c>
      <c r="B1774" s="1" t="s">
        <v>1801</v>
      </c>
      <c r="C1774" s="1" t="str">
        <f ca="1">IFERROR(__xludf.DUMMYFUNCTION("REGEXEXTRACT(B1774, ""^([^:]+)"")"),"Plastics")</f>
        <v>Plastics</v>
      </c>
      <c r="D1774" s="1" t="s">
        <v>11</v>
      </c>
      <c r="E1774" s="1" t="s">
        <v>11</v>
      </c>
    </row>
    <row r="1775" spans="1:5" ht="15.75" customHeight="1">
      <c r="A1775" s="1">
        <v>392340</v>
      </c>
      <c r="B1775" s="1" t="s">
        <v>1802</v>
      </c>
      <c r="C1775" s="1" t="str">
        <f ca="1">IFERROR(__xludf.DUMMYFUNCTION("REGEXEXTRACT(B1775, ""^([^:]+)"")"),"Plastics")</f>
        <v>Plastics</v>
      </c>
      <c r="D1775" s="1" t="s">
        <v>11</v>
      </c>
      <c r="E1775" s="1" t="s">
        <v>11</v>
      </c>
    </row>
    <row r="1776" spans="1:5" ht="15.75" customHeight="1">
      <c r="A1776" s="1">
        <v>392350</v>
      </c>
      <c r="B1776" s="1" t="s">
        <v>1803</v>
      </c>
      <c r="C1776" s="1" t="str">
        <f ca="1">IFERROR(__xludf.DUMMYFUNCTION("REGEXEXTRACT(B1776, ""^([^:]+)"")"),"Plastics")</f>
        <v>Plastics</v>
      </c>
      <c r="D1776" s="1" t="s">
        <v>11</v>
      </c>
      <c r="E1776" s="1" t="s">
        <v>11</v>
      </c>
    </row>
    <row r="1777" spans="1:5" ht="15.75" customHeight="1">
      <c r="A1777" s="1">
        <v>392390</v>
      </c>
      <c r="B1777" s="1" t="s">
        <v>1804</v>
      </c>
      <c r="C1777" s="1" t="str">
        <f ca="1">IFERROR(__xludf.DUMMYFUNCTION("REGEXEXTRACT(B1777, ""^([^:]+)"")"),"Plastics")</f>
        <v>Plastics</v>
      </c>
      <c r="D1777" s="1" t="s">
        <v>11</v>
      </c>
      <c r="E1777" s="1" t="s">
        <v>11</v>
      </c>
    </row>
    <row r="1778" spans="1:5" ht="15.75" customHeight="1">
      <c r="A1778" s="1">
        <v>392410</v>
      </c>
      <c r="B1778" s="1" t="s">
        <v>1805</v>
      </c>
      <c r="C1778" s="1" t="str">
        <f ca="1">IFERROR(__xludf.DUMMYFUNCTION("REGEXEXTRACT(B1778, ""^([^:]+)"")"),"Plastics")</f>
        <v>Plastics</v>
      </c>
      <c r="D1778" s="1" t="s">
        <v>11</v>
      </c>
      <c r="E1778" s="1" t="s">
        <v>11</v>
      </c>
    </row>
    <row r="1779" spans="1:5" ht="15.75" customHeight="1">
      <c r="A1779" s="1">
        <v>392490</v>
      </c>
      <c r="B1779" s="1" t="s">
        <v>1806</v>
      </c>
      <c r="C1779" s="1" t="str">
        <f ca="1">IFERROR(__xludf.DUMMYFUNCTION("REGEXEXTRACT(B1779, ""^([^:]+)"")"),"Plastics")</f>
        <v>Plastics</v>
      </c>
      <c r="D1779" s="1" t="s">
        <v>11</v>
      </c>
      <c r="E1779" s="1" t="s">
        <v>11</v>
      </c>
    </row>
    <row r="1780" spans="1:5" ht="15.75" customHeight="1">
      <c r="A1780" s="1">
        <v>392510</v>
      </c>
      <c r="B1780" s="1" t="s">
        <v>1807</v>
      </c>
      <c r="C1780" s="1" t="str">
        <f ca="1">IFERROR(__xludf.DUMMYFUNCTION("REGEXEXTRACT(B1780, ""^([^:]+)"")"),"Plastics")</f>
        <v>Plastics</v>
      </c>
      <c r="D1780" s="1" t="s">
        <v>11</v>
      </c>
      <c r="E1780" s="1" t="s">
        <v>11</v>
      </c>
    </row>
    <row r="1781" spans="1:5" ht="15.75" customHeight="1">
      <c r="A1781" s="1">
        <v>392520</v>
      </c>
      <c r="B1781" s="1" t="s">
        <v>1808</v>
      </c>
      <c r="C1781" s="1" t="str">
        <f ca="1">IFERROR(__xludf.DUMMYFUNCTION("REGEXEXTRACT(B1781, ""^([^:]+)"")"),"Plastics")</f>
        <v>Plastics</v>
      </c>
      <c r="D1781" s="1" t="s">
        <v>11</v>
      </c>
      <c r="E1781" s="1" t="s">
        <v>11</v>
      </c>
    </row>
    <row r="1782" spans="1:5" ht="15.75" customHeight="1">
      <c r="A1782" s="1">
        <v>392530</v>
      </c>
      <c r="B1782" s="1" t="s">
        <v>1809</v>
      </c>
      <c r="C1782" s="1" t="str">
        <f ca="1">IFERROR(__xludf.DUMMYFUNCTION("REGEXEXTRACT(B1782, ""^([^:]+)"")"),"Plastics")</f>
        <v>Plastics</v>
      </c>
      <c r="D1782" s="1" t="s">
        <v>11</v>
      </c>
      <c r="E1782" s="1" t="s">
        <v>11</v>
      </c>
    </row>
    <row r="1783" spans="1:5" ht="15.75" customHeight="1">
      <c r="A1783" s="1">
        <v>392590</v>
      </c>
      <c r="B1783" s="1" t="s">
        <v>1810</v>
      </c>
      <c r="C1783" s="1" t="str">
        <f ca="1">IFERROR(__xludf.DUMMYFUNCTION("REGEXEXTRACT(B1783, ""^([^:]+)"")"),"Plastics")</f>
        <v>Plastics</v>
      </c>
      <c r="D1783" s="1" t="s">
        <v>11</v>
      </c>
      <c r="E1783" s="1" t="s">
        <v>11</v>
      </c>
    </row>
    <row r="1784" spans="1:5" ht="15.75" customHeight="1">
      <c r="A1784" s="1">
        <v>392610</v>
      </c>
      <c r="B1784" s="1" t="s">
        <v>1811</v>
      </c>
      <c r="C1784" s="1" t="str">
        <f ca="1">IFERROR(__xludf.DUMMYFUNCTION("REGEXEXTRACT(B1784, ""^([^:]+)"")"),"Plastics")</f>
        <v>Plastics</v>
      </c>
      <c r="D1784" s="1" t="s">
        <v>11</v>
      </c>
      <c r="E1784" s="1" t="s">
        <v>11</v>
      </c>
    </row>
    <row r="1785" spans="1:5" ht="15.75" customHeight="1">
      <c r="A1785" s="1">
        <v>392620</v>
      </c>
      <c r="B1785" s="1" t="s">
        <v>1812</v>
      </c>
      <c r="C1785" s="1" t="str">
        <f ca="1">IFERROR(__xludf.DUMMYFUNCTION("REGEXEXTRACT(B1785, ""^([^:]+)"")"),"Plastics")</f>
        <v>Plastics</v>
      </c>
      <c r="D1785" s="1" t="s">
        <v>11</v>
      </c>
      <c r="E1785" s="1" t="s">
        <v>11</v>
      </c>
    </row>
    <row r="1786" spans="1:5" ht="15.75" customHeight="1">
      <c r="A1786" s="1">
        <v>392630</v>
      </c>
      <c r="B1786" s="1" t="s">
        <v>1813</v>
      </c>
      <c r="C1786" s="1" t="str">
        <f ca="1">IFERROR(__xludf.DUMMYFUNCTION("REGEXEXTRACT(B1786, ""^([^:]+)"")"),"Plastics")</f>
        <v>Plastics</v>
      </c>
      <c r="D1786" s="1" t="s">
        <v>11</v>
      </c>
      <c r="E1786" s="1" t="s">
        <v>11</v>
      </c>
    </row>
    <row r="1787" spans="1:5" ht="15.75" customHeight="1">
      <c r="A1787" s="1">
        <v>392640</v>
      </c>
      <c r="B1787" s="1" t="s">
        <v>1814</v>
      </c>
      <c r="C1787" s="1" t="str">
        <f ca="1">IFERROR(__xludf.DUMMYFUNCTION("REGEXEXTRACT(B1787, ""^([^:]+)"")"),"Plastics")</f>
        <v>Plastics</v>
      </c>
      <c r="D1787" s="1" t="s">
        <v>11</v>
      </c>
      <c r="E1787" s="1" t="s">
        <v>11</v>
      </c>
    </row>
    <row r="1788" spans="1:5" ht="15.75" customHeight="1">
      <c r="A1788" s="1">
        <v>392690</v>
      </c>
      <c r="B1788" s="1" t="s">
        <v>1815</v>
      </c>
      <c r="C1788" s="1" t="str">
        <f ca="1">IFERROR(__xludf.DUMMYFUNCTION("REGEXEXTRACT(B1788, ""^([^:]+)"")"),"Plastics")</f>
        <v>Plastics</v>
      </c>
      <c r="D1788" s="1" t="s">
        <v>11</v>
      </c>
      <c r="E1788" s="1" t="s">
        <v>11</v>
      </c>
    </row>
    <row r="1789" spans="1:5" ht="15.75" customHeight="1">
      <c r="A1789" s="1">
        <v>400110</v>
      </c>
      <c r="B1789" s="1" t="s">
        <v>1816</v>
      </c>
      <c r="C1789" s="1" t="str">
        <f ca="1">IFERROR(__xludf.DUMMYFUNCTION("REGEXEXTRACT(B1789, ""^([^:]+)"")"),"Rubber")</f>
        <v>Rubber</v>
      </c>
      <c r="D1789" s="1" t="s">
        <v>11</v>
      </c>
      <c r="E1789" s="1" t="s">
        <v>11</v>
      </c>
    </row>
    <row r="1790" spans="1:5" ht="15.75" customHeight="1">
      <c r="A1790" s="1">
        <v>400121</v>
      </c>
      <c r="B1790" s="1" t="s">
        <v>1817</v>
      </c>
      <c r="C1790" s="1" t="str">
        <f ca="1">IFERROR(__xludf.DUMMYFUNCTION("REGEXEXTRACT(B1790, ""^([^:]+)"")"),"Rubber")</f>
        <v>Rubber</v>
      </c>
      <c r="D1790" s="1" t="s">
        <v>11</v>
      </c>
      <c r="E1790" s="1" t="s">
        <v>11</v>
      </c>
    </row>
    <row r="1791" spans="1:5" ht="15.75" customHeight="1">
      <c r="A1791" s="1">
        <v>400122</v>
      </c>
      <c r="B1791" s="1" t="s">
        <v>1818</v>
      </c>
      <c r="C1791" s="1" t="str">
        <f ca="1">IFERROR(__xludf.DUMMYFUNCTION("REGEXEXTRACT(B1791, ""^([^:]+)"")"),"Rubber")</f>
        <v>Rubber</v>
      </c>
      <c r="D1791" s="1" t="s">
        <v>11</v>
      </c>
      <c r="E1791" s="1" t="s">
        <v>11</v>
      </c>
    </row>
    <row r="1792" spans="1:5" ht="15.75" customHeight="1">
      <c r="A1792" s="1">
        <v>400129</v>
      </c>
      <c r="B1792" s="1" t="s">
        <v>1819</v>
      </c>
      <c r="C1792" s="1" t="str">
        <f ca="1">IFERROR(__xludf.DUMMYFUNCTION("REGEXEXTRACT(B1792, ""^([^:]+)"")"),"Rubber")</f>
        <v>Rubber</v>
      </c>
      <c r="D1792" s="1" t="s">
        <v>11</v>
      </c>
      <c r="E1792" s="1" t="s">
        <v>11</v>
      </c>
    </row>
    <row r="1793" spans="1:5" ht="15.75" customHeight="1">
      <c r="A1793" s="1">
        <v>400130</v>
      </c>
      <c r="B1793" s="1" t="s">
        <v>1820</v>
      </c>
      <c r="C1793" s="1" t="str">
        <f ca="1">IFERROR(__xludf.DUMMYFUNCTION("REGEXEXTRACT(B1793, ""^([^:]+)"")"),"Balata, gutta-percha, guayule, chicle and similar natural gums")</f>
        <v>Balata, gutta-percha, guayule, chicle and similar natural gums</v>
      </c>
      <c r="D1793" s="1" t="s">
        <v>11</v>
      </c>
      <c r="E1793" s="1" t="s">
        <v>11</v>
      </c>
    </row>
    <row r="1794" spans="1:5" ht="15.75" customHeight="1">
      <c r="A1794" s="1">
        <v>400211</v>
      </c>
      <c r="B1794" s="1" t="s">
        <v>1821</v>
      </c>
      <c r="C1794" s="1" t="str">
        <f ca="1">IFERROR(__xludf.DUMMYFUNCTION("REGEXEXTRACT(B1794, ""^([^:]+)"")"),"Rubber")</f>
        <v>Rubber</v>
      </c>
      <c r="D1794" s="1" t="s">
        <v>11</v>
      </c>
      <c r="E1794" s="1" t="s">
        <v>11</v>
      </c>
    </row>
    <row r="1795" spans="1:5" ht="15.75" customHeight="1">
      <c r="A1795" s="1">
        <v>400219</v>
      </c>
      <c r="B1795" s="1" t="s">
        <v>1822</v>
      </c>
      <c r="C1795" s="1" t="str">
        <f ca="1">IFERROR(__xludf.DUMMYFUNCTION("REGEXEXTRACT(B1795, ""^([^:]+)"")"),"Rubber")</f>
        <v>Rubber</v>
      </c>
      <c r="D1795" s="1" t="s">
        <v>11</v>
      </c>
      <c r="E1795" s="1" t="s">
        <v>11</v>
      </c>
    </row>
    <row r="1796" spans="1:5" ht="15.75" customHeight="1">
      <c r="A1796" s="1">
        <v>400220</v>
      </c>
      <c r="B1796" s="1" t="s">
        <v>1823</v>
      </c>
      <c r="C1796" s="1" t="str">
        <f ca="1">IFERROR(__xludf.DUMMYFUNCTION("REGEXEXTRACT(B1796, ""^([^:]+)"")"),"Rubber")</f>
        <v>Rubber</v>
      </c>
      <c r="D1796" s="1" t="s">
        <v>11</v>
      </c>
      <c r="E1796" s="1" t="s">
        <v>11</v>
      </c>
    </row>
    <row r="1797" spans="1:5" ht="15.75" customHeight="1">
      <c r="A1797" s="1">
        <v>400231</v>
      </c>
      <c r="B1797" s="1" t="s">
        <v>1824</v>
      </c>
      <c r="C1797" s="1" t="str">
        <f ca="1">IFERROR(__xludf.DUMMYFUNCTION("REGEXEXTRACT(B1797, ""^([^:]+)"")"),"Rubber")</f>
        <v>Rubber</v>
      </c>
      <c r="D1797" s="1" t="s">
        <v>11</v>
      </c>
      <c r="E1797" s="1" t="s">
        <v>11</v>
      </c>
    </row>
    <row r="1798" spans="1:5" ht="15.75" customHeight="1">
      <c r="A1798" s="1">
        <v>400239</v>
      </c>
      <c r="B1798" s="1" t="s">
        <v>1825</v>
      </c>
      <c r="C1798" s="1" t="str">
        <f ca="1">IFERROR(__xludf.DUMMYFUNCTION("REGEXEXTRACT(B1798, ""^([^:]+)"")"),"Rubber")</f>
        <v>Rubber</v>
      </c>
      <c r="D1798" s="1" t="s">
        <v>11</v>
      </c>
      <c r="E1798" s="1" t="s">
        <v>11</v>
      </c>
    </row>
    <row r="1799" spans="1:5" ht="15.75" customHeight="1">
      <c r="A1799" s="1">
        <v>400241</v>
      </c>
      <c r="B1799" s="1" t="s">
        <v>1826</v>
      </c>
      <c r="C1799" s="1" t="str">
        <f ca="1">IFERROR(__xludf.DUMMYFUNCTION("REGEXEXTRACT(B1799, ""^([^:]+)"")"),"Rubber")</f>
        <v>Rubber</v>
      </c>
      <c r="D1799" s="1" t="s">
        <v>11</v>
      </c>
      <c r="E1799" s="1" t="s">
        <v>11</v>
      </c>
    </row>
    <row r="1800" spans="1:5" ht="15.75" customHeight="1">
      <c r="A1800" s="1">
        <v>400249</v>
      </c>
      <c r="B1800" s="1" t="s">
        <v>1827</v>
      </c>
      <c r="C1800" s="1" t="str">
        <f ca="1">IFERROR(__xludf.DUMMYFUNCTION("REGEXEXTRACT(B1800, ""^([^:]+)"")"),"Rubber")</f>
        <v>Rubber</v>
      </c>
      <c r="D1800" s="1" t="s">
        <v>11</v>
      </c>
      <c r="E1800" s="1" t="s">
        <v>11</v>
      </c>
    </row>
    <row r="1801" spans="1:5" ht="15.75" customHeight="1">
      <c r="A1801" s="1">
        <v>400251</v>
      </c>
      <c r="B1801" s="1" t="s">
        <v>1828</v>
      </c>
      <c r="C1801" s="1" t="str">
        <f ca="1">IFERROR(__xludf.DUMMYFUNCTION("REGEXEXTRACT(B1801, ""^([^:]+)"")"),"Rubber")</f>
        <v>Rubber</v>
      </c>
      <c r="D1801" s="1" t="s">
        <v>11</v>
      </c>
      <c r="E1801" s="1" t="s">
        <v>11</v>
      </c>
    </row>
    <row r="1802" spans="1:5" ht="15.75" customHeight="1">
      <c r="A1802" s="1">
        <v>400259</v>
      </c>
      <c r="B1802" s="1" t="s">
        <v>1829</v>
      </c>
      <c r="C1802" s="1" t="str">
        <f ca="1">IFERROR(__xludf.DUMMYFUNCTION("REGEXEXTRACT(B1802, ""^([^:]+)"")"),"Rubber")</f>
        <v>Rubber</v>
      </c>
      <c r="D1802" s="1" t="s">
        <v>11</v>
      </c>
      <c r="E1802" s="1" t="s">
        <v>11</v>
      </c>
    </row>
    <row r="1803" spans="1:5" ht="15.75" customHeight="1">
      <c r="A1803" s="1">
        <v>400260</v>
      </c>
      <c r="B1803" s="1" t="s">
        <v>1830</v>
      </c>
      <c r="C1803" s="1" t="str">
        <f ca="1">IFERROR(__xludf.DUMMYFUNCTION("REGEXEXTRACT(B1803, ""^([^:]+)"")"),"Rubber")</f>
        <v>Rubber</v>
      </c>
      <c r="D1803" s="1" t="s">
        <v>11</v>
      </c>
      <c r="E1803" s="1" t="s">
        <v>11</v>
      </c>
    </row>
    <row r="1804" spans="1:5" ht="15.75" customHeight="1">
      <c r="A1804" s="1">
        <v>400270</v>
      </c>
      <c r="B1804" s="1" t="s">
        <v>1831</v>
      </c>
      <c r="C1804" s="1" t="str">
        <f ca="1">IFERROR(__xludf.DUMMYFUNCTION("REGEXEXTRACT(B1804, ""^([^:]+)"")"),"Rubber")</f>
        <v>Rubber</v>
      </c>
      <c r="D1804" s="1" t="s">
        <v>11</v>
      </c>
      <c r="E1804" s="1" t="s">
        <v>11</v>
      </c>
    </row>
    <row r="1805" spans="1:5" ht="15.75" customHeight="1">
      <c r="A1805" s="1">
        <v>400280</v>
      </c>
      <c r="B1805" s="1" t="s">
        <v>1832</v>
      </c>
      <c r="C1805" s="1" t="str">
        <f ca="1">IFERROR(__xludf.DUMMYFUNCTION("REGEXEXTRACT(B1805, ""^([^:]+)"")"),"Rubber")</f>
        <v>Rubber</v>
      </c>
      <c r="D1805" s="1" t="s">
        <v>11</v>
      </c>
      <c r="E1805" s="1" t="s">
        <v>11</v>
      </c>
    </row>
    <row r="1806" spans="1:5" ht="15.75" customHeight="1">
      <c r="A1806" s="1">
        <v>400291</v>
      </c>
      <c r="B1806" s="1" t="s">
        <v>1833</v>
      </c>
      <c r="C1806" s="1" t="str">
        <f ca="1">IFERROR(__xludf.DUMMYFUNCTION("REGEXEXTRACT(B1806, ""^([^:]+)"")"),"Rubber")</f>
        <v>Rubber</v>
      </c>
      <c r="D1806" s="1" t="s">
        <v>11</v>
      </c>
      <c r="E1806" s="1" t="s">
        <v>11</v>
      </c>
    </row>
    <row r="1807" spans="1:5" ht="15.75" customHeight="1">
      <c r="A1807" s="1">
        <v>400299</v>
      </c>
      <c r="B1807" s="1" t="s">
        <v>1834</v>
      </c>
      <c r="C1807" s="1" t="str">
        <f ca="1">IFERROR(__xludf.DUMMYFUNCTION("REGEXEXTRACT(B1807, ""^([^:]+)"")"),"Rubber")</f>
        <v>Rubber</v>
      </c>
      <c r="D1807" s="1" t="s">
        <v>11</v>
      </c>
      <c r="E1807" s="1" t="s">
        <v>11</v>
      </c>
    </row>
    <row r="1808" spans="1:5" ht="15.75" customHeight="1">
      <c r="A1808" s="1">
        <v>400300</v>
      </c>
      <c r="B1808" s="1" t="s">
        <v>1835</v>
      </c>
      <c r="C1808" s="1" t="str">
        <f ca="1">IFERROR(__xludf.DUMMYFUNCTION("REGEXEXTRACT(B1808, ""^([^:]+)"")"),"Rubber")</f>
        <v>Rubber</v>
      </c>
      <c r="D1808" s="1" t="s">
        <v>11</v>
      </c>
      <c r="E1808" s="1" t="s">
        <v>11</v>
      </c>
    </row>
    <row r="1809" spans="1:5" ht="15.75" customHeight="1">
      <c r="A1809" s="1">
        <v>400400</v>
      </c>
      <c r="B1809" s="1" t="s">
        <v>1836</v>
      </c>
      <c r="C1809" s="1" t="str">
        <f ca="1">IFERROR(__xludf.DUMMYFUNCTION("REGEXEXTRACT(B1809, ""^([^:]+)"")"),"Rubber")</f>
        <v>Rubber</v>
      </c>
      <c r="D1809" s="1" t="s">
        <v>11</v>
      </c>
      <c r="E1809" s="1" t="s">
        <v>11</v>
      </c>
    </row>
    <row r="1810" spans="1:5" ht="15.75" customHeight="1">
      <c r="A1810" s="1">
        <v>400510</v>
      </c>
      <c r="B1810" s="1" t="s">
        <v>1837</v>
      </c>
      <c r="C1810" s="1" t="str">
        <f ca="1">IFERROR(__xludf.DUMMYFUNCTION("REGEXEXTRACT(B1810, ""^([^:]+)"")"),"Rubber")</f>
        <v>Rubber</v>
      </c>
      <c r="D1810" s="1" t="s">
        <v>11</v>
      </c>
      <c r="E1810" s="1" t="s">
        <v>11</v>
      </c>
    </row>
    <row r="1811" spans="1:5" ht="15.75" customHeight="1">
      <c r="A1811" s="1">
        <v>400520</v>
      </c>
      <c r="B1811" s="1" t="s">
        <v>1838</v>
      </c>
      <c r="C1811" s="1" t="str">
        <f ca="1">IFERROR(__xludf.DUMMYFUNCTION("REGEXEXTRACT(B1811, ""^([^:]+)"")"),"Rubber")</f>
        <v>Rubber</v>
      </c>
      <c r="D1811" s="1" t="s">
        <v>11</v>
      </c>
      <c r="E1811" s="1" t="s">
        <v>11</v>
      </c>
    </row>
    <row r="1812" spans="1:5" ht="15.75" customHeight="1">
      <c r="A1812" s="1">
        <v>400591</v>
      </c>
      <c r="B1812" s="1" t="s">
        <v>1839</v>
      </c>
      <c r="C1812" s="1" t="str">
        <f ca="1">IFERROR(__xludf.DUMMYFUNCTION("REGEXEXTRACT(B1812, ""^([^:]+)"")"),"Rubber")</f>
        <v>Rubber</v>
      </c>
      <c r="D1812" s="1" t="s">
        <v>11</v>
      </c>
      <c r="E1812" s="1" t="s">
        <v>11</v>
      </c>
    </row>
    <row r="1813" spans="1:5" ht="15.75" customHeight="1">
      <c r="A1813" s="1">
        <v>400599</v>
      </c>
      <c r="B1813" s="1" t="s">
        <v>1840</v>
      </c>
      <c r="C1813" s="1" t="str">
        <f ca="1">IFERROR(__xludf.DUMMYFUNCTION("REGEXEXTRACT(B1813, ""^([^:]+)"")"),"Rubber")</f>
        <v>Rubber</v>
      </c>
      <c r="D1813" s="1" t="s">
        <v>11</v>
      </c>
      <c r="E1813" s="1" t="s">
        <v>11</v>
      </c>
    </row>
    <row r="1814" spans="1:5" ht="15.75" customHeight="1">
      <c r="A1814" s="1">
        <v>400610</v>
      </c>
      <c r="B1814" s="1" t="s">
        <v>1841</v>
      </c>
      <c r="C1814" s="1" t="str">
        <f ca="1">IFERROR(__xludf.DUMMYFUNCTION("REGEXEXTRACT(B1814, ""^([^:]+)"")"),"Rubber")</f>
        <v>Rubber</v>
      </c>
      <c r="D1814" s="1" t="s">
        <v>11</v>
      </c>
      <c r="E1814" s="1" t="s">
        <v>11</v>
      </c>
    </row>
    <row r="1815" spans="1:5" ht="15.75" customHeight="1">
      <c r="A1815" s="1">
        <v>400690</v>
      </c>
      <c r="B1815" s="1" t="s">
        <v>1842</v>
      </c>
      <c r="C1815" s="1" t="str">
        <f ca="1">IFERROR(__xludf.DUMMYFUNCTION("REGEXEXTRACT(B1815, ""^([^:]+)"")"),"Rubber")</f>
        <v>Rubber</v>
      </c>
      <c r="D1815" s="1" t="s">
        <v>11</v>
      </c>
      <c r="E1815" s="1" t="s">
        <v>11</v>
      </c>
    </row>
    <row r="1816" spans="1:5" ht="15.75" customHeight="1">
      <c r="A1816" s="1">
        <v>400700</v>
      </c>
      <c r="B1816" s="1" t="s">
        <v>1843</v>
      </c>
      <c r="C1816" s="1" t="str">
        <f ca="1">IFERROR(__xludf.DUMMYFUNCTION("REGEXEXTRACT(B1816, ""^([^:]+)"")"),"Rubber")</f>
        <v>Rubber</v>
      </c>
      <c r="D1816" s="1" t="s">
        <v>11</v>
      </c>
      <c r="E1816" s="1" t="s">
        <v>11</v>
      </c>
    </row>
    <row r="1817" spans="1:5" ht="15.75" customHeight="1">
      <c r="A1817" s="1">
        <v>400811</v>
      </c>
      <c r="B1817" s="1" t="s">
        <v>1844</v>
      </c>
      <c r="C1817" s="1" t="str">
        <f ca="1">IFERROR(__xludf.DUMMYFUNCTION("REGEXEXTRACT(B1817, ""^([^:]+)"")"),"Rubber")</f>
        <v>Rubber</v>
      </c>
      <c r="D1817" s="1" t="s">
        <v>11</v>
      </c>
      <c r="E1817" s="1" t="s">
        <v>11</v>
      </c>
    </row>
    <row r="1818" spans="1:5" ht="15.75" customHeight="1">
      <c r="A1818" s="1">
        <v>400819</v>
      </c>
      <c r="B1818" s="1" t="s">
        <v>1845</v>
      </c>
      <c r="C1818" s="1" t="str">
        <f ca="1">IFERROR(__xludf.DUMMYFUNCTION("REGEXEXTRACT(B1818, ""^([^:]+)"")"),"Rubber")</f>
        <v>Rubber</v>
      </c>
      <c r="D1818" s="1" t="s">
        <v>11</v>
      </c>
      <c r="E1818" s="1" t="s">
        <v>11</v>
      </c>
    </row>
    <row r="1819" spans="1:5" ht="15.75" customHeight="1">
      <c r="A1819" s="1">
        <v>400821</v>
      </c>
      <c r="B1819" s="1" t="s">
        <v>1846</v>
      </c>
      <c r="C1819" s="1" t="str">
        <f ca="1">IFERROR(__xludf.DUMMYFUNCTION("REGEXEXTRACT(B1819, ""^([^:]+)"")"),"Rubber")</f>
        <v>Rubber</v>
      </c>
      <c r="D1819" s="1" t="s">
        <v>11</v>
      </c>
      <c r="E1819" s="1" t="s">
        <v>11</v>
      </c>
    </row>
    <row r="1820" spans="1:5" ht="15.75" customHeight="1">
      <c r="A1820" s="1">
        <v>400829</v>
      </c>
      <c r="B1820" s="1" t="s">
        <v>1847</v>
      </c>
      <c r="C1820" s="1" t="str">
        <f ca="1">IFERROR(__xludf.DUMMYFUNCTION("REGEXEXTRACT(B1820, ""^([^:]+)"")"),"Rubber")</f>
        <v>Rubber</v>
      </c>
      <c r="D1820" s="1" t="s">
        <v>11</v>
      </c>
      <c r="E1820" s="1" t="s">
        <v>11</v>
      </c>
    </row>
    <row r="1821" spans="1:5" ht="15.75" customHeight="1">
      <c r="A1821" s="1">
        <v>400911</v>
      </c>
      <c r="B1821" s="1" t="s">
        <v>1848</v>
      </c>
      <c r="C1821" s="1" t="str">
        <f ca="1">IFERROR(__xludf.DUMMYFUNCTION("REGEXEXTRACT(B1821, ""^([^:]+)"")"),"Rubber")</f>
        <v>Rubber</v>
      </c>
      <c r="D1821" s="1" t="s">
        <v>11</v>
      </c>
      <c r="E1821" s="1" t="s">
        <v>11</v>
      </c>
    </row>
    <row r="1822" spans="1:5" ht="15.75" customHeight="1">
      <c r="A1822" s="1">
        <v>400912</v>
      </c>
      <c r="B1822" s="1" t="s">
        <v>1849</v>
      </c>
      <c r="C1822" s="1" t="str">
        <f ca="1">IFERROR(__xludf.DUMMYFUNCTION("REGEXEXTRACT(B1822, ""^([^:]+)"")"),"Rubber")</f>
        <v>Rubber</v>
      </c>
      <c r="D1822" s="1" t="s">
        <v>11</v>
      </c>
      <c r="E1822" s="1" t="s">
        <v>11</v>
      </c>
    </row>
    <row r="1823" spans="1:5" ht="15.75" customHeight="1">
      <c r="A1823" s="1">
        <v>400921</v>
      </c>
      <c r="B1823" s="1" t="s">
        <v>1850</v>
      </c>
      <c r="C1823" s="1" t="str">
        <f ca="1">IFERROR(__xludf.DUMMYFUNCTION("REGEXEXTRACT(B1823, ""^([^:]+)"")"),"Rubber")</f>
        <v>Rubber</v>
      </c>
      <c r="D1823" s="1" t="s">
        <v>11</v>
      </c>
      <c r="E1823" s="1" t="s">
        <v>11</v>
      </c>
    </row>
    <row r="1824" spans="1:5" ht="15.75" customHeight="1">
      <c r="A1824" s="1">
        <v>400922</v>
      </c>
      <c r="B1824" s="1" t="s">
        <v>1851</v>
      </c>
      <c r="C1824" s="1" t="str">
        <f ca="1">IFERROR(__xludf.DUMMYFUNCTION("REGEXEXTRACT(B1824, ""^([^:]+)"")"),"Rubber")</f>
        <v>Rubber</v>
      </c>
      <c r="D1824" s="1" t="s">
        <v>11</v>
      </c>
      <c r="E1824" s="1" t="s">
        <v>11</v>
      </c>
    </row>
    <row r="1825" spans="1:5" ht="15.75" customHeight="1">
      <c r="A1825" s="1">
        <v>400931</v>
      </c>
      <c r="B1825" s="1" t="s">
        <v>1852</v>
      </c>
      <c r="C1825" s="1" t="str">
        <f ca="1">IFERROR(__xludf.DUMMYFUNCTION("REGEXEXTRACT(B1825, ""^([^:]+)"")"),"Rubber")</f>
        <v>Rubber</v>
      </c>
      <c r="D1825" s="1" t="s">
        <v>11</v>
      </c>
      <c r="E1825" s="1" t="s">
        <v>11</v>
      </c>
    </row>
    <row r="1826" spans="1:5" ht="15.75" customHeight="1">
      <c r="A1826" s="1">
        <v>400932</v>
      </c>
      <c r="B1826" s="1" t="s">
        <v>1853</v>
      </c>
      <c r="C1826" s="1" t="str">
        <f ca="1">IFERROR(__xludf.DUMMYFUNCTION("REGEXEXTRACT(B1826, ""^([^:]+)"")"),"Rubber")</f>
        <v>Rubber</v>
      </c>
      <c r="D1826" s="1" t="s">
        <v>11</v>
      </c>
      <c r="E1826" s="1" t="s">
        <v>11</v>
      </c>
    </row>
    <row r="1827" spans="1:5" ht="15.75" customHeight="1">
      <c r="A1827" s="1">
        <v>400941</v>
      </c>
      <c r="B1827" s="1" t="s">
        <v>1854</v>
      </c>
      <c r="C1827" s="1" t="str">
        <f ca="1">IFERROR(__xludf.DUMMYFUNCTION("REGEXEXTRACT(B1827, ""^([^:]+)"")"),"Rubber")</f>
        <v>Rubber</v>
      </c>
      <c r="D1827" s="1" t="s">
        <v>11</v>
      </c>
      <c r="E1827" s="1" t="s">
        <v>11</v>
      </c>
    </row>
    <row r="1828" spans="1:5" ht="15.75" customHeight="1">
      <c r="A1828" s="1">
        <v>400942</v>
      </c>
      <c r="B1828" s="1" t="s">
        <v>1855</v>
      </c>
      <c r="C1828" s="1" t="str">
        <f ca="1">IFERROR(__xludf.DUMMYFUNCTION("REGEXEXTRACT(B1828, ""^([^:]+)"")"),"Rubber")</f>
        <v>Rubber</v>
      </c>
      <c r="D1828" s="1" t="s">
        <v>11</v>
      </c>
      <c r="E1828" s="1" t="s">
        <v>11</v>
      </c>
    </row>
    <row r="1829" spans="1:5" ht="15.75" customHeight="1">
      <c r="A1829" s="1">
        <v>401011</v>
      </c>
      <c r="B1829" s="1" t="s">
        <v>1856</v>
      </c>
      <c r="C1829" s="1" t="str">
        <f ca="1">IFERROR(__xludf.DUMMYFUNCTION("REGEXEXTRACT(B1829, ""^([^:]+)"")"),"Rubber")</f>
        <v>Rubber</v>
      </c>
      <c r="D1829" s="1" t="s">
        <v>11</v>
      </c>
      <c r="E1829" s="1" t="s">
        <v>11</v>
      </c>
    </row>
    <row r="1830" spans="1:5" ht="15.75" customHeight="1">
      <c r="A1830" s="1">
        <v>401012</v>
      </c>
      <c r="B1830" s="1" t="s">
        <v>1857</v>
      </c>
      <c r="C1830" s="1" t="str">
        <f ca="1">IFERROR(__xludf.DUMMYFUNCTION("REGEXEXTRACT(B1830, ""^([^:]+)"")"),"Rubber")</f>
        <v>Rubber</v>
      </c>
      <c r="D1830" s="1" t="s">
        <v>11</v>
      </c>
      <c r="E1830" s="1" t="s">
        <v>11</v>
      </c>
    </row>
    <row r="1831" spans="1:5" ht="15.75" customHeight="1">
      <c r="A1831" s="1">
        <v>401019</v>
      </c>
      <c r="B1831" s="1" t="s">
        <v>1858</v>
      </c>
      <c r="C1831" s="1" t="str">
        <f ca="1">IFERROR(__xludf.DUMMYFUNCTION("REGEXEXTRACT(B1831, ""^([^:]+)"")"),"Rubber")</f>
        <v>Rubber</v>
      </c>
      <c r="D1831" s="1" t="s">
        <v>11</v>
      </c>
      <c r="E1831" s="1" t="s">
        <v>11</v>
      </c>
    </row>
    <row r="1832" spans="1:5" ht="15.75" customHeight="1">
      <c r="A1832" s="1">
        <v>401031</v>
      </c>
      <c r="B1832" s="1" t="s">
        <v>1859</v>
      </c>
      <c r="C1832" s="1" t="str">
        <f ca="1">IFERROR(__xludf.DUMMYFUNCTION("REGEXEXTRACT(B1832, ""^([^:]+)"")"),"Rubber")</f>
        <v>Rubber</v>
      </c>
      <c r="D1832" s="1" t="s">
        <v>11</v>
      </c>
      <c r="E1832" s="1" t="s">
        <v>11</v>
      </c>
    </row>
    <row r="1833" spans="1:5" ht="15.75" customHeight="1">
      <c r="A1833" s="1">
        <v>401032</v>
      </c>
      <c r="B1833" s="1" t="s">
        <v>1860</v>
      </c>
      <c r="C1833" s="1" t="str">
        <f ca="1">IFERROR(__xludf.DUMMYFUNCTION("REGEXEXTRACT(B1833, ""^([^:]+)"")"),"Rubber")</f>
        <v>Rubber</v>
      </c>
      <c r="D1833" s="1" t="s">
        <v>11</v>
      </c>
      <c r="E1833" s="1" t="s">
        <v>11</v>
      </c>
    </row>
    <row r="1834" spans="1:5" ht="15.75" customHeight="1">
      <c r="A1834" s="1">
        <v>401033</v>
      </c>
      <c r="B1834" s="1" t="s">
        <v>1861</v>
      </c>
      <c r="C1834" s="1" t="str">
        <f ca="1">IFERROR(__xludf.DUMMYFUNCTION("REGEXEXTRACT(B1834, ""^([^:]+)"")"),"Rubber")</f>
        <v>Rubber</v>
      </c>
      <c r="D1834" s="1" t="s">
        <v>11</v>
      </c>
      <c r="E1834" s="1" t="s">
        <v>11</v>
      </c>
    </row>
    <row r="1835" spans="1:5" ht="15.75" customHeight="1">
      <c r="A1835" s="1">
        <v>401034</v>
      </c>
      <c r="B1835" s="1" t="s">
        <v>1862</v>
      </c>
      <c r="C1835" s="1" t="str">
        <f ca="1">IFERROR(__xludf.DUMMYFUNCTION("REGEXEXTRACT(B1835, ""^([^:]+)"")"),"Rubber")</f>
        <v>Rubber</v>
      </c>
      <c r="D1835" s="1" t="s">
        <v>11</v>
      </c>
      <c r="E1835" s="1" t="s">
        <v>11</v>
      </c>
    </row>
    <row r="1836" spans="1:5" ht="15.75" customHeight="1">
      <c r="A1836" s="1">
        <v>401035</v>
      </c>
      <c r="B1836" s="1" t="s">
        <v>1863</v>
      </c>
      <c r="C1836" s="1" t="str">
        <f ca="1">IFERROR(__xludf.DUMMYFUNCTION("REGEXEXTRACT(B1836, ""^([^:]+)"")"),"Rubber")</f>
        <v>Rubber</v>
      </c>
      <c r="D1836" s="1" t="s">
        <v>11</v>
      </c>
      <c r="E1836" s="1" t="s">
        <v>11</v>
      </c>
    </row>
    <row r="1837" spans="1:5" ht="15.75" customHeight="1">
      <c r="A1837" s="1">
        <v>401036</v>
      </c>
      <c r="B1837" s="1" t="s">
        <v>1864</v>
      </c>
      <c r="C1837" s="1" t="str">
        <f ca="1">IFERROR(__xludf.DUMMYFUNCTION("REGEXEXTRACT(B1837, ""^([^:]+)"")"),"Rubber")</f>
        <v>Rubber</v>
      </c>
      <c r="D1837" s="1" t="s">
        <v>11</v>
      </c>
      <c r="E1837" s="1" t="s">
        <v>11</v>
      </c>
    </row>
    <row r="1838" spans="1:5" ht="15.75" customHeight="1">
      <c r="A1838" s="1">
        <v>401039</v>
      </c>
      <c r="B1838" s="1" t="s">
        <v>1865</v>
      </c>
      <c r="C1838" s="1" t="str">
        <f ca="1">IFERROR(__xludf.DUMMYFUNCTION("REGEXEXTRACT(B1838, ""^([^:]+)"")"),"Rubber")</f>
        <v>Rubber</v>
      </c>
      <c r="D1838" s="1" t="s">
        <v>11</v>
      </c>
      <c r="E1838" s="1" t="s">
        <v>11</v>
      </c>
    </row>
    <row r="1839" spans="1:5" ht="15.75" customHeight="1">
      <c r="A1839" s="1">
        <v>401110</v>
      </c>
      <c r="B1839" s="1" t="s">
        <v>1866</v>
      </c>
      <c r="C1839" s="1" t="str">
        <f ca="1">IFERROR(__xludf.DUMMYFUNCTION("REGEXEXTRACT(B1839, ""^([^:]+)"")"),"Rubber")</f>
        <v>Rubber</v>
      </c>
      <c r="D1839" s="1" t="s">
        <v>11</v>
      </c>
      <c r="E1839" s="1" t="s">
        <v>11</v>
      </c>
    </row>
    <row r="1840" spans="1:5" ht="15.75" customHeight="1">
      <c r="A1840" s="1">
        <v>401120</v>
      </c>
      <c r="B1840" s="1" t="s">
        <v>1867</v>
      </c>
      <c r="C1840" s="1" t="str">
        <f ca="1">IFERROR(__xludf.DUMMYFUNCTION("REGEXEXTRACT(B1840, ""^([^:]+)"")"),"Rubber")</f>
        <v>Rubber</v>
      </c>
      <c r="D1840" s="1" t="s">
        <v>11</v>
      </c>
      <c r="E1840" s="1" t="s">
        <v>11</v>
      </c>
    </row>
    <row r="1841" spans="1:5" ht="15.75" customHeight="1">
      <c r="A1841" s="1">
        <v>401130</v>
      </c>
      <c r="B1841" s="1" t="s">
        <v>1868</v>
      </c>
      <c r="C1841" s="1" t="str">
        <f ca="1">IFERROR(__xludf.DUMMYFUNCTION("REGEXEXTRACT(B1841, ""^([^:]+)"")"),"Rubber")</f>
        <v>Rubber</v>
      </c>
      <c r="D1841" s="1" t="s">
        <v>11</v>
      </c>
      <c r="E1841" s="1" t="s">
        <v>11</v>
      </c>
    </row>
    <row r="1842" spans="1:5" ht="15.75" customHeight="1">
      <c r="A1842" s="1">
        <v>401140</v>
      </c>
      <c r="B1842" s="1" t="s">
        <v>1869</v>
      </c>
      <c r="C1842" s="1" t="str">
        <f ca="1">IFERROR(__xludf.DUMMYFUNCTION("REGEXEXTRACT(B1842, ""^([^:]+)"")"),"Rubber")</f>
        <v>Rubber</v>
      </c>
      <c r="D1842" s="1" t="s">
        <v>11</v>
      </c>
      <c r="E1842" s="1" t="s">
        <v>11</v>
      </c>
    </row>
    <row r="1843" spans="1:5" ht="15.75" customHeight="1">
      <c r="A1843" s="1">
        <v>401150</v>
      </c>
      <c r="B1843" s="1" t="s">
        <v>1870</v>
      </c>
      <c r="C1843" s="1" t="str">
        <f ca="1">IFERROR(__xludf.DUMMYFUNCTION("REGEXEXTRACT(B1843, ""^([^:]+)"")"),"Rubber")</f>
        <v>Rubber</v>
      </c>
      <c r="D1843" s="1" t="s">
        <v>11</v>
      </c>
      <c r="E1843" s="1" t="s">
        <v>11</v>
      </c>
    </row>
    <row r="1844" spans="1:5" ht="15.75" customHeight="1">
      <c r="A1844" s="1">
        <v>401161</v>
      </c>
      <c r="B1844" s="1" t="s">
        <v>1871</v>
      </c>
      <c r="C1844" s="1" t="str">
        <f ca="1">IFERROR(__xludf.DUMMYFUNCTION("REGEXEXTRACT(B1844, ""^([^:]+)"")"),"Rubber")</f>
        <v>Rubber</v>
      </c>
      <c r="D1844" s="1" t="s">
        <v>11</v>
      </c>
      <c r="E1844" s="1" t="s">
        <v>11</v>
      </c>
    </row>
    <row r="1845" spans="1:5" ht="15.75" customHeight="1">
      <c r="A1845" s="1">
        <v>401162</v>
      </c>
      <c r="B1845" s="1" t="s">
        <v>1872</v>
      </c>
      <c r="C1845" s="1" t="str">
        <f ca="1">IFERROR(__xludf.DUMMYFUNCTION("REGEXEXTRACT(B1845, ""^([^:]+)"")"),"Rubber")</f>
        <v>Rubber</v>
      </c>
      <c r="D1845" s="1" t="s">
        <v>11</v>
      </c>
      <c r="E1845" s="1" t="s">
        <v>11</v>
      </c>
    </row>
    <row r="1846" spans="1:5" ht="15.75" customHeight="1">
      <c r="A1846" s="1">
        <v>401163</v>
      </c>
      <c r="B1846" s="1" t="s">
        <v>1873</v>
      </c>
      <c r="C1846" s="1" t="str">
        <f ca="1">IFERROR(__xludf.DUMMYFUNCTION("REGEXEXTRACT(B1846, ""^([^:]+)"")"),"Rubber")</f>
        <v>Rubber</v>
      </c>
      <c r="D1846" s="1" t="s">
        <v>11</v>
      </c>
      <c r="E1846" s="1" t="s">
        <v>11</v>
      </c>
    </row>
    <row r="1847" spans="1:5" ht="15.75" customHeight="1">
      <c r="A1847" s="1">
        <v>401169</v>
      </c>
      <c r="B1847" s="1" t="s">
        <v>1874</v>
      </c>
      <c r="C1847" s="1" t="str">
        <f ca="1">IFERROR(__xludf.DUMMYFUNCTION("REGEXEXTRACT(B1847, ""^([^:]+)"")"),"Rubber")</f>
        <v>Rubber</v>
      </c>
      <c r="D1847" s="1" t="s">
        <v>11</v>
      </c>
      <c r="E1847" s="1" t="s">
        <v>11</v>
      </c>
    </row>
    <row r="1848" spans="1:5" ht="15.75" customHeight="1">
      <c r="A1848" s="1">
        <v>401192</v>
      </c>
      <c r="B1848" s="1" t="s">
        <v>1875</v>
      </c>
      <c r="C1848" s="1" t="str">
        <f ca="1">IFERROR(__xludf.DUMMYFUNCTION("REGEXEXTRACT(B1848, ""^([^:]+)"")"),"Rubber")</f>
        <v>Rubber</v>
      </c>
      <c r="D1848" s="1" t="s">
        <v>11</v>
      </c>
      <c r="E1848" s="1" t="s">
        <v>11</v>
      </c>
    </row>
    <row r="1849" spans="1:5" ht="15.75" customHeight="1">
      <c r="A1849" s="1">
        <v>401193</v>
      </c>
      <c r="B1849" s="1" t="s">
        <v>1876</v>
      </c>
      <c r="C1849" s="1" t="str">
        <f ca="1">IFERROR(__xludf.DUMMYFUNCTION("REGEXEXTRACT(B1849, ""^([^:]+)"")"),"Rubber")</f>
        <v>Rubber</v>
      </c>
      <c r="D1849" s="1" t="s">
        <v>11</v>
      </c>
      <c r="E1849" s="1" t="s">
        <v>11</v>
      </c>
    </row>
    <row r="1850" spans="1:5" ht="15.75" customHeight="1">
      <c r="A1850" s="1">
        <v>401194</v>
      </c>
      <c r="B1850" s="1" t="s">
        <v>1877</v>
      </c>
      <c r="C1850" s="1" t="str">
        <f ca="1">IFERROR(__xludf.DUMMYFUNCTION("REGEXEXTRACT(B1850, ""^([^:]+)"")"),"Rubber")</f>
        <v>Rubber</v>
      </c>
      <c r="D1850" s="1" t="s">
        <v>11</v>
      </c>
      <c r="E1850" s="1" t="s">
        <v>11</v>
      </c>
    </row>
    <row r="1851" spans="1:5" ht="15.75" customHeight="1">
      <c r="A1851" s="1">
        <v>401199</v>
      </c>
      <c r="B1851" s="1" t="s">
        <v>1878</v>
      </c>
      <c r="C1851" s="1" t="str">
        <f ca="1">IFERROR(__xludf.DUMMYFUNCTION("REGEXEXTRACT(B1851, ""^([^:]+)"")"),"Rubber")</f>
        <v>Rubber</v>
      </c>
      <c r="D1851" s="1" t="s">
        <v>11</v>
      </c>
      <c r="E1851" s="1" t="s">
        <v>11</v>
      </c>
    </row>
    <row r="1852" spans="1:5" ht="15.75" customHeight="1">
      <c r="A1852" s="1">
        <v>401211</v>
      </c>
      <c r="B1852" s="1" t="s">
        <v>1879</v>
      </c>
      <c r="C1852" s="1" t="str">
        <f ca="1">IFERROR(__xludf.DUMMYFUNCTION("REGEXEXTRACT(B1852, ""^([^:]+)"")"),"Retreaded tyres ")</f>
        <v xml:space="preserve">Retreaded tyres </v>
      </c>
      <c r="D1852" s="1" t="s">
        <v>11</v>
      </c>
      <c r="E1852" s="1" t="s">
        <v>11</v>
      </c>
    </row>
    <row r="1853" spans="1:5" ht="15.75" customHeight="1">
      <c r="A1853" s="1">
        <v>401212</v>
      </c>
      <c r="B1853" s="1" t="s">
        <v>1880</v>
      </c>
      <c r="C1853" s="1" t="str">
        <f ca="1">IFERROR(__xludf.DUMMYFUNCTION("REGEXEXTRACT(B1853, ""^([^:]+)"")"),"Retreaded tyres")</f>
        <v>Retreaded tyres</v>
      </c>
      <c r="D1853" s="1" t="s">
        <v>11</v>
      </c>
      <c r="E1853" s="1" t="s">
        <v>11</v>
      </c>
    </row>
    <row r="1854" spans="1:5" ht="15.75" customHeight="1">
      <c r="A1854" s="1">
        <v>401213</v>
      </c>
      <c r="B1854" s="1" t="s">
        <v>1881</v>
      </c>
      <c r="C1854" s="1" t="str">
        <f ca="1">IFERROR(__xludf.DUMMYFUNCTION("REGEXEXTRACT(B1854, ""^([^:]+)"")"),"Retreaded tyres")</f>
        <v>Retreaded tyres</v>
      </c>
      <c r="D1854" s="1" t="s">
        <v>11</v>
      </c>
      <c r="E1854" s="1" t="s">
        <v>11</v>
      </c>
    </row>
    <row r="1855" spans="1:5" ht="15.75" customHeight="1">
      <c r="A1855" s="1">
        <v>401219</v>
      </c>
      <c r="B1855" s="1" t="s">
        <v>1882</v>
      </c>
      <c r="C1855" s="1" t="str">
        <f ca="1">IFERROR(__xludf.DUMMYFUNCTION("REGEXEXTRACT(B1855, ""^([^:]+)"")"),"Retreaded tyres")</f>
        <v>Retreaded tyres</v>
      </c>
      <c r="D1855" s="1" t="s">
        <v>11</v>
      </c>
      <c r="E1855" s="1" t="s">
        <v>11</v>
      </c>
    </row>
    <row r="1856" spans="1:5" ht="15.75" customHeight="1">
      <c r="A1856" s="1">
        <v>401220</v>
      </c>
      <c r="B1856" s="1" t="s">
        <v>1883</v>
      </c>
      <c r="C1856" s="1" t="str">
        <f ca="1">IFERROR(__xludf.DUMMYFUNCTION("REGEXEXTRACT(B1856, ""^([^:]+)"")"),"Rubber")</f>
        <v>Rubber</v>
      </c>
      <c r="D1856" s="1" t="s">
        <v>11</v>
      </c>
      <c r="E1856" s="1" t="s">
        <v>11</v>
      </c>
    </row>
    <row r="1857" spans="1:6" ht="15.75" customHeight="1">
      <c r="A1857" s="1">
        <v>401290</v>
      </c>
      <c r="B1857" s="1" t="s">
        <v>1884</v>
      </c>
      <c r="C1857" s="1" t="str">
        <f ca="1">IFERROR(__xludf.DUMMYFUNCTION("REGEXEXTRACT(B1857, ""^([^:]+)"")"),"Rubber")</f>
        <v>Rubber</v>
      </c>
      <c r="D1857" s="1" t="s">
        <v>11</v>
      </c>
      <c r="E1857" s="1" t="s">
        <v>11</v>
      </c>
    </row>
    <row r="1858" spans="1:6" ht="15.75" customHeight="1">
      <c r="A1858" s="1">
        <v>401310</v>
      </c>
      <c r="B1858" s="1" t="s">
        <v>1885</v>
      </c>
      <c r="C1858" s="1" t="str">
        <f ca="1">IFERROR(__xludf.DUMMYFUNCTION("REGEXEXTRACT(B1858, ""^([^:]+)"")"),"Rubber")</f>
        <v>Rubber</v>
      </c>
      <c r="D1858" s="1" t="s">
        <v>11</v>
      </c>
      <c r="E1858" s="1" t="s">
        <v>11</v>
      </c>
    </row>
    <row r="1859" spans="1:6" ht="15.75" customHeight="1">
      <c r="A1859" s="1">
        <v>401320</v>
      </c>
      <c r="B1859" s="1" t="s">
        <v>1886</v>
      </c>
      <c r="C1859" s="1" t="str">
        <f ca="1">IFERROR(__xludf.DUMMYFUNCTION("REGEXEXTRACT(B1859, ""^([^:]+)"")"),"Rubber")</f>
        <v>Rubber</v>
      </c>
      <c r="D1859" s="1" t="s">
        <v>11</v>
      </c>
      <c r="E1859" s="1" t="s">
        <v>11</v>
      </c>
    </row>
    <row r="1860" spans="1:6" ht="15.75" customHeight="1">
      <c r="A1860" s="1">
        <v>401390</v>
      </c>
      <c r="B1860" s="1" t="s">
        <v>1887</v>
      </c>
      <c r="C1860" s="1" t="str">
        <f ca="1">IFERROR(__xludf.DUMMYFUNCTION("REGEXEXTRACT(B1860, ""^([^:]+)"")"),"Rubber")</f>
        <v>Rubber</v>
      </c>
      <c r="D1860" s="1" t="s">
        <v>11</v>
      </c>
      <c r="E1860" s="1" t="s">
        <v>11</v>
      </c>
    </row>
    <row r="1861" spans="1:6" ht="15.75" customHeight="1">
      <c r="A1861" s="1">
        <v>401410</v>
      </c>
      <c r="B1861" s="1" t="s">
        <v>1888</v>
      </c>
      <c r="C1861" s="1" t="str">
        <f ca="1">IFERROR(__xludf.DUMMYFUNCTION("REGEXEXTRACT(B1861, ""^([^:]+)"")"),"Rubber")</f>
        <v>Rubber</v>
      </c>
      <c r="D1861" s="1" t="s">
        <v>11</v>
      </c>
      <c r="E1861" s="1" t="s">
        <v>11</v>
      </c>
    </row>
    <row r="1862" spans="1:6" ht="15.75" customHeight="1">
      <c r="A1862" s="1">
        <v>300692</v>
      </c>
      <c r="B1862" s="1" t="s">
        <v>1432</v>
      </c>
      <c r="C1862" s="1" t="str">
        <f ca="1">IFERROR(__xludf.DUMMYFUNCTION("REGEXEXTRACT(B1862, ""^([^:]+)"")"),"Pharmaceutical goods")</f>
        <v>Pharmaceutical goods</v>
      </c>
      <c r="D1862" s="1">
        <v>1</v>
      </c>
      <c r="E1862" s="11" t="s">
        <v>1419</v>
      </c>
      <c r="F1862" s="2" t="s">
        <v>1419</v>
      </c>
    </row>
    <row r="1863" spans="1:6" ht="15.75" customHeight="1">
      <c r="A1863" s="1">
        <v>340700</v>
      </c>
      <c r="B1863" s="1" t="s">
        <v>1552</v>
      </c>
      <c r="C1863" s="1" t="str">
        <f ca="1">IFERROR(__xludf.DUMMYFUNCTION("REGEXEXTRACT(B1863, ""^([^:]+)"")"),"Modelling pastes")</f>
        <v>Modelling pastes</v>
      </c>
      <c r="D1863" s="1">
        <v>1</v>
      </c>
      <c r="E1863" s="11" t="s">
        <v>1419</v>
      </c>
      <c r="F1863" s="2" t="s">
        <v>1419</v>
      </c>
    </row>
    <row r="1864" spans="1:6" ht="15.75" customHeight="1">
      <c r="A1864" s="1">
        <v>401519</v>
      </c>
      <c r="B1864" s="1" t="s">
        <v>1891</v>
      </c>
      <c r="C1864" s="1" t="str">
        <f ca="1">IFERROR(__xludf.DUMMYFUNCTION("REGEXEXTRACT(B1864, ""^([^:]+)"")"),"Rubber")</f>
        <v>Rubber</v>
      </c>
      <c r="D1864" s="1" t="s">
        <v>11</v>
      </c>
      <c r="E1864" s="1" t="s">
        <v>11</v>
      </c>
    </row>
    <row r="1865" spans="1:6" ht="15.75" customHeight="1">
      <c r="A1865" s="1">
        <v>401590</v>
      </c>
      <c r="B1865" s="1" t="s">
        <v>1892</v>
      </c>
      <c r="C1865" s="1" t="str">
        <f ca="1">IFERROR(__xludf.DUMMYFUNCTION("REGEXEXTRACT(B1865, ""^([^:]+)"")"),"Rubber")</f>
        <v>Rubber</v>
      </c>
      <c r="D1865" s="1" t="s">
        <v>11</v>
      </c>
      <c r="E1865" s="1" t="s">
        <v>11</v>
      </c>
    </row>
    <row r="1866" spans="1:6" ht="15.75" customHeight="1">
      <c r="A1866" s="1">
        <v>401610</v>
      </c>
      <c r="B1866" s="1" t="s">
        <v>1893</v>
      </c>
      <c r="C1866" s="1" t="str">
        <f ca="1">IFERROR(__xludf.DUMMYFUNCTION("REGEXEXTRACT(B1866, ""^([^:]+)"")"),"Rubber")</f>
        <v>Rubber</v>
      </c>
      <c r="D1866" s="1" t="s">
        <v>11</v>
      </c>
      <c r="E1866" s="1" t="s">
        <v>11</v>
      </c>
    </row>
    <row r="1867" spans="1:6" ht="15.75" customHeight="1">
      <c r="A1867" s="1">
        <v>401691</v>
      </c>
      <c r="B1867" s="1" t="s">
        <v>1894</v>
      </c>
      <c r="C1867" s="1" t="str">
        <f ca="1">IFERROR(__xludf.DUMMYFUNCTION("REGEXEXTRACT(B1867, ""^([^:]+)"")"),"Rubber")</f>
        <v>Rubber</v>
      </c>
      <c r="D1867" s="1" t="s">
        <v>11</v>
      </c>
      <c r="E1867" s="1" t="s">
        <v>11</v>
      </c>
    </row>
    <row r="1868" spans="1:6" ht="15.75" customHeight="1">
      <c r="A1868" s="1">
        <v>401692</v>
      </c>
      <c r="B1868" s="1" t="s">
        <v>1895</v>
      </c>
      <c r="C1868" s="1" t="str">
        <f ca="1">IFERROR(__xludf.DUMMYFUNCTION("REGEXEXTRACT(B1868, ""^([^:]+)"")"),"Rubber")</f>
        <v>Rubber</v>
      </c>
      <c r="D1868" s="1" t="s">
        <v>11</v>
      </c>
      <c r="E1868" s="1" t="s">
        <v>11</v>
      </c>
    </row>
    <row r="1869" spans="1:6" ht="15.75" customHeight="1">
      <c r="A1869" s="1">
        <v>401693</v>
      </c>
      <c r="B1869" s="1" t="s">
        <v>1896</v>
      </c>
      <c r="C1869" s="1" t="str">
        <f ca="1">IFERROR(__xludf.DUMMYFUNCTION("REGEXEXTRACT(B1869, ""^([^:]+)"")"),"Rubber")</f>
        <v>Rubber</v>
      </c>
      <c r="D1869" s="1" t="s">
        <v>11</v>
      </c>
      <c r="E1869" s="1" t="s">
        <v>11</v>
      </c>
    </row>
    <row r="1870" spans="1:6" ht="15.75" customHeight="1">
      <c r="A1870" s="1">
        <v>401694</v>
      </c>
      <c r="B1870" s="1" t="s">
        <v>1897</v>
      </c>
      <c r="C1870" s="1" t="str">
        <f ca="1">IFERROR(__xludf.DUMMYFUNCTION("REGEXEXTRACT(B1870, ""^([^:]+)"")"),"Rubber")</f>
        <v>Rubber</v>
      </c>
      <c r="D1870" s="1" t="s">
        <v>11</v>
      </c>
      <c r="E1870" s="1" t="s">
        <v>11</v>
      </c>
    </row>
    <row r="1871" spans="1:6" ht="15.75" customHeight="1">
      <c r="A1871" s="1">
        <v>401695</v>
      </c>
      <c r="B1871" s="1" t="s">
        <v>1898</v>
      </c>
      <c r="C1871" s="1" t="str">
        <f ca="1">IFERROR(__xludf.DUMMYFUNCTION("REGEXEXTRACT(B1871, ""^([^:]+)"")"),"Rubber")</f>
        <v>Rubber</v>
      </c>
      <c r="D1871" s="1" t="s">
        <v>11</v>
      </c>
      <c r="E1871" s="1" t="s">
        <v>11</v>
      </c>
    </row>
    <row r="1872" spans="1:6" ht="15.75" customHeight="1">
      <c r="A1872" s="1">
        <v>401699</v>
      </c>
      <c r="B1872" s="1" t="s">
        <v>1899</v>
      </c>
      <c r="C1872" s="1" t="str">
        <f ca="1">IFERROR(__xludf.DUMMYFUNCTION("REGEXEXTRACT(B1872, ""^([^:]+)"")"),"Rubber")</f>
        <v>Rubber</v>
      </c>
      <c r="D1872" s="1" t="s">
        <v>11</v>
      </c>
      <c r="E1872" s="1" t="s">
        <v>11</v>
      </c>
    </row>
    <row r="1873" spans="1:5" ht="15.75" customHeight="1">
      <c r="A1873" s="1">
        <v>401700</v>
      </c>
      <c r="B1873" s="1" t="s">
        <v>1900</v>
      </c>
      <c r="C1873" s="1" t="str">
        <f ca="1">IFERROR(__xludf.DUMMYFUNCTION("REGEXEXTRACT(B1873, ""^([^:]+)"")"),"Rubber")</f>
        <v>Rubber</v>
      </c>
      <c r="D1873" s="1" t="s">
        <v>11</v>
      </c>
      <c r="E1873" s="1" t="s">
        <v>11</v>
      </c>
    </row>
    <row r="1874" spans="1:5" ht="15.75" customHeight="1">
      <c r="A1874" s="1">
        <v>410120</v>
      </c>
      <c r="B1874" s="1" t="s">
        <v>1901</v>
      </c>
      <c r="C1874" s="1" t="str">
        <f ca="1">IFERROR(__xludf.DUMMYFUNCTION("REGEXEXTRACT(B1874, ""^([^:]+)"")"),"Hides and skins")</f>
        <v>Hides and skins</v>
      </c>
      <c r="D1874" s="1" t="s">
        <v>11</v>
      </c>
      <c r="E1874" s="1" t="s">
        <v>11</v>
      </c>
    </row>
    <row r="1875" spans="1:5" ht="15.75" customHeight="1">
      <c r="A1875" s="1">
        <v>410150</v>
      </c>
      <c r="B1875" s="1" t="s">
        <v>1902</v>
      </c>
      <c r="C1875" s="1" t="str">
        <f ca="1">IFERROR(__xludf.DUMMYFUNCTION("REGEXEXTRACT(B1875, ""^([^:]+)"")"),"Hides and skins")</f>
        <v>Hides and skins</v>
      </c>
      <c r="D1875" s="1" t="s">
        <v>11</v>
      </c>
      <c r="E1875" s="1" t="s">
        <v>11</v>
      </c>
    </row>
    <row r="1876" spans="1:5" ht="15.75" customHeight="1">
      <c r="A1876" s="1">
        <v>410190</v>
      </c>
      <c r="B1876" s="1" t="s">
        <v>1903</v>
      </c>
      <c r="C1876" s="1" t="str">
        <f ca="1">IFERROR(__xludf.DUMMYFUNCTION("REGEXEXTRACT(B1876, ""^([^:]+)"")"),"Hides and skins")</f>
        <v>Hides and skins</v>
      </c>
      <c r="D1876" s="1" t="s">
        <v>11</v>
      </c>
      <c r="E1876" s="1" t="s">
        <v>11</v>
      </c>
    </row>
    <row r="1877" spans="1:5" ht="15.75" customHeight="1">
      <c r="A1877" s="1">
        <v>410210</v>
      </c>
      <c r="B1877" s="1" t="s">
        <v>1904</v>
      </c>
      <c r="C1877" s="1" t="str">
        <f ca="1">IFERROR(__xludf.DUMMYFUNCTION("REGEXEXTRACT(B1877, ""^([^:]+)"")"),"Skins")</f>
        <v>Skins</v>
      </c>
      <c r="D1877" s="1" t="s">
        <v>11</v>
      </c>
      <c r="E1877" s="1" t="s">
        <v>11</v>
      </c>
    </row>
    <row r="1878" spans="1:5" ht="15.75" customHeight="1">
      <c r="A1878" s="1">
        <v>410221</v>
      </c>
      <c r="B1878" s="1" t="s">
        <v>1905</v>
      </c>
      <c r="C1878" s="1" t="str">
        <f ca="1">IFERROR(__xludf.DUMMYFUNCTION("REGEXEXTRACT(B1878, ""^([^:]+)"")"),"Skins")</f>
        <v>Skins</v>
      </c>
      <c r="D1878" s="1" t="s">
        <v>11</v>
      </c>
      <c r="E1878" s="1" t="s">
        <v>11</v>
      </c>
    </row>
    <row r="1879" spans="1:5" ht="15.75" customHeight="1">
      <c r="A1879" s="1">
        <v>410229</v>
      </c>
      <c r="B1879" s="1" t="s">
        <v>1906</v>
      </c>
      <c r="C1879" s="1" t="str">
        <f ca="1">IFERROR(__xludf.DUMMYFUNCTION("REGEXEXTRACT(B1879, ""^([^:]+)"")"),"Hides and skins")</f>
        <v>Hides and skins</v>
      </c>
      <c r="D1879" s="1" t="s">
        <v>11</v>
      </c>
      <c r="E1879" s="1" t="s">
        <v>11</v>
      </c>
    </row>
    <row r="1880" spans="1:5" ht="15.75" customHeight="1">
      <c r="A1880" s="1">
        <v>410320</v>
      </c>
      <c r="B1880" s="1" t="s">
        <v>1907</v>
      </c>
      <c r="C1880" s="1" t="str">
        <f ca="1">IFERROR(__xludf.DUMMYFUNCTION("REGEXEXTRACT(B1880, ""^([^:]+)"")"),"Hides and skins")</f>
        <v>Hides and skins</v>
      </c>
      <c r="D1880" s="1" t="s">
        <v>11</v>
      </c>
      <c r="E1880" s="1" t="s">
        <v>11</v>
      </c>
    </row>
    <row r="1881" spans="1:5" ht="15.75" customHeight="1">
      <c r="A1881" s="1">
        <v>410330</v>
      </c>
      <c r="B1881" s="1" t="s">
        <v>1908</v>
      </c>
      <c r="C1881" s="1" t="str">
        <f ca="1">IFERROR(__xludf.DUMMYFUNCTION("REGEXEXTRACT(B1881, ""^([^:]+)"")"),"Hides and skins")</f>
        <v>Hides and skins</v>
      </c>
      <c r="D1881" s="1" t="s">
        <v>11</v>
      </c>
      <c r="E1881" s="1" t="s">
        <v>11</v>
      </c>
    </row>
    <row r="1882" spans="1:5" ht="15.75" customHeight="1">
      <c r="A1882" s="1">
        <v>410390</v>
      </c>
      <c r="B1882" s="1" t="s">
        <v>1906</v>
      </c>
      <c r="C1882" s="1" t="str">
        <f ca="1">IFERROR(__xludf.DUMMYFUNCTION("REGEXEXTRACT(B1882, ""^([^:]+)"")"),"Hides and skins")</f>
        <v>Hides and skins</v>
      </c>
      <c r="D1882" s="1" t="s">
        <v>11</v>
      </c>
      <c r="E1882" s="1" t="s">
        <v>11</v>
      </c>
    </row>
    <row r="1883" spans="1:5" ht="15.75" customHeight="1">
      <c r="A1883" s="1">
        <v>410411</v>
      </c>
      <c r="B1883" s="1" t="s">
        <v>1909</v>
      </c>
      <c r="C1883" s="1" t="str">
        <f ca="1">IFERROR(__xludf.DUMMYFUNCTION("REGEXEXTRACT(B1883, ""^([^:]+)"")"),"Tanned or crust hides and skins")</f>
        <v>Tanned or crust hides and skins</v>
      </c>
      <c r="D1883" s="1" t="s">
        <v>11</v>
      </c>
      <c r="E1883" s="1" t="s">
        <v>11</v>
      </c>
    </row>
    <row r="1884" spans="1:5" ht="15.75" customHeight="1">
      <c r="A1884" s="1">
        <v>410419</v>
      </c>
      <c r="B1884" s="1" t="s">
        <v>1910</v>
      </c>
      <c r="C1884" s="1" t="str">
        <f ca="1">IFERROR(__xludf.DUMMYFUNCTION("REGEXEXTRACT(B1884, ""^([^:]+)"")"),"Tanned or crust hides and skins")</f>
        <v>Tanned or crust hides and skins</v>
      </c>
      <c r="D1884" s="1" t="s">
        <v>11</v>
      </c>
      <c r="E1884" s="1" t="s">
        <v>11</v>
      </c>
    </row>
    <row r="1885" spans="1:5" ht="15.75" customHeight="1">
      <c r="A1885" s="1">
        <v>410441</v>
      </c>
      <c r="B1885" s="1" t="s">
        <v>1911</v>
      </c>
      <c r="C1885" s="1" t="str">
        <f ca="1">IFERROR(__xludf.DUMMYFUNCTION("REGEXEXTRACT(B1885, ""^([^:]+)"")"),"Tanned or crust hides and skins")</f>
        <v>Tanned or crust hides and skins</v>
      </c>
      <c r="D1885" s="1" t="s">
        <v>11</v>
      </c>
      <c r="E1885" s="1" t="s">
        <v>11</v>
      </c>
    </row>
    <row r="1886" spans="1:5" ht="15.75" customHeight="1">
      <c r="A1886" s="1">
        <v>410449</v>
      </c>
      <c r="B1886" s="1" t="s">
        <v>1912</v>
      </c>
      <c r="C1886" s="1" t="str">
        <f ca="1">IFERROR(__xludf.DUMMYFUNCTION("REGEXEXTRACT(B1886, ""^([^:]+)"")"),"Tanned or crust hides and skins")</f>
        <v>Tanned or crust hides and skins</v>
      </c>
      <c r="D1886" s="1" t="s">
        <v>11</v>
      </c>
      <c r="E1886" s="1" t="s">
        <v>11</v>
      </c>
    </row>
    <row r="1887" spans="1:5" ht="15.75" customHeight="1">
      <c r="A1887" s="1">
        <v>410510</v>
      </c>
      <c r="B1887" s="1" t="s">
        <v>1913</v>
      </c>
      <c r="C1887" s="1" t="str">
        <f ca="1">IFERROR(__xludf.DUMMYFUNCTION("REGEXEXTRACT(B1887, ""^([^:]+)"")"),"Tanned or crust skins of sheep and lambs, without wool on, whether or not split, but not further prepared, in the wet state ( including wet blue)")</f>
        <v>Tanned or crust skins of sheep and lambs, without wool on, whether or not split, but not further prepared, in the wet state ( including wet blue)</v>
      </c>
      <c r="D1887" s="1" t="s">
        <v>11</v>
      </c>
      <c r="E1887" s="1" t="s">
        <v>11</v>
      </c>
    </row>
    <row r="1888" spans="1:5" ht="15.75" customHeight="1">
      <c r="A1888" s="1">
        <v>410530</v>
      </c>
      <c r="B1888" s="1" t="s">
        <v>1914</v>
      </c>
      <c r="C1888" s="1" t="str">
        <f ca="1">IFERROR(__xludf.DUMMYFUNCTION("REGEXEXTRACT(B1888, ""^([^:]+)"")"),"Tanned or crust skins")</f>
        <v>Tanned or crust skins</v>
      </c>
      <c r="D1888" s="1" t="s">
        <v>11</v>
      </c>
      <c r="E1888" s="1" t="s">
        <v>11</v>
      </c>
    </row>
    <row r="1889" spans="1:5" ht="15.75" customHeight="1">
      <c r="A1889" s="1">
        <v>410621</v>
      </c>
      <c r="B1889" s="1" t="s">
        <v>1915</v>
      </c>
      <c r="C1889" s="1" t="str">
        <f ca="1">IFERROR(__xludf.DUMMYFUNCTION("REGEXEXTRACT(B1889, ""^([^:]+)"")"),"Tanned or crust hides and skins")</f>
        <v>Tanned or crust hides and skins</v>
      </c>
      <c r="D1889" s="1" t="s">
        <v>11</v>
      </c>
      <c r="E1889" s="1" t="s">
        <v>11</v>
      </c>
    </row>
    <row r="1890" spans="1:5" ht="15.75" customHeight="1">
      <c r="A1890" s="1">
        <v>410622</v>
      </c>
      <c r="B1890" s="1" t="s">
        <v>1916</v>
      </c>
      <c r="C1890" s="1" t="str">
        <f ca="1">IFERROR(__xludf.DUMMYFUNCTION("REGEXEXTRACT(B1890, ""^([^:]+)"")"),"Tanned or crust hides and skins")</f>
        <v>Tanned or crust hides and skins</v>
      </c>
      <c r="D1890" s="1" t="s">
        <v>11</v>
      </c>
      <c r="E1890" s="1" t="s">
        <v>11</v>
      </c>
    </row>
    <row r="1891" spans="1:5" ht="15.75" customHeight="1">
      <c r="A1891" s="1">
        <v>410631</v>
      </c>
      <c r="B1891" s="1" t="s">
        <v>1917</v>
      </c>
      <c r="C1891" s="1" t="str">
        <f ca="1">IFERROR(__xludf.DUMMYFUNCTION("REGEXEXTRACT(B1891, ""^([^:]+)"")"),"Tanned or crust hides and skins")</f>
        <v>Tanned or crust hides and skins</v>
      </c>
      <c r="D1891" s="1" t="s">
        <v>11</v>
      </c>
      <c r="E1891" s="1" t="s">
        <v>11</v>
      </c>
    </row>
    <row r="1892" spans="1:5" ht="15.75" customHeight="1">
      <c r="A1892" s="1">
        <v>410632</v>
      </c>
      <c r="B1892" s="1" t="s">
        <v>1918</v>
      </c>
      <c r="C1892" s="1" t="str">
        <f ca="1">IFERROR(__xludf.DUMMYFUNCTION("REGEXEXTRACT(B1892, ""^([^:]+)"")"),"Tanned or crust hides and skins")</f>
        <v>Tanned or crust hides and skins</v>
      </c>
      <c r="D1892" s="1" t="s">
        <v>11</v>
      </c>
      <c r="E1892" s="1" t="s">
        <v>11</v>
      </c>
    </row>
    <row r="1893" spans="1:5" ht="15.75" customHeight="1">
      <c r="A1893" s="1">
        <v>410640</v>
      </c>
      <c r="B1893" s="1" t="s">
        <v>1919</v>
      </c>
      <c r="C1893" s="1" t="str">
        <f ca="1">IFERROR(__xludf.DUMMYFUNCTION("REGEXEXTRACT(B1893, ""^([^:]+)"")"),"Tanned or crust hides and skins")</f>
        <v>Tanned or crust hides and skins</v>
      </c>
      <c r="D1893" s="1" t="s">
        <v>11</v>
      </c>
      <c r="E1893" s="1" t="s">
        <v>11</v>
      </c>
    </row>
    <row r="1894" spans="1:5" ht="15.75" customHeight="1">
      <c r="A1894" s="1">
        <v>410691</v>
      </c>
      <c r="B1894" s="1" t="s">
        <v>1920</v>
      </c>
      <c r="C1894" s="1" t="str">
        <f ca="1">IFERROR(__xludf.DUMMYFUNCTION("REGEXEXTRACT(B1894, ""^([^:]+)"")"),"Tanned or crust hides and skins")</f>
        <v>Tanned or crust hides and skins</v>
      </c>
      <c r="D1894" s="1" t="s">
        <v>11</v>
      </c>
      <c r="E1894" s="1" t="s">
        <v>11</v>
      </c>
    </row>
    <row r="1895" spans="1:5" ht="15.75" customHeight="1">
      <c r="A1895" s="1">
        <v>410692</v>
      </c>
      <c r="B1895" s="1" t="s">
        <v>1921</v>
      </c>
      <c r="C1895" s="1" t="str">
        <f ca="1">IFERROR(__xludf.DUMMYFUNCTION("REGEXEXTRACT(B1895, ""^([^:]+)"")"),"Tanned or crust hides and skins")</f>
        <v>Tanned or crust hides and skins</v>
      </c>
      <c r="D1895" s="1" t="s">
        <v>11</v>
      </c>
      <c r="E1895" s="1" t="s">
        <v>11</v>
      </c>
    </row>
    <row r="1896" spans="1:5" ht="15.75" customHeight="1">
      <c r="A1896" s="1">
        <v>410711</v>
      </c>
      <c r="B1896" s="1" t="s">
        <v>1922</v>
      </c>
      <c r="C1896" s="1" t="str">
        <f ca="1">IFERROR(__xludf.DUMMYFUNCTION("REGEXEXTRACT(B1896, ""^([^:]+)"")"),"Leather")</f>
        <v>Leather</v>
      </c>
      <c r="D1896" s="1" t="s">
        <v>11</v>
      </c>
      <c r="E1896" s="1" t="s">
        <v>11</v>
      </c>
    </row>
    <row r="1897" spans="1:5" ht="15.75" customHeight="1">
      <c r="A1897" s="1">
        <v>410712</v>
      </c>
      <c r="B1897" s="1" t="s">
        <v>1923</v>
      </c>
      <c r="C1897" s="1" t="str">
        <f ca="1">IFERROR(__xludf.DUMMYFUNCTION("REGEXEXTRACT(B1897, ""^([^:]+)"")"),"Leather")</f>
        <v>Leather</v>
      </c>
      <c r="D1897" s="1" t="s">
        <v>11</v>
      </c>
      <c r="E1897" s="1" t="s">
        <v>11</v>
      </c>
    </row>
    <row r="1898" spans="1:5" ht="15.75" customHeight="1">
      <c r="A1898" s="1">
        <v>410719</v>
      </c>
      <c r="B1898" s="1" t="s">
        <v>1924</v>
      </c>
      <c r="C1898" s="1" t="str">
        <f ca="1">IFERROR(__xludf.DUMMYFUNCTION("REGEXEXTRACT(B1898, ""^([^:]+)"")"),"Leather")</f>
        <v>Leather</v>
      </c>
      <c r="D1898" s="1" t="s">
        <v>11</v>
      </c>
      <c r="E1898" s="1" t="s">
        <v>11</v>
      </c>
    </row>
    <row r="1899" spans="1:5" ht="15.75" customHeight="1">
      <c r="A1899" s="1">
        <v>410791</v>
      </c>
      <c r="B1899" s="1" t="s">
        <v>1925</v>
      </c>
      <c r="C1899" s="1" t="str">
        <f ca="1">IFERROR(__xludf.DUMMYFUNCTION("REGEXEXTRACT(B1899, ""^([^:]+)"")"),"Leather")</f>
        <v>Leather</v>
      </c>
      <c r="D1899" s="1" t="s">
        <v>11</v>
      </c>
      <c r="E1899" s="1" t="s">
        <v>11</v>
      </c>
    </row>
    <row r="1900" spans="1:5" ht="15.75" customHeight="1">
      <c r="A1900" s="1">
        <v>410792</v>
      </c>
      <c r="B1900" s="1" t="s">
        <v>1926</v>
      </c>
      <c r="C1900" s="1" t="str">
        <f ca="1">IFERROR(__xludf.DUMMYFUNCTION("REGEXEXTRACT(B1900, ""^([^:]+)"")"),"Leather")</f>
        <v>Leather</v>
      </c>
      <c r="D1900" s="1" t="s">
        <v>11</v>
      </c>
      <c r="E1900" s="1" t="s">
        <v>11</v>
      </c>
    </row>
    <row r="1901" spans="1:5" ht="15.75" customHeight="1">
      <c r="A1901" s="1">
        <v>410799</v>
      </c>
      <c r="B1901" s="1" t="s">
        <v>1927</v>
      </c>
      <c r="C1901" s="1" t="str">
        <f ca="1">IFERROR(__xludf.DUMMYFUNCTION("REGEXEXTRACT(B1901, ""^([^:]+)"")"),"Leather")</f>
        <v>Leather</v>
      </c>
      <c r="D1901" s="1" t="s">
        <v>11</v>
      </c>
      <c r="E1901" s="1" t="s">
        <v>11</v>
      </c>
    </row>
    <row r="1902" spans="1:5" ht="15.75" customHeight="1">
      <c r="A1902" s="1">
        <v>411200</v>
      </c>
      <c r="B1902" s="1" t="s">
        <v>1928</v>
      </c>
      <c r="C1902" s="1" t="str">
        <f ca="1">IFERROR(__xludf.DUMMYFUNCTION("REGEXEXTRACT(B1902, ""^([^:]+)"")"),"Leather")</f>
        <v>Leather</v>
      </c>
      <c r="D1902" s="1" t="s">
        <v>11</v>
      </c>
      <c r="E1902" s="1" t="s">
        <v>11</v>
      </c>
    </row>
    <row r="1903" spans="1:5" ht="15.75" customHeight="1">
      <c r="A1903" s="1">
        <v>411310</v>
      </c>
      <c r="B1903" s="1" t="s">
        <v>1929</v>
      </c>
      <c r="C1903" s="1" t="str">
        <f ca="1">IFERROR(__xludf.DUMMYFUNCTION("REGEXEXTRACT(B1903, ""^([^:]+)"")"),"Leather")</f>
        <v>Leather</v>
      </c>
      <c r="D1903" s="1" t="s">
        <v>11</v>
      </c>
      <c r="E1903" s="1" t="s">
        <v>11</v>
      </c>
    </row>
    <row r="1904" spans="1:5" ht="15.75" customHeight="1">
      <c r="A1904" s="1">
        <v>411320</v>
      </c>
      <c r="B1904" s="1" t="s">
        <v>1930</v>
      </c>
      <c r="C1904" s="1" t="str">
        <f ca="1">IFERROR(__xludf.DUMMYFUNCTION("REGEXEXTRACT(B1904, ""^([^:]+)"")"),"Leather")</f>
        <v>Leather</v>
      </c>
      <c r="D1904" s="1" t="s">
        <v>11</v>
      </c>
      <c r="E1904" s="1" t="s">
        <v>11</v>
      </c>
    </row>
    <row r="1905" spans="1:5" ht="15.75" customHeight="1">
      <c r="A1905" s="1">
        <v>411330</v>
      </c>
      <c r="B1905" s="1" t="s">
        <v>1931</v>
      </c>
      <c r="C1905" s="1" t="str">
        <f ca="1">IFERROR(__xludf.DUMMYFUNCTION("REGEXEXTRACT(B1905, ""^([^:]+)"")"),"Leather")</f>
        <v>Leather</v>
      </c>
      <c r="D1905" s="1" t="s">
        <v>11</v>
      </c>
      <c r="E1905" s="1" t="s">
        <v>11</v>
      </c>
    </row>
    <row r="1906" spans="1:5" ht="15.75" customHeight="1">
      <c r="A1906" s="1">
        <v>411390</v>
      </c>
      <c r="B1906" s="1" t="s">
        <v>1932</v>
      </c>
      <c r="C1906" s="1" t="str">
        <f ca="1">IFERROR(__xludf.DUMMYFUNCTION("REGEXEXTRACT(B1906, ""^([^:]+)"")"),"Leather")</f>
        <v>Leather</v>
      </c>
      <c r="D1906" s="1" t="s">
        <v>11</v>
      </c>
      <c r="E1906" s="1" t="s">
        <v>11</v>
      </c>
    </row>
    <row r="1907" spans="1:5" ht="15.75" customHeight="1">
      <c r="A1907" s="1">
        <v>411410</v>
      </c>
      <c r="B1907" s="1" t="s">
        <v>1933</v>
      </c>
      <c r="C1907" s="1" t="str">
        <f ca="1">IFERROR(__xludf.DUMMYFUNCTION("REGEXEXTRACT(B1907, ""^([^:]+)"")"),"Leather")</f>
        <v>Leather</v>
      </c>
      <c r="D1907" s="1" t="s">
        <v>11</v>
      </c>
      <c r="E1907" s="1" t="s">
        <v>11</v>
      </c>
    </row>
    <row r="1908" spans="1:5" ht="15.75" customHeight="1">
      <c r="A1908" s="1">
        <v>411420</v>
      </c>
      <c r="B1908" s="1" t="s">
        <v>1934</v>
      </c>
      <c r="C1908" s="1" t="str">
        <f ca="1">IFERROR(__xludf.DUMMYFUNCTION("REGEXEXTRACT(B1908, ""^([^:]+)"")"),"Leather")</f>
        <v>Leather</v>
      </c>
      <c r="D1908" s="1" t="s">
        <v>11</v>
      </c>
      <c r="E1908" s="1" t="s">
        <v>11</v>
      </c>
    </row>
    <row r="1909" spans="1:5" ht="15.75" customHeight="1">
      <c r="A1909" s="1">
        <v>411510</v>
      </c>
      <c r="B1909" s="1" t="s">
        <v>1935</v>
      </c>
      <c r="C1909" s="1" t="str">
        <f ca="1">IFERROR(__xludf.DUMMYFUNCTION("REGEXEXTRACT(B1909, ""^([^:]+)"")"),"Leather")</f>
        <v>Leather</v>
      </c>
      <c r="D1909" s="1" t="s">
        <v>11</v>
      </c>
      <c r="E1909" s="1" t="s">
        <v>11</v>
      </c>
    </row>
    <row r="1910" spans="1:5" ht="15.75" customHeight="1">
      <c r="A1910" s="1">
        <v>411520</v>
      </c>
      <c r="B1910" s="1" t="s">
        <v>1936</v>
      </c>
      <c r="C1910" s="1" t="str">
        <f ca="1">IFERROR(__xludf.DUMMYFUNCTION("REGEXEXTRACT(B1910, ""^([^:]+)"")"),"Leather")</f>
        <v>Leather</v>
      </c>
      <c r="D1910" s="1" t="s">
        <v>11</v>
      </c>
      <c r="E1910" s="1" t="s">
        <v>11</v>
      </c>
    </row>
    <row r="1911" spans="1:5" ht="15.75" customHeight="1">
      <c r="A1911" s="1">
        <v>420100</v>
      </c>
      <c r="B1911" s="1" t="s">
        <v>1937</v>
      </c>
      <c r="C1911" s="1" t="str">
        <f ca="1">IFERROR(__xludf.DUMMYFUNCTION("REGEXEXTRACT(B1911, ""^([^:]+)"")"),"Saddlery and harness")</f>
        <v>Saddlery and harness</v>
      </c>
      <c r="D1911" s="1" t="s">
        <v>11</v>
      </c>
      <c r="E1911" s="1" t="s">
        <v>11</v>
      </c>
    </row>
    <row r="1912" spans="1:5" ht="15.75" customHeight="1">
      <c r="A1912" s="1">
        <v>420211</v>
      </c>
      <c r="B1912" s="1" t="s">
        <v>1938</v>
      </c>
      <c r="C1912" s="1" t="str">
        <f ca="1">IFERROR(__xludf.DUMMYFUNCTION("REGEXEXTRACT(B1912, ""^([^:]+)"")"),"Cases and containers")</f>
        <v>Cases and containers</v>
      </c>
      <c r="D1912" s="1" t="s">
        <v>11</v>
      </c>
      <c r="E1912" s="1" t="s">
        <v>11</v>
      </c>
    </row>
    <row r="1913" spans="1:5" ht="15.75" customHeight="1">
      <c r="A1913" s="1">
        <v>420212</v>
      </c>
      <c r="B1913" s="1" t="s">
        <v>1939</v>
      </c>
      <c r="C1913" s="1" t="str">
        <f ca="1">IFERROR(__xludf.DUMMYFUNCTION("REGEXEXTRACT(B1913, ""^([^:]+)"")"),"Cases and containers")</f>
        <v>Cases and containers</v>
      </c>
      <c r="D1913" s="1" t="s">
        <v>11</v>
      </c>
      <c r="E1913" s="1" t="s">
        <v>11</v>
      </c>
    </row>
    <row r="1914" spans="1:5" ht="15.75" customHeight="1">
      <c r="A1914" s="1">
        <v>420219</v>
      </c>
      <c r="B1914" s="1" t="s">
        <v>1940</v>
      </c>
      <c r="C1914" s="1" t="str">
        <f ca="1">IFERROR(__xludf.DUMMYFUNCTION("REGEXEXTRACT(B1914, ""^([^:]+)"")"),"Cases and containers")</f>
        <v>Cases and containers</v>
      </c>
      <c r="D1914" s="1" t="s">
        <v>11</v>
      </c>
      <c r="E1914" s="1" t="s">
        <v>11</v>
      </c>
    </row>
    <row r="1915" spans="1:5" ht="15.75" customHeight="1">
      <c r="A1915" s="1">
        <v>420221</v>
      </c>
      <c r="B1915" s="1" t="s">
        <v>1941</v>
      </c>
      <c r="C1915" s="1" t="str">
        <f ca="1">IFERROR(__xludf.DUMMYFUNCTION("REGEXEXTRACT(B1915, ""^([^:]+)"")"),"Cases and containers")</f>
        <v>Cases and containers</v>
      </c>
      <c r="D1915" s="1" t="s">
        <v>11</v>
      </c>
      <c r="E1915" s="1" t="s">
        <v>11</v>
      </c>
    </row>
    <row r="1916" spans="1:5" ht="15.75" customHeight="1">
      <c r="A1916" s="1">
        <v>420222</v>
      </c>
      <c r="B1916" s="1" t="s">
        <v>1942</v>
      </c>
      <c r="C1916" s="1" t="str">
        <f ca="1">IFERROR(__xludf.DUMMYFUNCTION("REGEXEXTRACT(B1916, ""^([^:]+)"")"),"Cases and containers")</f>
        <v>Cases and containers</v>
      </c>
      <c r="D1916" s="1" t="s">
        <v>11</v>
      </c>
      <c r="E1916" s="1" t="s">
        <v>11</v>
      </c>
    </row>
    <row r="1917" spans="1:5" ht="15.75" customHeight="1">
      <c r="A1917" s="1">
        <v>420229</v>
      </c>
      <c r="B1917" s="1" t="s">
        <v>1943</v>
      </c>
      <c r="C1917" s="1" t="str">
        <f ca="1">IFERROR(__xludf.DUMMYFUNCTION("REGEXEXTRACT(B1917, ""^([^:]+)"")"),"Cases and containers")</f>
        <v>Cases and containers</v>
      </c>
      <c r="D1917" s="1" t="s">
        <v>11</v>
      </c>
      <c r="E1917" s="1" t="s">
        <v>11</v>
      </c>
    </row>
    <row r="1918" spans="1:5" ht="15.75" customHeight="1">
      <c r="A1918" s="1">
        <v>420231</v>
      </c>
      <c r="B1918" s="1" t="s">
        <v>1944</v>
      </c>
      <c r="C1918" s="1" t="str">
        <f ca="1">IFERROR(__xludf.DUMMYFUNCTION("REGEXEXTRACT(B1918, ""^([^:]+)"")"),"Cases and containers")</f>
        <v>Cases and containers</v>
      </c>
      <c r="D1918" s="1" t="s">
        <v>11</v>
      </c>
      <c r="E1918" s="1" t="s">
        <v>11</v>
      </c>
    </row>
    <row r="1919" spans="1:5" ht="15.75" customHeight="1">
      <c r="A1919" s="1">
        <v>420232</v>
      </c>
      <c r="B1919" s="1" t="s">
        <v>1945</v>
      </c>
      <c r="C1919" s="1" t="str">
        <f ca="1">IFERROR(__xludf.DUMMYFUNCTION("REGEXEXTRACT(B1919, ""^([^:]+)"")"),"Cases and containers")</f>
        <v>Cases and containers</v>
      </c>
      <c r="D1919" s="1" t="s">
        <v>11</v>
      </c>
      <c r="E1919" s="1" t="s">
        <v>11</v>
      </c>
    </row>
    <row r="1920" spans="1:5" ht="15.75" customHeight="1">
      <c r="A1920" s="1">
        <v>420239</v>
      </c>
      <c r="B1920" s="1" t="s">
        <v>1946</v>
      </c>
      <c r="C1920" s="1" t="str">
        <f ca="1">IFERROR(__xludf.DUMMYFUNCTION("REGEXEXTRACT(B1920, ""^([^:]+)"")"),"Cases and containers")</f>
        <v>Cases and containers</v>
      </c>
      <c r="D1920" s="1" t="s">
        <v>11</v>
      </c>
      <c r="E1920" s="1" t="s">
        <v>11</v>
      </c>
    </row>
    <row r="1921" spans="1:5" ht="15.75" customHeight="1">
      <c r="A1921" s="1">
        <v>420291</v>
      </c>
      <c r="B1921" s="1" t="s">
        <v>1947</v>
      </c>
      <c r="C1921" s="1" t="str">
        <f ca="1">IFERROR(__xludf.DUMMYFUNCTION("REGEXEXTRACT(B1921, ""^([^:]+)"")"),"Cases and containers")</f>
        <v>Cases and containers</v>
      </c>
      <c r="D1921" s="1" t="s">
        <v>11</v>
      </c>
      <c r="E1921" s="1" t="s">
        <v>11</v>
      </c>
    </row>
    <row r="1922" spans="1:5" ht="15.75" customHeight="1">
      <c r="A1922" s="1">
        <v>420292</v>
      </c>
      <c r="B1922" s="1" t="s">
        <v>1948</v>
      </c>
      <c r="C1922" s="1" t="str">
        <f ca="1">IFERROR(__xludf.DUMMYFUNCTION("REGEXEXTRACT(B1922, ""^([^:]+)"")"),"Cases and containers")</f>
        <v>Cases and containers</v>
      </c>
      <c r="D1922" s="1" t="s">
        <v>11</v>
      </c>
      <c r="E1922" s="1" t="s">
        <v>11</v>
      </c>
    </row>
    <row r="1923" spans="1:5" ht="15.75" customHeight="1">
      <c r="A1923" s="1">
        <v>420299</v>
      </c>
      <c r="B1923" s="1" t="s">
        <v>1949</v>
      </c>
      <c r="C1923" s="1" t="str">
        <f ca="1">IFERROR(__xludf.DUMMYFUNCTION("REGEXEXTRACT(B1923, ""^([^:]+)"")"),"Cases and containers")</f>
        <v>Cases and containers</v>
      </c>
      <c r="D1923" s="1" t="s">
        <v>11</v>
      </c>
      <c r="E1923" s="1" t="s">
        <v>11</v>
      </c>
    </row>
    <row r="1924" spans="1:5" ht="15.75" customHeight="1">
      <c r="A1924" s="1">
        <v>420310</v>
      </c>
      <c r="B1924" s="1" t="s">
        <v>1950</v>
      </c>
      <c r="C1924" s="1" t="str">
        <f ca="1">IFERROR(__xludf.DUMMYFUNCTION("REGEXEXTRACT(B1924, ""^([^:]+)"")"),"Apparel")</f>
        <v>Apparel</v>
      </c>
      <c r="D1924" s="1" t="s">
        <v>11</v>
      </c>
      <c r="E1924" s="1" t="s">
        <v>11</v>
      </c>
    </row>
    <row r="1925" spans="1:5" ht="15.75" customHeight="1">
      <c r="A1925" s="1">
        <v>420321</v>
      </c>
      <c r="B1925" s="1" t="s">
        <v>1951</v>
      </c>
      <c r="C1925" s="1" t="str">
        <f ca="1">IFERROR(__xludf.DUMMYFUNCTION("REGEXEXTRACT(B1925, ""^([^:]+)"")"),"Clothing accessories")</f>
        <v>Clothing accessories</v>
      </c>
      <c r="D1925" s="1" t="s">
        <v>11</v>
      </c>
      <c r="E1925" s="1" t="s">
        <v>11</v>
      </c>
    </row>
    <row r="1926" spans="1:5" ht="15.75" customHeight="1">
      <c r="A1926" s="1">
        <v>420329</v>
      </c>
      <c r="B1926" s="1" t="s">
        <v>1952</v>
      </c>
      <c r="C1926" s="1" t="str">
        <f ca="1">IFERROR(__xludf.DUMMYFUNCTION("REGEXEXTRACT(B1926, ""^([^:]+)"")"),"Clothing accessories")</f>
        <v>Clothing accessories</v>
      </c>
      <c r="D1926" s="1" t="s">
        <v>11</v>
      </c>
      <c r="E1926" s="1" t="s">
        <v>11</v>
      </c>
    </row>
    <row r="1927" spans="1:5" ht="15.75" customHeight="1">
      <c r="A1927" s="1">
        <v>420330</v>
      </c>
      <c r="B1927" s="1" t="s">
        <v>1953</v>
      </c>
      <c r="C1927" s="1" t="str">
        <f ca="1">IFERROR(__xludf.DUMMYFUNCTION("REGEXEXTRACT(B1927, ""^([^:]+)"")"),"Clothing accessories")</f>
        <v>Clothing accessories</v>
      </c>
      <c r="D1927" s="1" t="s">
        <v>11</v>
      </c>
      <c r="E1927" s="1" t="s">
        <v>11</v>
      </c>
    </row>
    <row r="1928" spans="1:5" ht="15.75" customHeight="1">
      <c r="A1928" s="1">
        <v>420340</v>
      </c>
      <c r="B1928" s="1" t="s">
        <v>1954</v>
      </c>
      <c r="C1928" s="1" t="str">
        <f ca="1">IFERROR(__xludf.DUMMYFUNCTION("REGEXEXTRACT(B1928, ""^([^:]+)"")"),"Clothing accessories")</f>
        <v>Clothing accessories</v>
      </c>
      <c r="D1928" s="1" t="s">
        <v>11</v>
      </c>
      <c r="E1928" s="1" t="s">
        <v>11</v>
      </c>
    </row>
    <row r="1929" spans="1:5" ht="15.75" customHeight="1">
      <c r="A1929" s="1">
        <v>420500</v>
      </c>
      <c r="B1929" s="1" t="s">
        <v>1955</v>
      </c>
      <c r="C1929" s="1" t="str">
        <f ca="1">IFERROR(__xludf.DUMMYFUNCTION("REGEXEXTRACT(B1929, ""^([^:]+)"")"),"Leather articles")</f>
        <v>Leather articles</v>
      </c>
      <c r="D1929" s="1" t="s">
        <v>11</v>
      </c>
      <c r="E1929" s="1" t="s">
        <v>11</v>
      </c>
    </row>
    <row r="1930" spans="1:5" ht="15.75" customHeight="1">
      <c r="A1930" s="1">
        <v>420600</v>
      </c>
      <c r="B1930" s="1" t="s">
        <v>1956</v>
      </c>
      <c r="C1930" s="1" t="str">
        <f ca="1">IFERROR(__xludf.DUMMYFUNCTION("REGEXEXTRACT(B1930, ""^([^:]+)"")"),"Articles of gut (other than silk-worm gut), of goldbeater's skin, of bladders or of tendons")</f>
        <v>Articles of gut (other than silk-worm gut), of goldbeater's skin, of bladders or of tendons</v>
      </c>
      <c r="D1930" s="1" t="s">
        <v>11</v>
      </c>
      <c r="E1930" s="1" t="s">
        <v>11</v>
      </c>
    </row>
    <row r="1931" spans="1:5" ht="15.75" customHeight="1">
      <c r="A1931" s="1">
        <v>430110</v>
      </c>
      <c r="B1931" s="1" t="s">
        <v>1957</v>
      </c>
      <c r="C1931" s="1" t="str">
        <f ca="1">IFERROR(__xludf.DUMMYFUNCTION("REGEXEXTRACT(B1931, ""^([^:]+)"")"),"Furskins")</f>
        <v>Furskins</v>
      </c>
      <c r="D1931" s="1" t="s">
        <v>11</v>
      </c>
      <c r="E1931" s="1" t="s">
        <v>11</v>
      </c>
    </row>
    <row r="1932" spans="1:5" ht="15.75" customHeight="1">
      <c r="A1932" s="1">
        <v>430130</v>
      </c>
      <c r="B1932" s="1" t="s">
        <v>1958</v>
      </c>
      <c r="C1932" s="1" t="str">
        <f ca="1">IFERROR(__xludf.DUMMYFUNCTION("REGEXEXTRACT(B1932, ""^([^:]+)"")"),"Furskins")</f>
        <v>Furskins</v>
      </c>
      <c r="D1932" s="1" t="s">
        <v>11</v>
      </c>
      <c r="E1932" s="1" t="s">
        <v>11</v>
      </c>
    </row>
    <row r="1933" spans="1:5" ht="15.75" customHeight="1">
      <c r="A1933" s="1">
        <v>430160</v>
      </c>
      <c r="B1933" s="1" t="s">
        <v>1959</v>
      </c>
      <c r="C1933" s="1" t="str">
        <f ca="1">IFERROR(__xludf.DUMMYFUNCTION("REGEXEXTRACT(B1933, ""^([^:]+)"")"),"Furskins")</f>
        <v>Furskins</v>
      </c>
      <c r="D1933" s="1" t="s">
        <v>11</v>
      </c>
      <c r="E1933" s="1" t="s">
        <v>11</v>
      </c>
    </row>
    <row r="1934" spans="1:5" ht="15.75" customHeight="1">
      <c r="A1934" s="1">
        <v>430180</v>
      </c>
      <c r="B1934" s="1" t="s">
        <v>1960</v>
      </c>
      <c r="C1934" s="1" t="str">
        <f ca="1">IFERROR(__xludf.DUMMYFUNCTION("REGEXEXTRACT(B1934, ""^([^:]+)"")"),"Furskins")</f>
        <v>Furskins</v>
      </c>
      <c r="D1934" s="1" t="s">
        <v>11</v>
      </c>
      <c r="E1934" s="1" t="s">
        <v>11</v>
      </c>
    </row>
    <row r="1935" spans="1:5" ht="15.75" customHeight="1">
      <c r="A1935" s="1">
        <v>430190</v>
      </c>
      <c r="B1935" s="1" t="s">
        <v>1961</v>
      </c>
      <c r="C1935" s="1" t="str">
        <f ca="1">IFERROR(__xludf.DUMMYFUNCTION("REGEXEXTRACT(B1935, ""^([^:]+)"")"),"Furskins")</f>
        <v>Furskins</v>
      </c>
      <c r="D1935" s="1" t="s">
        <v>11</v>
      </c>
      <c r="E1935" s="1" t="s">
        <v>11</v>
      </c>
    </row>
    <row r="1936" spans="1:5" ht="15.75" customHeight="1">
      <c r="A1936" s="1">
        <v>430211</v>
      </c>
      <c r="B1936" s="1" t="s">
        <v>1962</v>
      </c>
      <c r="C1936" s="1" t="str">
        <f ca="1">IFERROR(__xludf.DUMMYFUNCTION("REGEXEXTRACT(B1936, ""^([^:]+)"")"),"Furskins")</f>
        <v>Furskins</v>
      </c>
      <c r="D1936" s="1" t="s">
        <v>11</v>
      </c>
      <c r="E1936" s="1" t="s">
        <v>11</v>
      </c>
    </row>
    <row r="1937" spans="1:5" ht="15.75" customHeight="1">
      <c r="A1937" s="1">
        <v>430219</v>
      </c>
      <c r="B1937" s="1" t="s">
        <v>1963</v>
      </c>
      <c r="C1937" s="1" t="str">
        <f ca="1">IFERROR(__xludf.DUMMYFUNCTION("REGEXEXTRACT(B1937, ""^([^:]+)"")"),"Furskins")</f>
        <v>Furskins</v>
      </c>
      <c r="D1937" s="1" t="s">
        <v>11</v>
      </c>
      <c r="E1937" s="1" t="s">
        <v>11</v>
      </c>
    </row>
    <row r="1938" spans="1:5" ht="15.75" customHeight="1">
      <c r="A1938" s="1">
        <v>430220</v>
      </c>
      <c r="B1938" s="1" t="s">
        <v>1964</v>
      </c>
      <c r="C1938" s="1" t="str">
        <f ca="1">IFERROR(__xludf.DUMMYFUNCTION("REGEXEXTRACT(B1938, ""^([^:]+)"")"),"Furskins")</f>
        <v>Furskins</v>
      </c>
      <c r="D1938" s="1" t="s">
        <v>11</v>
      </c>
      <c r="E1938" s="1" t="s">
        <v>11</v>
      </c>
    </row>
    <row r="1939" spans="1:5" ht="15.75" customHeight="1">
      <c r="A1939" s="1">
        <v>430230</v>
      </c>
      <c r="B1939" s="1" t="s">
        <v>1965</v>
      </c>
      <c r="C1939" s="1" t="str">
        <f ca="1">IFERROR(__xludf.DUMMYFUNCTION("REGEXEXTRACT(B1939, ""^([^:]+)"")"),"Furskins")</f>
        <v>Furskins</v>
      </c>
      <c r="D1939" s="1" t="s">
        <v>11</v>
      </c>
      <c r="E1939" s="1" t="s">
        <v>11</v>
      </c>
    </row>
    <row r="1940" spans="1:5" ht="15.75" customHeight="1">
      <c r="A1940" s="1">
        <v>430310</v>
      </c>
      <c r="B1940" s="1" t="s">
        <v>1966</v>
      </c>
      <c r="C1940" s="1" t="str">
        <f ca="1">IFERROR(__xludf.DUMMYFUNCTION("REGEXEXTRACT(B1940, ""^([^:]+)"")"),"Furskin articles")</f>
        <v>Furskin articles</v>
      </c>
      <c r="D1940" s="1" t="s">
        <v>11</v>
      </c>
      <c r="E1940" s="1" t="s">
        <v>11</v>
      </c>
    </row>
    <row r="1941" spans="1:5" ht="15.75" customHeight="1">
      <c r="A1941" s="1">
        <v>430390</v>
      </c>
      <c r="B1941" s="1" t="s">
        <v>1967</v>
      </c>
      <c r="C1941" s="1" t="str">
        <f ca="1">IFERROR(__xludf.DUMMYFUNCTION("REGEXEXTRACT(B1941, ""^([^:]+)"")"),"Furskin articles")</f>
        <v>Furskin articles</v>
      </c>
      <c r="D1941" s="1" t="s">
        <v>11</v>
      </c>
      <c r="E1941" s="1" t="s">
        <v>11</v>
      </c>
    </row>
    <row r="1942" spans="1:5" ht="15.75" customHeight="1">
      <c r="A1942" s="1">
        <v>430400</v>
      </c>
      <c r="B1942" s="1" t="s">
        <v>1968</v>
      </c>
      <c r="C1942" s="1" t="str">
        <f ca="1">IFERROR(__xludf.DUMMYFUNCTION("REGEXEXTRACT(B1942, ""^([^:]+)"")"),"Fur, artificial")</f>
        <v>Fur, artificial</v>
      </c>
      <c r="D1942" s="1" t="s">
        <v>11</v>
      </c>
      <c r="E1942" s="1" t="s">
        <v>11</v>
      </c>
    </row>
    <row r="1943" spans="1:5" ht="15.75" customHeight="1">
      <c r="A1943" s="1">
        <v>440110</v>
      </c>
      <c r="B1943" s="1" t="s">
        <v>1969</v>
      </c>
      <c r="C1943" s="1" t="str">
        <f ca="1">IFERROR(__xludf.DUMMYFUNCTION("REGEXEXTRACT(B1943, ""^([^:]+)"")"),"Wood")</f>
        <v>Wood</v>
      </c>
      <c r="D1943" s="1" t="s">
        <v>11</v>
      </c>
      <c r="E1943" s="1" t="s">
        <v>11</v>
      </c>
    </row>
    <row r="1944" spans="1:5" ht="15.75" customHeight="1">
      <c r="A1944" s="1">
        <v>440121</v>
      </c>
      <c r="B1944" s="1" t="s">
        <v>1970</v>
      </c>
      <c r="C1944" s="1" t="str">
        <f ca="1">IFERROR(__xludf.DUMMYFUNCTION("REGEXEXTRACT(B1944, ""^([^:]+)"")"),"Wood")</f>
        <v>Wood</v>
      </c>
      <c r="D1944" s="1" t="s">
        <v>11</v>
      </c>
      <c r="E1944" s="1" t="s">
        <v>11</v>
      </c>
    </row>
    <row r="1945" spans="1:5" ht="15.75" customHeight="1">
      <c r="A1945" s="1">
        <v>440122</v>
      </c>
      <c r="B1945" s="1" t="s">
        <v>1971</v>
      </c>
      <c r="C1945" s="1" t="str">
        <f ca="1">IFERROR(__xludf.DUMMYFUNCTION("REGEXEXTRACT(B1945, ""^([^:]+)"")"),"Wood")</f>
        <v>Wood</v>
      </c>
      <c r="D1945" s="1" t="s">
        <v>11</v>
      </c>
      <c r="E1945" s="1" t="s">
        <v>11</v>
      </c>
    </row>
    <row r="1946" spans="1:5" ht="15.75" customHeight="1">
      <c r="A1946" s="1">
        <v>440130</v>
      </c>
      <c r="B1946" s="1" t="s">
        <v>1972</v>
      </c>
      <c r="C1946" s="1" t="str">
        <f ca="1">IFERROR(__xludf.DUMMYFUNCTION("REGEXEXTRACT(B1946, ""^([^:]+)"")"),"Wood")</f>
        <v>Wood</v>
      </c>
      <c r="D1946" s="1" t="s">
        <v>11</v>
      </c>
      <c r="E1946" s="1" t="s">
        <v>11</v>
      </c>
    </row>
    <row r="1947" spans="1:5" ht="15.75" customHeight="1">
      <c r="A1947" s="1">
        <v>440210</v>
      </c>
      <c r="B1947" s="1" t="s">
        <v>1973</v>
      </c>
      <c r="C1947" s="1" t="str">
        <f ca="1">IFERROR(__xludf.DUMMYFUNCTION("REGEXEXTRACT(B1947, ""^([^:]+)"")"),"Wood")</f>
        <v>Wood</v>
      </c>
      <c r="D1947" s="1" t="s">
        <v>11</v>
      </c>
      <c r="E1947" s="1" t="s">
        <v>11</v>
      </c>
    </row>
    <row r="1948" spans="1:5" ht="15.75" customHeight="1">
      <c r="A1948" s="1">
        <v>440290</v>
      </c>
      <c r="B1948" s="1" t="s">
        <v>1974</v>
      </c>
      <c r="C1948" s="1" t="str">
        <f ca="1">IFERROR(__xludf.DUMMYFUNCTION("REGEXEXTRACT(B1948, ""^([^:]+)"")"),"Wood")</f>
        <v>Wood</v>
      </c>
      <c r="D1948" s="1" t="s">
        <v>11</v>
      </c>
      <c r="E1948" s="1" t="s">
        <v>11</v>
      </c>
    </row>
    <row r="1949" spans="1:5" ht="15.75" customHeight="1">
      <c r="A1949" s="1">
        <v>440310</v>
      </c>
      <c r="B1949" s="1" t="s">
        <v>1975</v>
      </c>
      <c r="C1949" s="1" t="str">
        <f ca="1">IFERROR(__xludf.DUMMYFUNCTION("REGEXEXTRACT(B1949, ""^([^:]+)"")"),"Wood")</f>
        <v>Wood</v>
      </c>
      <c r="D1949" s="1" t="s">
        <v>11</v>
      </c>
      <c r="E1949" s="1" t="s">
        <v>11</v>
      </c>
    </row>
    <row r="1950" spans="1:5" ht="15.75" customHeight="1">
      <c r="A1950" s="1">
        <v>440320</v>
      </c>
      <c r="B1950" s="1" t="s">
        <v>1976</v>
      </c>
      <c r="C1950" s="1" t="str">
        <f ca="1">IFERROR(__xludf.DUMMYFUNCTION("REGEXEXTRACT(B1950, ""^([^:]+)"")"),"Wood")</f>
        <v>Wood</v>
      </c>
      <c r="D1950" s="1" t="s">
        <v>11</v>
      </c>
      <c r="E1950" s="1" t="s">
        <v>11</v>
      </c>
    </row>
    <row r="1951" spans="1:5" ht="15.75" customHeight="1">
      <c r="A1951" s="1">
        <v>440341</v>
      </c>
      <c r="B1951" s="1" t="s">
        <v>1977</v>
      </c>
      <c r="C1951" s="1" t="str">
        <f ca="1">IFERROR(__xludf.DUMMYFUNCTION("REGEXEXTRACT(B1951, ""^([^:]+)"")"),"Wood, tropical")</f>
        <v>Wood, tropical</v>
      </c>
      <c r="D1951" s="1" t="s">
        <v>11</v>
      </c>
      <c r="E1951" s="1" t="s">
        <v>11</v>
      </c>
    </row>
    <row r="1952" spans="1:5" ht="15.75" customHeight="1">
      <c r="A1952" s="1">
        <v>440349</v>
      </c>
      <c r="B1952" s="1" t="s">
        <v>1978</v>
      </c>
      <c r="C1952" s="1" t="str">
        <f ca="1">IFERROR(__xludf.DUMMYFUNCTION("REGEXEXTRACT(B1952, ""^([^:]+)"")"),"Wood, tropical")</f>
        <v>Wood, tropical</v>
      </c>
      <c r="D1952" s="1" t="s">
        <v>11</v>
      </c>
      <c r="E1952" s="1" t="s">
        <v>11</v>
      </c>
    </row>
    <row r="1953" spans="1:5" ht="15.75" customHeight="1">
      <c r="A1953" s="1">
        <v>440391</v>
      </c>
      <c r="B1953" s="1" t="s">
        <v>1979</v>
      </c>
      <c r="C1953" s="1" t="str">
        <f ca="1">IFERROR(__xludf.DUMMYFUNCTION("REGEXEXTRACT(B1953, ""^([^:]+)"")"),"Wood")</f>
        <v>Wood</v>
      </c>
      <c r="D1953" s="1" t="s">
        <v>11</v>
      </c>
      <c r="E1953" s="1" t="s">
        <v>11</v>
      </c>
    </row>
    <row r="1954" spans="1:5" ht="15.75" customHeight="1">
      <c r="A1954" s="1">
        <v>440392</v>
      </c>
      <c r="B1954" s="1" t="s">
        <v>1980</v>
      </c>
      <c r="C1954" s="1" t="str">
        <f ca="1">IFERROR(__xludf.DUMMYFUNCTION("REGEXEXTRACT(B1954, ""^([^:]+)"")"),"Wood")</f>
        <v>Wood</v>
      </c>
      <c r="D1954" s="1" t="s">
        <v>11</v>
      </c>
      <c r="E1954" s="1" t="s">
        <v>11</v>
      </c>
    </row>
    <row r="1955" spans="1:5" ht="15.75" customHeight="1">
      <c r="A1955" s="1">
        <v>440399</v>
      </c>
      <c r="B1955" s="1" t="s">
        <v>1981</v>
      </c>
      <c r="C1955" s="1" t="str">
        <f ca="1">IFERROR(__xludf.DUMMYFUNCTION("REGEXEXTRACT(B1955, ""^([^:]+)"")"),"Wood")</f>
        <v>Wood</v>
      </c>
      <c r="D1955" s="1" t="s">
        <v>11</v>
      </c>
      <c r="E1955" s="1" t="s">
        <v>11</v>
      </c>
    </row>
    <row r="1956" spans="1:5" ht="15.75" customHeight="1">
      <c r="A1956" s="1">
        <v>440410</v>
      </c>
      <c r="B1956" s="1" t="s">
        <v>1982</v>
      </c>
      <c r="C1956" s="1" t="str">
        <f ca="1">IFERROR(__xludf.DUMMYFUNCTION("REGEXEXTRACT(B1956, ""^([^:]+)"")"),"Wood")</f>
        <v>Wood</v>
      </c>
      <c r="D1956" s="1" t="s">
        <v>11</v>
      </c>
      <c r="E1956" s="1" t="s">
        <v>11</v>
      </c>
    </row>
    <row r="1957" spans="1:5" ht="15.75" customHeight="1">
      <c r="A1957" s="1">
        <v>440420</v>
      </c>
      <c r="B1957" s="1" t="s">
        <v>1983</v>
      </c>
      <c r="C1957" s="1" t="str">
        <f ca="1">IFERROR(__xludf.DUMMYFUNCTION("REGEXEXTRACT(B1957, ""^([^:]+)"")"),"Wood")</f>
        <v>Wood</v>
      </c>
      <c r="D1957" s="1" t="s">
        <v>11</v>
      </c>
      <c r="E1957" s="1" t="s">
        <v>11</v>
      </c>
    </row>
    <row r="1958" spans="1:5" ht="15.75" customHeight="1">
      <c r="A1958" s="1">
        <v>440500</v>
      </c>
      <c r="B1958" s="1" t="s">
        <v>1984</v>
      </c>
      <c r="C1958" s="1" t="str">
        <f ca="1">IFERROR(__xludf.DUMMYFUNCTION("REGEXEXTRACT(B1958, ""^([^:]+)"")"),"Wood")</f>
        <v>Wood</v>
      </c>
      <c r="D1958" s="1" t="s">
        <v>11</v>
      </c>
      <c r="E1958" s="1" t="s">
        <v>11</v>
      </c>
    </row>
    <row r="1959" spans="1:5" ht="15.75" customHeight="1">
      <c r="A1959" s="1">
        <v>440610</v>
      </c>
      <c r="B1959" s="1" t="s">
        <v>1985</v>
      </c>
      <c r="C1959" s="1" t="str">
        <f ca="1">IFERROR(__xludf.DUMMYFUNCTION("REGEXEXTRACT(B1959, ""^([^:]+)"")"),"Wood")</f>
        <v>Wood</v>
      </c>
      <c r="D1959" s="1" t="s">
        <v>11</v>
      </c>
      <c r="E1959" s="1" t="s">
        <v>11</v>
      </c>
    </row>
    <row r="1960" spans="1:5" ht="15.75" customHeight="1">
      <c r="A1960" s="1">
        <v>440690</v>
      </c>
      <c r="B1960" s="1" t="s">
        <v>1986</v>
      </c>
      <c r="C1960" s="1" t="str">
        <f ca="1">IFERROR(__xludf.DUMMYFUNCTION("REGEXEXTRACT(B1960, ""^([^:]+)"")"),"Wood")</f>
        <v>Wood</v>
      </c>
      <c r="D1960" s="1" t="s">
        <v>11</v>
      </c>
      <c r="E1960" s="1" t="s">
        <v>11</v>
      </c>
    </row>
    <row r="1961" spans="1:5" ht="15.75" customHeight="1">
      <c r="A1961" s="1">
        <v>440710</v>
      </c>
      <c r="B1961" s="1" t="s">
        <v>1987</v>
      </c>
      <c r="C1961" s="1" t="str">
        <f ca="1">IFERROR(__xludf.DUMMYFUNCTION("REGEXEXTRACT(B1961, ""^([^:]+)"")"),"Wood, coniferous")</f>
        <v>Wood, coniferous</v>
      </c>
      <c r="D1961" s="1" t="s">
        <v>11</v>
      </c>
      <c r="E1961" s="1" t="s">
        <v>11</v>
      </c>
    </row>
    <row r="1962" spans="1:5" ht="15.75" customHeight="1">
      <c r="A1962" s="1">
        <v>440721</v>
      </c>
      <c r="B1962" s="1" t="s">
        <v>1988</v>
      </c>
      <c r="C1962" s="1" t="str">
        <f ca="1">IFERROR(__xludf.DUMMYFUNCTION("REGEXEXTRACT(B1962, ""^([^:]+)"")"),"Wood, tropical")</f>
        <v>Wood, tropical</v>
      </c>
      <c r="D1962" s="1" t="s">
        <v>11</v>
      </c>
      <c r="E1962" s="1" t="s">
        <v>11</v>
      </c>
    </row>
    <row r="1963" spans="1:5" ht="15.75" customHeight="1">
      <c r="A1963" s="1">
        <v>440722</v>
      </c>
      <c r="B1963" s="1" t="s">
        <v>1989</v>
      </c>
      <c r="C1963" s="1" t="str">
        <f ca="1">IFERROR(__xludf.DUMMYFUNCTION("REGEXEXTRACT(B1963, ""^([^:]+)"")"),"Wood, tropical")</f>
        <v>Wood, tropical</v>
      </c>
      <c r="D1963" s="1" t="s">
        <v>11</v>
      </c>
      <c r="E1963" s="1" t="s">
        <v>11</v>
      </c>
    </row>
    <row r="1964" spans="1:5" ht="15.75" customHeight="1">
      <c r="A1964" s="1">
        <v>440725</v>
      </c>
      <c r="B1964" s="1" t="s">
        <v>1990</v>
      </c>
      <c r="C1964" s="1" t="str">
        <f ca="1">IFERROR(__xludf.DUMMYFUNCTION("REGEXEXTRACT(B1964, ""^([^:]+)"")"),"Wood, tropical")</f>
        <v>Wood, tropical</v>
      </c>
      <c r="D1964" s="1" t="s">
        <v>11</v>
      </c>
      <c r="E1964" s="1" t="s">
        <v>11</v>
      </c>
    </row>
    <row r="1965" spans="1:5" ht="15.75" customHeight="1">
      <c r="A1965" s="1">
        <v>440726</v>
      </c>
      <c r="B1965" s="1" t="s">
        <v>1991</v>
      </c>
      <c r="C1965" s="1" t="str">
        <f ca="1">IFERROR(__xludf.DUMMYFUNCTION("REGEXEXTRACT(B1965, ""^([^:]+)"")"),"Wood, tropical")</f>
        <v>Wood, tropical</v>
      </c>
      <c r="D1965" s="1" t="s">
        <v>11</v>
      </c>
      <c r="E1965" s="1" t="s">
        <v>11</v>
      </c>
    </row>
    <row r="1966" spans="1:5" ht="15.75" customHeight="1">
      <c r="A1966" s="1">
        <v>440727</v>
      </c>
      <c r="B1966" s="1" t="s">
        <v>1992</v>
      </c>
      <c r="C1966" s="1" t="str">
        <f ca="1">IFERROR(__xludf.DUMMYFUNCTION("REGEXEXTRACT(B1966, ""^([^:]+)"")"),"Wood, tropical")</f>
        <v>Wood, tropical</v>
      </c>
      <c r="D1966" s="1" t="s">
        <v>11</v>
      </c>
      <c r="E1966" s="1" t="s">
        <v>11</v>
      </c>
    </row>
    <row r="1967" spans="1:5" ht="15.75" customHeight="1">
      <c r="A1967" s="1">
        <v>440728</v>
      </c>
      <c r="B1967" s="1" t="s">
        <v>1993</v>
      </c>
      <c r="C1967" s="1" t="str">
        <f ca="1">IFERROR(__xludf.DUMMYFUNCTION("REGEXEXTRACT(B1967, ""^([^:]+)"")"),"Wood, tropical")</f>
        <v>Wood, tropical</v>
      </c>
      <c r="D1967" s="1" t="s">
        <v>11</v>
      </c>
      <c r="E1967" s="1" t="s">
        <v>11</v>
      </c>
    </row>
    <row r="1968" spans="1:5" ht="15.75" customHeight="1">
      <c r="A1968" s="1">
        <v>440729</v>
      </c>
      <c r="B1968" s="1" t="s">
        <v>1994</v>
      </c>
      <c r="C1968" s="1" t="str">
        <f ca="1">IFERROR(__xludf.DUMMYFUNCTION("REGEXEXTRACT(B1968, ""^([^:]+)"")"),"Wood, tropical")</f>
        <v>Wood, tropical</v>
      </c>
      <c r="D1968" s="1" t="s">
        <v>11</v>
      </c>
      <c r="E1968" s="1" t="s">
        <v>11</v>
      </c>
    </row>
    <row r="1969" spans="1:5" ht="15.75" customHeight="1">
      <c r="A1969" s="1">
        <v>440791</v>
      </c>
      <c r="B1969" s="1" t="s">
        <v>1995</v>
      </c>
      <c r="C1969" s="1" t="str">
        <f ca="1">IFERROR(__xludf.DUMMYFUNCTION("REGEXEXTRACT(B1969, ""^([^:]+)"")"),"Wood")</f>
        <v>Wood</v>
      </c>
      <c r="D1969" s="1" t="s">
        <v>11</v>
      </c>
      <c r="E1969" s="1" t="s">
        <v>11</v>
      </c>
    </row>
    <row r="1970" spans="1:5" ht="15.75" customHeight="1">
      <c r="A1970" s="1">
        <v>440792</v>
      </c>
      <c r="B1970" s="1" t="s">
        <v>1996</v>
      </c>
      <c r="C1970" s="1" t="str">
        <f ca="1">IFERROR(__xludf.DUMMYFUNCTION("REGEXEXTRACT(B1970, ""^([^:]+)"")"),"Wood")</f>
        <v>Wood</v>
      </c>
      <c r="D1970" s="1" t="s">
        <v>11</v>
      </c>
      <c r="E1970" s="1" t="s">
        <v>11</v>
      </c>
    </row>
    <row r="1971" spans="1:5" ht="15.75" customHeight="1">
      <c r="A1971" s="1">
        <v>440793</v>
      </c>
      <c r="B1971" s="1" t="s">
        <v>1997</v>
      </c>
      <c r="C1971" s="1" t="str">
        <f ca="1">IFERROR(__xludf.DUMMYFUNCTION("REGEXEXTRACT(B1971, ""^([^:]+)"")"),"Wood")</f>
        <v>Wood</v>
      </c>
      <c r="D1971" s="1" t="s">
        <v>11</v>
      </c>
      <c r="E1971" s="1" t="s">
        <v>11</v>
      </c>
    </row>
    <row r="1972" spans="1:5" ht="15.75" customHeight="1">
      <c r="A1972" s="1">
        <v>440794</v>
      </c>
      <c r="B1972" s="1" t="s">
        <v>1998</v>
      </c>
      <c r="C1972" s="1" t="str">
        <f ca="1">IFERROR(__xludf.DUMMYFUNCTION("REGEXEXTRACT(B1972, ""^([^:]+)"")"),"Wood")</f>
        <v>Wood</v>
      </c>
      <c r="D1972" s="1" t="s">
        <v>11</v>
      </c>
      <c r="E1972" s="1" t="s">
        <v>11</v>
      </c>
    </row>
    <row r="1973" spans="1:5" ht="15.75" customHeight="1">
      <c r="A1973" s="1">
        <v>440795</v>
      </c>
      <c r="B1973" s="1" t="s">
        <v>1999</v>
      </c>
      <c r="C1973" s="1" t="str">
        <f ca="1">IFERROR(__xludf.DUMMYFUNCTION("REGEXEXTRACT(B1973, ""^([^:]+)"")"),"Wood")</f>
        <v>Wood</v>
      </c>
      <c r="D1973" s="1" t="s">
        <v>11</v>
      </c>
      <c r="E1973" s="1" t="s">
        <v>11</v>
      </c>
    </row>
    <row r="1974" spans="1:5" ht="15.75" customHeight="1">
      <c r="A1974" s="1">
        <v>440799</v>
      </c>
      <c r="B1974" s="1" t="s">
        <v>2000</v>
      </c>
      <c r="C1974" s="1" t="str">
        <f ca="1">IFERROR(__xludf.DUMMYFUNCTION("REGEXEXTRACT(B1974, ""^([^:]+)"")"),"Wood")</f>
        <v>Wood</v>
      </c>
      <c r="D1974" s="1" t="s">
        <v>11</v>
      </c>
      <c r="E1974" s="1" t="s">
        <v>11</v>
      </c>
    </row>
    <row r="1975" spans="1:5" ht="15.75" customHeight="1">
      <c r="A1975" s="1">
        <v>440810</v>
      </c>
      <c r="B1975" s="1" t="s">
        <v>2001</v>
      </c>
      <c r="C1975" s="1" t="str">
        <f ca="1">IFERROR(__xludf.DUMMYFUNCTION("REGEXEXTRACT(B1975, ""^([^:]+)"")"),"Wood")</f>
        <v>Wood</v>
      </c>
      <c r="D1975" s="1" t="s">
        <v>11</v>
      </c>
      <c r="E1975" s="1" t="s">
        <v>11</v>
      </c>
    </row>
    <row r="1976" spans="1:5" ht="15.75" customHeight="1">
      <c r="A1976" s="1">
        <v>440831</v>
      </c>
      <c r="B1976" s="1" t="s">
        <v>2002</v>
      </c>
      <c r="C1976" s="1" t="str">
        <f ca="1">IFERROR(__xludf.DUMMYFUNCTION("REGEXEXTRACT(B1976, ""^([^:]+)"")"),"Wood, tropical")</f>
        <v>Wood, tropical</v>
      </c>
      <c r="D1976" s="1" t="s">
        <v>11</v>
      </c>
      <c r="E1976" s="1" t="s">
        <v>11</v>
      </c>
    </row>
    <row r="1977" spans="1:5" ht="15.75" customHeight="1">
      <c r="A1977" s="1">
        <v>440839</v>
      </c>
      <c r="B1977" s="1" t="s">
        <v>2003</v>
      </c>
      <c r="C1977" s="1" t="str">
        <f ca="1">IFERROR(__xludf.DUMMYFUNCTION("REGEXEXTRACT(B1977, ""^([^:]+)"")"),"Wood, tropical")</f>
        <v>Wood, tropical</v>
      </c>
      <c r="D1977" s="1" t="s">
        <v>11</v>
      </c>
      <c r="E1977" s="1" t="s">
        <v>11</v>
      </c>
    </row>
    <row r="1978" spans="1:5" ht="15.75" customHeight="1">
      <c r="A1978" s="1">
        <v>440890</v>
      </c>
      <c r="B1978" s="1" t="s">
        <v>2004</v>
      </c>
      <c r="C1978" s="1" t="str">
        <f ca="1">IFERROR(__xludf.DUMMYFUNCTION("REGEXEXTRACT(B1978, ""^([^:]+)"")"),"Wood")</f>
        <v>Wood</v>
      </c>
      <c r="D1978" s="1" t="s">
        <v>11</v>
      </c>
      <c r="E1978" s="1" t="s">
        <v>11</v>
      </c>
    </row>
    <row r="1979" spans="1:5" ht="15.75" customHeight="1">
      <c r="A1979" s="1">
        <v>440910</v>
      </c>
      <c r="B1979" s="1" t="s">
        <v>2005</v>
      </c>
      <c r="C1979" s="1" t="str">
        <f ca="1">IFERROR(__xludf.DUMMYFUNCTION("REGEXEXTRACT(B1979, ""^([^:]+)"")"),"Wood")</f>
        <v>Wood</v>
      </c>
      <c r="D1979" s="1" t="s">
        <v>11</v>
      </c>
      <c r="E1979" s="1" t="s">
        <v>11</v>
      </c>
    </row>
    <row r="1980" spans="1:5" ht="15.75" customHeight="1">
      <c r="A1980" s="1">
        <v>440921</v>
      </c>
      <c r="B1980" s="1" t="s">
        <v>2006</v>
      </c>
      <c r="C1980" s="1" t="str">
        <f ca="1">IFERROR(__xludf.DUMMYFUNCTION("REGEXEXTRACT(B1980, ""^([^:]+)"")"),"Wood")</f>
        <v>Wood</v>
      </c>
      <c r="D1980" s="1" t="s">
        <v>11</v>
      </c>
      <c r="E1980" s="1" t="s">
        <v>11</v>
      </c>
    </row>
    <row r="1981" spans="1:5" ht="15.75" customHeight="1">
      <c r="A1981" s="1">
        <v>440929</v>
      </c>
      <c r="B1981" s="1" t="s">
        <v>2007</v>
      </c>
      <c r="C1981" s="1" t="str">
        <f ca="1">IFERROR(__xludf.DUMMYFUNCTION("REGEXEXTRACT(B1981, ""^([^:]+)"")"),"Wood")</f>
        <v>Wood</v>
      </c>
      <c r="D1981" s="1" t="s">
        <v>11</v>
      </c>
      <c r="E1981" s="1" t="s">
        <v>11</v>
      </c>
    </row>
    <row r="1982" spans="1:5" ht="15.75" customHeight="1">
      <c r="A1982" s="1">
        <v>441011</v>
      </c>
      <c r="B1982" s="1" t="s">
        <v>2008</v>
      </c>
      <c r="C1982" s="1" t="str">
        <f ca="1">IFERROR(__xludf.DUMMYFUNCTION("REGEXEXTRACT(B1982, ""^([^:]+)"")"),"Particle board of wood, whether or not agglomerated with resins or other organic binding substances")</f>
        <v>Particle board of wood, whether or not agglomerated with resins or other organic binding substances</v>
      </c>
      <c r="D1982" s="1" t="s">
        <v>11</v>
      </c>
      <c r="E1982" s="1" t="s">
        <v>11</v>
      </c>
    </row>
    <row r="1983" spans="1:5" ht="15.75" customHeight="1">
      <c r="A1983" s="1">
        <v>441012</v>
      </c>
      <c r="B1983" s="1" t="s">
        <v>2009</v>
      </c>
      <c r="C1983" s="1" t="str">
        <f ca="1">IFERROR(__xludf.DUMMYFUNCTION("REGEXEXTRACT(B1983, ""^([^:]+)"")"),"Oriented strand board (OSB) of wood, whether or not agglomerated with resins or other organic binding substances")</f>
        <v>Oriented strand board (OSB) of wood, whether or not agglomerated with resins or other organic binding substances</v>
      </c>
      <c r="D1983" s="1" t="s">
        <v>11</v>
      </c>
      <c r="E1983" s="1" t="s">
        <v>11</v>
      </c>
    </row>
    <row r="1984" spans="1:5" ht="15.75" customHeight="1">
      <c r="A1984" s="1">
        <v>441019</v>
      </c>
      <c r="B1984" s="1" t="s">
        <v>2010</v>
      </c>
      <c r="C1984" s="1" t="str">
        <f ca="1">IFERROR(__xludf.DUMMYFUNCTION("REGEXEXTRACT(B1984, ""^([^:]+)"")"),"Wafer board and similar board of wood n.e.c. in item no. 4410.1, whether or not agglomerated with resins or other organic binding substances")</f>
        <v>Wafer board and similar board of wood n.e.c. in item no. 4410.1, whether or not agglomerated with resins or other organic binding substances</v>
      </c>
      <c r="D1984" s="1" t="s">
        <v>11</v>
      </c>
      <c r="E1984" s="1" t="s">
        <v>11</v>
      </c>
    </row>
    <row r="1985" spans="1:5" ht="15.75" customHeight="1">
      <c r="A1985" s="1">
        <v>441090</v>
      </c>
      <c r="B1985" s="1" t="s">
        <v>2011</v>
      </c>
      <c r="C1985" s="1" t="str">
        <f ca="1">IFERROR(__xludf.DUMMYFUNCTION("REGEXEXTRACT(B1985, ""^([^:]+)"")"),"Particle board, oriented strand board (OSB) and similar board of ligneous materials other than wood, whether or not agglomerated with resins or other organic binding substances")</f>
        <v>Particle board, oriented strand board (OSB) and similar board of ligneous materials other than wood, whether or not agglomerated with resins or other organic binding substances</v>
      </c>
      <c r="D1985" s="1" t="s">
        <v>11</v>
      </c>
      <c r="E1985" s="1" t="s">
        <v>11</v>
      </c>
    </row>
    <row r="1986" spans="1:5" ht="15.75" customHeight="1">
      <c r="A1986" s="1">
        <v>441112</v>
      </c>
      <c r="B1986" s="1" t="s">
        <v>2012</v>
      </c>
      <c r="C1986" s="1" t="str">
        <f ca="1">IFERROR(__xludf.DUMMYFUNCTION("REGEXEXTRACT(B1986, ""^([^:]+)"")"),"Medium density fibreboard (MDF), of a thickness not exceeding 5 mm")</f>
        <v>Medium density fibreboard (MDF), of a thickness not exceeding 5 mm</v>
      </c>
      <c r="D1986" s="1" t="s">
        <v>11</v>
      </c>
      <c r="E1986" s="1" t="s">
        <v>11</v>
      </c>
    </row>
    <row r="1987" spans="1:5" ht="15.75" customHeight="1">
      <c r="A1987" s="1">
        <v>441113</v>
      </c>
      <c r="B1987" s="1" t="s">
        <v>2013</v>
      </c>
      <c r="C1987" s="1" t="str">
        <f ca="1">IFERROR(__xludf.DUMMYFUNCTION("REGEXEXTRACT(B1987, ""^([^:]+)"")"),"Medium density fibreboard (MDF), of a thickness exceeding 5 mm but not exceeding 9 mm")</f>
        <v>Medium density fibreboard (MDF), of a thickness exceeding 5 mm but not exceeding 9 mm</v>
      </c>
      <c r="D1987" s="1" t="s">
        <v>11</v>
      </c>
      <c r="E1987" s="1" t="s">
        <v>11</v>
      </c>
    </row>
    <row r="1988" spans="1:5" ht="15.75" customHeight="1">
      <c r="A1988" s="1">
        <v>441114</v>
      </c>
      <c r="B1988" s="1" t="s">
        <v>2014</v>
      </c>
      <c r="C1988" s="1" t="str">
        <f ca="1">IFERROR(__xludf.DUMMYFUNCTION("REGEXEXTRACT(B1988, ""^([^:]+)"")"),"Medium density fibreboard (MDF), of a thickness exceeding 9 mm")</f>
        <v>Medium density fibreboard (MDF), of a thickness exceeding 9 mm</v>
      </c>
      <c r="D1988" s="1" t="s">
        <v>11</v>
      </c>
      <c r="E1988" s="1" t="s">
        <v>11</v>
      </c>
    </row>
    <row r="1989" spans="1:5" ht="15.75" customHeight="1">
      <c r="A1989" s="1">
        <v>441192</v>
      </c>
      <c r="B1989" s="1" t="s">
        <v>2015</v>
      </c>
      <c r="C1989" s="1" t="str">
        <f ca="1">IFERROR(__xludf.DUMMYFUNCTION("REGEXEXTRACT(B1989, ""^([^:]+)"")"),"Fibreboard (other than MDF) of a density exceeding 0.8g/cm3, of wood or other ligneous materials, bonded or not with resins or other organic substances")</f>
        <v>Fibreboard (other than MDF) of a density exceeding 0.8g/cm3, of wood or other ligneous materials, bonded or not with resins or other organic substances</v>
      </c>
      <c r="D1989" s="1" t="s">
        <v>11</v>
      </c>
      <c r="E1989" s="1" t="s">
        <v>11</v>
      </c>
    </row>
    <row r="1990" spans="1:5" ht="15.75" customHeight="1">
      <c r="A1990" s="1">
        <v>441193</v>
      </c>
      <c r="B1990" s="1" t="s">
        <v>2016</v>
      </c>
      <c r="C1990" s="1" t="str">
        <f ca="1">IFERROR(__xludf.DUMMYFUNCTION("REGEXEXTRACT(B1990, ""^([^:]+)"")"),"Fibreboard (other than MDF) of a density exceeding 0.5g/cm3 but not 0.8g/cm3, of wood or other ligneous materials, bonded or not with resins or other organic substances")</f>
        <v>Fibreboard (other than MDF) of a density exceeding 0.5g/cm3 but not 0.8g/cm3, of wood or other ligneous materials, bonded or not with resins or other organic substances</v>
      </c>
      <c r="D1990" s="1" t="s">
        <v>11</v>
      </c>
      <c r="E1990" s="1" t="s">
        <v>11</v>
      </c>
    </row>
    <row r="1991" spans="1:5" ht="15.75" customHeight="1">
      <c r="A1991" s="1">
        <v>441194</v>
      </c>
      <c r="B1991" s="1" t="s">
        <v>2017</v>
      </c>
      <c r="C1991" s="1" t="str">
        <f ca="1">IFERROR(__xludf.DUMMYFUNCTION("REGEXEXTRACT(B1991, ""^([^:]+)"")"),"Fibreboard (other than MDF) of a density not exceeding 0.5g/cm3, of wood or other ligneous materials, bonded or not with resins or other organic substances")</f>
        <v>Fibreboard (other than MDF) of a density not exceeding 0.5g/cm3, of wood or other ligneous materials, bonded or not with resins or other organic substances</v>
      </c>
      <c r="D1991" s="1" t="s">
        <v>11</v>
      </c>
      <c r="E1991" s="1" t="s">
        <v>11</v>
      </c>
    </row>
    <row r="1992" spans="1:5" ht="15.75" customHeight="1">
      <c r="A1992" s="1">
        <v>441210</v>
      </c>
      <c r="B1992" s="1" t="s">
        <v>2018</v>
      </c>
      <c r="C1992" s="1" t="str">
        <f ca="1">IFERROR(__xludf.DUMMYFUNCTION("REGEXEXTRACT(B1992, ""^([^:]+)"")"),"Plywood, veneered panels and similar laminated wood")</f>
        <v>Plywood, veneered panels and similar laminated wood</v>
      </c>
      <c r="D1992" s="1" t="s">
        <v>11</v>
      </c>
      <c r="E1992" s="1" t="s">
        <v>11</v>
      </c>
    </row>
    <row r="1993" spans="1:5" ht="15.75" customHeight="1">
      <c r="A1993" s="1">
        <v>441231</v>
      </c>
      <c r="B1993" s="1" t="s">
        <v>2019</v>
      </c>
      <c r="C1993" s="1" t="str">
        <f ca="1">IFERROR(__xludf.DUMMYFUNCTION("REGEXEXTRACT(B1993, ""^([^:]+)"")"),"Plywood")</f>
        <v>Plywood</v>
      </c>
      <c r="D1993" s="1" t="s">
        <v>11</v>
      </c>
      <c r="E1993" s="1" t="s">
        <v>11</v>
      </c>
    </row>
    <row r="1994" spans="1:5" ht="15.75" customHeight="1">
      <c r="A1994" s="1">
        <v>441232</v>
      </c>
      <c r="B1994" s="1" t="s">
        <v>2020</v>
      </c>
      <c r="C1994" s="1" t="str">
        <f ca="1">IFERROR(__xludf.DUMMYFUNCTION("REGEXEXTRACT(B1994, ""^([^:]+)"")"),"Plywood")</f>
        <v>Plywood</v>
      </c>
      <c r="D1994" s="1" t="s">
        <v>11</v>
      </c>
      <c r="E1994" s="1" t="s">
        <v>11</v>
      </c>
    </row>
    <row r="1995" spans="1:5" ht="15.75" customHeight="1">
      <c r="A1995" s="1">
        <v>441239</v>
      </c>
      <c r="B1995" s="1" t="s">
        <v>2021</v>
      </c>
      <c r="C1995" s="1" t="str">
        <f ca="1">IFERROR(__xludf.DUMMYFUNCTION("REGEXEXTRACT(B1995, ""^([^:]+)"")"),"Plywood")</f>
        <v>Plywood</v>
      </c>
      <c r="D1995" s="1" t="s">
        <v>11</v>
      </c>
      <c r="E1995" s="1" t="s">
        <v>11</v>
      </c>
    </row>
    <row r="1996" spans="1:5" ht="15.75" customHeight="1">
      <c r="A1996" s="1">
        <v>441294</v>
      </c>
      <c r="B1996" s="1" t="s">
        <v>2022</v>
      </c>
      <c r="C1996" s="1" t="str">
        <f ca="1">IFERROR(__xludf.DUMMYFUNCTION("REGEXEXTRACT(B1996, ""^([^:]+)"")"),"Blockboard, laminboard and battenboard (not bamboo, and other than plywood consisting only of sheets of wood each ply 6mm or thinner)")</f>
        <v>Blockboard, laminboard and battenboard (not bamboo, and other than plywood consisting only of sheets of wood each ply 6mm or thinner)</v>
      </c>
      <c r="D1996" s="1" t="s">
        <v>11</v>
      </c>
      <c r="E1996" s="1" t="s">
        <v>11</v>
      </c>
    </row>
    <row r="1997" spans="1:5" ht="15.75" customHeight="1">
      <c r="A1997" s="1">
        <v>441299</v>
      </c>
      <c r="B1997" s="1" t="s">
        <v>2023</v>
      </c>
      <c r="C1997" s="1" t="str">
        <f ca="1">IFERROR(__xludf.DUMMYFUNCTION("REGEXEXTRACT(B1997, ""^([^:]+)"")"),"Plywood, veneered panels and similar laminated wood (other than blockboard, laminboard and battenboard, other than of bamboo, and other than plywood consisting only of sheets of wood each ply 6mm or thinner)")</f>
        <v>Plywood, veneered panels and similar laminated wood (other than blockboard, laminboard and battenboard, other than of bamboo, and other than plywood consisting only of sheets of wood each ply 6mm or thinner)</v>
      </c>
      <c r="D1997" s="1" t="s">
        <v>11</v>
      </c>
      <c r="E1997" s="1" t="s">
        <v>11</v>
      </c>
    </row>
    <row r="1998" spans="1:5" ht="15.75" customHeight="1">
      <c r="A1998" s="1">
        <v>441300</v>
      </c>
      <c r="B1998" s="1" t="s">
        <v>2024</v>
      </c>
      <c r="C1998" s="1" t="str">
        <f ca="1">IFERROR(__xludf.DUMMYFUNCTION("REGEXEXTRACT(B1998, ""^([^:]+)"")"),"Wood")</f>
        <v>Wood</v>
      </c>
      <c r="D1998" s="1" t="s">
        <v>11</v>
      </c>
      <c r="E1998" s="1" t="s">
        <v>11</v>
      </c>
    </row>
    <row r="1999" spans="1:5" ht="15.75" customHeight="1">
      <c r="A1999" s="1">
        <v>441400</v>
      </c>
      <c r="B1999" s="1" t="s">
        <v>2025</v>
      </c>
      <c r="C1999" s="1" t="str">
        <f ca="1">IFERROR(__xludf.DUMMYFUNCTION("REGEXEXTRACT(B1999, ""^([^:]+)"")"),"Wooden frames")</f>
        <v>Wooden frames</v>
      </c>
      <c r="D1999" s="1" t="s">
        <v>11</v>
      </c>
      <c r="E1999" s="1" t="s">
        <v>11</v>
      </c>
    </row>
    <row r="2000" spans="1:5" ht="15.75" customHeight="1">
      <c r="A2000" s="1">
        <v>441510</v>
      </c>
      <c r="B2000" s="1" t="s">
        <v>2026</v>
      </c>
      <c r="C2000" s="1" t="str">
        <f ca="1">IFERROR(__xludf.DUMMYFUNCTION("REGEXEXTRACT(B2000, ""^([^:]+)"")"),"Wood")</f>
        <v>Wood</v>
      </c>
      <c r="D2000" s="1" t="s">
        <v>11</v>
      </c>
      <c r="E2000" s="1" t="s">
        <v>11</v>
      </c>
    </row>
    <row r="2001" spans="1:5" ht="15.75" customHeight="1">
      <c r="A2001" s="1">
        <v>441520</v>
      </c>
      <c r="B2001" s="1" t="s">
        <v>2027</v>
      </c>
      <c r="C2001" s="1" t="str">
        <f ca="1">IFERROR(__xludf.DUMMYFUNCTION("REGEXEXTRACT(B2001, ""^([^:]+)"")"),"Wood")</f>
        <v>Wood</v>
      </c>
      <c r="D2001" s="1" t="s">
        <v>11</v>
      </c>
      <c r="E2001" s="1" t="s">
        <v>11</v>
      </c>
    </row>
    <row r="2002" spans="1:5" ht="15.75" customHeight="1">
      <c r="A2002" s="1">
        <v>441600</v>
      </c>
      <c r="B2002" s="1" t="s">
        <v>2028</v>
      </c>
      <c r="C2002" s="1" t="str">
        <f ca="1">IFERROR(__xludf.DUMMYFUNCTION("REGEXEXTRACT(B2002, ""^([^:]+)"")"),"Wood")</f>
        <v>Wood</v>
      </c>
      <c r="D2002" s="1" t="s">
        <v>11</v>
      </c>
      <c r="E2002" s="1" t="s">
        <v>11</v>
      </c>
    </row>
    <row r="2003" spans="1:5" ht="15.75" customHeight="1">
      <c r="A2003" s="1">
        <v>441700</v>
      </c>
      <c r="B2003" s="1" t="s">
        <v>2029</v>
      </c>
      <c r="C2003" s="1" t="str">
        <f ca="1">IFERROR(__xludf.DUMMYFUNCTION("REGEXEXTRACT(B2003, ""^([^:]+)"")"),"Wood")</f>
        <v>Wood</v>
      </c>
      <c r="D2003" s="1" t="s">
        <v>11</v>
      </c>
      <c r="E2003" s="1" t="s">
        <v>11</v>
      </c>
    </row>
    <row r="2004" spans="1:5" ht="15.75" customHeight="1">
      <c r="A2004" s="1">
        <v>441810</v>
      </c>
      <c r="B2004" s="1" t="s">
        <v>2030</v>
      </c>
      <c r="C2004" s="1" t="str">
        <f ca="1">IFERROR(__xludf.DUMMYFUNCTION("REGEXEXTRACT(B2004, ""^([^:]+)"")"),"Wood")</f>
        <v>Wood</v>
      </c>
      <c r="D2004" s="1" t="s">
        <v>11</v>
      </c>
      <c r="E2004" s="1" t="s">
        <v>11</v>
      </c>
    </row>
    <row r="2005" spans="1:5" ht="15.75" customHeight="1">
      <c r="A2005" s="1">
        <v>441820</v>
      </c>
      <c r="B2005" s="1" t="s">
        <v>2031</v>
      </c>
      <c r="C2005" s="1" t="str">
        <f ca="1">IFERROR(__xludf.DUMMYFUNCTION("REGEXEXTRACT(B2005, ""^([^:]+)"")"),"Wood")</f>
        <v>Wood</v>
      </c>
      <c r="D2005" s="1" t="s">
        <v>11</v>
      </c>
      <c r="E2005" s="1" t="s">
        <v>11</v>
      </c>
    </row>
    <row r="2006" spans="1:5" ht="15.75" customHeight="1">
      <c r="A2006" s="1">
        <v>441840</v>
      </c>
      <c r="B2006" s="1" t="s">
        <v>2032</v>
      </c>
      <c r="C2006" s="1" t="str">
        <f ca="1">IFERROR(__xludf.DUMMYFUNCTION("REGEXEXTRACT(B2006, ""^([^:]+)"")"),"Wood")</f>
        <v>Wood</v>
      </c>
      <c r="D2006" s="1" t="s">
        <v>11</v>
      </c>
      <c r="E2006" s="1" t="s">
        <v>11</v>
      </c>
    </row>
    <row r="2007" spans="1:5" ht="15.75" customHeight="1">
      <c r="A2007" s="1">
        <v>441850</v>
      </c>
      <c r="B2007" s="1" t="s">
        <v>2033</v>
      </c>
      <c r="C2007" s="1" t="str">
        <f ca="1">IFERROR(__xludf.DUMMYFUNCTION("REGEXEXTRACT(B2007, ""^([^:]+)"")"),"Wood")</f>
        <v>Wood</v>
      </c>
      <c r="D2007" s="1" t="s">
        <v>11</v>
      </c>
      <c r="E2007" s="1" t="s">
        <v>11</v>
      </c>
    </row>
    <row r="2008" spans="1:5" ht="15.75" customHeight="1">
      <c r="A2008" s="1">
        <v>441860</v>
      </c>
      <c r="B2008" s="1" t="s">
        <v>2034</v>
      </c>
      <c r="C2008" s="1" t="str">
        <f ca="1">IFERROR(__xludf.DUMMYFUNCTION("REGEXEXTRACT(B2008, ""^([^:]+)"")"),"Wood")</f>
        <v>Wood</v>
      </c>
      <c r="D2008" s="1" t="s">
        <v>11</v>
      </c>
      <c r="E2008" s="1" t="s">
        <v>11</v>
      </c>
    </row>
    <row r="2009" spans="1:5" ht="15.75" customHeight="1">
      <c r="A2009" s="1">
        <v>441871</v>
      </c>
      <c r="B2009" s="1" t="s">
        <v>2035</v>
      </c>
      <c r="C2009" s="1" t="str">
        <f ca="1">IFERROR(__xludf.DUMMYFUNCTION("REGEXEXTRACT(B2009, ""^([^:]+)"")"),"Wood")</f>
        <v>Wood</v>
      </c>
      <c r="D2009" s="1" t="s">
        <v>11</v>
      </c>
      <c r="E2009" s="1" t="s">
        <v>11</v>
      </c>
    </row>
    <row r="2010" spans="1:5" ht="15.75" customHeight="1">
      <c r="A2010" s="1">
        <v>441872</v>
      </c>
      <c r="B2010" s="1" t="s">
        <v>2036</v>
      </c>
      <c r="C2010" s="1" t="str">
        <f ca="1">IFERROR(__xludf.DUMMYFUNCTION("REGEXEXTRACT(B2010, ""^([^:]+)"")"),"Wood")</f>
        <v>Wood</v>
      </c>
      <c r="D2010" s="1" t="s">
        <v>11</v>
      </c>
      <c r="E2010" s="1" t="s">
        <v>11</v>
      </c>
    </row>
    <row r="2011" spans="1:5" ht="15.75" customHeight="1">
      <c r="A2011" s="1">
        <v>441879</v>
      </c>
      <c r="B2011" s="1" t="s">
        <v>2037</v>
      </c>
      <c r="C2011" s="1" t="str">
        <f ca="1">IFERROR(__xludf.DUMMYFUNCTION("REGEXEXTRACT(B2011, ""^([^:]+)"")"),"Wood")</f>
        <v>Wood</v>
      </c>
      <c r="D2011" s="1" t="s">
        <v>11</v>
      </c>
      <c r="E2011" s="1" t="s">
        <v>11</v>
      </c>
    </row>
    <row r="2012" spans="1:5" ht="15.75" customHeight="1">
      <c r="A2012" s="1">
        <v>441890</v>
      </c>
      <c r="B2012" s="1" t="s">
        <v>2038</v>
      </c>
      <c r="C2012" s="1" t="str">
        <f ca="1">IFERROR(__xludf.DUMMYFUNCTION("REGEXEXTRACT(B2012, ""^([^:]+)"")"),"Wood")</f>
        <v>Wood</v>
      </c>
      <c r="D2012" s="1" t="s">
        <v>11</v>
      </c>
      <c r="E2012" s="1" t="s">
        <v>11</v>
      </c>
    </row>
    <row r="2013" spans="1:5" ht="15.75" customHeight="1">
      <c r="A2013" s="1">
        <v>441900</v>
      </c>
      <c r="B2013" s="1" t="s">
        <v>2039</v>
      </c>
      <c r="C2013" s="1" t="str">
        <f ca="1">IFERROR(__xludf.DUMMYFUNCTION("REGEXEXTRACT(B2013, ""^([^:]+)"")"),"Wood")</f>
        <v>Wood</v>
      </c>
      <c r="D2013" s="1" t="s">
        <v>11</v>
      </c>
      <c r="E2013" s="1" t="s">
        <v>11</v>
      </c>
    </row>
    <row r="2014" spans="1:5" ht="15.75" customHeight="1">
      <c r="A2014" s="1">
        <v>442010</v>
      </c>
      <c r="B2014" s="1" t="s">
        <v>2040</v>
      </c>
      <c r="C2014" s="1" t="str">
        <f ca="1">IFERROR(__xludf.DUMMYFUNCTION("REGEXEXTRACT(B2014, ""^([^:]+)"")"),"Wood")</f>
        <v>Wood</v>
      </c>
      <c r="D2014" s="1" t="s">
        <v>11</v>
      </c>
      <c r="E2014" s="1" t="s">
        <v>11</v>
      </c>
    </row>
    <row r="2015" spans="1:5" ht="15.75" customHeight="1">
      <c r="A2015" s="1">
        <v>442090</v>
      </c>
      <c r="B2015" s="1" t="s">
        <v>2041</v>
      </c>
      <c r="C2015" s="1" t="str">
        <f ca="1">IFERROR(__xludf.DUMMYFUNCTION("REGEXEXTRACT(B2015, ""^([^:]+)"")"),"Wood")</f>
        <v>Wood</v>
      </c>
      <c r="D2015" s="1" t="s">
        <v>11</v>
      </c>
      <c r="E2015" s="1" t="s">
        <v>11</v>
      </c>
    </row>
    <row r="2016" spans="1:5" ht="15.75" customHeight="1">
      <c r="A2016" s="1">
        <v>442110</v>
      </c>
      <c r="B2016" s="1" t="s">
        <v>2042</v>
      </c>
      <c r="C2016" s="1" t="str">
        <f ca="1">IFERROR(__xludf.DUMMYFUNCTION("REGEXEXTRACT(B2016, ""^([^:]+)"")"),"Wood")</f>
        <v>Wood</v>
      </c>
      <c r="D2016" s="1" t="s">
        <v>11</v>
      </c>
      <c r="E2016" s="1" t="s">
        <v>11</v>
      </c>
    </row>
    <row r="2017" spans="1:5" ht="15.75" customHeight="1">
      <c r="A2017" s="1">
        <v>442190</v>
      </c>
      <c r="B2017" s="1" t="s">
        <v>2043</v>
      </c>
      <c r="C2017" s="1" t="str">
        <f ca="1">IFERROR(__xludf.DUMMYFUNCTION("REGEXEXTRACT(B2017, ""^([^:]+)"")"),"Wood")</f>
        <v>Wood</v>
      </c>
      <c r="D2017" s="1" t="s">
        <v>11</v>
      </c>
      <c r="E2017" s="1" t="s">
        <v>11</v>
      </c>
    </row>
    <row r="2018" spans="1:5" ht="15.75" customHeight="1">
      <c r="A2018" s="1">
        <v>450110</v>
      </c>
      <c r="B2018" s="1" t="s">
        <v>2044</v>
      </c>
      <c r="C2018" s="1" t="str">
        <f ca="1">IFERROR(__xludf.DUMMYFUNCTION("REGEXEXTRACT(B2018, ""^([^:]+)"")"),"Cork")</f>
        <v>Cork</v>
      </c>
      <c r="D2018" s="1" t="s">
        <v>11</v>
      </c>
      <c r="E2018" s="1" t="s">
        <v>11</v>
      </c>
    </row>
    <row r="2019" spans="1:5" ht="15.75" customHeight="1">
      <c r="A2019" s="1">
        <v>450190</v>
      </c>
      <c r="B2019" s="1" t="s">
        <v>2045</v>
      </c>
      <c r="C2019" s="1" t="str">
        <f ca="1">IFERROR(__xludf.DUMMYFUNCTION("REGEXEXTRACT(B2019, ""^([^:]+)"")"),"Cork")</f>
        <v>Cork</v>
      </c>
      <c r="D2019" s="1" t="s">
        <v>11</v>
      </c>
      <c r="E2019" s="1" t="s">
        <v>11</v>
      </c>
    </row>
    <row r="2020" spans="1:5" ht="15.75" customHeight="1">
      <c r="A2020" s="1">
        <v>450200</v>
      </c>
      <c r="B2020" s="1" t="s">
        <v>2046</v>
      </c>
      <c r="C2020" s="1" t="str">
        <f ca="1">IFERROR(__xludf.DUMMYFUNCTION("REGEXEXTRACT(B2020, ""^([^:]+)"")"),"Cork")</f>
        <v>Cork</v>
      </c>
      <c r="D2020" s="1" t="s">
        <v>11</v>
      </c>
      <c r="E2020" s="1" t="s">
        <v>11</v>
      </c>
    </row>
    <row r="2021" spans="1:5" ht="15.75" customHeight="1">
      <c r="A2021" s="1">
        <v>450310</v>
      </c>
      <c r="B2021" s="1" t="s">
        <v>2047</v>
      </c>
      <c r="C2021" s="1" t="str">
        <f ca="1">IFERROR(__xludf.DUMMYFUNCTION("REGEXEXTRACT(B2021, ""^([^:]+)"")"),"Cork")</f>
        <v>Cork</v>
      </c>
      <c r="D2021" s="1" t="s">
        <v>11</v>
      </c>
      <c r="E2021" s="1" t="s">
        <v>11</v>
      </c>
    </row>
    <row r="2022" spans="1:5" ht="15.75" customHeight="1">
      <c r="A2022" s="1">
        <v>450390</v>
      </c>
      <c r="B2022" s="1" t="s">
        <v>2048</v>
      </c>
      <c r="C2022" s="1" t="str">
        <f ca="1">IFERROR(__xludf.DUMMYFUNCTION("REGEXEXTRACT(B2022, ""^([^:]+)"")"),"Cork")</f>
        <v>Cork</v>
      </c>
      <c r="D2022" s="1" t="s">
        <v>11</v>
      </c>
      <c r="E2022" s="1" t="s">
        <v>11</v>
      </c>
    </row>
    <row r="2023" spans="1:5" ht="15.75" customHeight="1">
      <c r="A2023" s="1">
        <v>450410</v>
      </c>
      <c r="B2023" s="1" t="s">
        <v>2049</v>
      </c>
      <c r="C2023" s="1" t="str">
        <f ca="1">IFERROR(__xludf.DUMMYFUNCTION("REGEXEXTRACT(B2023, ""^([^:]+)"")"),"Cork")</f>
        <v>Cork</v>
      </c>
      <c r="D2023" s="1" t="s">
        <v>11</v>
      </c>
      <c r="E2023" s="1" t="s">
        <v>11</v>
      </c>
    </row>
    <row r="2024" spans="1:5" ht="15.75" customHeight="1">
      <c r="A2024" s="1">
        <v>450490</v>
      </c>
      <c r="B2024" s="1" t="s">
        <v>2050</v>
      </c>
      <c r="C2024" s="1" t="str">
        <f ca="1">IFERROR(__xludf.DUMMYFUNCTION("REGEXEXTRACT(B2024, ""^([^:]+)"")"),"Cork")</f>
        <v>Cork</v>
      </c>
      <c r="D2024" s="1" t="s">
        <v>11</v>
      </c>
      <c r="E2024" s="1" t="s">
        <v>11</v>
      </c>
    </row>
    <row r="2025" spans="1:5" ht="15.75" customHeight="1">
      <c r="A2025" s="1">
        <v>460121</v>
      </c>
      <c r="B2025" s="1" t="s">
        <v>2051</v>
      </c>
      <c r="C2025" s="1" t="str">
        <f ca="1">IFERROR(__xludf.DUMMYFUNCTION("REGEXEXTRACT(B2025, ""^([^:]+)"")"),"Plaiting materials, plaits and similar products of plaiting materials")</f>
        <v>Plaiting materials, plaits and similar products of plaiting materials</v>
      </c>
      <c r="D2025" s="1" t="s">
        <v>11</v>
      </c>
      <c r="E2025" s="1" t="s">
        <v>11</v>
      </c>
    </row>
    <row r="2026" spans="1:5" ht="15.75" customHeight="1">
      <c r="A2026" s="1">
        <v>460122</v>
      </c>
      <c r="B2026" s="1" t="s">
        <v>2052</v>
      </c>
      <c r="C2026" s="1" t="str">
        <f ca="1">IFERROR(__xludf.DUMMYFUNCTION("REGEXEXTRACT(B2026, ""^([^:]+)"")"),"Plaiting materials, plaits and similar products of plaiting materials")</f>
        <v>Plaiting materials, plaits and similar products of plaiting materials</v>
      </c>
      <c r="D2026" s="1" t="s">
        <v>11</v>
      </c>
      <c r="E2026" s="1" t="s">
        <v>11</v>
      </c>
    </row>
    <row r="2027" spans="1:5" ht="15.75" customHeight="1">
      <c r="A2027" s="1">
        <v>460129</v>
      </c>
      <c r="B2027" s="1" t="s">
        <v>2053</v>
      </c>
      <c r="C2027" s="1" t="str">
        <f ca="1">IFERROR(__xludf.DUMMYFUNCTION("REGEXEXTRACT(B2027, ""^([^:]+)"")"),"Plaiting materials, plaits and similar products of plaiting materials")</f>
        <v>Plaiting materials, plaits and similar products of plaiting materials</v>
      </c>
      <c r="D2027" s="1" t="s">
        <v>11</v>
      </c>
      <c r="E2027" s="1" t="s">
        <v>11</v>
      </c>
    </row>
    <row r="2028" spans="1:5" ht="15.75" customHeight="1">
      <c r="A2028" s="1">
        <v>460192</v>
      </c>
      <c r="B2028" s="1" t="s">
        <v>2054</v>
      </c>
      <c r="C2028" s="1" t="str">
        <f ca="1">IFERROR(__xludf.DUMMYFUNCTION("REGEXEXTRACT(B2028, ""^([^:]+)"")"),"Plaiting materials, plaits and similar products of plaiting materials")</f>
        <v>Plaiting materials, plaits and similar products of plaiting materials</v>
      </c>
      <c r="D2028" s="1" t="s">
        <v>11</v>
      </c>
      <c r="E2028" s="1" t="s">
        <v>11</v>
      </c>
    </row>
    <row r="2029" spans="1:5" ht="15.75" customHeight="1">
      <c r="A2029" s="1">
        <v>460193</v>
      </c>
      <c r="B2029" s="1" t="s">
        <v>2055</v>
      </c>
      <c r="C2029" s="1" t="str">
        <f ca="1">IFERROR(__xludf.DUMMYFUNCTION("REGEXEXTRACT(B2029, ""^([^:]+)"")"),"Plaiting materials, plaits and similar products of plaiting materials")</f>
        <v>Plaiting materials, plaits and similar products of plaiting materials</v>
      </c>
      <c r="D2029" s="1" t="s">
        <v>11</v>
      </c>
      <c r="E2029" s="1" t="s">
        <v>11</v>
      </c>
    </row>
    <row r="2030" spans="1:5" ht="15.75" customHeight="1">
      <c r="A2030" s="1">
        <v>460194</v>
      </c>
      <c r="B2030" s="1" t="s">
        <v>2056</v>
      </c>
      <c r="C2030" s="1" t="str">
        <f ca="1">IFERROR(__xludf.DUMMYFUNCTION("REGEXEXTRACT(B2030, ""^([^:]+)"")"),"Plaiting materials, plaits and similar products of plaiting materials")</f>
        <v>Plaiting materials, plaits and similar products of plaiting materials</v>
      </c>
      <c r="D2030" s="1" t="s">
        <v>11</v>
      </c>
      <c r="E2030" s="1" t="s">
        <v>11</v>
      </c>
    </row>
    <row r="2031" spans="1:5" ht="15.75" customHeight="1">
      <c r="A2031" s="1">
        <v>460199</v>
      </c>
      <c r="B2031" s="1" t="s">
        <v>2057</v>
      </c>
      <c r="C2031" s="1" t="str">
        <f ca="1">IFERROR(__xludf.DUMMYFUNCTION("REGEXEXTRACT(B2031, ""^([^:]+)"")"),"Plaiting materials, plaits and similar products of plaiting materials")</f>
        <v>Plaiting materials, plaits and similar products of plaiting materials</v>
      </c>
      <c r="D2031" s="1" t="s">
        <v>11</v>
      </c>
      <c r="E2031" s="1" t="s">
        <v>11</v>
      </c>
    </row>
    <row r="2032" spans="1:5" ht="15.75" customHeight="1">
      <c r="A2032" s="1">
        <v>460211</v>
      </c>
      <c r="B2032" s="1" t="s">
        <v>2058</v>
      </c>
      <c r="C2032" s="1" t="str">
        <f ca="1">IFERROR(__xludf.DUMMYFUNCTION("REGEXEXTRACT(B2032, ""^([^:]+)"")"),"Basketwork, wickerwork and other articles")</f>
        <v>Basketwork, wickerwork and other articles</v>
      </c>
      <c r="D2032" s="1" t="s">
        <v>11</v>
      </c>
      <c r="E2032" s="1" t="s">
        <v>11</v>
      </c>
    </row>
    <row r="2033" spans="1:5" ht="15.75" customHeight="1">
      <c r="A2033" s="1">
        <v>460212</v>
      </c>
      <c r="B2033" s="1" t="s">
        <v>2059</v>
      </c>
      <c r="C2033" s="1" t="str">
        <f ca="1">IFERROR(__xludf.DUMMYFUNCTION("REGEXEXTRACT(B2033, ""^([^:]+)"")"),"Basketwork, wickerwork and other articles")</f>
        <v>Basketwork, wickerwork and other articles</v>
      </c>
      <c r="D2033" s="1" t="s">
        <v>11</v>
      </c>
      <c r="E2033" s="1" t="s">
        <v>11</v>
      </c>
    </row>
    <row r="2034" spans="1:5" ht="15.75" customHeight="1">
      <c r="A2034" s="1">
        <v>460219</v>
      </c>
      <c r="B2034" s="1" t="s">
        <v>2060</v>
      </c>
      <c r="C2034" s="1" t="str">
        <f ca="1">IFERROR(__xludf.DUMMYFUNCTION("REGEXEXTRACT(B2034, ""^([^:]+)"")"),"Basketwork, wickerwork and other articles")</f>
        <v>Basketwork, wickerwork and other articles</v>
      </c>
      <c r="D2034" s="1" t="s">
        <v>11</v>
      </c>
      <c r="E2034" s="1" t="s">
        <v>11</v>
      </c>
    </row>
    <row r="2035" spans="1:5" ht="15.75" customHeight="1">
      <c r="A2035" s="1">
        <v>460290</v>
      </c>
      <c r="B2035" s="1" t="s">
        <v>2061</v>
      </c>
      <c r="C2035" s="1" t="str">
        <f ca="1">IFERROR(__xludf.DUMMYFUNCTION("REGEXEXTRACT(B2035, ""^([^:]+)"")"),"Basketwork, wickerwork and other articles")</f>
        <v>Basketwork, wickerwork and other articles</v>
      </c>
      <c r="D2035" s="1" t="s">
        <v>11</v>
      </c>
      <c r="E2035" s="1" t="s">
        <v>11</v>
      </c>
    </row>
    <row r="2036" spans="1:5" ht="15.75" customHeight="1">
      <c r="A2036" s="1">
        <v>470100</v>
      </c>
      <c r="B2036" s="1" t="s">
        <v>2062</v>
      </c>
      <c r="C2036" s="1" t="str">
        <f ca="1">IFERROR(__xludf.DUMMYFUNCTION("REGEXEXTRACT(B2036, ""^([^:]+)"")"),"Wood pulp")</f>
        <v>Wood pulp</v>
      </c>
      <c r="D2036" s="1" t="s">
        <v>11</v>
      </c>
      <c r="E2036" s="1" t="s">
        <v>11</v>
      </c>
    </row>
    <row r="2037" spans="1:5" ht="15.75" customHeight="1">
      <c r="A2037" s="1">
        <v>470200</v>
      </c>
      <c r="B2037" s="1" t="s">
        <v>2063</v>
      </c>
      <c r="C2037" s="1" t="str">
        <f ca="1">IFERROR(__xludf.DUMMYFUNCTION("REGEXEXTRACT(B2037, ""^([^:]+)"")"),"Wood pulp")</f>
        <v>Wood pulp</v>
      </c>
      <c r="D2037" s="1" t="s">
        <v>11</v>
      </c>
      <c r="E2037" s="1" t="s">
        <v>11</v>
      </c>
    </row>
    <row r="2038" spans="1:5" ht="15.75" customHeight="1">
      <c r="A2038" s="1">
        <v>470311</v>
      </c>
      <c r="B2038" s="1" t="s">
        <v>2064</v>
      </c>
      <c r="C2038" s="1" t="str">
        <f ca="1">IFERROR(__xludf.DUMMYFUNCTION("REGEXEXTRACT(B2038, ""^([^:]+)"")"),"Wood pulp")</f>
        <v>Wood pulp</v>
      </c>
      <c r="D2038" s="1" t="s">
        <v>11</v>
      </c>
      <c r="E2038" s="1" t="s">
        <v>11</v>
      </c>
    </row>
    <row r="2039" spans="1:5" ht="15.75" customHeight="1">
      <c r="A2039" s="1">
        <v>470319</v>
      </c>
      <c r="B2039" s="1" t="s">
        <v>2065</v>
      </c>
      <c r="C2039" s="1" t="str">
        <f ca="1">IFERROR(__xludf.DUMMYFUNCTION("REGEXEXTRACT(B2039, ""^([^:]+)"")"),"Wood pulp")</f>
        <v>Wood pulp</v>
      </c>
      <c r="D2039" s="1" t="s">
        <v>11</v>
      </c>
      <c r="E2039" s="1" t="s">
        <v>11</v>
      </c>
    </row>
    <row r="2040" spans="1:5" ht="15.75" customHeight="1">
      <c r="A2040" s="1">
        <v>470321</v>
      </c>
      <c r="B2040" s="1" t="s">
        <v>2066</v>
      </c>
      <c r="C2040" s="1" t="str">
        <f ca="1">IFERROR(__xludf.DUMMYFUNCTION("REGEXEXTRACT(B2040, ""^([^:]+)"")"),"Wood pulp")</f>
        <v>Wood pulp</v>
      </c>
      <c r="D2040" s="1" t="s">
        <v>11</v>
      </c>
      <c r="E2040" s="1" t="s">
        <v>11</v>
      </c>
    </row>
    <row r="2041" spans="1:5" ht="15.75" customHeight="1">
      <c r="A2041" s="1">
        <v>470329</v>
      </c>
      <c r="B2041" s="1" t="s">
        <v>2067</v>
      </c>
      <c r="C2041" s="1" t="str">
        <f ca="1">IFERROR(__xludf.DUMMYFUNCTION("REGEXEXTRACT(B2041, ""^([^:]+)"")"),"Wood pulp")</f>
        <v>Wood pulp</v>
      </c>
      <c r="D2041" s="1" t="s">
        <v>11</v>
      </c>
      <c r="E2041" s="1" t="s">
        <v>11</v>
      </c>
    </row>
    <row r="2042" spans="1:5" ht="15.75" customHeight="1">
      <c r="A2042" s="1">
        <v>470411</v>
      </c>
      <c r="B2042" s="1" t="s">
        <v>2068</v>
      </c>
      <c r="C2042" s="1" t="str">
        <f ca="1">IFERROR(__xludf.DUMMYFUNCTION("REGEXEXTRACT(B2042, ""^([^:]+)"")"),"Wood pulp")</f>
        <v>Wood pulp</v>
      </c>
      <c r="D2042" s="1" t="s">
        <v>11</v>
      </c>
      <c r="E2042" s="1" t="s">
        <v>11</v>
      </c>
    </row>
    <row r="2043" spans="1:5" ht="15.75" customHeight="1">
      <c r="A2043" s="1">
        <v>470419</v>
      </c>
      <c r="B2043" s="1" t="s">
        <v>2069</v>
      </c>
      <c r="C2043" s="1" t="str">
        <f ca="1">IFERROR(__xludf.DUMMYFUNCTION("REGEXEXTRACT(B2043, ""^([^:]+)"")"),"Wood pulp")</f>
        <v>Wood pulp</v>
      </c>
      <c r="D2043" s="1" t="s">
        <v>11</v>
      </c>
      <c r="E2043" s="1" t="s">
        <v>11</v>
      </c>
    </row>
    <row r="2044" spans="1:5" ht="15.75" customHeight="1">
      <c r="A2044" s="1">
        <v>470421</v>
      </c>
      <c r="B2044" s="1" t="s">
        <v>2070</v>
      </c>
      <c r="C2044" s="1" t="str">
        <f ca="1">IFERROR(__xludf.DUMMYFUNCTION("REGEXEXTRACT(B2044, ""^([^:]+)"")"),"Wood pulp")</f>
        <v>Wood pulp</v>
      </c>
      <c r="D2044" s="1" t="s">
        <v>11</v>
      </c>
      <c r="E2044" s="1" t="s">
        <v>11</v>
      </c>
    </row>
    <row r="2045" spans="1:5" ht="15.75" customHeight="1">
      <c r="A2045" s="1">
        <v>470429</v>
      </c>
      <c r="B2045" s="1" t="s">
        <v>2071</v>
      </c>
      <c r="C2045" s="1" t="str">
        <f ca="1">IFERROR(__xludf.DUMMYFUNCTION("REGEXEXTRACT(B2045, ""^([^:]+)"")"),"Wood pulp")</f>
        <v>Wood pulp</v>
      </c>
      <c r="D2045" s="1" t="s">
        <v>11</v>
      </c>
      <c r="E2045" s="1" t="s">
        <v>11</v>
      </c>
    </row>
    <row r="2046" spans="1:5" ht="15.75" customHeight="1">
      <c r="A2046" s="1">
        <v>470500</v>
      </c>
      <c r="B2046" s="1" t="s">
        <v>2072</v>
      </c>
      <c r="C2046" s="1" t="str">
        <f ca="1">IFERROR(__xludf.DUMMYFUNCTION("REGEXEXTRACT(B2046, ""^([^:]+)"")"),"Wood pulp")</f>
        <v>Wood pulp</v>
      </c>
      <c r="D2046" s="1" t="s">
        <v>11</v>
      </c>
      <c r="E2046" s="1" t="s">
        <v>11</v>
      </c>
    </row>
    <row r="2047" spans="1:5" ht="15.75" customHeight="1">
      <c r="A2047" s="1">
        <v>470610</v>
      </c>
      <c r="B2047" s="1" t="s">
        <v>2073</v>
      </c>
      <c r="C2047" s="1" t="str">
        <f ca="1">IFERROR(__xludf.DUMMYFUNCTION("REGEXEXTRACT(B2047, ""^([^:]+)"")"),"Pulp")</f>
        <v>Pulp</v>
      </c>
      <c r="D2047" s="1" t="s">
        <v>11</v>
      </c>
      <c r="E2047" s="1" t="s">
        <v>11</v>
      </c>
    </row>
    <row r="2048" spans="1:5" ht="15.75" customHeight="1">
      <c r="A2048" s="1">
        <v>470620</v>
      </c>
      <c r="B2048" s="1" t="s">
        <v>2074</v>
      </c>
      <c r="C2048" s="1" t="str">
        <f ca="1">IFERROR(__xludf.DUMMYFUNCTION("REGEXEXTRACT(B2048, ""^([^:]+)"")"),"Pulp")</f>
        <v>Pulp</v>
      </c>
      <c r="D2048" s="1" t="s">
        <v>11</v>
      </c>
      <c r="E2048" s="1" t="s">
        <v>11</v>
      </c>
    </row>
    <row r="2049" spans="1:5" ht="15.75" customHeight="1">
      <c r="A2049" s="1">
        <v>470630</v>
      </c>
      <c r="B2049" s="1" t="s">
        <v>2075</v>
      </c>
      <c r="C2049" s="1" t="str">
        <f ca="1">IFERROR(__xludf.DUMMYFUNCTION("REGEXEXTRACT(B2049, ""^([^:]+)"")"),"Pulp")</f>
        <v>Pulp</v>
      </c>
      <c r="D2049" s="1" t="s">
        <v>11</v>
      </c>
      <c r="E2049" s="1" t="s">
        <v>11</v>
      </c>
    </row>
    <row r="2050" spans="1:5" ht="15.75" customHeight="1">
      <c r="A2050" s="1">
        <v>470691</v>
      </c>
      <c r="B2050" s="1" t="s">
        <v>2076</v>
      </c>
      <c r="C2050" s="1" t="str">
        <f ca="1">IFERROR(__xludf.DUMMYFUNCTION("REGEXEXTRACT(B2050, ""^([^:]+)"")"),"Pulp")</f>
        <v>Pulp</v>
      </c>
      <c r="D2050" s="1" t="s">
        <v>11</v>
      </c>
      <c r="E2050" s="1" t="s">
        <v>11</v>
      </c>
    </row>
    <row r="2051" spans="1:5" ht="15.75" customHeight="1">
      <c r="A2051" s="1">
        <v>470692</v>
      </c>
      <c r="B2051" s="1" t="s">
        <v>2077</v>
      </c>
      <c r="C2051" s="1" t="str">
        <f ca="1">IFERROR(__xludf.DUMMYFUNCTION("REGEXEXTRACT(B2051, ""^([^:]+)"")"),"Pulp")</f>
        <v>Pulp</v>
      </c>
      <c r="D2051" s="1" t="s">
        <v>11</v>
      </c>
      <c r="E2051" s="1" t="s">
        <v>11</v>
      </c>
    </row>
    <row r="2052" spans="1:5" ht="15.75" customHeight="1">
      <c r="A2052" s="1">
        <v>470693</v>
      </c>
      <c r="B2052" s="1" t="s">
        <v>2078</v>
      </c>
      <c r="C2052" s="1" t="str">
        <f ca="1">IFERROR(__xludf.DUMMYFUNCTION("REGEXEXTRACT(B2052, ""^([^:]+)"")"),"Pulp")</f>
        <v>Pulp</v>
      </c>
      <c r="D2052" s="1" t="s">
        <v>11</v>
      </c>
      <c r="E2052" s="1" t="s">
        <v>11</v>
      </c>
    </row>
    <row r="2053" spans="1:5" ht="15.75" customHeight="1">
      <c r="A2053" s="1">
        <v>470710</v>
      </c>
      <c r="B2053" s="1" t="s">
        <v>2079</v>
      </c>
      <c r="C2053" s="1" t="str">
        <f ca="1">IFERROR(__xludf.DUMMYFUNCTION("REGEXEXTRACT(B2053, ""^([^:]+)"")"),"Paper or paperboard")</f>
        <v>Paper or paperboard</v>
      </c>
      <c r="D2053" s="1" t="s">
        <v>11</v>
      </c>
      <c r="E2053" s="1" t="s">
        <v>11</v>
      </c>
    </row>
    <row r="2054" spans="1:5" ht="15.75" customHeight="1">
      <c r="A2054" s="1">
        <v>470720</v>
      </c>
      <c r="B2054" s="1" t="s">
        <v>2080</v>
      </c>
      <c r="C2054" s="1" t="str">
        <f ca="1">IFERROR(__xludf.DUMMYFUNCTION("REGEXEXTRACT(B2054, ""^([^:]+)"")"),"Paper or paperboard")</f>
        <v>Paper or paperboard</v>
      </c>
      <c r="D2054" s="1" t="s">
        <v>11</v>
      </c>
      <c r="E2054" s="1" t="s">
        <v>11</v>
      </c>
    </row>
    <row r="2055" spans="1:5" ht="15.75" customHeight="1">
      <c r="A2055" s="1">
        <v>470730</v>
      </c>
      <c r="B2055" s="1" t="s">
        <v>2081</v>
      </c>
      <c r="C2055" s="1" t="str">
        <f ca="1">IFERROR(__xludf.DUMMYFUNCTION("REGEXEXTRACT(B2055, ""^([^:]+)"")"),"Paper or paperboard")</f>
        <v>Paper or paperboard</v>
      </c>
      <c r="D2055" s="1" t="s">
        <v>11</v>
      </c>
      <c r="E2055" s="1" t="s">
        <v>11</v>
      </c>
    </row>
    <row r="2056" spans="1:5" ht="15.75" customHeight="1">
      <c r="A2056" s="1">
        <v>470790</v>
      </c>
      <c r="B2056" s="1" t="s">
        <v>2082</v>
      </c>
      <c r="C2056" s="1" t="str">
        <f ca="1">IFERROR(__xludf.DUMMYFUNCTION("REGEXEXTRACT(B2056, ""^([^:]+)"")"),"Paper or paperboard")</f>
        <v>Paper or paperboard</v>
      </c>
      <c r="D2056" s="1" t="s">
        <v>11</v>
      </c>
      <c r="E2056" s="1" t="s">
        <v>11</v>
      </c>
    </row>
    <row r="2057" spans="1:5" ht="15.75" customHeight="1">
      <c r="A2057" s="1">
        <v>480100</v>
      </c>
      <c r="B2057" s="1" t="s">
        <v>2083</v>
      </c>
      <c r="C2057" s="1" t="str">
        <f ca="1">IFERROR(__xludf.DUMMYFUNCTION("REGEXEXTRACT(B2057, ""^([^:]+)"")"),"Newsprint")</f>
        <v>Newsprint</v>
      </c>
      <c r="D2057" s="1" t="s">
        <v>11</v>
      </c>
      <c r="E2057" s="1" t="s">
        <v>11</v>
      </c>
    </row>
    <row r="2058" spans="1:5" ht="15.75" customHeight="1">
      <c r="A2058" s="1">
        <v>480210</v>
      </c>
      <c r="B2058" s="1" t="s">
        <v>2084</v>
      </c>
      <c r="C2058" s="1" t="str">
        <f ca="1">IFERROR(__xludf.DUMMYFUNCTION("REGEXEXTRACT(B2058, ""^([^:]+)"")"),"Hand-made paper or paperboard")</f>
        <v>Hand-made paper or paperboard</v>
      </c>
      <c r="D2058" s="1" t="s">
        <v>11</v>
      </c>
      <c r="E2058" s="1" t="s">
        <v>11</v>
      </c>
    </row>
    <row r="2059" spans="1:5" ht="15.75" customHeight="1">
      <c r="A2059" s="1">
        <v>480220</v>
      </c>
      <c r="B2059" s="1" t="s">
        <v>2085</v>
      </c>
      <c r="C2059" s="1" t="str">
        <f ca="1">IFERROR(__xludf.DUMMYFUNCTION("REGEXEXTRACT(B2059, ""^([^:]+)"")"),"Uncoated paper and paperboard (not 4801 or 4803)")</f>
        <v>Uncoated paper and paperboard (not 4801 or 4803)</v>
      </c>
      <c r="D2059" s="1" t="s">
        <v>11</v>
      </c>
      <c r="E2059" s="1" t="s">
        <v>11</v>
      </c>
    </row>
    <row r="2060" spans="1:5" ht="15.75" customHeight="1">
      <c r="A2060" s="1">
        <v>480240</v>
      </c>
      <c r="B2060" s="1" t="s">
        <v>2086</v>
      </c>
      <c r="C2060" s="1" t="str">
        <f ca="1">IFERROR(__xludf.DUMMYFUNCTION("REGEXEXTRACT(B2060, ""^([^:]+)"")"),"Uncoated paper and paperboard (not 4801 or 4803)")</f>
        <v>Uncoated paper and paperboard (not 4801 or 4803)</v>
      </c>
      <c r="D2060" s="1" t="s">
        <v>11</v>
      </c>
      <c r="E2060" s="1" t="s">
        <v>11</v>
      </c>
    </row>
    <row r="2061" spans="1:5" ht="15.75" customHeight="1">
      <c r="A2061" s="1">
        <v>480254</v>
      </c>
      <c r="B2061" s="1" t="s">
        <v>2087</v>
      </c>
      <c r="C2061" s="1" t="str">
        <f ca="1">IFERROR(__xludf.DUMMYFUNCTION("REGEXEXTRACT(B2061, ""^([^:]+)"")"),"Uncoated paper and paperboard (not 4801 or 4803)")</f>
        <v>Uncoated paper and paperboard (not 4801 or 4803)</v>
      </c>
      <c r="D2061" s="1" t="s">
        <v>11</v>
      </c>
      <c r="E2061" s="1" t="s">
        <v>11</v>
      </c>
    </row>
    <row r="2062" spans="1:5" ht="15.75" customHeight="1">
      <c r="A2062" s="1">
        <v>480255</v>
      </c>
      <c r="B2062" s="1" t="s">
        <v>2088</v>
      </c>
      <c r="C2062" s="1" t="str">
        <f ca="1">IFERROR(__xludf.DUMMYFUNCTION("REGEXEXTRACT(B2062, ""^([^:]+)"")"),"Uncoated paper and paperboard (not 4801 or 4803)")</f>
        <v>Uncoated paper and paperboard (not 4801 or 4803)</v>
      </c>
      <c r="D2062" s="1" t="s">
        <v>11</v>
      </c>
      <c r="E2062" s="1" t="s">
        <v>11</v>
      </c>
    </row>
    <row r="2063" spans="1:5" ht="15.75" customHeight="1">
      <c r="A2063" s="1">
        <v>480256</v>
      </c>
      <c r="B2063" s="1" t="s">
        <v>2089</v>
      </c>
      <c r="C2063" s="1" t="str">
        <f ca="1">IFERROR(__xludf.DUMMYFUNCTION("REGEXEXTRACT(B2063, ""^([^:]+)"")"),"Uncoated paper and paperboard (not 4801 or 4803)")</f>
        <v>Uncoated paper and paperboard (not 4801 or 4803)</v>
      </c>
      <c r="D2063" s="1" t="s">
        <v>11</v>
      </c>
      <c r="E2063" s="1" t="s">
        <v>11</v>
      </c>
    </row>
    <row r="2064" spans="1:5" ht="15.75" customHeight="1">
      <c r="A2064" s="1">
        <v>480257</v>
      </c>
      <c r="B2064" s="1" t="s">
        <v>2090</v>
      </c>
      <c r="C2064" s="1" t="str">
        <f ca="1">IFERROR(__xludf.DUMMYFUNCTION("REGEXEXTRACT(B2064, ""^([^:]+)"")"),"Uncoated paper and paperboard (not 4801 or 4803)")</f>
        <v>Uncoated paper and paperboard (not 4801 or 4803)</v>
      </c>
      <c r="D2064" s="1" t="s">
        <v>11</v>
      </c>
      <c r="E2064" s="1" t="s">
        <v>11</v>
      </c>
    </row>
    <row r="2065" spans="1:5" ht="15.75" customHeight="1">
      <c r="A2065" s="1">
        <v>480258</v>
      </c>
      <c r="B2065" s="1" t="s">
        <v>2091</v>
      </c>
      <c r="C2065" s="1" t="str">
        <f ca="1">IFERROR(__xludf.DUMMYFUNCTION("REGEXEXTRACT(B2065, ""^([^:]+)"")"),"Uncoated paper and paperboard (not 4801 or 4803)")</f>
        <v>Uncoated paper and paperboard (not 4801 or 4803)</v>
      </c>
      <c r="D2065" s="1" t="s">
        <v>11</v>
      </c>
      <c r="E2065" s="1" t="s">
        <v>11</v>
      </c>
    </row>
    <row r="2066" spans="1:5" ht="15.75" customHeight="1">
      <c r="A2066" s="1">
        <v>480261</v>
      </c>
      <c r="B2066" s="1" t="s">
        <v>2092</v>
      </c>
      <c r="C2066" s="1" t="str">
        <f ca="1">IFERROR(__xludf.DUMMYFUNCTION("REGEXEXTRACT(B2066, ""^([^:]+)"")"),"Uncoated paper and paperboard (not 4801 or 4803)")</f>
        <v>Uncoated paper and paperboard (not 4801 or 4803)</v>
      </c>
      <c r="D2066" s="1" t="s">
        <v>11</v>
      </c>
      <c r="E2066" s="1" t="s">
        <v>11</v>
      </c>
    </row>
    <row r="2067" spans="1:5" ht="15.75" customHeight="1">
      <c r="A2067" s="1">
        <v>480262</v>
      </c>
      <c r="B2067" s="1" t="s">
        <v>2093</v>
      </c>
      <c r="C2067" s="1" t="str">
        <f ca="1">IFERROR(__xludf.DUMMYFUNCTION("REGEXEXTRACT(B2067, ""^([^:]+)"")"),"Uncoated paper and paperboard (not 4801 or 4803)")</f>
        <v>Uncoated paper and paperboard (not 4801 or 4803)</v>
      </c>
      <c r="D2067" s="1" t="s">
        <v>11</v>
      </c>
      <c r="E2067" s="1" t="s">
        <v>11</v>
      </c>
    </row>
    <row r="2068" spans="1:5" ht="15.75" customHeight="1">
      <c r="A2068" s="1">
        <v>480269</v>
      </c>
      <c r="B2068" s="1" t="s">
        <v>2094</v>
      </c>
      <c r="C2068" s="1" t="str">
        <f ca="1">IFERROR(__xludf.DUMMYFUNCTION("REGEXEXTRACT(B2068, ""^([^:]+)"")"),"Uncoated paper and paperboard (not 4801 or 4803)")</f>
        <v>Uncoated paper and paperboard (not 4801 or 4803)</v>
      </c>
      <c r="D2068" s="1" t="s">
        <v>11</v>
      </c>
      <c r="E2068" s="1" t="s">
        <v>11</v>
      </c>
    </row>
    <row r="2069" spans="1:5" ht="15.75" customHeight="1">
      <c r="A2069" s="1">
        <v>480300</v>
      </c>
      <c r="B2069" s="1" t="s">
        <v>2095</v>
      </c>
      <c r="C2069" s="1" t="str">
        <f ca="1">IFERROR(__xludf.DUMMYFUNCTION("REGEXEXTRACT(B2069, ""^([^:]+)"")"),"Tissue, towel, napkin stock or similar")</f>
        <v>Tissue, towel, napkin stock or similar</v>
      </c>
      <c r="D2069" s="1" t="s">
        <v>11</v>
      </c>
      <c r="E2069" s="1" t="s">
        <v>11</v>
      </c>
    </row>
    <row r="2070" spans="1:5" ht="15.75" customHeight="1">
      <c r="A2070" s="1">
        <v>480411</v>
      </c>
      <c r="B2070" s="1" t="s">
        <v>2096</v>
      </c>
      <c r="C2070" s="1" t="str">
        <f ca="1">IFERROR(__xludf.DUMMYFUNCTION("REGEXEXTRACT(B2070, ""^([^:]+)"")"),"Kraft paper and paperboard")</f>
        <v>Kraft paper and paperboard</v>
      </c>
      <c r="D2070" s="1" t="s">
        <v>11</v>
      </c>
      <c r="E2070" s="1" t="s">
        <v>11</v>
      </c>
    </row>
    <row r="2071" spans="1:5" ht="15.75" customHeight="1">
      <c r="A2071" s="1">
        <v>480419</v>
      </c>
      <c r="B2071" s="1" t="s">
        <v>2097</v>
      </c>
      <c r="C2071" s="1" t="str">
        <f ca="1">IFERROR(__xludf.DUMMYFUNCTION("REGEXEXTRACT(B2071, ""^([^:]+)"")"),"Kraft paper and paperboard")</f>
        <v>Kraft paper and paperboard</v>
      </c>
      <c r="D2071" s="1" t="s">
        <v>11</v>
      </c>
      <c r="E2071" s="1" t="s">
        <v>11</v>
      </c>
    </row>
    <row r="2072" spans="1:5" ht="15.75" customHeight="1">
      <c r="A2072" s="1">
        <v>480421</v>
      </c>
      <c r="B2072" s="1" t="s">
        <v>2098</v>
      </c>
      <c r="C2072" s="1" t="str">
        <f ca="1">IFERROR(__xludf.DUMMYFUNCTION("REGEXEXTRACT(B2072, ""^([^:]+)"")"),"Kraft paper and paperboard")</f>
        <v>Kraft paper and paperboard</v>
      </c>
      <c r="D2072" s="1" t="s">
        <v>11</v>
      </c>
      <c r="E2072" s="1" t="s">
        <v>11</v>
      </c>
    </row>
    <row r="2073" spans="1:5" ht="15.75" customHeight="1">
      <c r="A2073" s="1">
        <v>480429</v>
      </c>
      <c r="B2073" s="1" t="s">
        <v>2099</v>
      </c>
      <c r="C2073" s="1" t="str">
        <f ca="1">IFERROR(__xludf.DUMMYFUNCTION("REGEXEXTRACT(B2073, ""^([^:]+)"")"),"Kraft paper and paperboard")</f>
        <v>Kraft paper and paperboard</v>
      </c>
      <c r="D2073" s="1" t="s">
        <v>11</v>
      </c>
      <c r="E2073" s="1" t="s">
        <v>11</v>
      </c>
    </row>
    <row r="2074" spans="1:5" ht="15.75" customHeight="1">
      <c r="A2074" s="1">
        <v>480431</v>
      </c>
      <c r="B2074" s="1" t="s">
        <v>2100</v>
      </c>
      <c r="C2074" s="1" t="str">
        <f ca="1">IFERROR(__xludf.DUMMYFUNCTION("REGEXEXTRACT(B2074, ""^([^:]+)"")"),"Kraft paper and paperboard")</f>
        <v>Kraft paper and paperboard</v>
      </c>
      <c r="D2074" s="1" t="s">
        <v>11</v>
      </c>
      <c r="E2074" s="1" t="s">
        <v>11</v>
      </c>
    </row>
    <row r="2075" spans="1:5" ht="15.75" customHeight="1">
      <c r="A2075" s="1">
        <v>480439</v>
      </c>
      <c r="B2075" s="1" t="s">
        <v>2101</v>
      </c>
      <c r="C2075" s="1" t="str">
        <f ca="1">IFERROR(__xludf.DUMMYFUNCTION("REGEXEXTRACT(B2075, ""^([^:]+)"")"),"Kraft paper and paperboard")</f>
        <v>Kraft paper and paperboard</v>
      </c>
      <c r="D2075" s="1" t="s">
        <v>11</v>
      </c>
      <c r="E2075" s="1" t="s">
        <v>11</v>
      </c>
    </row>
    <row r="2076" spans="1:5" ht="15.75" customHeight="1">
      <c r="A2076" s="1">
        <v>480441</v>
      </c>
      <c r="B2076" s="1" t="s">
        <v>2102</v>
      </c>
      <c r="C2076" s="1" t="str">
        <f ca="1">IFERROR(__xludf.DUMMYFUNCTION("REGEXEXTRACT(B2076, ""^([^:]+)"")"),"Kraft paper and paperboard")</f>
        <v>Kraft paper and paperboard</v>
      </c>
      <c r="D2076" s="1" t="s">
        <v>11</v>
      </c>
      <c r="E2076" s="1" t="s">
        <v>11</v>
      </c>
    </row>
    <row r="2077" spans="1:5" ht="15.75" customHeight="1">
      <c r="A2077" s="1">
        <v>480442</v>
      </c>
      <c r="B2077" s="1" t="s">
        <v>2103</v>
      </c>
      <c r="C2077" s="1" t="str">
        <f ca="1">IFERROR(__xludf.DUMMYFUNCTION("REGEXEXTRACT(B2077, ""^([^:]+)"")"),"Kraft paper and paperboard")</f>
        <v>Kraft paper and paperboard</v>
      </c>
      <c r="D2077" s="1" t="s">
        <v>11</v>
      </c>
      <c r="E2077" s="1" t="s">
        <v>11</v>
      </c>
    </row>
    <row r="2078" spans="1:5" ht="15.75" customHeight="1">
      <c r="A2078" s="1">
        <v>480449</v>
      </c>
      <c r="B2078" s="1" t="s">
        <v>2104</v>
      </c>
      <c r="C2078" s="1" t="str">
        <f ca="1">IFERROR(__xludf.DUMMYFUNCTION("REGEXEXTRACT(B2078, ""^([^:]+)"")"),"Kraft paper and paperboard")</f>
        <v>Kraft paper and paperboard</v>
      </c>
      <c r="D2078" s="1" t="s">
        <v>11</v>
      </c>
      <c r="E2078" s="1" t="s">
        <v>11</v>
      </c>
    </row>
    <row r="2079" spans="1:5" ht="15.75" customHeight="1">
      <c r="A2079" s="1">
        <v>480451</v>
      </c>
      <c r="B2079" s="1" t="s">
        <v>2105</v>
      </c>
      <c r="C2079" s="1" t="str">
        <f ca="1">IFERROR(__xludf.DUMMYFUNCTION("REGEXEXTRACT(B2079, ""^([^:]+)"")"),"Kraft paper and paperboard")</f>
        <v>Kraft paper and paperboard</v>
      </c>
      <c r="D2079" s="1" t="s">
        <v>11</v>
      </c>
      <c r="E2079" s="1" t="s">
        <v>11</v>
      </c>
    </row>
    <row r="2080" spans="1:5" ht="15.75" customHeight="1">
      <c r="A2080" s="1">
        <v>480452</v>
      </c>
      <c r="B2080" s="1" t="s">
        <v>2106</v>
      </c>
      <c r="C2080" s="1" t="str">
        <f ca="1">IFERROR(__xludf.DUMMYFUNCTION("REGEXEXTRACT(B2080, ""^([^:]+)"")"),"Kraft paper and paperboard")</f>
        <v>Kraft paper and paperboard</v>
      </c>
      <c r="D2080" s="1" t="s">
        <v>11</v>
      </c>
      <c r="E2080" s="1" t="s">
        <v>11</v>
      </c>
    </row>
    <row r="2081" spans="1:5" ht="15.75" customHeight="1">
      <c r="A2081" s="1">
        <v>480459</v>
      </c>
      <c r="B2081" s="1" t="s">
        <v>2107</v>
      </c>
      <c r="C2081" s="1" t="str">
        <f ca="1">IFERROR(__xludf.DUMMYFUNCTION("REGEXEXTRACT(B2081, ""^([^:]+)"")"),"Kraft paper and paperboard")</f>
        <v>Kraft paper and paperboard</v>
      </c>
      <c r="D2081" s="1" t="s">
        <v>11</v>
      </c>
      <c r="E2081" s="1" t="s">
        <v>11</v>
      </c>
    </row>
    <row r="2082" spans="1:5" ht="15.75" customHeight="1">
      <c r="A2082" s="1">
        <v>480511</v>
      </c>
      <c r="B2082" s="1" t="s">
        <v>2108</v>
      </c>
      <c r="C2082" s="1" t="str">
        <f ca="1">IFERROR(__xludf.DUMMYFUNCTION("REGEXEXTRACT(B2082, ""^([^:]+)"")"),"Paper and paperboard")</f>
        <v>Paper and paperboard</v>
      </c>
      <c r="D2082" s="1" t="s">
        <v>11</v>
      </c>
      <c r="E2082" s="1" t="s">
        <v>11</v>
      </c>
    </row>
    <row r="2083" spans="1:5" ht="15.75" customHeight="1">
      <c r="A2083" s="1">
        <v>480512</v>
      </c>
      <c r="B2083" s="1" t="s">
        <v>2109</v>
      </c>
      <c r="C2083" s="1" t="str">
        <f ca="1">IFERROR(__xludf.DUMMYFUNCTION("REGEXEXTRACT(B2083, ""^([^:]+)"")"),"Paper and paperboard")</f>
        <v>Paper and paperboard</v>
      </c>
      <c r="D2083" s="1" t="s">
        <v>11</v>
      </c>
      <c r="E2083" s="1" t="s">
        <v>11</v>
      </c>
    </row>
    <row r="2084" spans="1:5" ht="15.75" customHeight="1">
      <c r="A2084" s="1">
        <v>480519</v>
      </c>
      <c r="B2084" s="1" t="s">
        <v>2110</v>
      </c>
      <c r="C2084" s="1" t="str">
        <f ca="1">IFERROR(__xludf.DUMMYFUNCTION("REGEXEXTRACT(B2084, ""^([^:]+)"")"),"Paper and paperboard")</f>
        <v>Paper and paperboard</v>
      </c>
      <c r="D2084" s="1" t="s">
        <v>11</v>
      </c>
      <c r="E2084" s="1" t="s">
        <v>11</v>
      </c>
    </row>
    <row r="2085" spans="1:5" ht="15.75" customHeight="1">
      <c r="A2085" s="1">
        <v>480524</v>
      </c>
      <c r="B2085" s="1" t="s">
        <v>2111</v>
      </c>
      <c r="C2085" s="1" t="str">
        <f ca="1">IFERROR(__xludf.DUMMYFUNCTION("REGEXEXTRACT(B2085, ""^([^:]+)"")"),"Paper &amp; paperboard")</f>
        <v>Paper &amp; paperboard</v>
      </c>
      <c r="D2085" s="1" t="s">
        <v>11</v>
      </c>
      <c r="E2085" s="1" t="s">
        <v>11</v>
      </c>
    </row>
    <row r="2086" spans="1:5" ht="15.75" customHeight="1">
      <c r="A2086" s="1">
        <v>480525</v>
      </c>
      <c r="B2086" s="1" t="s">
        <v>2112</v>
      </c>
      <c r="C2086" s="1" t="str">
        <f ca="1">IFERROR(__xludf.DUMMYFUNCTION("REGEXEXTRACT(B2086, ""^([^:]+)"")"),"Paper &amp; paperboard")</f>
        <v>Paper &amp; paperboard</v>
      </c>
      <c r="D2086" s="1" t="s">
        <v>11</v>
      </c>
      <c r="E2086" s="1" t="s">
        <v>11</v>
      </c>
    </row>
    <row r="2087" spans="1:5" ht="15.75" customHeight="1">
      <c r="A2087" s="1">
        <v>480530</v>
      </c>
      <c r="B2087" s="1" t="s">
        <v>2113</v>
      </c>
      <c r="C2087" s="1" t="str">
        <f ca="1">IFERROR(__xludf.DUMMYFUNCTION("REGEXEXTRACT(B2087, ""^([^:]+)"")"),"Paper and paperboard")</f>
        <v>Paper and paperboard</v>
      </c>
      <c r="D2087" s="1" t="s">
        <v>11</v>
      </c>
      <c r="E2087" s="1" t="s">
        <v>11</v>
      </c>
    </row>
    <row r="2088" spans="1:5" ht="15.75" customHeight="1">
      <c r="A2088" s="1">
        <v>480540</v>
      </c>
      <c r="B2088" s="1" t="s">
        <v>2114</v>
      </c>
      <c r="C2088" s="1" t="str">
        <f ca="1">IFERROR(__xludf.DUMMYFUNCTION("REGEXEXTRACT(B2088, ""^([^:]+)"")"),"Paper and paperboard")</f>
        <v>Paper and paperboard</v>
      </c>
      <c r="D2088" s="1" t="s">
        <v>11</v>
      </c>
      <c r="E2088" s="1" t="s">
        <v>11</v>
      </c>
    </row>
    <row r="2089" spans="1:5" ht="15.75" customHeight="1">
      <c r="A2089" s="1">
        <v>480550</v>
      </c>
      <c r="B2089" s="1" t="s">
        <v>2115</v>
      </c>
      <c r="C2089" s="1" t="str">
        <f ca="1">IFERROR(__xludf.DUMMYFUNCTION("REGEXEXTRACT(B2089, ""^([^:]+)"")"),"Paper and paperboard")</f>
        <v>Paper and paperboard</v>
      </c>
      <c r="D2089" s="1" t="s">
        <v>11</v>
      </c>
      <c r="E2089" s="1" t="s">
        <v>11</v>
      </c>
    </row>
    <row r="2090" spans="1:5" ht="15.75" customHeight="1">
      <c r="A2090" s="1">
        <v>480591</v>
      </c>
      <c r="B2090" s="1" t="s">
        <v>2116</v>
      </c>
      <c r="C2090" s="1" t="str">
        <f ca="1">IFERROR(__xludf.DUMMYFUNCTION("REGEXEXTRACT(B2090, ""^([^:]+)"")"),"Paper and paperboard")</f>
        <v>Paper and paperboard</v>
      </c>
      <c r="D2090" s="1" t="s">
        <v>11</v>
      </c>
      <c r="E2090" s="1" t="s">
        <v>11</v>
      </c>
    </row>
    <row r="2091" spans="1:5" ht="15.75" customHeight="1">
      <c r="A2091" s="1">
        <v>480592</v>
      </c>
      <c r="B2091" s="1" t="s">
        <v>2117</v>
      </c>
      <c r="C2091" s="1" t="str">
        <f ca="1">IFERROR(__xludf.DUMMYFUNCTION("REGEXEXTRACT(B2091, ""^([^:]+)"")"),"Paper and paperboard")</f>
        <v>Paper and paperboard</v>
      </c>
      <c r="D2091" s="1" t="s">
        <v>11</v>
      </c>
      <c r="E2091" s="1" t="s">
        <v>11</v>
      </c>
    </row>
    <row r="2092" spans="1:5" ht="15.75" customHeight="1">
      <c r="A2092" s="1">
        <v>480593</v>
      </c>
      <c r="B2092" s="1" t="s">
        <v>2118</v>
      </c>
      <c r="C2092" s="1" t="str">
        <f ca="1">IFERROR(__xludf.DUMMYFUNCTION("REGEXEXTRACT(B2092, ""^([^:]+)"")"),"Paper and paperboard")</f>
        <v>Paper and paperboard</v>
      </c>
      <c r="D2092" s="1" t="s">
        <v>11</v>
      </c>
      <c r="E2092" s="1" t="s">
        <v>11</v>
      </c>
    </row>
    <row r="2093" spans="1:5" ht="15.75" customHeight="1">
      <c r="A2093" s="1">
        <v>480610</v>
      </c>
      <c r="B2093" s="1" t="s">
        <v>2119</v>
      </c>
      <c r="C2093" s="1" t="str">
        <f ca="1">IFERROR(__xludf.DUMMYFUNCTION("REGEXEXTRACT(B2093, ""^([^:]+)"")"),"Paper")</f>
        <v>Paper</v>
      </c>
      <c r="D2093" s="1" t="s">
        <v>11</v>
      </c>
      <c r="E2093" s="1" t="s">
        <v>11</v>
      </c>
    </row>
    <row r="2094" spans="1:5" ht="15.75" customHeight="1">
      <c r="A2094" s="1">
        <v>480620</v>
      </c>
      <c r="B2094" s="1" t="s">
        <v>2120</v>
      </c>
      <c r="C2094" s="1" t="str">
        <f ca="1">IFERROR(__xludf.DUMMYFUNCTION("REGEXEXTRACT(B2094, ""^([^:]+)"")"),"Paper")</f>
        <v>Paper</v>
      </c>
      <c r="D2094" s="1" t="s">
        <v>11</v>
      </c>
      <c r="E2094" s="1" t="s">
        <v>11</v>
      </c>
    </row>
    <row r="2095" spans="1:5" ht="15.75" customHeight="1">
      <c r="A2095" s="1">
        <v>480630</v>
      </c>
      <c r="B2095" s="1" t="s">
        <v>2121</v>
      </c>
      <c r="C2095" s="1" t="str">
        <f ca="1">IFERROR(__xludf.DUMMYFUNCTION("REGEXEXTRACT(B2095, ""^([^:]+)"")"),"Paper")</f>
        <v>Paper</v>
      </c>
      <c r="D2095" s="1" t="s">
        <v>11</v>
      </c>
      <c r="E2095" s="1" t="s">
        <v>11</v>
      </c>
    </row>
    <row r="2096" spans="1:5" ht="15.75" customHeight="1">
      <c r="A2096" s="1">
        <v>480640</v>
      </c>
      <c r="B2096" s="1" t="s">
        <v>2122</v>
      </c>
      <c r="C2096" s="1" t="str">
        <f ca="1">IFERROR(__xludf.DUMMYFUNCTION("REGEXEXTRACT(B2096, ""^([^:]+)"")"),"Paper")</f>
        <v>Paper</v>
      </c>
      <c r="D2096" s="1" t="s">
        <v>11</v>
      </c>
      <c r="E2096" s="1" t="s">
        <v>11</v>
      </c>
    </row>
    <row r="2097" spans="1:5" ht="15.75" customHeight="1">
      <c r="A2097" s="1">
        <v>480700</v>
      </c>
      <c r="B2097" s="1" t="s">
        <v>2123</v>
      </c>
      <c r="C2097" s="1" t="str">
        <f ca="1">IFERROR(__xludf.DUMMYFUNCTION("REGEXEXTRACT(B2097, ""^([^:]+)"")"),"Paper and paperboard")</f>
        <v>Paper and paperboard</v>
      </c>
      <c r="D2097" s="1" t="s">
        <v>11</v>
      </c>
      <c r="E2097" s="1" t="s">
        <v>11</v>
      </c>
    </row>
    <row r="2098" spans="1:5" ht="15.75" customHeight="1">
      <c r="A2098" s="1">
        <v>480810</v>
      </c>
      <c r="B2098" s="1" t="s">
        <v>2124</v>
      </c>
      <c r="C2098" s="1" t="str">
        <f ca="1">IFERROR(__xludf.DUMMYFUNCTION("REGEXEXTRACT(B2098, ""^([^:]+)"")"),"Paper and paperboard")</f>
        <v>Paper and paperboard</v>
      </c>
      <c r="D2098" s="1" t="s">
        <v>11</v>
      </c>
      <c r="E2098" s="1" t="s">
        <v>11</v>
      </c>
    </row>
    <row r="2099" spans="1:5" ht="15.75" customHeight="1">
      <c r="A2099" s="1">
        <v>480820</v>
      </c>
      <c r="B2099" s="1" t="s">
        <v>2125</v>
      </c>
      <c r="C2099" s="1" t="str">
        <f ca="1">IFERROR(__xludf.DUMMYFUNCTION("REGEXEXTRACT(B2099, ""^([^:]+)"")"),"Paper and paperboard")</f>
        <v>Paper and paperboard</v>
      </c>
      <c r="D2099" s="1" t="s">
        <v>11</v>
      </c>
      <c r="E2099" s="1" t="s">
        <v>11</v>
      </c>
    </row>
    <row r="2100" spans="1:5" ht="15.75" customHeight="1">
      <c r="A2100" s="1">
        <v>480830</v>
      </c>
      <c r="B2100" s="1" t="s">
        <v>2126</v>
      </c>
      <c r="C2100" s="1" t="str">
        <f ca="1">IFERROR(__xludf.DUMMYFUNCTION("REGEXEXTRACT(B2100, ""^([^:]+)"")"),"Paper and paperboard")</f>
        <v>Paper and paperboard</v>
      </c>
      <c r="D2100" s="1" t="s">
        <v>11</v>
      </c>
      <c r="E2100" s="1" t="s">
        <v>11</v>
      </c>
    </row>
    <row r="2101" spans="1:5" ht="15.75" customHeight="1">
      <c r="A2101" s="1">
        <v>480890</v>
      </c>
      <c r="B2101" s="1" t="s">
        <v>2127</v>
      </c>
      <c r="C2101" s="1" t="str">
        <f ca="1">IFERROR(__xludf.DUMMYFUNCTION("REGEXEXTRACT(B2101, ""^([^:]+)"")"),"Paper and paperboard")</f>
        <v>Paper and paperboard</v>
      </c>
      <c r="D2101" s="1" t="s">
        <v>11</v>
      </c>
      <c r="E2101" s="1" t="s">
        <v>11</v>
      </c>
    </row>
    <row r="2102" spans="1:5" ht="15.75" customHeight="1">
      <c r="A2102" s="1">
        <v>480920</v>
      </c>
      <c r="B2102" s="1" t="s">
        <v>2128</v>
      </c>
      <c r="C2102" s="1" t="str">
        <f ca="1">IFERROR(__xludf.DUMMYFUNCTION("REGEXEXTRACT(B2102, ""^([^:]+)"")"),"Paper")</f>
        <v>Paper</v>
      </c>
      <c r="D2102" s="1" t="s">
        <v>11</v>
      </c>
      <c r="E2102" s="1" t="s">
        <v>11</v>
      </c>
    </row>
    <row r="2103" spans="1:5" ht="15.75" customHeight="1">
      <c r="A2103" s="1">
        <v>480990</v>
      </c>
      <c r="B2103" s="1" t="s">
        <v>2129</v>
      </c>
      <c r="C2103" s="1" t="str">
        <f ca="1">IFERROR(__xludf.DUMMYFUNCTION("REGEXEXTRACT(B2103, ""^([^:]+)"")"),"Paper")</f>
        <v>Paper</v>
      </c>
      <c r="D2103" s="1" t="s">
        <v>11</v>
      </c>
      <c r="E2103" s="1" t="s">
        <v>11</v>
      </c>
    </row>
    <row r="2104" spans="1:5" ht="15.75" customHeight="1">
      <c r="A2104" s="1">
        <v>481013</v>
      </c>
      <c r="B2104" s="1" t="s">
        <v>2130</v>
      </c>
      <c r="C2104" s="1" t="str">
        <f ca="1">IFERROR(__xludf.DUMMYFUNCTION("REGEXEXTRACT(B2104, ""^([^:]+)"")"),"Paper and paperboard")</f>
        <v>Paper and paperboard</v>
      </c>
      <c r="D2104" s="1" t="s">
        <v>11</v>
      </c>
      <c r="E2104" s="1" t="s">
        <v>11</v>
      </c>
    </row>
    <row r="2105" spans="1:5" ht="15.75" customHeight="1">
      <c r="A2105" s="1">
        <v>481014</v>
      </c>
      <c r="B2105" s="1" t="s">
        <v>2131</v>
      </c>
      <c r="C2105" s="1" t="str">
        <f ca="1">IFERROR(__xludf.DUMMYFUNCTION("REGEXEXTRACT(B2105, ""^([^:]+)"")"),"Paper and paperboard")</f>
        <v>Paper and paperboard</v>
      </c>
      <c r="D2105" s="1" t="s">
        <v>11</v>
      </c>
      <c r="E2105" s="1" t="s">
        <v>11</v>
      </c>
    </row>
    <row r="2106" spans="1:5" ht="15.75" customHeight="1">
      <c r="A2106" s="1">
        <v>481019</v>
      </c>
      <c r="B2106" s="1" t="s">
        <v>2132</v>
      </c>
      <c r="C2106" s="1" t="str">
        <f ca="1">IFERROR(__xludf.DUMMYFUNCTION("REGEXEXTRACT(B2106, ""^([^:]+)"")"),"Paper and paperboard")</f>
        <v>Paper and paperboard</v>
      </c>
      <c r="D2106" s="1" t="s">
        <v>11</v>
      </c>
      <c r="E2106" s="1" t="s">
        <v>11</v>
      </c>
    </row>
    <row r="2107" spans="1:5" ht="15.75" customHeight="1">
      <c r="A2107" s="1">
        <v>481022</v>
      </c>
      <c r="B2107" s="1" t="s">
        <v>2133</v>
      </c>
      <c r="C2107" s="1" t="str">
        <f ca="1">IFERROR(__xludf.DUMMYFUNCTION("REGEXEXTRACT(B2107, ""^([^:]+)"")"),"Paper and paperboard")</f>
        <v>Paper and paperboard</v>
      </c>
      <c r="D2107" s="1" t="s">
        <v>11</v>
      </c>
      <c r="E2107" s="1" t="s">
        <v>11</v>
      </c>
    </row>
    <row r="2108" spans="1:5" ht="15.75" customHeight="1">
      <c r="A2108" s="1">
        <v>481029</v>
      </c>
      <c r="B2108" s="1" t="s">
        <v>2134</v>
      </c>
      <c r="C2108" s="1" t="str">
        <f ca="1">IFERROR(__xludf.DUMMYFUNCTION("REGEXEXTRACT(B2108, ""^([^:]+)"")"),"Paper and paperboard")</f>
        <v>Paper and paperboard</v>
      </c>
      <c r="D2108" s="1" t="s">
        <v>11</v>
      </c>
      <c r="E2108" s="1" t="s">
        <v>11</v>
      </c>
    </row>
    <row r="2109" spans="1:5" ht="15.75" customHeight="1">
      <c r="A2109" s="1">
        <v>481031</v>
      </c>
      <c r="B2109" s="1" t="s">
        <v>2135</v>
      </c>
      <c r="C2109" s="1" t="str">
        <f ca="1">IFERROR(__xludf.DUMMYFUNCTION("REGEXEXTRACT(B2109, ""^([^:]+)"")"),"Kraft paper and paperboard")</f>
        <v>Kraft paper and paperboard</v>
      </c>
      <c r="D2109" s="1" t="s">
        <v>11</v>
      </c>
      <c r="E2109" s="1" t="s">
        <v>11</v>
      </c>
    </row>
    <row r="2110" spans="1:5" ht="15.75" customHeight="1">
      <c r="A2110" s="1">
        <v>481032</v>
      </c>
      <c r="B2110" s="1" t="s">
        <v>2136</v>
      </c>
      <c r="C2110" s="1" t="str">
        <f ca="1">IFERROR(__xludf.DUMMYFUNCTION("REGEXEXTRACT(B2110, ""^([^:]+)"")"),"Kraft paper and paperboard")</f>
        <v>Kraft paper and paperboard</v>
      </c>
      <c r="D2110" s="1" t="s">
        <v>11</v>
      </c>
      <c r="E2110" s="1" t="s">
        <v>11</v>
      </c>
    </row>
    <row r="2111" spans="1:5" ht="15.75" customHeight="1">
      <c r="A2111" s="1">
        <v>481039</v>
      </c>
      <c r="B2111" s="1" t="s">
        <v>2137</v>
      </c>
      <c r="C2111" s="1" t="str">
        <f ca="1">IFERROR(__xludf.DUMMYFUNCTION("REGEXEXTRACT(B2111, ""^([^:]+)"")"),"Kraft paper and paperboard")</f>
        <v>Kraft paper and paperboard</v>
      </c>
      <c r="D2111" s="1" t="s">
        <v>11</v>
      </c>
      <c r="E2111" s="1" t="s">
        <v>11</v>
      </c>
    </row>
    <row r="2112" spans="1:5" ht="15.75" customHeight="1">
      <c r="A2112" s="1">
        <v>481092</v>
      </c>
      <c r="B2112" s="1" t="s">
        <v>2138</v>
      </c>
      <c r="C2112" s="1" t="str">
        <f ca="1">IFERROR(__xludf.DUMMYFUNCTION("REGEXEXTRACT(B2112, ""^([^:]+)"")"),"Paper and paperboard")</f>
        <v>Paper and paperboard</v>
      </c>
      <c r="D2112" s="1" t="s">
        <v>11</v>
      </c>
      <c r="E2112" s="1" t="s">
        <v>11</v>
      </c>
    </row>
    <row r="2113" spans="1:5" ht="15.75" customHeight="1">
      <c r="A2113" s="1">
        <v>481099</v>
      </c>
      <c r="B2113" s="1" t="s">
        <v>2139</v>
      </c>
      <c r="C2113" s="1" t="str">
        <f ca="1">IFERROR(__xludf.DUMMYFUNCTION("REGEXEXTRACT(B2113, ""^([^:]+)"")"),"Paper and paperboard")</f>
        <v>Paper and paperboard</v>
      </c>
      <c r="D2113" s="1" t="s">
        <v>11</v>
      </c>
      <c r="E2113" s="1" t="s">
        <v>11</v>
      </c>
    </row>
    <row r="2114" spans="1:5" ht="15.75" customHeight="1">
      <c r="A2114" s="1">
        <v>481110</v>
      </c>
      <c r="B2114" s="1" t="s">
        <v>2140</v>
      </c>
      <c r="C2114" s="1" t="str">
        <f ca="1">IFERROR(__xludf.DUMMYFUNCTION("REGEXEXTRACT(B2114, ""^([^:]+)"")"),"Paper and paperboard")</f>
        <v>Paper and paperboard</v>
      </c>
      <c r="D2114" s="1" t="s">
        <v>11</v>
      </c>
      <c r="E2114" s="1" t="s">
        <v>11</v>
      </c>
    </row>
    <row r="2115" spans="1:5" ht="15.75" customHeight="1">
      <c r="A2115" s="1">
        <v>481141</v>
      </c>
      <c r="B2115" s="1" t="s">
        <v>2141</v>
      </c>
      <c r="C2115" s="1" t="str">
        <f ca="1">IFERROR(__xludf.DUMMYFUNCTION("REGEXEXTRACT(B2115, ""^([^:]+)"")"),"Paper and paperboard")</f>
        <v>Paper and paperboard</v>
      </c>
      <c r="D2115" s="1" t="s">
        <v>11</v>
      </c>
      <c r="E2115" s="1" t="s">
        <v>11</v>
      </c>
    </row>
    <row r="2116" spans="1:5" ht="15.75" customHeight="1">
      <c r="A2116" s="1">
        <v>481149</v>
      </c>
      <c r="B2116" s="1" t="s">
        <v>2142</v>
      </c>
      <c r="C2116" s="1" t="str">
        <f ca="1">IFERROR(__xludf.DUMMYFUNCTION("REGEXEXTRACT(B2116, ""^([^:]+)"")"),"Paper and paperboard")</f>
        <v>Paper and paperboard</v>
      </c>
      <c r="D2116" s="1" t="s">
        <v>11</v>
      </c>
      <c r="E2116" s="1" t="s">
        <v>11</v>
      </c>
    </row>
    <row r="2117" spans="1:5" ht="15.75" customHeight="1">
      <c r="A2117" s="1">
        <v>481151</v>
      </c>
      <c r="B2117" s="1" t="s">
        <v>2143</v>
      </c>
      <c r="C2117" s="1" t="str">
        <f ca="1">IFERROR(__xludf.DUMMYFUNCTION("REGEXEXTRACT(B2117, ""^([^:]+)"")"),"Paper and paperboard")</f>
        <v>Paper and paperboard</v>
      </c>
      <c r="D2117" s="1" t="s">
        <v>11</v>
      </c>
      <c r="E2117" s="1" t="s">
        <v>11</v>
      </c>
    </row>
    <row r="2118" spans="1:5" ht="15.75" customHeight="1">
      <c r="A2118" s="1">
        <v>481159</v>
      </c>
      <c r="B2118" s="1" t="s">
        <v>2144</v>
      </c>
      <c r="C2118" s="1" t="str">
        <f ca="1">IFERROR(__xludf.DUMMYFUNCTION("REGEXEXTRACT(B2118, ""^([^:]+)"")"),"Paper and paperboard")</f>
        <v>Paper and paperboard</v>
      </c>
      <c r="D2118" s="1" t="s">
        <v>11</v>
      </c>
      <c r="E2118" s="1" t="s">
        <v>11</v>
      </c>
    </row>
    <row r="2119" spans="1:5" ht="15.75" customHeight="1">
      <c r="A2119" s="1">
        <v>481160</v>
      </c>
      <c r="B2119" s="1" t="s">
        <v>2145</v>
      </c>
      <c r="C2119" s="1" t="str">
        <f ca="1">IFERROR(__xludf.DUMMYFUNCTION("REGEXEXTRACT(B2119, ""^([^:]+)"")"),"Paper and paperboard")</f>
        <v>Paper and paperboard</v>
      </c>
      <c r="D2119" s="1" t="s">
        <v>11</v>
      </c>
      <c r="E2119" s="1" t="s">
        <v>11</v>
      </c>
    </row>
    <row r="2120" spans="1:5" ht="15.75" customHeight="1">
      <c r="A2120" s="1">
        <v>481190</v>
      </c>
      <c r="B2120" s="1" t="s">
        <v>2146</v>
      </c>
      <c r="C2120" s="1" t="str">
        <f ca="1">IFERROR(__xludf.DUMMYFUNCTION("REGEXEXTRACT(B2120, ""^([^:]+)"")"),"Paper, paperboard, cellulose wadding and webs of soft cellulose fibres")</f>
        <v>Paper, paperboard, cellulose wadding and webs of soft cellulose fibres</v>
      </c>
      <c r="D2120" s="1" t="s">
        <v>11</v>
      </c>
      <c r="E2120" s="1" t="s">
        <v>11</v>
      </c>
    </row>
    <row r="2121" spans="1:5" ht="15.75" customHeight="1">
      <c r="A2121" s="1">
        <v>481200</v>
      </c>
      <c r="B2121" s="1" t="s">
        <v>2147</v>
      </c>
      <c r="C2121" s="1" t="str">
        <f ca="1">IFERROR(__xludf.DUMMYFUNCTION("REGEXEXTRACT(B2121, ""^([^:]+)"")"),"Paper pulp")</f>
        <v>Paper pulp</v>
      </c>
      <c r="D2121" s="1" t="s">
        <v>11</v>
      </c>
      <c r="E2121" s="1" t="s">
        <v>11</v>
      </c>
    </row>
    <row r="2122" spans="1:5" ht="15.75" customHeight="1">
      <c r="A2122" s="1">
        <v>481310</v>
      </c>
      <c r="B2122" s="1" t="s">
        <v>2148</v>
      </c>
      <c r="C2122" s="1" t="str">
        <f ca="1">IFERROR(__xludf.DUMMYFUNCTION("REGEXEXTRACT(B2122, ""^([^:]+)"")"),"Paper, cigarette")</f>
        <v>Paper, cigarette</v>
      </c>
      <c r="D2122" s="1" t="s">
        <v>11</v>
      </c>
      <c r="E2122" s="1" t="s">
        <v>11</v>
      </c>
    </row>
    <row r="2123" spans="1:5" ht="15.75" customHeight="1">
      <c r="A2123" s="1">
        <v>481320</v>
      </c>
      <c r="B2123" s="1" t="s">
        <v>2149</v>
      </c>
      <c r="C2123" s="1" t="str">
        <f ca="1">IFERROR(__xludf.DUMMYFUNCTION("REGEXEXTRACT(B2123, ""^([^:]+)"")"),"Paper, cigarette")</f>
        <v>Paper, cigarette</v>
      </c>
      <c r="D2123" s="1" t="s">
        <v>11</v>
      </c>
      <c r="E2123" s="1" t="s">
        <v>11</v>
      </c>
    </row>
    <row r="2124" spans="1:5" ht="15.75" customHeight="1">
      <c r="A2124" s="1">
        <v>481390</v>
      </c>
      <c r="B2124" s="1" t="s">
        <v>2150</v>
      </c>
      <c r="C2124" s="1" t="str">
        <f ca="1">IFERROR(__xludf.DUMMYFUNCTION("REGEXEXTRACT(B2124, ""^([^:]+)"")"),"Paper, cigarette")</f>
        <v>Paper, cigarette</v>
      </c>
      <c r="D2124" s="1" t="s">
        <v>11</v>
      </c>
      <c r="E2124" s="1" t="s">
        <v>11</v>
      </c>
    </row>
    <row r="2125" spans="1:5" ht="15.75" customHeight="1">
      <c r="A2125" s="1">
        <v>481410</v>
      </c>
      <c r="B2125" s="1" t="s">
        <v>2151</v>
      </c>
      <c r="C2125" s="1" t="str">
        <f ca="1">IFERROR(__xludf.DUMMYFUNCTION("REGEXEXTRACT(B2125, ""^([^:]+)"")"),"Wallpaper and similar wall coverings")</f>
        <v>Wallpaper and similar wall coverings</v>
      </c>
      <c r="D2125" s="1" t="s">
        <v>11</v>
      </c>
      <c r="E2125" s="1" t="s">
        <v>11</v>
      </c>
    </row>
    <row r="2126" spans="1:5" ht="15.75" customHeight="1">
      <c r="A2126" s="1">
        <v>481420</v>
      </c>
      <c r="B2126" s="1" t="s">
        <v>2152</v>
      </c>
      <c r="C2126" s="1" t="str">
        <f ca="1">IFERROR(__xludf.DUMMYFUNCTION("REGEXEXTRACT(B2126, ""^([^:]+)"")"),"Wallpaper and similar wall coverings")</f>
        <v>Wallpaper and similar wall coverings</v>
      </c>
      <c r="D2126" s="1" t="s">
        <v>11</v>
      </c>
      <c r="E2126" s="1" t="s">
        <v>11</v>
      </c>
    </row>
    <row r="2127" spans="1:5" ht="15.75" customHeight="1">
      <c r="A2127" s="1">
        <v>481490</v>
      </c>
      <c r="B2127" s="1" t="s">
        <v>2153</v>
      </c>
      <c r="C2127" s="1" t="str">
        <f ca="1">IFERROR(__xludf.DUMMYFUNCTION("REGEXEXTRACT(B2127, ""^([^:]+)"")"),"Wallpaper and similar wall coverings and window transparencies")</f>
        <v>Wallpaper and similar wall coverings and window transparencies</v>
      </c>
      <c r="D2127" s="1" t="s">
        <v>11</v>
      </c>
      <c r="E2127" s="1" t="s">
        <v>11</v>
      </c>
    </row>
    <row r="2128" spans="1:5" ht="15.75" customHeight="1">
      <c r="A2128" s="1">
        <v>481620</v>
      </c>
      <c r="B2128" s="1" t="s">
        <v>2154</v>
      </c>
      <c r="C2128" s="1" t="str">
        <f ca="1">IFERROR(__xludf.DUMMYFUNCTION("REGEXEXTRACT(B2128, ""^([^:]+)"")"),"Paper")</f>
        <v>Paper</v>
      </c>
      <c r="D2128" s="1" t="s">
        <v>11</v>
      </c>
      <c r="E2128" s="1" t="s">
        <v>11</v>
      </c>
    </row>
    <row r="2129" spans="1:5" ht="15.75" customHeight="1">
      <c r="A2129" s="1">
        <v>481690</v>
      </c>
      <c r="B2129" s="1" t="s">
        <v>2155</v>
      </c>
      <c r="C2129" s="1" t="str">
        <f ca="1">IFERROR(__xludf.DUMMYFUNCTION("REGEXEXTRACT(B2129, ""^([^:]+)"")"),"Paper")</f>
        <v>Paper</v>
      </c>
      <c r="D2129" s="1" t="s">
        <v>11</v>
      </c>
      <c r="E2129" s="1" t="s">
        <v>11</v>
      </c>
    </row>
    <row r="2130" spans="1:5" ht="15.75" customHeight="1">
      <c r="A2130" s="1">
        <v>481710</v>
      </c>
      <c r="B2130" s="1" t="s">
        <v>2156</v>
      </c>
      <c r="C2130" s="1" t="str">
        <f ca="1">IFERROR(__xludf.DUMMYFUNCTION("REGEXEXTRACT(B2130, ""^([^:]+)"")"),"Paper and paperboard")</f>
        <v>Paper and paperboard</v>
      </c>
      <c r="D2130" s="1" t="s">
        <v>11</v>
      </c>
      <c r="E2130" s="1" t="s">
        <v>11</v>
      </c>
    </row>
    <row r="2131" spans="1:5" ht="15.75" customHeight="1">
      <c r="A2131" s="1">
        <v>481720</v>
      </c>
      <c r="B2131" s="1" t="s">
        <v>2157</v>
      </c>
      <c r="C2131" s="1" t="str">
        <f ca="1">IFERROR(__xludf.DUMMYFUNCTION("REGEXEXTRACT(B2131, ""^([^:]+)"")"),"Paper and paperboard")</f>
        <v>Paper and paperboard</v>
      </c>
      <c r="D2131" s="1" t="s">
        <v>11</v>
      </c>
      <c r="E2131" s="1" t="s">
        <v>11</v>
      </c>
    </row>
    <row r="2132" spans="1:5" ht="15.75" customHeight="1">
      <c r="A2132" s="1">
        <v>481730</v>
      </c>
      <c r="B2132" s="1" t="s">
        <v>2158</v>
      </c>
      <c r="C2132" s="1" t="str">
        <f ca="1">IFERROR(__xludf.DUMMYFUNCTION("REGEXEXTRACT(B2132, ""^([^:]+)"")"),"Paper and paperboard")</f>
        <v>Paper and paperboard</v>
      </c>
      <c r="D2132" s="1" t="s">
        <v>11</v>
      </c>
      <c r="E2132" s="1" t="s">
        <v>11</v>
      </c>
    </row>
    <row r="2133" spans="1:5" ht="15.75" customHeight="1">
      <c r="A2133" s="1">
        <v>481810</v>
      </c>
      <c r="B2133" s="1" t="s">
        <v>2159</v>
      </c>
      <c r="C2133" s="1" t="str">
        <f ca="1">IFERROR(__xludf.DUMMYFUNCTION("REGEXEXTRACT(B2133, ""^([^:]+)"")"),"Paper")</f>
        <v>Paper</v>
      </c>
      <c r="D2133" s="1" t="s">
        <v>11</v>
      </c>
      <c r="E2133" s="1" t="s">
        <v>11</v>
      </c>
    </row>
    <row r="2134" spans="1:5" ht="15.75" customHeight="1">
      <c r="A2134" s="1">
        <v>481820</v>
      </c>
      <c r="B2134" s="1" t="s">
        <v>2160</v>
      </c>
      <c r="C2134" s="1" t="str">
        <f ca="1">IFERROR(__xludf.DUMMYFUNCTION("REGEXEXTRACT(B2134, ""^([^:]+)"")"),"Paper articles")</f>
        <v>Paper articles</v>
      </c>
      <c r="D2134" s="1" t="s">
        <v>11</v>
      </c>
      <c r="E2134" s="1" t="s">
        <v>11</v>
      </c>
    </row>
    <row r="2135" spans="1:5" ht="15.75" customHeight="1">
      <c r="A2135" s="1">
        <v>481830</v>
      </c>
      <c r="B2135" s="1" t="s">
        <v>2161</v>
      </c>
      <c r="C2135" s="1" t="str">
        <f ca="1">IFERROR(__xludf.DUMMYFUNCTION("REGEXEXTRACT(B2135, ""^([^:]+)"")"),"Paper articles")</f>
        <v>Paper articles</v>
      </c>
      <c r="D2135" s="1" t="s">
        <v>11</v>
      </c>
      <c r="E2135" s="1" t="s">
        <v>11</v>
      </c>
    </row>
    <row r="2136" spans="1:5" ht="15.75" customHeight="1">
      <c r="A2136" s="1">
        <v>481840</v>
      </c>
      <c r="B2136" s="1" t="s">
        <v>2162</v>
      </c>
      <c r="C2136" s="1" t="str">
        <f ca="1">IFERROR(__xludf.DUMMYFUNCTION("REGEXEXTRACT(B2136, ""^([^:]+)"")"),"Paper articles")</f>
        <v>Paper articles</v>
      </c>
      <c r="D2136" s="1" t="s">
        <v>11</v>
      </c>
      <c r="E2136" s="1" t="s">
        <v>11</v>
      </c>
    </row>
    <row r="2137" spans="1:5" ht="15.75" customHeight="1">
      <c r="A2137" s="1">
        <v>481850</v>
      </c>
      <c r="B2137" s="1" t="s">
        <v>2163</v>
      </c>
      <c r="C2137" s="1" t="str">
        <f ca="1">IFERROR(__xludf.DUMMYFUNCTION("REGEXEXTRACT(B2137, ""^([^:]+)"")"),"Paper articles")</f>
        <v>Paper articles</v>
      </c>
      <c r="D2137" s="1" t="s">
        <v>11</v>
      </c>
      <c r="E2137" s="1" t="s">
        <v>11</v>
      </c>
    </row>
    <row r="2138" spans="1:5" ht="15.75" customHeight="1">
      <c r="A2138" s="1">
        <v>481890</v>
      </c>
      <c r="B2138" s="1" t="s">
        <v>2164</v>
      </c>
      <c r="C2138" s="1" t="str">
        <f ca="1">IFERROR(__xludf.DUMMYFUNCTION("REGEXEXTRACT(B2138, ""^([^:]+)"")"),"Paper articles")</f>
        <v>Paper articles</v>
      </c>
      <c r="D2138" s="1" t="s">
        <v>11</v>
      </c>
      <c r="E2138" s="1" t="s">
        <v>11</v>
      </c>
    </row>
    <row r="2139" spans="1:5" ht="15.75" customHeight="1">
      <c r="A2139" s="1">
        <v>481910</v>
      </c>
      <c r="B2139" s="1" t="s">
        <v>2165</v>
      </c>
      <c r="C2139" s="1" t="str">
        <f ca="1">IFERROR(__xludf.DUMMYFUNCTION("REGEXEXTRACT(B2139, ""^([^:]+)"")"),"Paper and paperboard")</f>
        <v>Paper and paperboard</v>
      </c>
      <c r="D2139" s="1" t="s">
        <v>11</v>
      </c>
      <c r="E2139" s="1" t="s">
        <v>11</v>
      </c>
    </row>
    <row r="2140" spans="1:5" ht="15.75" customHeight="1">
      <c r="A2140" s="1">
        <v>481920</v>
      </c>
      <c r="B2140" s="1" t="s">
        <v>2166</v>
      </c>
      <c r="C2140" s="1" t="str">
        <f ca="1">IFERROR(__xludf.DUMMYFUNCTION("REGEXEXTRACT(B2140, ""^([^:]+)"")"),"Paper and paperboard")</f>
        <v>Paper and paperboard</v>
      </c>
      <c r="D2140" s="1" t="s">
        <v>11</v>
      </c>
      <c r="E2140" s="1" t="s">
        <v>11</v>
      </c>
    </row>
    <row r="2141" spans="1:5" ht="15.75" customHeight="1">
      <c r="A2141" s="1">
        <v>481930</v>
      </c>
      <c r="B2141" s="1" t="s">
        <v>2167</v>
      </c>
      <c r="C2141" s="1" t="str">
        <f ca="1">IFERROR(__xludf.DUMMYFUNCTION("REGEXEXTRACT(B2141, ""^([^:]+)"")"),"Paper and paperboard")</f>
        <v>Paper and paperboard</v>
      </c>
      <c r="D2141" s="1" t="s">
        <v>11</v>
      </c>
      <c r="E2141" s="1" t="s">
        <v>11</v>
      </c>
    </row>
    <row r="2142" spans="1:5" ht="15.75" customHeight="1">
      <c r="A2142" s="1">
        <v>481940</v>
      </c>
      <c r="B2142" s="1" t="s">
        <v>2168</v>
      </c>
      <c r="C2142" s="1" t="str">
        <f ca="1">IFERROR(__xludf.DUMMYFUNCTION("REGEXEXTRACT(B2142, ""^([^:]+)"")"),"Paper and paperboard")</f>
        <v>Paper and paperboard</v>
      </c>
      <c r="D2142" s="1" t="s">
        <v>11</v>
      </c>
      <c r="E2142" s="1" t="s">
        <v>11</v>
      </c>
    </row>
    <row r="2143" spans="1:5" ht="15.75" customHeight="1">
      <c r="A2143" s="1">
        <v>481950</v>
      </c>
      <c r="B2143" s="1" t="s">
        <v>2169</v>
      </c>
      <c r="C2143" s="1" t="str">
        <f ca="1">IFERROR(__xludf.DUMMYFUNCTION("REGEXEXTRACT(B2143, ""^([^:]+)"")"),"Paper and paperboard")</f>
        <v>Paper and paperboard</v>
      </c>
      <c r="D2143" s="1" t="s">
        <v>11</v>
      </c>
      <c r="E2143" s="1" t="s">
        <v>11</v>
      </c>
    </row>
    <row r="2144" spans="1:5" ht="15.75" customHeight="1">
      <c r="A2144" s="1">
        <v>481960</v>
      </c>
      <c r="B2144" s="1" t="s">
        <v>2170</v>
      </c>
      <c r="C2144" s="1" t="str">
        <f ca="1">IFERROR(__xludf.DUMMYFUNCTION("REGEXEXTRACT(B2144, ""^([^:]+)"")"),"Paper and paperboard")</f>
        <v>Paper and paperboard</v>
      </c>
      <c r="D2144" s="1" t="s">
        <v>11</v>
      </c>
      <c r="E2144" s="1" t="s">
        <v>11</v>
      </c>
    </row>
    <row r="2145" spans="1:5" ht="15.75" customHeight="1">
      <c r="A2145" s="1">
        <v>482010</v>
      </c>
      <c r="B2145" s="1" t="s">
        <v>2171</v>
      </c>
      <c r="C2145" s="1" t="str">
        <f ca="1">IFERROR(__xludf.DUMMYFUNCTION("REGEXEXTRACT(B2145, ""^([^:]+)"")"),"Paper and paperboard")</f>
        <v>Paper and paperboard</v>
      </c>
      <c r="D2145" s="1" t="s">
        <v>11</v>
      </c>
      <c r="E2145" s="1" t="s">
        <v>11</v>
      </c>
    </row>
    <row r="2146" spans="1:5" ht="15.75" customHeight="1">
      <c r="A2146" s="1">
        <v>482020</v>
      </c>
      <c r="B2146" s="1" t="s">
        <v>2172</v>
      </c>
      <c r="C2146" s="1" t="str">
        <f ca="1">IFERROR(__xludf.DUMMYFUNCTION("REGEXEXTRACT(B2146, ""^([^:]+)"")"),"Paper and paperboard")</f>
        <v>Paper and paperboard</v>
      </c>
      <c r="D2146" s="1" t="s">
        <v>11</v>
      </c>
      <c r="E2146" s="1" t="s">
        <v>11</v>
      </c>
    </row>
    <row r="2147" spans="1:5" ht="15.75" customHeight="1">
      <c r="A2147" s="1">
        <v>482030</v>
      </c>
      <c r="B2147" s="1" t="s">
        <v>2173</v>
      </c>
      <c r="C2147" s="1" t="str">
        <f ca="1">IFERROR(__xludf.DUMMYFUNCTION("REGEXEXTRACT(B2147, ""^([^:]+)"")"),"Paper and paperboard")</f>
        <v>Paper and paperboard</v>
      </c>
      <c r="D2147" s="1" t="s">
        <v>11</v>
      </c>
      <c r="E2147" s="1" t="s">
        <v>11</v>
      </c>
    </row>
    <row r="2148" spans="1:5" ht="15.75" customHeight="1">
      <c r="A2148" s="1">
        <v>482040</v>
      </c>
      <c r="B2148" s="1" t="s">
        <v>2174</v>
      </c>
      <c r="C2148" s="1" t="str">
        <f ca="1">IFERROR(__xludf.DUMMYFUNCTION("REGEXEXTRACT(B2148, ""^([^:]+)"")"),"Paper and paperboard")</f>
        <v>Paper and paperboard</v>
      </c>
      <c r="D2148" s="1" t="s">
        <v>11</v>
      </c>
      <c r="E2148" s="1" t="s">
        <v>11</v>
      </c>
    </row>
    <row r="2149" spans="1:5" ht="15.75" customHeight="1">
      <c r="A2149" s="1">
        <v>482050</v>
      </c>
      <c r="B2149" s="1" t="s">
        <v>2175</v>
      </c>
      <c r="C2149" s="1" t="str">
        <f ca="1">IFERROR(__xludf.DUMMYFUNCTION("REGEXEXTRACT(B2149, ""^([^:]+)"")"),"Paper and paperboard")</f>
        <v>Paper and paperboard</v>
      </c>
      <c r="D2149" s="1" t="s">
        <v>11</v>
      </c>
      <c r="E2149" s="1" t="s">
        <v>11</v>
      </c>
    </row>
    <row r="2150" spans="1:5" ht="15.75" customHeight="1">
      <c r="A2150" s="1">
        <v>482090</v>
      </c>
      <c r="B2150" s="1" t="s">
        <v>2176</v>
      </c>
      <c r="C2150" s="1" t="str">
        <f ca="1">IFERROR(__xludf.DUMMYFUNCTION("REGEXEXTRACT(B2150, ""^([^:]+)"")"),"Paper or paperboard")</f>
        <v>Paper or paperboard</v>
      </c>
      <c r="D2150" s="1" t="s">
        <v>11</v>
      </c>
      <c r="E2150" s="1" t="s">
        <v>11</v>
      </c>
    </row>
    <row r="2151" spans="1:5" ht="15.75" customHeight="1">
      <c r="A2151" s="1">
        <v>482110</v>
      </c>
      <c r="B2151" s="1" t="s">
        <v>2177</v>
      </c>
      <c r="C2151" s="1" t="str">
        <f ca="1">IFERROR(__xludf.DUMMYFUNCTION("REGEXEXTRACT(B2151, ""^([^:]+)"")"),"Paper and paperboard")</f>
        <v>Paper and paperboard</v>
      </c>
      <c r="D2151" s="1" t="s">
        <v>11</v>
      </c>
      <c r="E2151" s="1" t="s">
        <v>11</v>
      </c>
    </row>
    <row r="2152" spans="1:5" ht="15.75" customHeight="1">
      <c r="A2152" s="1">
        <v>482190</v>
      </c>
      <c r="B2152" s="1" t="s">
        <v>2178</v>
      </c>
      <c r="C2152" s="1" t="str">
        <f ca="1">IFERROR(__xludf.DUMMYFUNCTION("REGEXEXTRACT(B2152, ""^([^:]+)"")"),"Paper and paperboard")</f>
        <v>Paper and paperboard</v>
      </c>
      <c r="D2152" s="1" t="s">
        <v>11</v>
      </c>
      <c r="E2152" s="1" t="s">
        <v>11</v>
      </c>
    </row>
    <row r="2153" spans="1:5" ht="15.75" customHeight="1">
      <c r="A2153" s="1">
        <v>482210</v>
      </c>
      <c r="B2153" s="1" t="s">
        <v>2179</v>
      </c>
      <c r="C2153" s="1" t="str">
        <f ca="1">IFERROR(__xludf.DUMMYFUNCTION("REGEXEXTRACT(B2153, ""^([^:]+)"")"),"Paper pulp, paper or paperboard")</f>
        <v>Paper pulp, paper or paperboard</v>
      </c>
      <c r="D2153" s="1" t="s">
        <v>11</v>
      </c>
      <c r="E2153" s="1" t="s">
        <v>11</v>
      </c>
    </row>
    <row r="2154" spans="1:5" ht="15.75" customHeight="1">
      <c r="A2154" s="1">
        <v>482290</v>
      </c>
      <c r="B2154" s="1" t="s">
        <v>2180</v>
      </c>
      <c r="C2154" s="1" t="str">
        <f ca="1">IFERROR(__xludf.DUMMYFUNCTION("REGEXEXTRACT(B2154, ""^([^:]+)"")"),"Paper pulp, paper or paperboard")</f>
        <v>Paper pulp, paper or paperboard</v>
      </c>
      <c r="D2154" s="1" t="s">
        <v>11</v>
      </c>
      <c r="E2154" s="1" t="s">
        <v>11</v>
      </c>
    </row>
    <row r="2155" spans="1:5" ht="15.75" customHeight="1">
      <c r="A2155" s="1">
        <v>482320</v>
      </c>
      <c r="B2155" s="1" t="s">
        <v>2181</v>
      </c>
      <c r="C2155" s="1" t="str">
        <f ca="1">IFERROR(__xludf.DUMMYFUNCTION("REGEXEXTRACT(B2155, ""^([^:]+)"")"),"Paper and paperboard")</f>
        <v>Paper and paperboard</v>
      </c>
      <c r="D2155" s="1" t="s">
        <v>11</v>
      </c>
      <c r="E2155" s="1" t="s">
        <v>11</v>
      </c>
    </row>
    <row r="2156" spans="1:5" ht="15.75" customHeight="1">
      <c r="A2156" s="1">
        <v>482340</v>
      </c>
      <c r="B2156" s="1" t="s">
        <v>2182</v>
      </c>
      <c r="C2156" s="1" t="str">
        <f ca="1">IFERROR(__xludf.DUMMYFUNCTION("REGEXEXTRACT(B2156, ""^([^:]+)"")"),"Paper and paperboard")</f>
        <v>Paper and paperboard</v>
      </c>
      <c r="D2156" s="1" t="s">
        <v>11</v>
      </c>
      <c r="E2156" s="1" t="s">
        <v>11</v>
      </c>
    </row>
    <row r="2157" spans="1:5" ht="15.75" customHeight="1">
      <c r="A2157" s="1">
        <v>482361</v>
      </c>
      <c r="B2157" s="1" t="s">
        <v>2183</v>
      </c>
      <c r="C2157" s="1" t="str">
        <f ca="1">IFERROR(__xludf.DUMMYFUNCTION("REGEXEXTRACT(B2157, ""^([^:]+)"")"),"Paper and paperboard")</f>
        <v>Paper and paperboard</v>
      </c>
      <c r="D2157" s="1" t="s">
        <v>11</v>
      </c>
      <c r="E2157" s="1" t="s">
        <v>11</v>
      </c>
    </row>
    <row r="2158" spans="1:5" ht="15.75" customHeight="1">
      <c r="A2158" s="1">
        <v>482369</v>
      </c>
      <c r="B2158" s="1" t="s">
        <v>2184</v>
      </c>
      <c r="C2158" s="1" t="str">
        <f ca="1">IFERROR(__xludf.DUMMYFUNCTION("REGEXEXTRACT(B2158, ""^([^:]+)"")"),"Paper and paperboard")</f>
        <v>Paper and paperboard</v>
      </c>
      <c r="D2158" s="1" t="s">
        <v>11</v>
      </c>
      <c r="E2158" s="1" t="s">
        <v>11</v>
      </c>
    </row>
    <row r="2159" spans="1:5" ht="15.75" customHeight="1">
      <c r="A2159" s="1">
        <v>482370</v>
      </c>
      <c r="B2159" s="1" t="s">
        <v>2185</v>
      </c>
      <c r="C2159" s="1" t="str">
        <f ca="1">IFERROR(__xludf.DUMMYFUNCTION("REGEXEXTRACT(B2159, ""^([^:]+)"")"),"Paper pulp")</f>
        <v>Paper pulp</v>
      </c>
      <c r="D2159" s="1" t="s">
        <v>11</v>
      </c>
      <c r="E2159" s="1" t="s">
        <v>11</v>
      </c>
    </row>
    <row r="2160" spans="1:5" ht="15.75" customHeight="1">
      <c r="A2160" s="1">
        <v>482390</v>
      </c>
      <c r="B2160" s="1" t="s">
        <v>2186</v>
      </c>
      <c r="C2160" s="1" t="str">
        <f ca="1">IFERROR(__xludf.DUMMYFUNCTION("REGEXEXTRACT(B2160, ""^([^:]+)"")"),"Paper pulp, paper, paperboard, cellulose wadding or webs of cellulose fibres")</f>
        <v>Paper pulp, paper, paperboard, cellulose wadding or webs of cellulose fibres</v>
      </c>
      <c r="D2160" s="1" t="s">
        <v>11</v>
      </c>
      <c r="E2160" s="1" t="s">
        <v>11</v>
      </c>
    </row>
    <row r="2161" spans="1:5" ht="15.75" customHeight="1">
      <c r="A2161" s="1">
        <v>490110</v>
      </c>
      <c r="B2161" s="1" t="s">
        <v>2187</v>
      </c>
      <c r="C2161" s="1" t="str">
        <f ca="1">IFERROR(__xludf.DUMMYFUNCTION("REGEXEXTRACT(B2161, ""^([^:]+)"")"),"Printed matter")</f>
        <v>Printed matter</v>
      </c>
      <c r="D2161" s="1" t="s">
        <v>11</v>
      </c>
      <c r="E2161" s="1" t="s">
        <v>11</v>
      </c>
    </row>
    <row r="2162" spans="1:5" ht="15.75" customHeight="1">
      <c r="A2162" s="1">
        <v>490191</v>
      </c>
      <c r="B2162" s="1" t="s">
        <v>2188</v>
      </c>
      <c r="C2162" s="1" t="str">
        <f ca="1">IFERROR(__xludf.DUMMYFUNCTION("REGEXEXTRACT(B2162, ""^([^:]+)"")"),"Printed matter")</f>
        <v>Printed matter</v>
      </c>
      <c r="D2162" s="1" t="s">
        <v>11</v>
      </c>
      <c r="E2162" s="1" t="s">
        <v>11</v>
      </c>
    </row>
    <row r="2163" spans="1:5" ht="15.75" customHeight="1">
      <c r="A2163" s="1">
        <v>490199</v>
      </c>
      <c r="B2163" s="1" t="s">
        <v>2189</v>
      </c>
      <c r="C2163" s="1" t="str">
        <f ca="1">IFERROR(__xludf.DUMMYFUNCTION("REGEXEXTRACT(B2163, ""^([^:]+)"")"),"Printed matter")</f>
        <v>Printed matter</v>
      </c>
      <c r="D2163" s="1" t="s">
        <v>11</v>
      </c>
      <c r="E2163" s="1" t="s">
        <v>11</v>
      </c>
    </row>
    <row r="2164" spans="1:5" ht="15.75" customHeight="1">
      <c r="A2164" s="1">
        <v>490210</v>
      </c>
      <c r="B2164" s="1" t="s">
        <v>2190</v>
      </c>
      <c r="C2164" s="1" t="str">
        <f ca="1">IFERROR(__xludf.DUMMYFUNCTION("REGEXEXTRACT(B2164, ""^([^:]+)"")"),"Newspapers, journals and periodicals")</f>
        <v>Newspapers, journals and periodicals</v>
      </c>
      <c r="D2164" s="1" t="s">
        <v>11</v>
      </c>
      <c r="E2164" s="1" t="s">
        <v>11</v>
      </c>
    </row>
    <row r="2165" spans="1:5" ht="15.75" customHeight="1">
      <c r="A2165" s="1">
        <v>490290</v>
      </c>
      <c r="B2165" s="1" t="s">
        <v>2191</v>
      </c>
      <c r="C2165" s="1" t="str">
        <f ca="1">IFERROR(__xludf.DUMMYFUNCTION("REGEXEXTRACT(B2165, ""^([^:]+)"")"),"Newspapers, journals and periodicals")</f>
        <v>Newspapers, journals and periodicals</v>
      </c>
      <c r="D2165" s="1" t="s">
        <v>11</v>
      </c>
      <c r="E2165" s="1" t="s">
        <v>11</v>
      </c>
    </row>
    <row r="2166" spans="1:5" ht="15.75" customHeight="1">
      <c r="A2166" s="1">
        <v>490300</v>
      </c>
      <c r="B2166" s="1" t="s">
        <v>2192</v>
      </c>
      <c r="C2166" s="1" t="str">
        <f ca="1">IFERROR(__xludf.DUMMYFUNCTION("REGEXEXTRACT(B2166, ""^([^:]+)"")"),"Printed matter")</f>
        <v>Printed matter</v>
      </c>
      <c r="D2166" s="1" t="s">
        <v>11</v>
      </c>
      <c r="E2166" s="1" t="s">
        <v>11</v>
      </c>
    </row>
    <row r="2167" spans="1:5" ht="15.75" customHeight="1">
      <c r="A2167" s="1">
        <v>490400</v>
      </c>
      <c r="B2167" s="1" t="s">
        <v>2193</v>
      </c>
      <c r="C2167" s="1" t="str">
        <f ca="1">IFERROR(__xludf.DUMMYFUNCTION("REGEXEXTRACT(B2167, ""^([^:]+)"")"),"Music")</f>
        <v>Music</v>
      </c>
      <c r="D2167" s="1" t="s">
        <v>11</v>
      </c>
      <c r="E2167" s="1" t="s">
        <v>11</v>
      </c>
    </row>
    <row r="2168" spans="1:5" ht="15.75" customHeight="1">
      <c r="A2168" s="1">
        <v>490510</v>
      </c>
      <c r="B2168" s="1" t="s">
        <v>2194</v>
      </c>
      <c r="C2168" s="1" t="str">
        <f ca="1">IFERROR(__xludf.DUMMYFUNCTION("REGEXEXTRACT(B2168, ""^([^:]+)"")"),"Globes")</f>
        <v>Globes</v>
      </c>
      <c r="D2168" s="1" t="s">
        <v>11</v>
      </c>
      <c r="E2168" s="1" t="s">
        <v>11</v>
      </c>
    </row>
    <row r="2169" spans="1:5" ht="15.75" customHeight="1">
      <c r="A2169" s="1">
        <v>490591</v>
      </c>
      <c r="B2169" s="1" t="s">
        <v>2195</v>
      </c>
      <c r="C2169" s="1" t="str">
        <f ca="1">IFERROR(__xludf.DUMMYFUNCTION("REGEXEXTRACT(B2169, ""^([^:]+)"")"),"Maps and hydrographic or similar charts")</f>
        <v>Maps and hydrographic or similar charts</v>
      </c>
      <c r="D2169" s="1" t="s">
        <v>11</v>
      </c>
      <c r="E2169" s="1" t="s">
        <v>11</v>
      </c>
    </row>
    <row r="2170" spans="1:5" ht="15.75" customHeight="1">
      <c r="A2170" s="1">
        <v>490599</v>
      </c>
      <c r="B2170" s="1" t="s">
        <v>2196</v>
      </c>
      <c r="C2170" s="1" t="str">
        <f ca="1">IFERROR(__xludf.DUMMYFUNCTION("REGEXEXTRACT(B2170, ""^([^:]+)"")"),"Maps and hydrographic or similar charts")</f>
        <v>Maps and hydrographic or similar charts</v>
      </c>
      <c r="D2170" s="1" t="s">
        <v>11</v>
      </c>
      <c r="E2170" s="1" t="s">
        <v>11</v>
      </c>
    </row>
    <row r="2171" spans="1:5" ht="15.75" customHeight="1">
      <c r="A2171" s="1">
        <v>490600</v>
      </c>
      <c r="B2171" s="1" t="s">
        <v>2197</v>
      </c>
      <c r="C2171" s="1" t="str">
        <f ca="1">IFERROR(__xludf.DUMMYFUNCTION("REGEXEXTRACT(B2171, ""^([^:]+)"")"),"Plans and drawings")</f>
        <v>Plans and drawings</v>
      </c>
      <c r="D2171" s="1" t="s">
        <v>11</v>
      </c>
      <c r="E2171" s="1" t="s">
        <v>11</v>
      </c>
    </row>
    <row r="2172" spans="1:5" ht="15.75" customHeight="1">
      <c r="A2172" s="1">
        <v>490700</v>
      </c>
      <c r="B2172" s="1" t="s">
        <v>2198</v>
      </c>
      <c r="C2172" s="1" t="str">
        <f ca="1">IFERROR(__xludf.DUMMYFUNCTION("REGEXEXTRACT(B2172, ""^([^:]+)"")"),"Unused postage, revenue or similar stamps of current or new issue in the country in which they have, or will have, a recognised face value")</f>
        <v>Unused postage, revenue or similar stamps of current or new issue in the country in which they have, or will have, a recognised face value</v>
      </c>
      <c r="D2172" s="1" t="s">
        <v>11</v>
      </c>
      <c r="E2172" s="1" t="s">
        <v>11</v>
      </c>
    </row>
    <row r="2173" spans="1:5" ht="15.75" customHeight="1">
      <c r="A2173" s="1">
        <v>490810</v>
      </c>
      <c r="B2173" s="1" t="s">
        <v>2199</v>
      </c>
      <c r="C2173" s="1" t="str">
        <f ca="1">IFERROR(__xludf.DUMMYFUNCTION("REGEXEXTRACT(B2173, ""^([^:]+)"")"),"Printed matter")</f>
        <v>Printed matter</v>
      </c>
      <c r="D2173" s="1" t="s">
        <v>11</v>
      </c>
      <c r="E2173" s="1" t="s">
        <v>11</v>
      </c>
    </row>
    <row r="2174" spans="1:5" ht="15.75" customHeight="1">
      <c r="A2174" s="1">
        <v>490890</v>
      </c>
      <c r="B2174" s="1" t="s">
        <v>2200</v>
      </c>
      <c r="C2174" s="1" t="str">
        <f ca="1">IFERROR(__xludf.DUMMYFUNCTION("REGEXEXTRACT(B2174, ""^([^:]+)"")"),"Printed matter")</f>
        <v>Printed matter</v>
      </c>
      <c r="D2174" s="1" t="s">
        <v>11</v>
      </c>
      <c r="E2174" s="1" t="s">
        <v>11</v>
      </c>
    </row>
    <row r="2175" spans="1:5" ht="15.75" customHeight="1">
      <c r="A2175" s="1">
        <v>490900</v>
      </c>
      <c r="B2175" s="1" t="s">
        <v>2201</v>
      </c>
      <c r="C2175" s="1" t="str">
        <f ca="1">IFERROR(__xludf.DUMMYFUNCTION("REGEXEXTRACT(B2175, ""^([^:]+)"")"),"Printed or illustrated postcards")</f>
        <v>Printed or illustrated postcards</v>
      </c>
      <c r="D2175" s="1" t="s">
        <v>11</v>
      </c>
      <c r="E2175" s="1" t="s">
        <v>11</v>
      </c>
    </row>
    <row r="2176" spans="1:5" ht="15.75" customHeight="1">
      <c r="A2176" s="1">
        <v>491000</v>
      </c>
      <c r="B2176" s="1" t="s">
        <v>2202</v>
      </c>
      <c r="C2176" s="1" t="str">
        <f ca="1">IFERROR(__xludf.DUMMYFUNCTION("REGEXEXTRACT(B2176, ""^([^:]+)"")"),"Calendars")</f>
        <v>Calendars</v>
      </c>
      <c r="D2176" s="1" t="s">
        <v>11</v>
      </c>
      <c r="E2176" s="1" t="s">
        <v>11</v>
      </c>
    </row>
    <row r="2177" spans="1:5" ht="15.75" customHeight="1">
      <c r="A2177" s="1">
        <v>491110</v>
      </c>
      <c r="B2177" s="1" t="s">
        <v>2203</v>
      </c>
      <c r="C2177" s="1" t="str">
        <f ca="1">IFERROR(__xludf.DUMMYFUNCTION("REGEXEXTRACT(B2177, ""^([^:]+)"")"),"Printed matter")</f>
        <v>Printed matter</v>
      </c>
      <c r="D2177" s="1" t="s">
        <v>11</v>
      </c>
      <c r="E2177" s="1" t="s">
        <v>11</v>
      </c>
    </row>
    <row r="2178" spans="1:5" ht="15.75" customHeight="1">
      <c r="A2178" s="1">
        <v>491191</v>
      </c>
      <c r="B2178" s="1" t="s">
        <v>2204</v>
      </c>
      <c r="C2178" s="1" t="str">
        <f ca="1">IFERROR(__xludf.DUMMYFUNCTION("REGEXEXTRACT(B2178, ""^([^:]+)"")"),"Printed matter")</f>
        <v>Printed matter</v>
      </c>
      <c r="D2178" s="1" t="s">
        <v>11</v>
      </c>
      <c r="E2178" s="1" t="s">
        <v>11</v>
      </c>
    </row>
    <row r="2179" spans="1:5" ht="15.75" customHeight="1">
      <c r="A2179" s="1">
        <v>491199</v>
      </c>
      <c r="B2179" s="1" t="s">
        <v>2205</v>
      </c>
      <c r="C2179" s="1" t="str">
        <f ca="1">IFERROR(__xludf.DUMMYFUNCTION("REGEXEXTRACT(B2179, ""^([^:]+)"")"),"Printed matter")</f>
        <v>Printed matter</v>
      </c>
      <c r="D2179" s="1" t="s">
        <v>11</v>
      </c>
      <c r="E2179" s="1" t="s">
        <v>11</v>
      </c>
    </row>
    <row r="2180" spans="1:5" ht="15.75" customHeight="1">
      <c r="A2180" s="1">
        <v>500100</v>
      </c>
      <c r="B2180" s="1" t="s">
        <v>2206</v>
      </c>
      <c r="C2180" s="1" t="str">
        <f ca="1">IFERROR(__xludf.DUMMYFUNCTION("REGEXEXTRACT(B2180, ""^([^:]+)"")"),"Silk")</f>
        <v>Silk</v>
      </c>
      <c r="D2180" s="1" t="s">
        <v>11</v>
      </c>
      <c r="E2180" s="1" t="s">
        <v>11</v>
      </c>
    </row>
    <row r="2181" spans="1:5" ht="15.75" customHeight="1">
      <c r="A2181" s="1">
        <v>500200</v>
      </c>
      <c r="B2181" s="1" t="s">
        <v>2207</v>
      </c>
      <c r="C2181" s="1" t="str">
        <f ca="1">IFERROR(__xludf.DUMMYFUNCTION("REGEXEXTRACT(B2181, ""^([^:]+)"")"),"Silk")</f>
        <v>Silk</v>
      </c>
      <c r="D2181" s="1" t="s">
        <v>11</v>
      </c>
      <c r="E2181" s="1" t="s">
        <v>11</v>
      </c>
    </row>
    <row r="2182" spans="1:5" ht="15.75" customHeight="1">
      <c r="A2182" s="1">
        <v>500300</v>
      </c>
      <c r="B2182" s="1" t="s">
        <v>2208</v>
      </c>
      <c r="C2182" s="1" t="str">
        <f ca="1">IFERROR(__xludf.DUMMYFUNCTION("REGEXEXTRACT(B2182, ""^([^:]+)"")"),"Silk waste (including cocoons unsuitable for reeling, yarn waste and garneted stock)")</f>
        <v>Silk waste (including cocoons unsuitable for reeling, yarn waste and garneted stock)</v>
      </c>
      <c r="D2182" s="1" t="s">
        <v>11</v>
      </c>
      <c r="E2182" s="1" t="s">
        <v>11</v>
      </c>
    </row>
    <row r="2183" spans="1:5" ht="15.75" customHeight="1">
      <c r="A2183" s="1">
        <v>500400</v>
      </c>
      <c r="B2183" s="1" t="s">
        <v>2209</v>
      </c>
      <c r="C2183" s="1" t="str">
        <f ca="1">IFERROR(__xludf.DUMMYFUNCTION("REGEXEXTRACT(B2183, ""^([^:]+)"")"),"Silk")</f>
        <v>Silk</v>
      </c>
      <c r="D2183" s="1" t="s">
        <v>11</v>
      </c>
      <c r="E2183" s="1" t="s">
        <v>11</v>
      </c>
    </row>
    <row r="2184" spans="1:5" ht="15.75" customHeight="1">
      <c r="A2184" s="1">
        <v>500500</v>
      </c>
      <c r="B2184" s="1" t="s">
        <v>2210</v>
      </c>
      <c r="C2184" s="1" t="str">
        <f ca="1">IFERROR(__xludf.DUMMYFUNCTION("REGEXEXTRACT(B2184, ""^([^:]+)"")"),"Silk")</f>
        <v>Silk</v>
      </c>
      <c r="D2184" s="1" t="s">
        <v>11</v>
      </c>
      <c r="E2184" s="1" t="s">
        <v>11</v>
      </c>
    </row>
    <row r="2185" spans="1:5" ht="15.75" customHeight="1">
      <c r="A2185" s="1">
        <v>500600</v>
      </c>
      <c r="B2185" s="1" t="s">
        <v>2211</v>
      </c>
      <c r="C2185" s="1" t="str">
        <f ca="1">IFERROR(__xludf.DUMMYFUNCTION("REGEXEXTRACT(B2185, ""^([^:]+)"")"),"Silk yarn and yarn spun from silk waste")</f>
        <v>Silk yarn and yarn spun from silk waste</v>
      </c>
      <c r="D2185" s="1" t="s">
        <v>11</v>
      </c>
      <c r="E2185" s="1" t="s">
        <v>11</v>
      </c>
    </row>
    <row r="2186" spans="1:5" ht="15.75" customHeight="1">
      <c r="A2186" s="1">
        <v>500710</v>
      </c>
      <c r="B2186" s="1" t="s">
        <v>2212</v>
      </c>
      <c r="C2186" s="1" t="str">
        <f ca="1">IFERROR(__xludf.DUMMYFUNCTION("REGEXEXTRACT(B2186, ""^([^:]+)"")"),"Silk")</f>
        <v>Silk</v>
      </c>
      <c r="D2186" s="1" t="s">
        <v>11</v>
      </c>
      <c r="E2186" s="1" t="s">
        <v>11</v>
      </c>
    </row>
    <row r="2187" spans="1:5" ht="15.75" customHeight="1">
      <c r="A2187" s="1">
        <v>500720</v>
      </c>
      <c r="B2187" s="1" t="s">
        <v>2213</v>
      </c>
      <c r="C2187" s="1" t="str">
        <f ca="1">IFERROR(__xludf.DUMMYFUNCTION("REGEXEXTRACT(B2187, ""^([^:]+)"")"),"Silk")</f>
        <v>Silk</v>
      </c>
      <c r="D2187" s="1" t="s">
        <v>11</v>
      </c>
      <c r="E2187" s="1" t="s">
        <v>11</v>
      </c>
    </row>
    <row r="2188" spans="1:5" ht="15.75" customHeight="1">
      <c r="A2188" s="1">
        <v>500790</v>
      </c>
      <c r="B2188" s="1" t="s">
        <v>2214</v>
      </c>
      <c r="C2188" s="1" t="str">
        <f ca="1">IFERROR(__xludf.DUMMYFUNCTION("REGEXEXTRACT(B2188, ""^([^:]+)"")"),"Silk")</f>
        <v>Silk</v>
      </c>
      <c r="D2188" s="1" t="s">
        <v>11</v>
      </c>
      <c r="E2188" s="1" t="s">
        <v>11</v>
      </c>
    </row>
    <row r="2189" spans="1:5" ht="15.75" customHeight="1">
      <c r="A2189" s="1">
        <v>510111</v>
      </c>
      <c r="B2189" s="1" t="s">
        <v>2215</v>
      </c>
      <c r="C2189" s="1" t="str">
        <f ca="1">IFERROR(__xludf.DUMMYFUNCTION("REGEXEXTRACT(B2189, ""^([^:]+)"")"),"Wool")</f>
        <v>Wool</v>
      </c>
      <c r="D2189" s="1" t="s">
        <v>11</v>
      </c>
      <c r="E2189" s="1" t="s">
        <v>11</v>
      </c>
    </row>
    <row r="2190" spans="1:5" ht="15.75" customHeight="1">
      <c r="A2190" s="1">
        <v>510119</v>
      </c>
      <c r="B2190" s="1" t="s">
        <v>2216</v>
      </c>
      <c r="C2190" s="1" t="str">
        <f ca="1">IFERROR(__xludf.DUMMYFUNCTION("REGEXEXTRACT(B2190, ""^([^:]+)"")"),"Wool")</f>
        <v>Wool</v>
      </c>
      <c r="D2190" s="1" t="s">
        <v>11</v>
      </c>
      <c r="E2190" s="1" t="s">
        <v>11</v>
      </c>
    </row>
    <row r="2191" spans="1:5" ht="15.75" customHeight="1">
      <c r="A2191" s="1">
        <v>510121</v>
      </c>
      <c r="B2191" s="1" t="s">
        <v>2217</v>
      </c>
      <c r="C2191" s="1" t="str">
        <f ca="1">IFERROR(__xludf.DUMMYFUNCTION("REGEXEXTRACT(B2191, ""^([^:]+)"")"),"Wool")</f>
        <v>Wool</v>
      </c>
      <c r="D2191" s="1" t="s">
        <v>11</v>
      </c>
      <c r="E2191" s="1" t="s">
        <v>11</v>
      </c>
    </row>
    <row r="2192" spans="1:5" ht="15.75" customHeight="1">
      <c r="A2192" s="1">
        <v>510129</v>
      </c>
      <c r="B2192" s="1" t="s">
        <v>2218</v>
      </c>
      <c r="C2192" s="1" t="str">
        <f ca="1">IFERROR(__xludf.DUMMYFUNCTION("REGEXEXTRACT(B2192, ""^([^:]+)"")"),"Wool")</f>
        <v>Wool</v>
      </c>
      <c r="D2192" s="1" t="s">
        <v>11</v>
      </c>
      <c r="E2192" s="1" t="s">
        <v>11</v>
      </c>
    </row>
    <row r="2193" spans="1:5" ht="15.75" customHeight="1">
      <c r="A2193" s="1">
        <v>510130</v>
      </c>
      <c r="B2193" s="1" t="s">
        <v>2219</v>
      </c>
      <c r="C2193" s="1" t="str">
        <f ca="1">IFERROR(__xludf.DUMMYFUNCTION("REGEXEXTRACT(B2193, ""^([^:]+)"")"),"Wool")</f>
        <v>Wool</v>
      </c>
      <c r="D2193" s="1" t="s">
        <v>11</v>
      </c>
      <c r="E2193" s="1" t="s">
        <v>11</v>
      </c>
    </row>
    <row r="2194" spans="1:5" ht="15.75" customHeight="1">
      <c r="A2194" s="1">
        <v>510211</v>
      </c>
      <c r="B2194" s="1" t="s">
        <v>2220</v>
      </c>
      <c r="C2194" s="1" t="str">
        <f ca="1">IFERROR(__xludf.DUMMYFUNCTION("REGEXEXTRACT(B2194, ""^([^:]+)"")"),"Hair")</f>
        <v>Hair</v>
      </c>
      <c r="D2194" s="1" t="s">
        <v>11</v>
      </c>
      <c r="E2194" s="1" t="s">
        <v>11</v>
      </c>
    </row>
    <row r="2195" spans="1:5" ht="15.75" customHeight="1">
      <c r="A2195" s="1">
        <v>510219</v>
      </c>
      <c r="B2195" s="1" t="s">
        <v>2221</v>
      </c>
      <c r="C2195" s="1" t="str">
        <f ca="1">IFERROR(__xludf.DUMMYFUNCTION("REGEXEXTRACT(B2195, ""^([^:]+)"")"),"Hair")</f>
        <v>Hair</v>
      </c>
      <c r="D2195" s="1" t="s">
        <v>11</v>
      </c>
      <c r="E2195" s="1" t="s">
        <v>11</v>
      </c>
    </row>
    <row r="2196" spans="1:5" ht="15.75" customHeight="1">
      <c r="A2196" s="1">
        <v>510220</v>
      </c>
      <c r="B2196" s="1" t="s">
        <v>2222</v>
      </c>
      <c r="C2196" s="1" t="str">
        <f ca="1">IFERROR(__xludf.DUMMYFUNCTION("REGEXEXTRACT(B2196, ""^([^:]+)"")"),"Hair")</f>
        <v>Hair</v>
      </c>
      <c r="D2196" s="1" t="s">
        <v>11</v>
      </c>
      <c r="E2196" s="1" t="s">
        <v>11</v>
      </c>
    </row>
    <row r="2197" spans="1:5" ht="15.75" customHeight="1">
      <c r="A2197" s="1">
        <v>510310</v>
      </c>
      <c r="B2197" s="1" t="s">
        <v>2223</v>
      </c>
      <c r="C2197" s="1" t="str">
        <f ca="1">IFERROR(__xludf.DUMMYFUNCTION("REGEXEXTRACT(B2197, ""^([^:]+)"")"),"Wool and hair")</f>
        <v>Wool and hair</v>
      </c>
      <c r="D2197" s="1" t="s">
        <v>11</v>
      </c>
      <c r="E2197" s="1" t="s">
        <v>11</v>
      </c>
    </row>
    <row r="2198" spans="1:5" ht="15.75" customHeight="1">
      <c r="A2198" s="1">
        <v>510320</v>
      </c>
      <c r="B2198" s="1" t="s">
        <v>2224</v>
      </c>
      <c r="C2198" s="1" t="str">
        <f ca="1">IFERROR(__xludf.DUMMYFUNCTION("REGEXEXTRACT(B2198, ""^([^:]+)"")"),"Wool and hair")</f>
        <v>Wool and hair</v>
      </c>
      <c r="D2198" s="1" t="s">
        <v>11</v>
      </c>
      <c r="E2198" s="1" t="s">
        <v>11</v>
      </c>
    </row>
    <row r="2199" spans="1:5" ht="15.75" customHeight="1">
      <c r="A2199" s="1">
        <v>510330</v>
      </c>
      <c r="B2199" s="1" t="s">
        <v>2225</v>
      </c>
      <c r="C2199" s="1" t="str">
        <f ca="1">IFERROR(__xludf.DUMMYFUNCTION("REGEXEXTRACT(B2199, ""^([^:]+)"")"),"Wool and hair")</f>
        <v>Wool and hair</v>
      </c>
      <c r="D2199" s="1" t="s">
        <v>11</v>
      </c>
      <c r="E2199" s="1" t="s">
        <v>11</v>
      </c>
    </row>
    <row r="2200" spans="1:5" ht="15.75" customHeight="1">
      <c r="A2200" s="1">
        <v>510400</v>
      </c>
      <c r="B2200" s="1" t="s">
        <v>2226</v>
      </c>
      <c r="C2200" s="1" t="str">
        <f ca="1">IFERROR(__xludf.DUMMYFUNCTION("REGEXEXTRACT(B2200, ""^([^:]+)"")"),"Wool and hair")</f>
        <v>Wool and hair</v>
      </c>
      <c r="D2200" s="1" t="s">
        <v>11</v>
      </c>
      <c r="E2200" s="1" t="s">
        <v>11</v>
      </c>
    </row>
    <row r="2201" spans="1:5" ht="15.75" customHeight="1">
      <c r="A2201" s="1">
        <v>510510</v>
      </c>
      <c r="B2201" s="1" t="s">
        <v>2227</v>
      </c>
      <c r="C2201" s="1" t="str">
        <f ca="1">IFERROR(__xludf.DUMMYFUNCTION("REGEXEXTRACT(B2201, ""^([^:]+)"")"),"Wool")</f>
        <v>Wool</v>
      </c>
      <c r="D2201" s="1" t="s">
        <v>11</v>
      </c>
      <c r="E2201" s="1" t="s">
        <v>11</v>
      </c>
    </row>
    <row r="2202" spans="1:5" ht="15.75" customHeight="1">
      <c r="A2202" s="1">
        <v>510521</v>
      </c>
      <c r="B2202" s="1" t="s">
        <v>2228</v>
      </c>
      <c r="C2202" s="1" t="str">
        <f ca="1">IFERROR(__xludf.DUMMYFUNCTION("REGEXEXTRACT(B2202, ""^([^:]+)"")"),"Wool")</f>
        <v>Wool</v>
      </c>
      <c r="D2202" s="1" t="s">
        <v>11</v>
      </c>
      <c r="E2202" s="1" t="s">
        <v>11</v>
      </c>
    </row>
    <row r="2203" spans="1:5" ht="15.75" customHeight="1">
      <c r="A2203" s="1">
        <v>510529</v>
      </c>
      <c r="B2203" s="1" t="s">
        <v>2229</v>
      </c>
      <c r="C2203" s="1" t="str">
        <f ca="1">IFERROR(__xludf.DUMMYFUNCTION("REGEXEXTRACT(B2203, ""^([^:]+)"")"),"Wool")</f>
        <v>Wool</v>
      </c>
      <c r="D2203" s="1" t="s">
        <v>11</v>
      </c>
      <c r="E2203" s="1" t="s">
        <v>11</v>
      </c>
    </row>
    <row r="2204" spans="1:5" ht="15.75" customHeight="1">
      <c r="A2204" s="1">
        <v>510531</v>
      </c>
      <c r="B2204" s="1" t="s">
        <v>2230</v>
      </c>
      <c r="C2204" s="1" t="str">
        <f ca="1">IFERROR(__xludf.DUMMYFUNCTION("REGEXEXTRACT(B2204, ""^([^:]+)"")"),"Hair")</f>
        <v>Hair</v>
      </c>
      <c r="D2204" s="1" t="s">
        <v>11</v>
      </c>
      <c r="E2204" s="1" t="s">
        <v>11</v>
      </c>
    </row>
    <row r="2205" spans="1:5" ht="15.75" customHeight="1">
      <c r="A2205" s="1">
        <v>510539</v>
      </c>
      <c r="B2205" s="1" t="s">
        <v>2231</v>
      </c>
      <c r="C2205" s="1" t="str">
        <f ca="1">IFERROR(__xludf.DUMMYFUNCTION("REGEXEXTRACT(B2205, ""^([^:]+)"")"),"Hair")</f>
        <v>Hair</v>
      </c>
      <c r="D2205" s="1" t="s">
        <v>11</v>
      </c>
      <c r="E2205" s="1" t="s">
        <v>11</v>
      </c>
    </row>
    <row r="2206" spans="1:5" ht="15.75" customHeight="1">
      <c r="A2206" s="1">
        <v>510540</v>
      </c>
      <c r="B2206" s="1" t="s">
        <v>2232</v>
      </c>
      <c r="C2206" s="1" t="str">
        <f ca="1">IFERROR(__xludf.DUMMYFUNCTION("REGEXEXTRACT(B2206, ""^([^:]+)"")"),"Hair")</f>
        <v>Hair</v>
      </c>
      <c r="D2206" s="1" t="s">
        <v>11</v>
      </c>
      <c r="E2206" s="1" t="s">
        <v>11</v>
      </c>
    </row>
    <row r="2207" spans="1:5" ht="15.75" customHeight="1">
      <c r="A2207" s="1">
        <v>510610</v>
      </c>
      <c r="B2207" s="1" t="s">
        <v>2233</v>
      </c>
      <c r="C2207" s="1" t="str">
        <f ca="1">IFERROR(__xludf.DUMMYFUNCTION("REGEXEXTRACT(B2207, ""^([^:]+)"")"),"Yarn")</f>
        <v>Yarn</v>
      </c>
      <c r="D2207" s="1" t="s">
        <v>11</v>
      </c>
      <c r="E2207" s="1" t="s">
        <v>11</v>
      </c>
    </row>
    <row r="2208" spans="1:5" ht="15.75" customHeight="1">
      <c r="A2208" s="1">
        <v>510620</v>
      </c>
      <c r="B2208" s="1" t="s">
        <v>2234</v>
      </c>
      <c r="C2208" s="1" t="str">
        <f ca="1">IFERROR(__xludf.DUMMYFUNCTION("REGEXEXTRACT(B2208, ""^([^:]+)"")"),"Yarn")</f>
        <v>Yarn</v>
      </c>
      <c r="D2208" s="1" t="s">
        <v>11</v>
      </c>
      <c r="E2208" s="1" t="s">
        <v>11</v>
      </c>
    </row>
    <row r="2209" spans="1:5" ht="15.75" customHeight="1">
      <c r="A2209" s="1">
        <v>510710</v>
      </c>
      <c r="B2209" s="1" t="s">
        <v>2235</v>
      </c>
      <c r="C2209" s="1" t="str">
        <f ca="1">IFERROR(__xludf.DUMMYFUNCTION("REGEXEXTRACT(B2209, ""^([^:]+)"")"),"Yarn")</f>
        <v>Yarn</v>
      </c>
      <c r="D2209" s="1" t="s">
        <v>11</v>
      </c>
      <c r="E2209" s="1" t="s">
        <v>11</v>
      </c>
    </row>
    <row r="2210" spans="1:5" ht="15.75" customHeight="1">
      <c r="A2210" s="1">
        <v>510720</v>
      </c>
      <c r="B2210" s="1" t="s">
        <v>2236</v>
      </c>
      <c r="C2210" s="1" t="str">
        <f ca="1">IFERROR(__xludf.DUMMYFUNCTION("REGEXEXTRACT(B2210, ""^([^:]+)"")"),"Yarn")</f>
        <v>Yarn</v>
      </c>
      <c r="D2210" s="1" t="s">
        <v>11</v>
      </c>
      <c r="E2210" s="1" t="s">
        <v>11</v>
      </c>
    </row>
    <row r="2211" spans="1:5" ht="15.75" customHeight="1">
      <c r="A2211" s="1">
        <v>510810</v>
      </c>
      <c r="B2211" s="1" t="s">
        <v>2237</v>
      </c>
      <c r="C2211" s="1" t="str">
        <f ca="1">IFERROR(__xludf.DUMMYFUNCTION("REGEXEXTRACT(B2211, ""^([^:]+)"")"),"Yarn")</f>
        <v>Yarn</v>
      </c>
      <c r="D2211" s="1" t="s">
        <v>11</v>
      </c>
      <c r="E2211" s="1" t="s">
        <v>11</v>
      </c>
    </row>
    <row r="2212" spans="1:5" ht="15.75" customHeight="1">
      <c r="A2212" s="1">
        <v>510820</v>
      </c>
      <c r="B2212" s="1" t="s">
        <v>2238</v>
      </c>
      <c r="C2212" s="1" t="str">
        <f ca="1">IFERROR(__xludf.DUMMYFUNCTION("REGEXEXTRACT(B2212, ""^([^:]+)"")"),"Yarn")</f>
        <v>Yarn</v>
      </c>
      <c r="D2212" s="1" t="s">
        <v>11</v>
      </c>
      <c r="E2212" s="1" t="s">
        <v>11</v>
      </c>
    </row>
    <row r="2213" spans="1:5" ht="15.75" customHeight="1">
      <c r="A2213" s="1">
        <v>510910</v>
      </c>
      <c r="B2213" s="1" t="s">
        <v>2239</v>
      </c>
      <c r="C2213" s="1" t="str">
        <f ca="1">IFERROR(__xludf.DUMMYFUNCTION("REGEXEXTRACT(B2213, ""^([^:]+)"")"),"Yarn")</f>
        <v>Yarn</v>
      </c>
      <c r="D2213" s="1" t="s">
        <v>11</v>
      </c>
      <c r="E2213" s="1" t="s">
        <v>11</v>
      </c>
    </row>
    <row r="2214" spans="1:5" ht="15.75" customHeight="1">
      <c r="A2214" s="1">
        <v>510990</v>
      </c>
      <c r="B2214" s="1" t="s">
        <v>2240</v>
      </c>
      <c r="C2214" s="1" t="str">
        <f ca="1">IFERROR(__xludf.DUMMYFUNCTION("REGEXEXTRACT(B2214, ""^([^:]+)"")"),"Yarn")</f>
        <v>Yarn</v>
      </c>
      <c r="D2214" s="1" t="s">
        <v>11</v>
      </c>
      <c r="E2214" s="1" t="s">
        <v>11</v>
      </c>
    </row>
    <row r="2215" spans="1:5" ht="15.75" customHeight="1">
      <c r="A2215" s="1">
        <v>511000</v>
      </c>
      <c r="B2215" s="1" t="s">
        <v>2241</v>
      </c>
      <c r="C2215" s="1" t="str">
        <f ca="1">IFERROR(__xludf.DUMMYFUNCTION("REGEXEXTRACT(B2215, ""^([^:]+)"")"),"Yarn")</f>
        <v>Yarn</v>
      </c>
      <c r="D2215" s="1" t="s">
        <v>11</v>
      </c>
      <c r="E2215" s="1" t="s">
        <v>11</v>
      </c>
    </row>
    <row r="2216" spans="1:5" ht="15.75" customHeight="1">
      <c r="A2216" s="1">
        <v>511111</v>
      </c>
      <c r="B2216" s="1" t="s">
        <v>2242</v>
      </c>
      <c r="C2216" s="1" t="str">
        <f ca="1">IFERROR(__xludf.DUMMYFUNCTION("REGEXEXTRACT(B2216, ""^([^:]+)"")"),"Fabrics, woven")</f>
        <v>Fabrics, woven</v>
      </c>
      <c r="D2216" s="1" t="s">
        <v>11</v>
      </c>
      <c r="E2216" s="1" t="s">
        <v>11</v>
      </c>
    </row>
    <row r="2217" spans="1:5" ht="15.75" customHeight="1">
      <c r="A2217" s="1">
        <v>511119</v>
      </c>
      <c r="B2217" s="1" t="s">
        <v>2243</v>
      </c>
      <c r="C2217" s="1" t="str">
        <f ca="1">IFERROR(__xludf.DUMMYFUNCTION("REGEXEXTRACT(B2217, ""^([^:]+)"")"),"Fabrics, woven")</f>
        <v>Fabrics, woven</v>
      </c>
      <c r="D2217" s="1" t="s">
        <v>11</v>
      </c>
      <c r="E2217" s="1" t="s">
        <v>11</v>
      </c>
    </row>
    <row r="2218" spans="1:5" ht="15.75" customHeight="1">
      <c r="A2218" s="1">
        <v>511120</v>
      </c>
      <c r="B2218" s="1" t="s">
        <v>2244</v>
      </c>
      <c r="C2218" s="1" t="str">
        <f ca="1">IFERROR(__xludf.DUMMYFUNCTION("REGEXEXTRACT(B2218, ""^([^:]+)"")"),"Fabrics, woven")</f>
        <v>Fabrics, woven</v>
      </c>
      <c r="D2218" s="1" t="s">
        <v>11</v>
      </c>
      <c r="E2218" s="1" t="s">
        <v>11</v>
      </c>
    </row>
    <row r="2219" spans="1:5" ht="15.75" customHeight="1">
      <c r="A2219" s="1">
        <v>511130</v>
      </c>
      <c r="B2219" s="1" t="s">
        <v>2245</v>
      </c>
      <c r="C2219" s="1" t="str">
        <f ca="1">IFERROR(__xludf.DUMMYFUNCTION("REGEXEXTRACT(B2219, ""^([^:]+)"")"),"Fabrics, woven")</f>
        <v>Fabrics, woven</v>
      </c>
      <c r="D2219" s="1" t="s">
        <v>11</v>
      </c>
      <c r="E2219" s="1" t="s">
        <v>11</v>
      </c>
    </row>
    <row r="2220" spans="1:5" ht="15.75" customHeight="1">
      <c r="A2220" s="1">
        <v>511190</v>
      </c>
      <c r="B2220" s="1" t="s">
        <v>2246</v>
      </c>
      <c r="C2220" s="1" t="str">
        <f ca="1">IFERROR(__xludf.DUMMYFUNCTION("REGEXEXTRACT(B2220, ""^([^:]+)"")"),"Fabrics, woven")</f>
        <v>Fabrics, woven</v>
      </c>
      <c r="D2220" s="1" t="s">
        <v>11</v>
      </c>
      <c r="E2220" s="1" t="s">
        <v>11</v>
      </c>
    </row>
    <row r="2221" spans="1:5" ht="15.75" customHeight="1">
      <c r="A2221" s="1">
        <v>511211</v>
      </c>
      <c r="B2221" s="1" t="s">
        <v>2247</v>
      </c>
      <c r="C2221" s="1" t="str">
        <f ca="1">IFERROR(__xludf.DUMMYFUNCTION("REGEXEXTRACT(B2221, ""^([^:]+)"")"),"Fabrics, woven")</f>
        <v>Fabrics, woven</v>
      </c>
      <c r="D2221" s="1" t="s">
        <v>11</v>
      </c>
      <c r="E2221" s="1" t="s">
        <v>11</v>
      </c>
    </row>
    <row r="2222" spans="1:5" ht="15.75" customHeight="1">
      <c r="A2222" s="1">
        <v>511219</v>
      </c>
      <c r="B2222" s="1" t="s">
        <v>2248</v>
      </c>
      <c r="C2222" s="1" t="str">
        <f ca="1">IFERROR(__xludf.DUMMYFUNCTION("REGEXEXTRACT(B2222, ""^([^:]+)"")"),"Fabrics, woven")</f>
        <v>Fabrics, woven</v>
      </c>
      <c r="D2222" s="1" t="s">
        <v>11</v>
      </c>
      <c r="E2222" s="1" t="s">
        <v>11</v>
      </c>
    </row>
    <row r="2223" spans="1:5" ht="15.75" customHeight="1">
      <c r="A2223" s="1">
        <v>511220</v>
      </c>
      <c r="B2223" s="1" t="s">
        <v>2249</v>
      </c>
      <c r="C2223" s="1" t="str">
        <f ca="1">IFERROR(__xludf.DUMMYFUNCTION("REGEXEXTRACT(B2223, ""^([^:]+)"")"),"Fabrics, woven")</f>
        <v>Fabrics, woven</v>
      </c>
      <c r="D2223" s="1" t="s">
        <v>11</v>
      </c>
      <c r="E2223" s="1" t="s">
        <v>11</v>
      </c>
    </row>
    <row r="2224" spans="1:5" ht="15.75" customHeight="1">
      <c r="A2224" s="1">
        <v>511230</v>
      </c>
      <c r="B2224" s="1" t="s">
        <v>2250</v>
      </c>
      <c r="C2224" s="1" t="str">
        <f ca="1">IFERROR(__xludf.DUMMYFUNCTION("REGEXEXTRACT(B2224, ""^([^:]+)"")"),"Fabrics, woven")</f>
        <v>Fabrics, woven</v>
      </c>
      <c r="D2224" s="1" t="s">
        <v>11</v>
      </c>
      <c r="E2224" s="1" t="s">
        <v>11</v>
      </c>
    </row>
    <row r="2225" spans="1:5" ht="15.75" customHeight="1">
      <c r="A2225" s="1">
        <v>511290</v>
      </c>
      <c r="B2225" s="1" t="s">
        <v>2251</v>
      </c>
      <c r="C2225" s="1" t="str">
        <f ca="1">IFERROR(__xludf.DUMMYFUNCTION("REGEXEXTRACT(B2225, ""^([^:]+)"")"),"Fabrics, woven")</f>
        <v>Fabrics, woven</v>
      </c>
      <c r="D2225" s="1" t="s">
        <v>11</v>
      </c>
      <c r="E2225" s="1" t="s">
        <v>11</v>
      </c>
    </row>
    <row r="2226" spans="1:5" ht="15.75" customHeight="1">
      <c r="A2226" s="1">
        <v>511300</v>
      </c>
      <c r="B2226" s="1" t="s">
        <v>2252</v>
      </c>
      <c r="C2226" s="1" t="str">
        <f ca="1">IFERROR(__xludf.DUMMYFUNCTION("REGEXEXTRACT(B2226, ""^([^:]+)"")"),"Fabrics, woven")</f>
        <v>Fabrics, woven</v>
      </c>
      <c r="D2226" s="1" t="s">
        <v>11</v>
      </c>
      <c r="E2226" s="1" t="s">
        <v>11</v>
      </c>
    </row>
    <row r="2227" spans="1:5" ht="15.75" customHeight="1">
      <c r="A2227" s="1">
        <v>520100</v>
      </c>
      <c r="B2227" s="1" t="s">
        <v>2253</v>
      </c>
      <c r="C2227" s="1" t="str">
        <f ca="1">IFERROR(__xludf.DUMMYFUNCTION("REGEXEXTRACT(B2227, ""^([^:]+)"")"),"Cotton")</f>
        <v>Cotton</v>
      </c>
      <c r="D2227" s="1" t="s">
        <v>11</v>
      </c>
      <c r="E2227" s="1" t="s">
        <v>11</v>
      </c>
    </row>
    <row r="2228" spans="1:5" ht="15.75" customHeight="1">
      <c r="A2228" s="1">
        <v>520210</v>
      </c>
      <c r="B2228" s="1" t="s">
        <v>2254</v>
      </c>
      <c r="C2228" s="1" t="str">
        <f ca="1">IFERROR(__xludf.DUMMYFUNCTION("REGEXEXTRACT(B2228, ""^([^:]+)"")"),"Cotton")</f>
        <v>Cotton</v>
      </c>
      <c r="D2228" s="1" t="s">
        <v>11</v>
      </c>
      <c r="E2228" s="1" t="s">
        <v>11</v>
      </c>
    </row>
    <row r="2229" spans="1:5" ht="15.75" customHeight="1">
      <c r="A2229" s="1">
        <v>520291</v>
      </c>
      <c r="B2229" s="1" t="s">
        <v>2255</v>
      </c>
      <c r="C2229" s="1" t="str">
        <f ca="1">IFERROR(__xludf.DUMMYFUNCTION("REGEXEXTRACT(B2229, ""^([^:]+)"")"),"Cotton")</f>
        <v>Cotton</v>
      </c>
      <c r="D2229" s="1" t="s">
        <v>11</v>
      </c>
      <c r="E2229" s="1" t="s">
        <v>11</v>
      </c>
    </row>
    <row r="2230" spans="1:5" ht="15.75" customHeight="1">
      <c r="A2230" s="1">
        <v>520299</v>
      </c>
      <c r="B2230" s="1" t="s">
        <v>2256</v>
      </c>
      <c r="C2230" s="1" t="str">
        <f ca="1">IFERROR(__xludf.DUMMYFUNCTION("REGEXEXTRACT(B2230, ""^([^:]+)"")"),"Cotton")</f>
        <v>Cotton</v>
      </c>
      <c r="D2230" s="1" t="s">
        <v>11</v>
      </c>
      <c r="E2230" s="1" t="s">
        <v>11</v>
      </c>
    </row>
    <row r="2231" spans="1:5" ht="15.75" customHeight="1">
      <c r="A2231" s="1">
        <v>520300</v>
      </c>
      <c r="B2231" s="1" t="s">
        <v>2257</v>
      </c>
      <c r="C2231" s="1" t="str">
        <f ca="1">IFERROR(__xludf.DUMMYFUNCTION("REGEXEXTRACT(B2231, ""^([^:]+)"")"),"Cotton")</f>
        <v>Cotton</v>
      </c>
      <c r="D2231" s="1" t="s">
        <v>11</v>
      </c>
      <c r="E2231" s="1" t="s">
        <v>11</v>
      </c>
    </row>
    <row r="2232" spans="1:5" ht="15.75" customHeight="1">
      <c r="A2232" s="1">
        <v>520411</v>
      </c>
      <c r="B2232" s="1" t="s">
        <v>2258</v>
      </c>
      <c r="C2232" s="1" t="str">
        <f ca="1">IFERROR(__xludf.DUMMYFUNCTION("REGEXEXTRACT(B2232, ""^([^:]+)"")"),"Cotton")</f>
        <v>Cotton</v>
      </c>
      <c r="D2232" s="1" t="s">
        <v>11</v>
      </c>
      <c r="E2232" s="1" t="s">
        <v>11</v>
      </c>
    </row>
    <row r="2233" spans="1:5" ht="15.75" customHeight="1">
      <c r="A2233" s="1">
        <v>520419</v>
      </c>
      <c r="B2233" s="1" t="s">
        <v>2259</v>
      </c>
      <c r="C2233" s="1" t="str">
        <f ca="1">IFERROR(__xludf.DUMMYFUNCTION("REGEXEXTRACT(B2233, ""^([^:]+)"")"),"Cotton")</f>
        <v>Cotton</v>
      </c>
      <c r="D2233" s="1" t="s">
        <v>11</v>
      </c>
      <c r="E2233" s="1" t="s">
        <v>11</v>
      </c>
    </row>
    <row r="2234" spans="1:5" ht="15.75" customHeight="1">
      <c r="A2234" s="1">
        <v>520420</v>
      </c>
      <c r="B2234" s="1" t="s">
        <v>2260</v>
      </c>
      <c r="C2234" s="1" t="str">
        <f ca="1">IFERROR(__xludf.DUMMYFUNCTION("REGEXEXTRACT(B2234, ""^([^:]+)"")"),"Cotton")</f>
        <v>Cotton</v>
      </c>
      <c r="D2234" s="1" t="s">
        <v>11</v>
      </c>
      <c r="E2234" s="1" t="s">
        <v>11</v>
      </c>
    </row>
    <row r="2235" spans="1:5" ht="15.75" customHeight="1">
      <c r="A2235" s="1">
        <v>520511</v>
      </c>
      <c r="B2235" s="1" t="s">
        <v>2261</v>
      </c>
      <c r="C2235" s="1" t="str">
        <f ca="1">IFERROR(__xludf.DUMMYFUNCTION("REGEXEXTRACT(B2235, ""^([^:]+)"")"),"Cotton yarn")</f>
        <v>Cotton yarn</v>
      </c>
      <c r="D2235" s="1" t="s">
        <v>11</v>
      </c>
      <c r="E2235" s="1" t="s">
        <v>11</v>
      </c>
    </row>
    <row r="2236" spans="1:5" ht="15.75" customHeight="1">
      <c r="A2236" s="1">
        <v>520512</v>
      </c>
      <c r="B2236" s="1" t="s">
        <v>2262</v>
      </c>
      <c r="C2236" s="1" t="str">
        <f ca="1">IFERROR(__xludf.DUMMYFUNCTION("REGEXEXTRACT(B2236, ""^([^:]+)"")"),"Cotton yarn")</f>
        <v>Cotton yarn</v>
      </c>
      <c r="D2236" s="1" t="s">
        <v>11</v>
      </c>
      <c r="E2236" s="1" t="s">
        <v>11</v>
      </c>
    </row>
    <row r="2237" spans="1:5" ht="15.75" customHeight="1">
      <c r="A2237" s="1">
        <v>520513</v>
      </c>
      <c r="B2237" s="1" t="s">
        <v>2263</v>
      </c>
      <c r="C2237" s="1" t="str">
        <f ca="1">IFERROR(__xludf.DUMMYFUNCTION("REGEXEXTRACT(B2237, ""^([^:]+)"")"),"Cotton yarn")</f>
        <v>Cotton yarn</v>
      </c>
      <c r="D2237" s="1" t="s">
        <v>11</v>
      </c>
      <c r="E2237" s="1" t="s">
        <v>11</v>
      </c>
    </row>
    <row r="2238" spans="1:5" ht="15.75" customHeight="1">
      <c r="A2238" s="1">
        <v>520514</v>
      </c>
      <c r="B2238" s="1" t="s">
        <v>2264</v>
      </c>
      <c r="C2238" s="1" t="str">
        <f ca="1">IFERROR(__xludf.DUMMYFUNCTION("REGEXEXTRACT(B2238, ""^([^:]+)"")"),"Cotton yarn")</f>
        <v>Cotton yarn</v>
      </c>
      <c r="D2238" s="1" t="s">
        <v>11</v>
      </c>
      <c r="E2238" s="1" t="s">
        <v>11</v>
      </c>
    </row>
    <row r="2239" spans="1:5" ht="15.75" customHeight="1">
      <c r="A2239" s="1">
        <v>520515</v>
      </c>
      <c r="B2239" s="1" t="s">
        <v>2265</v>
      </c>
      <c r="C2239" s="1" t="str">
        <f ca="1">IFERROR(__xludf.DUMMYFUNCTION("REGEXEXTRACT(B2239, ""^([^:]+)"")"),"Cotton yarn")</f>
        <v>Cotton yarn</v>
      </c>
      <c r="D2239" s="1" t="s">
        <v>11</v>
      </c>
      <c r="E2239" s="1" t="s">
        <v>11</v>
      </c>
    </row>
    <row r="2240" spans="1:5" ht="15.75" customHeight="1">
      <c r="A2240" s="1">
        <v>520521</v>
      </c>
      <c r="B2240" s="1" t="s">
        <v>2266</v>
      </c>
      <c r="C2240" s="1" t="str">
        <f ca="1">IFERROR(__xludf.DUMMYFUNCTION("REGEXEXTRACT(B2240, ""^([^:]+)"")"),"Cotton yarn")</f>
        <v>Cotton yarn</v>
      </c>
      <c r="D2240" s="1" t="s">
        <v>11</v>
      </c>
      <c r="E2240" s="1" t="s">
        <v>11</v>
      </c>
    </row>
    <row r="2241" spans="1:5" ht="15.75" customHeight="1">
      <c r="A2241" s="1">
        <v>520522</v>
      </c>
      <c r="B2241" s="1" t="s">
        <v>2267</v>
      </c>
      <c r="C2241" s="1" t="str">
        <f ca="1">IFERROR(__xludf.DUMMYFUNCTION("REGEXEXTRACT(B2241, ""^([^:]+)"")"),"Cotton yarn")</f>
        <v>Cotton yarn</v>
      </c>
      <c r="D2241" s="1" t="s">
        <v>11</v>
      </c>
      <c r="E2241" s="1" t="s">
        <v>11</v>
      </c>
    </row>
    <row r="2242" spans="1:5" ht="15.75" customHeight="1">
      <c r="A2242" s="1">
        <v>520523</v>
      </c>
      <c r="B2242" s="1" t="s">
        <v>2268</v>
      </c>
      <c r="C2242" s="1" t="str">
        <f ca="1">IFERROR(__xludf.DUMMYFUNCTION("REGEXEXTRACT(B2242, ""^([^:]+)"")"),"Cotton yarn")</f>
        <v>Cotton yarn</v>
      </c>
      <c r="D2242" s="1" t="s">
        <v>11</v>
      </c>
      <c r="E2242" s="1" t="s">
        <v>11</v>
      </c>
    </row>
    <row r="2243" spans="1:5" ht="15.75" customHeight="1">
      <c r="A2243" s="1">
        <v>520524</v>
      </c>
      <c r="B2243" s="1" t="s">
        <v>2269</v>
      </c>
      <c r="C2243" s="1" t="str">
        <f ca="1">IFERROR(__xludf.DUMMYFUNCTION("REGEXEXTRACT(B2243, ""^([^:]+)"")"),"Cotton yarn")</f>
        <v>Cotton yarn</v>
      </c>
      <c r="D2243" s="1" t="s">
        <v>11</v>
      </c>
      <c r="E2243" s="1" t="s">
        <v>11</v>
      </c>
    </row>
    <row r="2244" spans="1:5" ht="15.75" customHeight="1">
      <c r="A2244" s="1">
        <v>520526</v>
      </c>
      <c r="B2244" s="1" t="s">
        <v>2270</v>
      </c>
      <c r="C2244" s="1" t="str">
        <f ca="1">IFERROR(__xludf.DUMMYFUNCTION("REGEXEXTRACT(B2244, ""^([^:]+)"")"),"Cotton yarn")</f>
        <v>Cotton yarn</v>
      </c>
      <c r="D2244" s="1" t="s">
        <v>11</v>
      </c>
      <c r="E2244" s="1" t="s">
        <v>11</v>
      </c>
    </row>
    <row r="2245" spans="1:5" ht="15.75" customHeight="1">
      <c r="A2245" s="1">
        <v>520527</v>
      </c>
      <c r="B2245" s="1" t="s">
        <v>2271</v>
      </c>
      <c r="C2245" s="1" t="str">
        <f ca="1">IFERROR(__xludf.DUMMYFUNCTION("REGEXEXTRACT(B2245, ""^([^:]+)"")"),"Cotton yarn")</f>
        <v>Cotton yarn</v>
      </c>
      <c r="D2245" s="1" t="s">
        <v>11</v>
      </c>
      <c r="E2245" s="1" t="s">
        <v>11</v>
      </c>
    </row>
    <row r="2246" spans="1:5" ht="15.75" customHeight="1">
      <c r="A2246" s="1">
        <v>520528</v>
      </c>
      <c r="B2246" s="1" t="s">
        <v>2272</v>
      </c>
      <c r="C2246" s="1" t="str">
        <f ca="1">IFERROR(__xludf.DUMMYFUNCTION("REGEXEXTRACT(B2246, ""^([^:]+)"")"),"Cotton yarn")</f>
        <v>Cotton yarn</v>
      </c>
      <c r="D2246" s="1" t="s">
        <v>11</v>
      </c>
      <c r="E2246" s="1" t="s">
        <v>11</v>
      </c>
    </row>
    <row r="2247" spans="1:5" ht="15.75" customHeight="1">
      <c r="A2247" s="1">
        <v>520531</v>
      </c>
      <c r="B2247" s="1" t="s">
        <v>2273</v>
      </c>
      <c r="C2247" s="1" t="str">
        <f ca="1">IFERROR(__xludf.DUMMYFUNCTION("REGEXEXTRACT(B2247, ""^([^:]+)"")"),"Cotton yarn")</f>
        <v>Cotton yarn</v>
      </c>
      <c r="D2247" s="1" t="s">
        <v>11</v>
      </c>
      <c r="E2247" s="1" t="s">
        <v>11</v>
      </c>
    </row>
    <row r="2248" spans="1:5" ht="15.75" customHeight="1">
      <c r="A2248" s="1">
        <v>520532</v>
      </c>
      <c r="B2248" s="1" t="s">
        <v>2274</v>
      </c>
      <c r="C2248" s="1" t="str">
        <f ca="1">IFERROR(__xludf.DUMMYFUNCTION("REGEXEXTRACT(B2248, ""^([^:]+)"")"),"Cotton yarn")</f>
        <v>Cotton yarn</v>
      </c>
      <c r="D2248" s="1" t="s">
        <v>11</v>
      </c>
      <c r="E2248" s="1" t="s">
        <v>11</v>
      </c>
    </row>
    <row r="2249" spans="1:5" ht="15.75" customHeight="1">
      <c r="A2249" s="1">
        <v>520533</v>
      </c>
      <c r="B2249" s="1" t="s">
        <v>2275</v>
      </c>
      <c r="C2249" s="1" t="str">
        <f ca="1">IFERROR(__xludf.DUMMYFUNCTION("REGEXEXTRACT(B2249, ""^([^:]+)"")"),"Cotton yarn")</f>
        <v>Cotton yarn</v>
      </c>
      <c r="D2249" s="1" t="s">
        <v>11</v>
      </c>
      <c r="E2249" s="1" t="s">
        <v>11</v>
      </c>
    </row>
    <row r="2250" spans="1:5" ht="15.75" customHeight="1">
      <c r="A2250" s="1">
        <v>520534</v>
      </c>
      <c r="B2250" s="1" t="s">
        <v>2276</v>
      </c>
      <c r="C2250" s="1" t="str">
        <f ca="1">IFERROR(__xludf.DUMMYFUNCTION("REGEXEXTRACT(B2250, ""^([^:]+)"")"),"Cotton yarn")</f>
        <v>Cotton yarn</v>
      </c>
      <c r="D2250" s="1" t="s">
        <v>11</v>
      </c>
      <c r="E2250" s="1" t="s">
        <v>11</v>
      </c>
    </row>
    <row r="2251" spans="1:5" ht="15.75" customHeight="1">
      <c r="A2251" s="1">
        <v>520535</v>
      </c>
      <c r="B2251" s="1" t="s">
        <v>2277</v>
      </c>
      <c r="C2251" s="1" t="str">
        <f ca="1">IFERROR(__xludf.DUMMYFUNCTION("REGEXEXTRACT(B2251, ""^([^:]+)"")"),"Cotton yarn")</f>
        <v>Cotton yarn</v>
      </c>
      <c r="D2251" s="1" t="s">
        <v>11</v>
      </c>
      <c r="E2251" s="1" t="s">
        <v>11</v>
      </c>
    </row>
    <row r="2252" spans="1:5" ht="15.75" customHeight="1">
      <c r="A2252" s="1">
        <v>520541</v>
      </c>
      <c r="B2252" s="1" t="s">
        <v>2278</v>
      </c>
      <c r="C2252" s="1" t="str">
        <f ca="1">IFERROR(__xludf.DUMMYFUNCTION("REGEXEXTRACT(B2252, ""^([^:]+)"")"),"Cotton yarn")</f>
        <v>Cotton yarn</v>
      </c>
      <c r="D2252" s="1" t="s">
        <v>11</v>
      </c>
      <c r="E2252" s="1" t="s">
        <v>11</v>
      </c>
    </row>
    <row r="2253" spans="1:5" ht="15.75" customHeight="1">
      <c r="A2253" s="1">
        <v>520542</v>
      </c>
      <c r="B2253" s="1" t="s">
        <v>2279</v>
      </c>
      <c r="C2253" s="1" t="str">
        <f ca="1">IFERROR(__xludf.DUMMYFUNCTION("REGEXEXTRACT(B2253, ""^([^:]+)"")"),"Cotton yarn")</f>
        <v>Cotton yarn</v>
      </c>
      <c r="D2253" s="1" t="s">
        <v>11</v>
      </c>
      <c r="E2253" s="1" t="s">
        <v>11</v>
      </c>
    </row>
    <row r="2254" spans="1:5" ht="15.75" customHeight="1">
      <c r="A2254" s="1">
        <v>520543</v>
      </c>
      <c r="B2254" s="1" t="s">
        <v>2280</v>
      </c>
      <c r="C2254" s="1" t="str">
        <f ca="1">IFERROR(__xludf.DUMMYFUNCTION("REGEXEXTRACT(B2254, ""^([^:]+)"")"),"Cotton yarn")</f>
        <v>Cotton yarn</v>
      </c>
      <c r="D2254" s="1" t="s">
        <v>11</v>
      </c>
      <c r="E2254" s="1" t="s">
        <v>11</v>
      </c>
    </row>
    <row r="2255" spans="1:5" ht="15.75" customHeight="1">
      <c r="A2255" s="1">
        <v>520544</v>
      </c>
      <c r="B2255" s="1" t="s">
        <v>2281</v>
      </c>
      <c r="C2255" s="1" t="str">
        <f ca="1">IFERROR(__xludf.DUMMYFUNCTION("REGEXEXTRACT(B2255, ""^([^:]+)"")"),"Cotton yarn")</f>
        <v>Cotton yarn</v>
      </c>
      <c r="D2255" s="1" t="s">
        <v>11</v>
      </c>
      <c r="E2255" s="1" t="s">
        <v>11</v>
      </c>
    </row>
    <row r="2256" spans="1:5" ht="15.75" customHeight="1">
      <c r="A2256" s="1">
        <v>520546</v>
      </c>
      <c r="B2256" s="1" t="s">
        <v>2282</v>
      </c>
      <c r="C2256" s="1" t="str">
        <f ca="1">IFERROR(__xludf.DUMMYFUNCTION("REGEXEXTRACT(B2256, ""^([^:]+)"")"),"Cotton yarn")</f>
        <v>Cotton yarn</v>
      </c>
      <c r="D2256" s="1" t="s">
        <v>11</v>
      </c>
      <c r="E2256" s="1" t="s">
        <v>11</v>
      </c>
    </row>
    <row r="2257" spans="1:5" ht="15.75" customHeight="1">
      <c r="A2257" s="1">
        <v>520547</v>
      </c>
      <c r="B2257" s="1" t="s">
        <v>2283</v>
      </c>
      <c r="C2257" s="1" t="str">
        <f ca="1">IFERROR(__xludf.DUMMYFUNCTION("REGEXEXTRACT(B2257, ""^([^:]+)"")"),"Cotton yarn")</f>
        <v>Cotton yarn</v>
      </c>
      <c r="D2257" s="1" t="s">
        <v>11</v>
      </c>
      <c r="E2257" s="1" t="s">
        <v>11</v>
      </c>
    </row>
    <row r="2258" spans="1:5" ht="15.75" customHeight="1">
      <c r="A2258" s="1">
        <v>520548</v>
      </c>
      <c r="B2258" s="1" t="s">
        <v>2284</v>
      </c>
      <c r="C2258" s="1" t="str">
        <f ca="1">IFERROR(__xludf.DUMMYFUNCTION("REGEXEXTRACT(B2258, ""^([^:]+)"")"),"Cotton yarn")</f>
        <v>Cotton yarn</v>
      </c>
      <c r="D2258" s="1" t="s">
        <v>11</v>
      </c>
      <c r="E2258" s="1" t="s">
        <v>11</v>
      </c>
    </row>
    <row r="2259" spans="1:5" ht="15.75" customHeight="1">
      <c r="A2259" s="1">
        <v>520611</v>
      </c>
      <c r="B2259" s="1" t="s">
        <v>2285</v>
      </c>
      <c r="C2259" s="1" t="str">
        <f ca="1">IFERROR(__xludf.DUMMYFUNCTION("REGEXEXTRACT(B2259, ""^([^:]+)"")"),"Cotton yarn")</f>
        <v>Cotton yarn</v>
      </c>
      <c r="D2259" s="1" t="s">
        <v>11</v>
      </c>
      <c r="E2259" s="1" t="s">
        <v>11</v>
      </c>
    </row>
    <row r="2260" spans="1:5" ht="15.75" customHeight="1">
      <c r="A2260" s="1">
        <v>520612</v>
      </c>
      <c r="B2260" s="1" t="s">
        <v>2286</v>
      </c>
      <c r="C2260" s="1" t="str">
        <f ca="1">IFERROR(__xludf.DUMMYFUNCTION("REGEXEXTRACT(B2260, ""^([^:]+)"")"),"Cotton yarn")</f>
        <v>Cotton yarn</v>
      </c>
      <c r="D2260" s="1" t="s">
        <v>11</v>
      </c>
      <c r="E2260" s="1" t="s">
        <v>11</v>
      </c>
    </row>
    <row r="2261" spans="1:5" ht="15.75" customHeight="1">
      <c r="A2261" s="1">
        <v>520613</v>
      </c>
      <c r="B2261" s="1" t="s">
        <v>2287</v>
      </c>
      <c r="C2261" s="1" t="str">
        <f ca="1">IFERROR(__xludf.DUMMYFUNCTION("REGEXEXTRACT(B2261, ""^([^:]+)"")"),"Cotton yarn")</f>
        <v>Cotton yarn</v>
      </c>
      <c r="D2261" s="1" t="s">
        <v>11</v>
      </c>
      <c r="E2261" s="1" t="s">
        <v>11</v>
      </c>
    </row>
    <row r="2262" spans="1:5" ht="15.75" customHeight="1">
      <c r="A2262" s="1">
        <v>520614</v>
      </c>
      <c r="B2262" s="1" t="s">
        <v>2288</v>
      </c>
      <c r="C2262" s="1" t="str">
        <f ca="1">IFERROR(__xludf.DUMMYFUNCTION("REGEXEXTRACT(B2262, ""^([^:]+)"")"),"Cotton yarn")</f>
        <v>Cotton yarn</v>
      </c>
      <c r="D2262" s="1" t="s">
        <v>11</v>
      </c>
      <c r="E2262" s="1" t="s">
        <v>11</v>
      </c>
    </row>
    <row r="2263" spans="1:5" ht="15.75" customHeight="1">
      <c r="A2263" s="1">
        <v>520615</v>
      </c>
      <c r="B2263" s="1" t="s">
        <v>2289</v>
      </c>
      <c r="C2263" s="1" t="str">
        <f ca="1">IFERROR(__xludf.DUMMYFUNCTION("REGEXEXTRACT(B2263, ""^([^:]+)"")"),"Cotton yarn")</f>
        <v>Cotton yarn</v>
      </c>
      <c r="D2263" s="1" t="s">
        <v>11</v>
      </c>
      <c r="E2263" s="1" t="s">
        <v>11</v>
      </c>
    </row>
    <row r="2264" spans="1:5" ht="15.75" customHeight="1">
      <c r="A2264" s="1">
        <v>520621</v>
      </c>
      <c r="B2264" s="1" t="s">
        <v>2290</v>
      </c>
      <c r="C2264" s="1" t="str">
        <f ca="1">IFERROR(__xludf.DUMMYFUNCTION("REGEXEXTRACT(B2264, ""^([^:]+)"")"),"Cotton yarn")</f>
        <v>Cotton yarn</v>
      </c>
      <c r="D2264" s="1" t="s">
        <v>11</v>
      </c>
      <c r="E2264" s="1" t="s">
        <v>11</v>
      </c>
    </row>
    <row r="2265" spans="1:5" ht="15.75" customHeight="1">
      <c r="A2265" s="1">
        <v>520622</v>
      </c>
      <c r="B2265" s="1" t="s">
        <v>2291</v>
      </c>
      <c r="C2265" s="1" t="str">
        <f ca="1">IFERROR(__xludf.DUMMYFUNCTION("REGEXEXTRACT(B2265, ""^([^:]+)"")"),"Cotton yarn")</f>
        <v>Cotton yarn</v>
      </c>
      <c r="D2265" s="1" t="s">
        <v>11</v>
      </c>
      <c r="E2265" s="1" t="s">
        <v>11</v>
      </c>
    </row>
    <row r="2266" spans="1:5" ht="15.75" customHeight="1">
      <c r="A2266" s="1">
        <v>520623</v>
      </c>
      <c r="B2266" s="1" t="s">
        <v>2292</v>
      </c>
      <c r="C2266" s="1" t="str">
        <f ca="1">IFERROR(__xludf.DUMMYFUNCTION("REGEXEXTRACT(B2266, ""^([^:]+)"")"),"Cotton yarn")</f>
        <v>Cotton yarn</v>
      </c>
      <c r="D2266" s="1" t="s">
        <v>11</v>
      </c>
      <c r="E2266" s="1" t="s">
        <v>11</v>
      </c>
    </row>
    <row r="2267" spans="1:5" ht="15.75" customHeight="1">
      <c r="A2267" s="1">
        <v>520624</v>
      </c>
      <c r="B2267" s="1" t="s">
        <v>2293</v>
      </c>
      <c r="C2267" s="1" t="str">
        <f ca="1">IFERROR(__xludf.DUMMYFUNCTION("REGEXEXTRACT(B2267, ""^([^:]+)"")"),"Cotton yarn")</f>
        <v>Cotton yarn</v>
      </c>
      <c r="D2267" s="1" t="s">
        <v>11</v>
      </c>
      <c r="E2267" s="1" t="s">
        <v>11</v>
      </c>
    </row>
    <row r="2268" spans="1:5" ht="15.75" customHeight="1">
      <c r="A2268" s="1">
        <v>520625</v>
      </c>
      <c r="B2268" s="1" t="s">
        <v>2294</v>
      </c>
      <c r="C2268" s="1" t="str">
        <f ca="1">IFERROR(__xludf.DUMMYFUNCTION("REGEXEXTRACT(B2268, ""^([^:]+)"")"),"Cotton yarn")</f>
        <v>Cotton yarn</v>
      </c>
      <c r="D2268" s="1" t="s">
        <v>11</v>
      </c>
      <c r="E2268" s="1" t="s">
        <v>11</v>
      </c>
    </row>
    <row r="2269" spans="1:5" ht="15.75" customHeight="1">
      <c r="A2269" s="1">
        <v>520631</v>
      </c>
      <c r="B2269" s="1" t="s">
        <v>2295</v>
      </c>
      <c r="C2269" s="1" t="str">
        <f ca="1">IFERROR(__xludf.DUMMYFUNCTION("REGEXEXTRACT(B2269, ""^([^:]+)"")"),"Cotton yarn")</f>
        <v>Cotton yarn</v>
      </c>
      <c r="D2269" s="1" t="s">
        <v>11</v>
      </c>
      <c r="E2269" s="1" t="s">
        <v>11</v>
      </c>
    </row>
    <row r="2270" spans="1:5" ht="15.75" customHeight="1">
      <c r="A2270" s="1">
        <v>520632</v>
      </c>
      <c r="B2270" s="1" t="s">
        <v>2296</v>
      </c>
      <c r="C2270" s="1" t="str">
        <f ca="1">IFERROR(__xludf.DUMMYFUNCTION("REGEXEXTRACT(B2270, ""^([^:]+)"")"),"Cotton yarn")</f>
        <v>Cotton yarn</v>
      </c>
      <c r="D2270" s="1" t="s">
        <v>11</v>
      </c>
      <c r="E2270" s="1" t="s">
        <v>11</v>
      </c>
    </row>
    <row r="2271" spans="1:5" ht="15.75" customHeight="1">
      <c r="A2271" s="1">
        <v>520633</v>
      </c>
      <c r="B2271" s="1" t="s">
        <v>2297</v>
      </c>
      <c r="C2271" s="1" t="str">
        <f ca="1">IFERROR(__xludf.DUMMYFUNCTION("REGEXEXTRACT(B2271, ""^([^:]+)"")"),"Cotton yarn")</f>
        <v>Cotton yarn</v>
      </c>
      <c r="D2271" s="1" t="s">
        <v>11</v>
      </c>
      <c r="E2271" s="1" t="s">
        <v>11</v>
      </c>
    </row>
    <row r="2272" spans="1:5" ht="15.75" customHeight="1">
      <c r="A2272" s="1">
        <v>520634</v>
      </c>
      <c r="B2272" s="1" t="s">
        <v>2298</v>
      </c>
      <c r="C2272" s="1" t="str">
        <f ca="1">IFERROR(__xludf.DUMMYFUNCTION("REGEXEXTRACT(B2272, ""^([^:]+)"")"),"Cotton yarn")</f>
        <v>Cotton yarn</v>
      </c>
      <c r="D2272" s="1" t="s">
        <v>11</v>
      </c>
      <c r="E2272" s="1" t="s">
        <v>11</v>
      </c>
    </row>
    <row r="2273" spans="1:5" ht="15.75" customHeight="1">
      <c r="A2273" s="1">
        <v>520635</v>
      </c>
      <c r="B2273" s="1" t="s">
        <v>2299</v>
      </c>
      <c r="C2273" s="1" t="str">
        <f ca="1">IFERROR(__xludf.DUMMYFUNCTION("REGEXEXTRACT(B2273, ""^([^:]+)"")"),"Cotton yarn")</f>
        <v>Cotton yarn</v>
      </c>
      <c r="D2273" s="1" t="s">
        <v>11</v>
      </c>
      <c r="E2273" s="1" t="s">
        <v>11</v>
      </c>
    </row>
    <row r="2274" spans="1:5" ht="15.75" customHeight="1">
      <c r="A2274" s="1">
        <v>520641</v>
      </c>
      <c r="B2274" s="1" t="s">
        <v>2300</v>
      </c>
      <c r="C2274" s="1" t="str">
        <f ca="1">IFERROR(__xludf.DUMMYFUNCTION("REGEXEXTRACT(B2274, ""^([^:]+)"")"),"Cotton yarn")</f>
        <v>Cotton yarn</v>
      </c>
      <c r="D2274" s="1" t="s">
        <v>11</v>
      </c>
      <c r="E2274" s="1" t="s">
        <v>11</v>
      </c>
    </row>
    <row r="2275" spans="1:5" ht="15.75" customHeight="1">
      <c r="A2275" s="1">
        <v>520642</v>
      </c>
      <c r="B2275" s="1" t="s">
        <v>2301</v>
      </c>
      <c r="C2275" s="1" t="str">
        <f ca="1">IFERROR(__xludf.DUMMYFUNCTION("REGEXEXTRACT(B2275, ""^([^:]+)"")"),"Cotton yarn")</f>
        <v>Cotton yarn</v>
      </c>
      <c r="D2275" s="1" t="s">
        <v>11</v>
      </c>
      <c r="E2275" s="1" t="s">
        <v>11</v>
      </c>
    </row>
    <row r="2276" spans="1:5" ht="15.75" customHeight="1">
      <c r="A2276" s="1">
        <v>520643</v>
      </c>
      <c r="B2276" s="1" t="s">
        <v>2302</v>
      </c>
      <c r="C2276" s="1" t="str">
        <f ca="1">IFERROR(__xludf.DUMMYFUNCTION("REGEXEXTRACT(B2276, ""^([^:]+)"")"),"Cotton yarn")</f>
        <v>Cotton yarn</v>
      </c>
      <c r="D2276" s="1" t="s">
        <v>11</v>
      </c>
      <c r="E2276" s="1" t="s">
        <v>11</v>
      </c>
    </row>
    <row r="2277" spans="1:5" ht="15.75" customHeight="1">
      <c r="A2277" s="1">
        <v>520644</v>
      </c>
      <c r="B2277" s="1" t="s">
        <v>2303</v>
      </c>
      <c r="C2277" s="1" t="str">
        <f ca="1">IFERROR(__xludf.DUMMYFUNCTION("REGEXEXTRACT(B2277, ""^([^:]+)"")"),"Cotton yarn")</f>
        <v>Cotton yarn</v>
      </c>
      <c r="D2277" s="1" t="s">
        <v>11</v>
      </c>
      <c r="E2277" s="1" t="s">
        <v>11</v>
      </c>
    </row>
    <row r="2278" spans="1:5" ht="15.75" customHeight="1">
      <c r="A2278" s="1">
        <v>520645</v>
      </c>
      <c r="B2278" s="1" t="s">
        <v>2304</v>
      </c>
      <c r="C2278" s="1" t="str">
        <f ca="1">IFERROR(__xludf.DUMMYFUNCTION("REGEXEXTRACT(B2278, ""^([^:]+)"")"),"Cotton yarn")</f>
        <v>Cotton yarn</v>
      </c>
      <c r="D2278" s="1" t="s">
        <v>11</v>
      </c>
      <c r="E2278" s="1" t="s">
        <v>11</v>
      </c>
    </row>
    <row r="2279" spans="1:5" ht="15.75" customHeight="1">
      <c r="A2279" s="1">
        <v>520710</v>
      </c>
      <c r="B2279" s="1" t="s">
        <v>2305</v>
      </c>
      <c r="C2279" s="1" t="str">
        <f ca="1">IFERROR(__xludf.DUMMYFUNCTION("REGEXEXTRACT(B2279, ""^([^:]+)"")"),"Cotton yarn")</f>
        <v>Cotton yarn</v>
      </c>
      <c r="D2279" s="1" t="s">
        <v>11</v>
      </c>
      <c r="E2279" s="1" t="s">
        <v>11</v>
      </c>
    </row>
    <row r="2280" spans="1:5" ht="15.75" customHeight="1">
      <c r="A2280" s="1">
        <v>520790</v>
      </c>
      <c r="B2280" s="1" t="s">
        <v>2306</v>
      </c>
      <c r="C2280" s="1" t="str">
        <f ca="1">IFERROR(__xludf.DUMMYFUNCTION("REGEXEXTRACT(B2280, ""^([^:]+)"")"),"Cotton yarn")</f>
        <v>Cotton yarn</v>
      </c>
      <c r="D2280" s="1" t="s">
        <v>11</v>
      </c>
      <c r="E2280" s="1" t="s">
        <v>11</v>
      </c>
    </row>
    <row r="2281" spans="1:5" ht="15.75" customHeight="1">
      <c r="A2281" s="1">
        <v>520811</v>
      </c>
      <c r="B2281" s="1" t="s">
        <v>2307</v>
      </c>
      <c r="C2281" s="1" t="str">
        <f ca="1">IFERROR(__xludf.DUMMYFUNCTION("REGEXEXTRACT(B2281, ""^([^:]+)"")"),"Fabrics, woven")</f>
        <v>Fabrics, woven</v>
      </c>
      <c r="D2281" s="1" t="s">
        <v>11</v>
      </c>
      <c r="E2281" s="1" t="s">
        <v>11</v>
      </c>
    </row>
    <row r="2282" spans="1:5" ht="15.75" customHeight="1">
      <c r="A2282" s="1">
        <v>520812</v>
      </c>
      <c r="B2282" s="1" t="s">
        <v>2308</v>
      </c>
      <c r="C2282" s="1" t="str">
        <f ca="1">IFERROR(__xludf.DUMMYFUNCTION("REGEXEXTRACT(B2282, ""^([^:]+)"")"),"Fabrics, woven")</f>
        <v>Fabrics, woven</v>
      </c>
      <c r="D2282" s="1" t="s">
        <v>11</v>
      </c>
      <c r="E2282" s="1" t="s">
        <v>11</v>
      </c>
    </row>
    <row r="2283" spans="1:5" ht="15.75" customHeight="1">
      <c r="A2283" s="1">
        <v>520813</v>
      </c>
      <c r="B2283" s="1" t="s">
        <v>2309</v>
      </c>
      <c r="C2283" s="1" t="str">
        <f ca="1">IFERROR(__xludf.DUMMYFUNCTION("REGEXEXTRACT(B2283, ""^([^:]+)"")"),"Fabrics, woven")</f>
        <v>Fabrics, woven</v>
      </c>
      <c r="D2283" s="1" t="s">
        <v>11</v>
      </c>
      <c r="E2283" s="1" t="s">
        <v>11</v>
      </c>
    </row>
    <row r="2284" spans="1:5" ht="15.75" customHeight="1">
      <c r="A2284" s="1">
        <v>520819</v>
      </c>
      <c r="B2284" s="1" t="s">
        <v>2310</v>
      </c>
      <c r="C2284" s="1" t="str">
        <f ca="1">IFERROR(__xludf.DUMMYFUNCTION("REGEXEXTRACT(B2284, ""^([^:]+)"")"),"Fabrics, woven")</f>
        <v>Fabrics, woven</v>
      </c>
      <c r="D2284" s="1" t="s">
        <v>11</v>
      </c>
      <c r="E2284" s="1" t="s">
        <v>11</v>
      </c>
    </row>
    <row r="2285" spans="1:5" ht="15.75" customHeight="1">
      <c r="A2285" s="1">
        <v>520821</v>
      </c>
      <c r="B2285" s="1" t="s">
        <v>2311</v>
      </c>
      <c r="C2285" s="1" t="str">
        <f ca="1">IFERROR(__xludf.DUMMYFUNCTION("REGEXEXTRACT(B2285, ""^([^:]+)"")"),"Fabrics, woven")</f>
        <v>Fabrics, woven</v>
      </c>
      <c r="D2285" s="1" t="s">
        <v>11</v>
      </c>
      <c r="E2285" s="1" t="s">
        <v>11</v>
      </c>
    </row>
    <row r="2286" spans="1:5" ht="15.75" customHeight="1">
      <c r="A2286" s="1">
        <v>520822</v>
      </c>
      <c r="B2286" s="1" t="s">
        <v>2312</v>
      </c>
      <c r="C2286" s="1" t="str">
        <f ca="1">IFERROR(__xludf.DUMMYFUNCTION("REGEXEXTRACT(B2286, ""^([^:]+)"")"),"Fabrics, woven")</f>
        <v>Fabrics, woven</v>
      </c>
      <c r="D2286" s="1" t="s">
        <v>11</v>
      </c>
      <c r="E2286" s="1" t="s">
        <v>11</v>
      </c>
    </row>
    <row r="2287" spans="1:5" ht="15.75" customHeight="1">
      <c r="A2287" s="1">
        <v>520823</v>
      </c>
      <c r="B2287" s="1" t="s">
        <v>2313</v>
      </c>
      <c r="C2287" s="1" t="str">
        <f ca="1">IFERROR(__xludf.DUMMYFUNCTION("REGEXEXTRACT(B2287, ""^([^:]+)"")"),"Fabrics, woven")</f>
        <v>Fabrics, woven</v>
      </c>
      <c r="D2287" s="1" t="s">
        <v>11</v>
      </c>
      <c r="E2287" s="1" t="s">
        <v>11</v>
      </c>
    </row>
    <row r="2288" spans="1:5" ht="15.75" customHeight="1">
      <c r="A2288" s="1">
        <v>520829</v>
      </c>
      <c r="B2288" s="1" t="s">
        <v>2314</v>
      </c>
      <c r="C2288" s="1" t="str">
        <f ca="1">IFERROR(__xludf.DUMMYFUNCTION("REGEXEXTRACT(B2288, ""^([^:]+)"")"),"Fabrics, woven")</f>
        <v>Fabrics, woven</v>
      </c>
      <c r="D2288" s="1" t="s">
        <v>11</v>
      </c>
      <c r="E2288" s="1" t="s">
        <v>11</v>
      </c>
    </row>
    <row r="2289" spans="1:5" ht="15.75" customHeight="1">
      <c r="A2289" s="1">
        <v>520831</v>
      </c>
      <c r="B2289" s="1" t="s">
        <v>2315</v>
      </c>
      <c r="C2289" s="1" t="str">
        <f ca="1">IFERROR(__xludf.DUMMYFUNCTION("REGEXEXTRACT(B2289, ""^([^:]+)"")"),"Fabrics, woven")</f>
        <v>Fabrics, woven</v>
      </c>
      <c r="D2289" s="1" t="s">
        <v>11</v>
      </c>
      <c r="E2289" s="1" t="s">
        <v>11</v>
      </c>
    </row>
    <row r="2290" spans="1:5" ht="15.75" customHeight="1">
      <c r="A2290" s="1">
        <v>520832</v>
      </c>
      <c r="B2290" s="1" t="s">
        <v>2316</v>
      </c>
      <c r="C2290" s="1" t="str">
        <f ca="1">IFERROR(__xludf.DUMMYFUNCTION("REGEXEXTRACT(B2290, ""^([^:]+)"")"),"Fabrics, woven")</f>
        <v>Fabrics, woven</v>
      </c>
      <c r="D2290" s="1" t="s">
        <v>11</v>
      </c>
      <c r="E2290" s="1" t="s">
        <v>11</v>
      </c>
    </row>
    <row r="2291" spans="1:5" ht="15.75" customHeight="1">
      <c r="A2291" s="1">
        <v>520833</v>
      </c>
      <c r="B2291" s="1" t="s">
        <v>2317</v>
      </c>
      <c r="C2291" s="1" t="str">
        <f ca="1">IFERROR(__xludf.DUMMYFUNCTION("REGEXEXTRACT(B2291, ""^([^:]+)"")"),"Fabrics, woven")</f>
        <v>Fabrics, woven</v>
      </c>
      <c r="D2291" s="1" t="s">
        <v>11</v>
      </c>
      <c r="E2291" s="1" t="s">
        <v>11</v>
      </c>
    </row>
    <row r="2292" spans="1:5" ht="15.75" customHeight="1">
      <c r="A2292" s="1">
        <v>520839</v>
      </c>
      <c r="B2292" s="1" t="s">
        <v>2318</v>
      </c>
      <c r="C2292" s="1" t="str">
        <f ca="1">IFERROR(__xludf.DUMMYFUNCTION("REGEXEXTRACT(B2292, ""^([^:]+)"")"),"Fabrics, woven")</f>
        <v>Fabrics, woven</v>
      </c>
      <c r="D2292" s="1" t="s">
        <v>11</v>
      </c>
      <c r="E2292" s="1" t="s">
        <v>11</v>
      </c>
    </row>
    <row r="2293" spans="1:5" ht="15.75" customHeight="1">
      <c r="A2293" s="1">
        <v>520841</v>
      </c>
      <c r="B2293" s="1" t="s">
        <v>2319</v>
      </c>
      <c r="C2293" s="1" t="str">
        <f ca="1">IFERROR(__xludf.DUMMYFUNCTION("REGEXEXTRACT(B2293, ""^([^:]+)"")"),"Fabrics, woven")</f>
        <v>Fabrics, woven</v>
      </c>
      <c r="D2293" s="1" t="s">
        <v>11</v>
      </c>
      <c r="E2293" s="1" t="s">
        <v>11</v>
      </c>
    </row>
    <row r="2294" spans="1:5" ht="15.75" customHeight="1">
      <c r="A2294" s="1">
        <v>520842</v>
      </c>
      <c r="B2294" s="1" t="s">
        <v>2320</v>
      </c>
      <c r="C2294" s="1" t="str">
        <f ca="1">IFERROR(__xludf.DUMMYFUNCTION("REGEXEXTRACT(B2294, ""^([^:]+)"")"),"Fabrics, woven")</f>
        <v>Fabrics, woven</v>
      </c>
      <c r="D2294" s="1" t="s">
        <v>11</v>
      </c>
      <c r="E2294" s="1" t="s">
        <v>11</v>
      </c>
    </row>
    <row r="2295" spans="1:5" ht="15.75" customHeight="1">
      <c r="A2295" s="1">
        <v>520843</v>
      </c>
      <c r="B2295" s="1" t="s">
        <v>2321</v>
      </c>
      <c r="C2295" s="1" t="str">
        <f ca="1">IFERROR(__xludf.DUMMYFUNCTION("REGEXEXTRACT(B2295, ""^([^:]+)"")"),"Fabrics, woven")</f>
        <v>Fabrics, woven</v>
      </c>
      <c r="D2295" s="1" t="s">
        <v>11</v>
      </c>
      <c r="E2295" s="1" t="s">
        <v>11</v>
      </c>
    </row>
    <row r="2296" spans="1:5" ht="15.75" customHeight="1">
      <c r="A2296" s="1">
        <v>520849</v>
      </c>
      <c r="B2296" s="1" t="s">
        <v>2322</v>
      </c>
      <c r="C2296" s="1" t="str">
        <f ca="1">IFERROR(__xludf.DUMMYFUNCTION("REGEXEXTRACT(B2296, ""^([^:]+)"")"),"Fabrics, woven")</f>
        <v>Fabrics, woven</v>
      </c>
      <c r="D2296" s="1" t="s">
        <v>11</v>
      </c>
      <c r="E2296" s="1" t="s">
        <v>11</v>
      </c>
    </row>
    <row r="2297" spans="1:5" ht="15.75" customHeight="1">
      <c r="A2297" s="1">
        <v>520851</v>
      </c>
      <c r="B2297" s="1" t="s">
        <v>2323</v>
      </c>
      <c r="C2297" s="1" t="str">
        <f ca="1">IFERROR(__xludf.DUMMYFUNCTION("REGEXEXTRACT(B2297, ""^([^:]+)"")"),"Fabrics, woven")</f>
        <v>Fabrics, woven</v>
      </c>
      <c r="D2297" s="1" t="s">
        <v>11</v>
      </c>
      <c r="E2297" s="1" t="s">
        <v>11</v>
      </c>
    </row>
    <row r="2298" spans="1:5" ht="15.75" customHeight="1">
      <c r="A2298" s="1">
        <v>520852</v>
      </c>
      <c r="B2298" s="1" t="s">
        <v>2324</v>
      </c>
      <c r="C2298" s="1" t="str">
        <f ca="1">IFERROR(__xludf.DUMMYFUNCTION("REGEXEXTRACT(B2298, ""^([^:]+)"")"),"Fabrics, woven")</f>
        <v>Fabrics, woven</v>
      </c>
      <c r="D2298" s="1" t="s">
        <v>11</v>
      </c>
      <c r="E2298" s="1" t="s">
        <v>11</v>
      </c>
    </row>
    <row r="2299" spans="1:5" ht="15.75" customHeight="1">
      <c r="A2299" s="1">
        <v>520859</v>
      </c>
      <c r="B2299" s="1" t="s">
        <v>2325</v>
      </c>
      <c r="C2299" s="1" t="str">
        <f ca="1">IFERROR(__xludf.DUMMYFUNCTION("REGEXEXTRACT(B2299, ""^([^:]+)"")"),"Fabrics, woven")</f>
        <v>Fabrics, woven</v>
      </c>
      <c r="D2299" s="1" t="s">
        <v>11</v>
      </c>
      <c r="E2299" s="1" t="s">
        <v>11</v>
      </c>
    </row>
    <row r="2300" spans="1:5" ht="15.75" customHeight="1">
      <c r="A2300" s="1">
        <v>520911</v>
      </c>
      <c r="B2300" s="1" t="s">
        <v>2326</v>
      </c>
      <c r="C2300" s="1" t="str">
        <f ca="1">IFERROR(__xludf.DUMMYFUNCTION("REGEXEXTRACT(B2300, ""^([^:]+)"")"),"Fabrics, woven")</f>
        <v>Fabrics, woven</v>
      </c>
      <c r="D2300" s="1" t="s">
        <v>11</v>
      </c>
      <c r="E2300" s="1" t="s">
        <v>11</v>
      </c>
    </row>
    <row r="2301" spans="1:5" ht="15.75" customHeight="1">
      <c r="A2301" s="1">
        <v>520912</v>
      </c>
      <c r="B2301" s="1" t="s">
        <v>2327</v>
      </c>
      <c r="C2301" s="1" t="str">
        <f ca="1">IFERROR(__xludf.DUMMYFUNCTION("REGEXEXTRACT(B2301, ""^([^:]+)"")"),"Fabrics, woven")</f>
        <v>Fabrics, woven</v>
      </c>
      <c r="D2301" s="1" t="s">
        <v>11</v>
      </c>
      <c r="E2301" s="1" t="s">
        <v>11</v>
      </c>
    </row>
    <row r="2302" spans="1:5" ht="15.75" customHeight="1">
      <c r="A2302" s="1">
        <v>520919</v>
      </c>
      <c r="B2302" s="1" t="s">
        <v>2328</v>
      </c>
      <c r="C2302" s="1" t="str">
        <f ca="1">IFERROR(__xludf.DUMMYFUNCTION("REGEXEXTRACT(B2302, ""^([^:]+)"")"),"Fabrics, woven")</f>
        <v>Fabrics, woven</v>
      </c>
      <c r="D2302" s="1" t="s">
        <v>11</v>
      </c>
      <c r="E2302" s="1" t="s">
        <v>11</v>
      </c>
    </row>
    <row r="2303" spans="1:5" ht="15.75" customHeight="1">
      <c r="A2303" s="1">
        <v>520921</v>
      </c>
      <c r="B2303" s="1" t="s">
        <v>2329</v>
      </c>
      <c r="C2303" s="1" t="str">
        <f ca="1">IFERROR(__xludf.DUMMYFUNCTION("REGEXEXTRACT(B2303, ""^([^:]+)"")"),"Fabrics, woven")</f>
        <v>Fabrics, woven</v>
      </c>
      <c r="D2303" s="1" t="s">
        <v>11</v>
      </c>
      <c r="E2303" s="1" t="s">
        <v>11</v>
      </c>
    </row>
    <row r="2304" spans="1:5" ht="15.75" customHeight="1">
      <c r="A2304" s="1">
        <v>520922</v>
      </c>
      <c r="B2304" s="1" t="s">
        <v>2330</v>
      </c>
      <c r="C2304" s="1" t="str">
        <f ca="1">IFERROR(__xludf.DUMMYFUNCTION("REGEXEXTRACT(B2304, ""^([^:]+)"")"),"Fabrics, woven")</f>
        <v>Fabrics, woven</v>
      </c>
      <c r="D2304" s="1" t="s">
        <v>11</v>
      </c>
      <c r="E2304" s="1" t="s">
        <v>11</v>
      </c>
    </row>
    <row r="2305" spans="1:5" ht="15.75" customHeight="1">
      <c r="A2305" s="1">
        <v>520929</v>
      </c>
      <c r="B2305" s="1" t="s">
        <v>2331</v>
      </c>
      <c r="C2305" s="1" t="str">
        <f ca="1">IFERROR(__xludf.DUMMYFUNCTION("REGEXEXTRACT(B2305, ""^([^:]+)"")"),"Fabrics, woven")</f>
        <v>Fabrics, woven</v>
      </c>
      <c r="D2305" s="1" t="s">
        <v>11</v>
      </c>
      <c r="E2305" s="1" t="s">
        <v>11</v>
      </c>
    </row>
    <row r="2306" spans="1:5" ht="15.75" customHeight="1">
      <c r="A2306" s="1">
        <v>520931</v>
      </c>
      <c r="B2306" s="1" t="s">
        <v>2332</v>
      </c>
      <c r="C2306" s="1" t="str">
        <f ca="1">IFERROR(__xludf.DUMMYFUNCTION("REGEXEXTRACT(B2306, ""^([^:]+)"")"),"Fabrics, woven")</f>
        <v>Fabrics, woven</v>
      </c>
      <c r="D2306" s="1" t="s">
        <v>11</v>
      </c>
      <c r="E2306" s="1" t="s">
        <v>11</v>
      </c>
    </row>
    <row r="2307" spans="1:5" ht="15.75" customHeight="1">
      <c r="A2307" s="1">
        <v>520932</v>
      </c>
      <c r="B2307" s="1" t="s">
        <v>2333</v>
      </c>
      <c r="C2307" s="1" t="str">
        <f ca="1">IFERROR(__xludf.DUMMYFUNCTION("REGEXEXTRACT(B2307, ""^([^:]+)"")"),"Fabrics, woven")</f>
        <v>Fabrics, woven</v>
      </c>
      <c r="D2307" s="1" t="s">
        <v>11</v>
      </c>
      <c r="E2307" s="1" t="s">
        <v>11</v>
      </c>
    </row>
    <row r="2308" spans="1:5" ht="15.75" customHeight="1">
      <c r="A2308" s="1">
        <v>520939</v>
      </c>
      <c r="B2308" s="1" t="s">
        <v>2334</v>
      </c>
      <c r="C2308" s="1" t="str">
        <f ca="1">IFERROR(__xludf.DUMMYFUNCTION("REGEXEXTRACT(B2308, ""^([^:]+)"")"),"Fabrics, woven")</f>
        <v>Fabrics, woven</v>
      </c>
      <c r="D2308" s="1" t="s">
        <v>11</v>
      </c>
      <c r="E2308" s="1" t="s">
        <v>11</v>
      </c>
    </row>
    <row r="2309" spans="1:5" ht="15.75" customHeight="1">
      <c r="A2309" s="1">
        <v>520941</v>
      </c>
      <c r="B2309" s="1" t="s">
        <v>2335</v>
      </c>
      <c r="C2309" s="1" t="str">
        <f ca="1">IFERROR(__xludf.DUMMYFUNCTION("REGEXEXTRACT(B2309, ""^([^:]+)"")"),"Fabrics, woven")</f>
        <v>Fabrics, woven</v>
      </c>
      <c r="D2309" s="1" t="s">
        <v>11</v>
      </c>
      <c r="E2309" s="1" t="s">
        <v>11</v>
      </c>
    </row>
    <row r="2310" spans="1:5" ht="15.75" customHeight="1">
      <c r="A2310" s="1">
        <v>520942</v>
      </c>
      <c r="B2310" s="1" t="s">
        <v>2336</v>
      </c>
      <c r="C2310" s="1" t="str">
        <f ca="1">IFERROR(__xludf.DUMMYFUNCTION("REGEXEXTRACT(B2310, ""^([^:]+)"")"),"Fabrics, woven")</f>
        <v>Fabrics, woven</v>
      </c>
      <c r="D2310" s="1" t="s">
        <v>11</v>
      </c>
      <c r="E2310" s="1" t="s">
        <v>11</v>
      </c>
    </row>
    <row r="2311" spans="1:5" ht="15.75" customHeight="1">
      <c r="A2311" s="1">
        <v>520943</v>
      </c>
      <c r="B2311" s="1" t="s">
        <v>2337</v>
      </c>
      <c r="C2311" s="1" t="str">
        <f ca="1">IFERROR(__xludf.DUMMYFUNCTION("REGEXEXTRACT(B2311, ""^([^:]+)"")"),"Fabrics, woven")</f>
        <v>Fabrics, woven</v>
      </c>
      <c r="D2311" s="1" t="s">
        <v>11</v>
      </c>
      <c r="E2311" s="1" t="s">
        <v>11</v>
      </c>
    </row>
    <row r="2312" spans="1:5" ht="15.75" customHeight="1">
      <c r="A2312" s="1">
        <v>520949</v>
      </c>
      <c r="B2312" s="1" t="s">
        <v>2338</v>
      </c>
      <c r="C2312" s="1" t="str">
        <f ca="1">IFERROR(__xludf.DUMMYFUNCTION("REGEXEXTRACT(B2312, ""^([^:]+)"")"),"Fabrics, woven")</f>
        <v>Fabrics, woven</v>
      </c>
      <c r="D2312" s="1" t="s">
        <v>11</v>
      </c>
      <c r="E2312" s="1" t="s">
        <v>11</v>
      </c>
    </row>
    <row r="2313" spans="1:5" ht="15.75" customHeight="1">
      <c r="A2313" s="1">
        <v>520951</v>
      </c>
      <c r="B2313" s="1" t="s">
        <v>2339</v>
      </c>
      <c r="C2313" s="1" t="str">
        <f ca="1">IFERROR(__xludf.DUMMYFUNCTION("REGEXEXTRACT(B2313, ""^([^:]+)"")"),"Fabrics, woven")</f>
        <v>Fabrics, woven</v>
      </c>
      <c r="D2313" s="1" t="s">
        <v>11</v>
      </c>
      <c r="E2313" s="1" t="s">
        <v>11</v>
      </c>
    </row>
    <row r="2314" spans="1:5" ht="15.75" customHeight="1">
      <c r="A2314" s="1">
        <v>520952</v>
      </c>
      <c r="B2314" s="1" t="s">
        <v>2340</v>
      </c>
      <c r="C2314" s="1" t="str">
        <f ca="1">IFERROR(__xludf.DUMMYFUNCTION("REGEXEXTRACT(B2314, ""^([^:]+)"")"),"Fabrics, woven")</f>
        <v>Fabrics, woven</v>
      </c>
      <c r="D2314" s="1" t="s">
        <v>11</v>
      </c>
      <c r="E2314" s="1" t="s">
        <v>11</v>
      </c>
    </row>
    <row r="2315" spans="1:5" ht="15.75" customHeight="1">
      <c r="A2315" s="1">
        <v>520959</v>
      </c>
      <c r="B2315" s="1" t="s">
        <v>2341</v>
      </c>
      <c r="C2315" s="1" t="str">
        <f ca="1">IFERROR(__xludf.DUMMYFUNCTION("REGEXEXTRACT(B2315, ""^([^:]+)"")"),"Fabrics, woven")</f>
        <v>Fabrics, woven</v>
      </c>
      <c r="D2315" s="1" t="s">
        <v>11</v>
      </c>
      <c r="E2315" s="1" t="s">
        <v>11</v>
      </c>
    </row>
    <row r="2316" spans="1:5" ht="15.75" customHeight="1">
      <c r="A2316" s="1">
        <v>521011</v>
      </c>
      <c r="B2316" s="1" t="s">
        <v>2342</v>
      </c>
      <c r="C2316" s="1" t="str">
        <f ca="1">IFERROR(__xludf.DUMMYFUNCTION("REGEXEXTRACT(B2316, ""^([^:]+)"")"),"Fabrics, woven")</f>
        <v>Fabrics, woven</v>
      </c>
      <c r="D2316" s="1" t="s">
        <v>11</v>
      </c>
      <c r="E2316" s="1" t="s">
        <v>11</v>
      </c>
    </row>
    <row r="2317" spans="1:5" ht="15.75" customHeight="1">
      <c r="A2317" s="1">
        <v>521019</v>
      </c>
      <c r="B2317" s="1" t="s">
        <v>2343</v>
      </c>
      <c r="C2317" s="1" t="str">
        <f ca="1">IFERROR(__xludf.DUMMYFUNCTION("REGEXEXTRACT(B2317, ""^([^:]+)"")"),"Fabrics, woven")</f>
        <v>Fabrics, woven</v>
      </c>
      <c r="D2317" s="1" t="s">
        <v>11</v>
      </c>
      <c r="E2317" s="1" t="s">
        <v>11</v>
      </c>
    </row>
    <row r="2318" spans="1:5" ht="15.75" customHeight="1">
      <c r="A2318" s="1">
        <v>521021</v>
      </c>
      <c r="B2318" s="1" t="s">
        <v>2344</v>
      </c>
      <c r="C2318" s="1" t="str">
        <f ca="1">IFERROR(__xludf.DUMMYFUNCTION("REGEXEXTRACT(B2318, ""^([^:]+)"")"),"Fabrics, woven")</f>
        <v>Fabrics, woven</v>
      </c>
      <c r="D2318" s="1" t="s">
        <v>11</v>
      </c>
      <c r="E2318" s="1" t="s">
        <v>11</v>
      </c>
    </row>
    <row r="2319" spans="1:5" ht="15.75" customHeight="1">
      <c r="A2319" s="1">
        <v>521029</v>
      </c>
      <c r="B2319" s="1" t="s">
        <v>2345</v>
      </c>
      <c r="C2319" s="1" t="str">
        <f ca="1">IFERROR(__xludf.DUMMYFUNCTION("REGEXEXTRACT(B2319, ""^([^:]+)"")"),"Fabrics, woven")</f>
        <v>Fabrics, woven</v>
      </c>
      <c r="D2319" s="1" t="s">
        <v>11</v>
      </c>
      <c r="E2319" s="1" t="s">
        <v>11</v>
      </c>
    </row>
    <row r="2320" spans="1:5" ht="15.75" customHeight="1">
      <c r="A2320" s="1">
        <v>521031</v>
      </c>
      <c r="B2320" s="1" t="s">
        <v>2346</v>
      </c>
      <c r="C2320" s="1" t="str">
        <f ca="1">IFERROR(__xludf.DUMMYFUNCTION("REGEXEXTRACT(B2320, ""^([^:]+)"")"),"Fabrics, woven")</f>
        <v>Fabrics, woven</v>
      </c>
      <c r="D2320" s="1" t="s">
        <v>11</v>
      </c>
      <c r="E2320" s="1" t="s">
        <v>11</v>
      </c>
    </row>
    <row r="2321" spans="1:5" ht="15.75" customHeight="1">
      <c r="A2321" s="1">
        <v>521032</v>
      </c>
      <c r="B2321" s="1" t="s">
        <v>2347</v>
      </c>
      <c r="C2321" s="1" t="str">
        <f ca="1">IFERROR(__xludf.DUMMYFUNCTION("REGEXEXTRACT(B2321, ""^([^:]+)"")"),"Fabrics, woven")</f>
        <v>Fabrics, woven</v>
      </c>
      <c r="D2321" s="1" t="s">
        <v>11</v>
      </c>
      <c r="E2321" s="1" t="s">
        <v>11</v>
      </c>
    </row>
    <row r="2322" spans="1:5" ht="15.75" customHeight="1">
      <c r="A2322" s="1">
        <v>521039</v>
      </c>
      <c r="B2322" s="1" t="s">
        <v>2348</v>
      </c>
      <c r="C2322" s="1" t="str">
        <f ca="1">IFERROR(__xludf.DUMMYFUNCTION("REGEXEXTRACT(B2322, ""^([^:]+)"")"),"Fabrics, woven")</f>
        <v>Fabrics, woven</v>
      </c>
      <c r="D2322" s="1" t="s">
        <v>11</v>
      </c>
      <c r="E2322" s="1" t="s">
        <v>11</v>
      </c>
    </row>
    <row r="2323" spans="1:5" ht="15.75" customHeight="1">
      <c r="A2323" s="1">
        <v>521041</v>
      </c>
      <c r="B2323" s="1" t="s">
        <v>2349</v>
      </c>
      <c r="C2323" s="1" t="str">
        <f ca="1">IFERROR(__xludf.DUMMYFUNCTION("REGEXEXTRACT(B2323, ""^([^:]+)"")"),"Fabrics, woven")</f>
        <v>Fabrics, woven</v>
      </c>
      <c r="D2323" s="1" t="s">
        <v>11</v>
      </c>
      <c r="E2323" s="1" t="s">
        <v>11</v>
      </c>
    </row>
    <row r="2324" spans="1:5" ht="15.75" customHeight="1">
      <c r="A2324" s="1">
        <v>521049</v>
      </c>
      <c r="B2324" s="1" t="s">
        <v>2350</v>
      </c>
      <c r="C2324" s="1" t="str">
        <f ca="1">IFERROR(__xludf.DUMMYFUNCTION("REGEXEXTRACT(B2324, ""^([^:]+)"")"),"Fabrics, woven")</f>
        <v>Fabrics, woven</v>
      </c>
      <c r="D2324" s="1" t="s">
        <v>11</v>
      </c>
      <c r="E2324" s="1" t="s">
        <v>11</v>
      </c>
    </row>
    <row r="2325" spans="1:5" ht="15.75" customHeight="1">
      <c r="A2325" s="1">
        <v>521051</v>
      </c>
      <c r="B2325" s="1" t="s">
        <v>2351</v>
      </c>
      <c r="C2325" s="1" t="str">
        <f ca="1">IFERROR(__xludf.DUMMYFUNCTION("REGEXEXTRACT(B2325, ""^([^:]+)"")"),"Fabrics, woven")</f>
        <v>Fabrics, woven</v>
      </c>
      <c r="D2325" s="1" t="s">
        <v>11</v>
      </c>
      <c r="E2325" s="1" t="s">
        <v>11</v>
      </c>
    </row>
    <row r="2326" spans="1:5" ht="15.75" customHeight="1">
      <c r="A2326" s="1">
        <v>521059</v>
      </c>
      <c r="B2326" s="1" t="s">
        <v>2352</v>
      </c>
      <c r="C2326" s="1" t="str">
        <f ca="1">IFERROR(__xludf.DUMMYFUNCTION("REGEXEXTRACT(B2326, ""^([^:]+)"")"),"Fabrics, woven")</f>
        <v>Fabrics, woven</v>
      </c>
      <c r="D2326" s="1" t="s">
        <v>11</v>
      </c>
      <c r="E2326" s="1" t="s">
        <v>11</v>
      </c>
    </row>
    <row r="2327" spans="1:5" ht="15.75" customHeight="1">
      <c r="A2327" s="1">
        <v>521111</v>
      </c>
      <c r="B2327" s="1" t="s">
        <v>2353</v>
      </c>
      <c r="C2327" s="1" t="str">
        <f ca="1">IFERROR(__xludf.DUMMYFUNCTION("REGEXEXTRACT(B2327, ""^([^:]+)"")"),"Fabrics, woven")</f>
        <v>Fabrics, woven</v>
      </c>
      <c r="D2327" s="1" t="s">
        <v>11</v>
      </c>
      <c r="E2327" s="1" t="s">
        <v>11</v>
      </c>
    </row>
    <row r="2328" spans="1:5" ht="15.75" customHeight="1">
      <c r="A2328" s="1">
        <v>521112</v>
      </c>
      <c r="B2328" s="1" t="s">
        <v>2354</v>
      </c>
      <c r="C2328" s="1" t="str">
        <f ca="1">IFERROR(__xludf.DUMMYFUNCTION("REGEXEXTRACT(B2328, ""^([^:]+)"")"),"Fabrics, woven")</f>
        <v>Fabrics, woven</v>
      </c>
      <c r="D2328" s="1" t="s">
        <v>11</v>
      </c>
      <c r="E2328" s="1" t="s">
        <v>11</v>
      </c>
    </row>
    <row r="2329" spans="1:5" ht="15.75" customHeight="1">
      <c r="A2329" s="1">
        <v>521119</v>
      </c>
      <c r="B2329" s="1" t="s">
        <v>2355</v>
      </c>
      <c r="C2329" s="1" t="str">
        <f ca="1">IFERROR(__xludf.DUMMYFUNCTION("REGEXEXTRACT(B2329, ""^([^:]+)"")"),"Fabrics, woven")</f>
        <v>Fabrics, woven</v>
      </c>
      <c r="D2329" s="1" t="s">
        <v>11</v>
      </c>
      <c r="E2329" s="1" t="s">
        <v>11</v>
      </c>
    </row>
    <row r="2330" spans="1:5" ht="15.75" customHeight="1">
      <c r="A2330" s="1">
        <v>521120</v>
      </c>
      <c r="B2330" s="1" t="s">
        <v>2356</v>
      </c>
      <c r="C2330" s="1" t="str">
        <f ca="1">IFERROR(__xludf.DUMMYFUNCTION("REGEXEXTRACT(B2330, ""^([^:]+)"")"),"Fabrics, woven")</f>
        <v>Fabrics, woven</v>
      </c>
      <c r="D2330" s="1" t="s">
        <v>11</v>
      </c>
      <c r="E2330" s="1" t="s">
        <v>11</v>
      </c>
    </row>
    <row r="2331" spans="1:5" ht="15.75" customHeight="1">
      <c r="A2331" s="1">
        <v>521131</v>
      </c>
      <c r="B2331" s="1" t="s">
        <v>2357</v>
      </c>
      <c r="C2331" s="1" t="str">
        <f ca="1">IFERROR(__xludf.DUMMYFUNCTION("REGEXEXTRACT(B2331, ""^([^:]+)"")"),"Fabrics, woven")</f>
        <v>Fabrics, woven</v>
      </c>
      <c r="D2331" s="1" t="s">
        <v>11</v>
      </c>
      <c r="E2331" s="1" t="s">
        <v>11</v>
      </c>
    </row>
    <row r="2332" spans="1:5" ht="15.75" customHeight="1">
      <c r="A2332" s="1">
        <v>521132</v>
      </c>
      <c r="B2332" s="1" t="s">
        <v>2358</v>
      </c>
      <c r="C2332" s="1" t="str">
        <f ca="1">IFERROR(__xludf.DUMMYFUNCTION("REGEXEXTRACT(B2332, ""^([^:]+)"")"),"Fabrics, woven")</f>
        <v>Fabrics, woven</v>
      </c>
      <c r="D2332" s="1" t="s">
        <v>11</v>
      </c>
      <c r="E2332" s="1" t="s">
        <v>11</v>
      </c>
    </row>
    <row r="2333" spans="1:5" ht="15.75" customHeight="1">
      <c r="A2333" s="1">
        <v>521139</v>
      </c>
      <c r="B2333" s="1" t="s">
        <v>2359</v>
      </c>
      <c r="C2333" s="1" t="str">
        <f ca="1">IFERROR(__xludf.DUMMYFUNCTION("REGEXEXTRACT(B2333, ""^([^:]+)"")"),"Fabrics, woven")</f>
        <v>Fabrics, woven</v>
      </c>
      <c r="D2333" s="1" t="s">
        <v>11</v>
      </c>
      <c r="E2333" s="1" t="s">
        <v>11</v>
      </c>
    </row>
    <row r="2334" spans="1:5" ht="15.75" customHeight="1">
      <c r="A2334" s="1">
        <v>521141</v>
      </c>
      <c r="B2334" s="1" t="s">
        <v>2360</v>
      </c>
      <c r="C2334" s="1" t="str">
        <f ca="1">IFERROR(__xludf.DUMMYFUNCTION("REGEXEXTRACT(B2334, ""^([^:]+)"")"),"Fabrics, woven")</f>
        <v>Fabrics, woven</v>
      </c>
      <c r="D2334" s="1" t="s">
        <v>11</v>
      </c>
      <c r="E2334" s="1" t="s">
        <v>11</v>
      </c>
    </row>
    <row r="2335" spans="1:5" ht="15.75" customHeight="1">
      <c r="A2335" s="1">
        <v>521142</v>
      </c>
      <c r="B2335" s="1" t="s">
        <v>2361</v>
      </c>
      <c r="C2335" s="1" t="str">
        <f ca="1">IFERROR(__xludf.DUMMYFUNCTION("REGEXEXTRACT(B2335, ""^([^:]+)"")"),"Fabrics, woven")</f>
        <v>Fabrics, woven</v>
      </c>
      <c r="D2335" s="1" t="s">
        <v>11</v>
      </c>
      <c r="E2335" s="1" t="s">
        <v>11</v>
      </c>
    </row>
    <row r="2336" spans="1:5" ht="15.75" customHeight="1">
      <c r="A2336" s="1">
        <v>521143</v>
      </c>
      <c r="B2336" s="1" t="s">
        <v>2362</v>
      </c>
      <c r="C2336" s="1" t="str">
        <f ca="1">IFERROR(__xludf.DUMMYFUNCTION("REGEXEXTRACT(B2336, ""^([^:]+)"")"),"Fabrics, woven")</f>
        <v>Fabrics, woven</v>
      </c>
      <c r="D2336" s="1" t="s">
        <v>11</v>
      </c>
      <c r="E2336" s="1" t="s">
        <v>11</v>
      </c>
    </row>
    <row r="2337" spans="1:5" ht="15.75" customHeight="1">
      <c r="A2337" s="1">
        <v>521149</v>
      </c>
      <c r="B2337" s="1" t="s">
        <v>2363</v>
      </c>
      <c r="C2337" s="1" t="str">
        <f ca="1">IFERROR(__xludf.DUMMYFUNCTION("REGEXEXTRACT(B2337, ""^([^:]+)"")"),"Fabrics, woven")</f>
        <v>Fabrics, woven</v>
      </c>
      <c r="D2337" s="1" t="s">
        <v>11</v>
      </c>
      <c r="E2337" s="1" t="s">
        <v>11</v>
      </c>
    </row>
    <row r="2338" spans="1:5" ht="15.75" customHeight="1">
      <c r="A2338" s="1">
        <v>521151</v>
      </c>
      <c r="B2338" s="1" t="s">
        <v>2364</v>
      </c>
      <c r="C2338" s="1" t="str">
        <f ca="1">IFERROR(__xludf.DUMMYFUNCTION("REGEXEXTRACT(B2338, ""^([^:]+)"")"),"Fabrics, woven")</f>
        <v>Fabrics, woven</v>
      </c>
      <c r="D2338" s="1" t="s">
        <v>11</v>
      </c>
      <c r="E2338" s="1" t="s">
        <v>11</v>
      </c>
    </row>
    <row r="2339" spans="1:5" ht="15.75" customHeight="1">
      <c r="A2339" s="1">
        <v>521152</v>
      </c>
      <c r="B2339" s="1" t="s">
        <v>2365</v>
      </c>
      <c r="C2339" s="1" t="str">
        <f ca="1">IFERROR(__xludf.DUMMYFUNCTION("REGEXEXTRACT(B2339, ""^([^:]+)"")"),"Fabrics, woven")</f>
        <v>Fabrics, woven</v>
      </c>
      <c r="D2339" s="1" t="s">
        <v>11</v>
      </c>
      <c r="E2339" s="1" t="s">
        <v>11</v>
      </c>
    </row>
    <row r="2340" spans="1:5" ht="15.75" customHeight="1">
      <c r="A2340" s="1">
        <v>521159</v>
      </c>
      <c r="B2340" s="1" t="s">
        <v>2366</v>
      </c>
      <c r="C2340" s="1" t="str">
        <f ca="1">IFERROR(__xludf.DUMMYFUNCTION("REGEXEXTRACT(B2340, ""^([^:]+)"")"),"Fabrics, woven")</f>
        <v>Fabrics, woven</v>
      </c>
      <c r="D2340" s="1" t="s">
        <v>11</v>
      </c>
      <c r="E2340" s="1" t="s">
        <v>11</v>
      </c>
    </row>
    <row r="2341" spans="1:5" ht="15.75" customHeight="1">
      <c r="A2341" s="1">
        <v>521211</v>
      </c>
      <c r="B2341" s="1" t="s">
        <v>2367</v>
      </c>
      <c r="C2341" s="1" t="str">
        <f ca="1">IFERROR(__xludf.DUMMYFUNCTION("REGEXEXTRACT(B2341, ""^([^:]+)"")"),"Fabrics, woven")</f>
        <v>Fabrics, woven</v>
      </c>
      <c r="D2341" s="1" t="s">
        <v>11</v>
      </c>
      <c r="E2341" s="1" t="s">
        <v>11</v>
      </c>
    </row>
    <row r="2342" spans="1:5" ht="15.75" customHeight="1">
      <c r="A2342" s="1">
        <v>521212</v>
      </c>
      <c r="B2342" s="1" t="s">
        <v>2368</v>
      </c>
      <c r="C2342" s="1" t="str">
        <f ca="1">IFERROR(__xludf.DUMMYFUNCTION("REGEXEXTRACT(B2342, ""^([^:]+)"")"),"Fabrics, woven")</f>
        <v>Fabrics, woven</v>
      </c>
      <c r="D2342" s="1" t="s">
        <v>11</v>
      </c>
      <c r="E2342" s="1" t="s">
        <v>11</v>
      </c>
    </row>
    <row r="2343" spans="1:5" ht="15.75" customHeight="1">
      <c r="A2343" s="1">
        <v>521213</v>
      </c>
      <c r="B2343" s="1" t="s">
        <v>2369</v>
      </c>
      <c r="C2343" s="1" t="str">
        <f ca="1">IFERROR(__xludf.DUMMYFUNCTION("REGEXEXTRACT(B2343, ""^([^:]+)"")"),"Fabrics, woven")</f>
        <v>Fabrics, woven</v>
      </c>
      <c r="D2343" s="1" t="s">
        <v>11</v>
      </c>
      <c r="E2343" s="1" t="s">
        <v>11</v>
      </c>
    </row>
    <row r="2344" spans="1:5" ht="15.75" customHeight="1">
      <c r="A2344" s="1">
        <v>521214</v>
      </c>
      <c r="B2344" s="1" t="s">
        <v>2370</v>
      </c>
      <c r="C2344" s="1" t="str">
        <f ca="1">IFERROR(__xludf.DUMMYFUNCTION("REGEXEXTRACT(B2344, ""^([^:]+)"")"),"Fabrics, woven")</f>
        <v>Fabrics, woven</v>
      </c>
      <c r="D2344" s="1" t="s">
        <v>11</v>
      </c>
      <c r="E2344" s="1" t="s">
        <v>11</v>
      </c>
    </row>
    <row r="2345" spans="1:5" ht="15.75" customHeight="1">
      <c r="A2345" s="1">
        <v>521215</v>
      </c>
      <c r="B2345" s="1" t="s">
        <v>2371</v>
      </c>
      <c r="C2345" s="1" t="str">
        <f ca="1">IFERROR(__xludf.DUMMYFUNCTION("REGEXEXTRACT(B2345, ""^([^:]+)"")"),"Fabrics, woven")</f>
        <v>Fabrics, woven</v>
      </c>
      <c r="D2345" s="1" t="s">
        <v>11</v>
      </c>
      <c r="E2345" s="1" t="s">
        <v>11</v>
      </c>
    </row>
    <row r="2346" spans="1:5" ht="15.75" customHeight="1">
      <c r="A2346" s="1">
        <v>521221</v>
      </c>
      <c r="B2346" s="1" t="s">
        <v>2372</v>
      </c>
      <c r="C2346" s="1" t="str">
        <f ca="1">IFERROR(__xludf.DUMMYFUNCTION("REGEXEXTRACT(B2346, ""^([^:]+)"")"),"Fabrics, woven")</f>
        <v>Fabrics, woven</v>
      </c>
      <c r="D2346" s="1" t="s">
        <v>11</v>
      </c>
      <c r="E2346" s="1" t="s">
        <v>11</v>
      </c>
    </row>
    <row r="2347" spans="1:5" ht="15.75" customHeight="1">
      <c r="A2347" s="1">
        <v>521222</v>
      </c>
      <c r="B2347" s="1" t="s">
        <v>2373</v>
      </c>
      <c r="C2347" s="1" t="str">
        <f ca="1">IFERROR(__xludf.DUMMYFUNCTION("REGEXEXTRACT(B2347, ""^([^:]+)"")"),"Fabrics, woven")</f>
        <v>Fabrics, woven</v>
      </c>
      <c r="D2347" s="1" t="s">
        <v>11</v>
      </c>
      <c r="E2347" s="1" t="s">
        <v>11</v>
      </c>
    </row>
    <row r="2348" spans="1:5" ht="15.75" customHeight="1">
      <c r="A2348" s="1">
        <v>521223</v>
      </c>
      <c r="B2348" s="1" t="s">
        <v>2374</v>
      </c>
      <c r="C2348" s="1" t="str">
        <f ca="1">IFERROR(__xludf.DUMMYFUNCTION("REGEXEXTRACT(B2348, ""^([^:]+)"")"),"Fabrics, woven")</f>
        <v>Fabrics, woven</v>
      </c>
      <c r="D2348" s="1" t="s">
        <v>11</v>
      </c>
      <c r="E2348" s="1" t="s">
        <v>11</v>
      </c>
    </row>
    <row r="2349" spans="1:5" ht="15.75" customHeight="1">
      <c r="A2349" s="1">
        <v>521224</v>
      </c>
      <c r="B2349" s="1" t="s">
        <v>2375</v>
      </c>
      <c r="C2349" s="1" t="str">
        <f ca="1">IFERROR(__xludf.DUMMYFUNCTION("REGEXEXTRACT(B2349, ""^([^:]+)"")"),"Fabrics, woven")</f>
        <v>Fabrics, woven</v>
      </c>
      <c r="D2349" s="1" t="s">
        <v>11</v>
      </c>
      <c r="E2349" s="1" t="s">
        <v>11</v>
      </c>
    </row>
    <row r="2350" spans="1:5" ht="15.75" customHeight="1">
      <c r="A2350" s="1">
        <v>521225</v>
      </c>
      <c r="B2350" s="1" t="s">
        <v>2376</v>
      </c>
      <c r="C2350" s="1" t="str">
        <f ca="1">IFERROR(__xludf.DUMMYFUNCTION("REGEXEXTRACT(B2350, ""^([^:]+)"")"),"Fabrics, woven")</f>
        <v>Fabrics, woven</v>
      </c>
      <c r="D2350" s="1" t="s">
        <v>11</v>
      </c>
      <c r="E2350" s="1" t="s">
        <v>11</v>
      </c>
    </row>
    <row r="2351" spans="1:5" ht="15.75" customHeight="1">
      <c r="A2351" s="1">
        <v>530110</v>
      </c>
      <c r="B2351" s="1" t="s">
        <v>2377</v>
      </c>
      <c r="C2351" s="1" t="str">
        <f ca="1">IFERROR(__xludf.DUMMYFUNCTION("REGEXEXTRACT(B2351, ""^([^:]+)"")"),"Flax")</f>
        <v>Flax</v>
      </c>
      <c r="D2351" s="1" t="s">
        <v>11</v>
      </c>
      <c r="E2351" s="1" t="s">
        <v>11</v>
      </c>
    </row>
    <row r="2352" spans="1:5" ht="15.75" customHeight="1">
      <c r="A2352" s="1">
        <v>530121</v>
      </c>
      <c r="B2352" s="1" t="s">
        <v>2378</v>
      </c>
      <c r="C2352" s="1" t="str">
        <f ca="1">IFERROR(__xludf.DUMMYFUNCTION("REGEXEXTRACT(B2352, ""^([^:]+)"")"),"Flax")</f>
        <v>Flax</v>
      </c>
      <c r="D2352" s="1" t="s">
        <v>11</v>
      </c>
      <c r="E2352" s="1" t="s">
        <v>11</v>
      </c>
    </row>
    <row r="2353" spans="1:5" ht="15.75" customHeight="1">
      <c r="A2353" s="1">
        <v>530129</v>
      </c>
      <c r="B2353" s="1" t="s">
        <v>2379</v>
      </c>
      <c r="C2353" s="1" t="str">
        <f ca="1">IFERROR(__xludf.DUMMYFUNCTION("REGEXEXTRACT(B2353, ""^([^:]+)"")"),"Flax")</f>
        <v>Flax</v>
      </c>
      <c r="D2353" s="1" t="s">
        <v>11</v>
      </c>
      <c r="E2353" s="1" t="s">
        <v>11</v>
      </c>
    </row>
    <row r="2354" spans="1:5" ht="15.75" customHeight="1">
      <c r="A2354" s="1">
        <v>530130</v>
      </c>
      <c r="B2354" s="1" t="s">
        <v>2380</v>
      </c>
      <c r="C2354" s="1" t="str">
        <f ca="1">IFERROR(__xludf.DUMMYFUNCTION("REGEXEXTRACT(B2354, ""^([^:]+)"")"),"Flax")</f>
        <v>Flax</v>
      </c>
      <c r="D2354" s="1" t="s">
        <v>11</v>
      </c>
      <c r="E2354" s="1" t="s">
        <v>11</v>
      </c>
    </row>
    <row r="2355" spans="1:5" ht="15.75" customHeight="1">
      <c r="A2355" s="1">
        <v>530210</v>
      </c>
      <c r="B2355" s="1" t="s">
        <v>2381</v>
      </c>
      <c r="C2355" s="1" t="str">
        <f ca="1">IFERROR(__xludf.DUMMYFUNCTION("REGEXEXTRACT(B2355, ""^([^:]+)"")"),"Hemp (cannabis sativa L.)")</f>
        <v>Hemp (cannabis sativa L.)</v>
      </c>
      <c r="D2355" s="1" t="s">
        <v>11</v>
      </c>
      <c r="E2355" s="1" t="s">
        <v>11</v>
      </c>
    </row>
    <row r="2356" spans="1:5" ht="15.75" customHeight="1">
      <c r="A2356" s="1">
        <v>530290</v>
      </c>
      <c r="B2356" s="1" t="s">
        <v>2382</v>
      </c>
      <c r="C2356" s="1" t="str">
        <f ca="1">IFERROR(__xludf.DUMMYFUNCTION("REGEXEXTRACT(B2356, ""^([^:]+)"")"),"Hemp (cannabis sativa L.)")</f>
        <v>Hemp (cannabis sativa L.)</v>
      </c>
      <c r="D2356" s="1" t="s">
        <v>11</v>
      </c>
      <c r="E2356" s="1" t="s">
        <v>11</v>
      </c>
    </row>
    <row r="2357" spans="1:5" ht="15.75" customHeight="1">
      <c r="A2357" s="1">
        <v>530310</v>
      </c>
      <c r="B2357" s="1" t="s">
        <v>2383</v>
      </c>
      <c r="C2357" s="1" t="str">
        <f ca="1">IFERROR(__xludf.DUMMYFUNCTION("REGEXEXTRACT(B2357, ""^([^:]+)"")"),"Jute and other textile bast fibres")</f>
        <v>Jute and other textile bast fibres</v>
      </c>
      <c r="D2357" s="1" t="s">
        <v>11</v>
      </c>
      <c r="E2357" s="1" t="s">
        <v>11</v>
      </c>
    </row>
    <row r="2358" spans="1:5" ht="15.75" customHeight="1">
      <c r="A2358" s="1">
        <v>530390</v>
      </c>
      <c r="B2358" s="1" t="s">
        <v>2384</v>
      </c>
      <c r="C2358" s="1" t="str">
        <f ca="1">IFERROR(__xludf.DUMMYFUNCTION("REGEXEXTRACT(B2358, ""^([^:]+)"")"),"Jute and other textile bast fibres")</f>
        <v>Jute and other textile bast fibres</v>
      </c>
      <c r="D2358" s="1" t="s">
        <v>11</v>
      </c>
      <c r="E2358" s="1" t="s">
        <v>11</v>
      </c>
    </row>
    <row r="2359" spans="1:5" ht="15.75" customHeight="1">
      <c r="A2359" s="1">
        <v>530500</v>
      </c>
      <c r="B2359" s="1" t="s">
        <v>2385</v>
      </c>
      <c r="C2359" s="1" t="str">
        <f ca="1">IFERROR(__xludf.DUMMYFUNCTION("REGEXEXTRACT(B2359, ""^([^:]+)"")"),"Coconut, abaca (Manila hemp or Musa textilis Nee), ramie and other vegetable textile fibres n.e.c., raw or processed but not spun")</f>
        <v>Coconut, abaca (Manila hemp or Musa textilis Nee), ramie and other vegetable textile fibres n.e.c., raw or processed but not spun</v>
      </c>
      <c r="D2359" s="1" t="s">
        <v>11</v>
      </c>
      <c r="E2359" s="1" t="s">
        <v>11</v>
      </c>
    </row>
    <row r="2360" spans="1:5" ht="15.75" customHeight="1">
      <c r="A2360" s="1">
        <v>530610</v>
      </c>
      <c r="B2360" s="1" t="s">
        <v>2386</v>
      </c>
      <c r="C2360" s="1" t="str">
        <f ca="1">IFERROR(__xludf.DUMMYFUNCTION("REGEXEXTRACT(B2360, ""^([^:]+)"")"),"Yarn")</f>
        <v>Yarn</v>
      </c>
      <c r="D2360" s="1" t="s">
        <v>11</v>
      </c>
      <c r="E2360" s="1" t="s">
        <v>11</v>
      </c>
    </row>
    <row r="2361" spans="1:5" ht="15.75" customHeight="1">
      <c r="A2361" s="1">
        <v>530620</v>
      </c>
      <c r="B2361" s="1" t="s">
        <v>2387</v>
      </c>
      <c r="C2361" s="1" t="str">
        <f ca="1">IFERROR(__xludf.DUMMYFUNCTION("REGEXEXTRACT(B2361, ""^([^:]+)"")"),"Yarn")</f>
        <v>Yarn</v>
      </c>
      <c r="D2361" s="1" t="s">
        <v>11</v>
      </c>
      <c r="E2361" s="1" t="s">
        <v>11</v>
      </c>
    </row>
    <row r="2362" spans="1:5" ht="15.75" customHeight="1">
      <c r="A2362" s="1">
        <v>530710</v>
      </c>
      <c r="B2362" s="1" t="s">
        <v>2388</v>
      </c>
      <c r="C2362" s="1" t="str">
        <f ca="1">IFERROR(__xludf.DUMMYFUNCTION("REGEXEXTRACT(B2362, ""^([^:]+)"")"),"Yarn")</f>
        <v>Yarn</v>
      </c>
      <c r="D2362" s="1" t="s">
        <v>11</v>
      </c>
      <c r="E2362" s="1" t="s">
        <v>11</v>
      </c>
    </row>
    <row r="2363" spans="1:5" ht="15.75" customHeight="1">
      <c r="A2363" s="1">
        <v>530720</v>
      </c>
      <c r="B2363" s="1" t="s">
        <v>2389</v>
      </c>
      <c r="C2363" s="1" t="str">
        <f ca="1">IFERROR(__xludf.DUMMYFUNCTION("REGEXEXTRACT(B2363, ""^([^:]+)"")"),"Yarn")</f>
        <v>Yarn</v>
      </c>
      <c r="D2363" s="1" t="s">
        <v>11</v>
      </c>
      <c r="E2363" s="1" t="s">
        <v>11</v>
      </c>
    </row>
    <row r="2364" spans="1:5" ht="15.75" customHeight="1">
      <c r="A2364" s="1">
        <v>530810</v>
      </c>
      <c r="B2364" s="1" t="s">
        <v>2390</v>
      </c>
      <c r="C2364" s="1" t="str">
        <f ca="1">IFERROR(__xludf.DUMMYFUNCTION("REGEXEXTRACT(B2364, ""^([^:]+)"")"),"Yarn")</f>
        <v>Yarn</v>
      </c>
      <c r="D2364" s="1" t="s">
        <v>11</v>
      </c>
      <c r="E2364" s="1" t="s">
        <v>11</v>
      </c>
    </row>
    <row r="2365" spans="1:5" ht="15.75" customHeight="1">
      <c r="A2365" s="1">
        <v>530820</v>
      </c>
      <c r="B2365" s="1" t="s">
        <v>2391</v>
      </c>
      <c r="C2365" s="1" t="str">
        <f ca="1">IFERROR(__xludf.DUMMYFUNCTION("REGEXEXTRACT(B2365, ""^([^:]+)"")"),"Yarn")</f>
        <v>Yarn</v>
      </c>
      <c r="D2365" s="1" t="s">
        <v>11</v>
      </c>
      <c r="E2365" s="1" t="s">
        <v>11</v>
      </c>
    </row>
    <row r="2366" spans="1:5" ht="15.75" customHeight="1">
      <c r="A2366" s="1">
        <v>530890</v>
      </c>
      <c r="B2366" s="1" t="s">
        <v>2392</v>
      </c>
      <c r="C2366" s="1" t="str">
        <f ca="1">IFERROR(__xludf.DUMMYFUNCTION("REGEXEXTRACT(B2366, ""^([^:]+)"")"),"Yarn")</f>
        <v>Yarn</v>
      </c>
      <c r="D2366" s="1" t="s">
        <v>11</v>
      </c>
      <c r="E2366" s="1" t="s">
        <v>11</v>
      </c>
    </row>
    <row r="2367" spans="1:5" ht="15.75" customHeight="1">
      <c r="A2367" s="1">
        <v>530911</v>
      </c>
      <c r="B2367" s="1" t="s">
        <v>2393</v>
      </c>
      <c r="C2367" s="1" t="str">
        <f ca="1">IFERROR(__xludf.DUMMYFUNCTION("REGEXEXTRACT(B2367, ""^([^:]+)"")"),"Fabrics, woven")</f>
        <v>Fabrics, woven</v>
      </c>
      <c r="D2367" s="1" t="s">
        <v>11</v>
      </c>
      <c r="E2367" s="1" t="s">
        <v>11</v>
      </c>
    </row>
    <row r="2368" spans="1:5" ht="15.75" customHeight="1">
      <c r="A2368" s="1">
        <v>530919</v>
      </c>
      <c r="B2368" s="1" t="s">
        <v>2394</v>
      </c>
      <c r="C2368" s="1" t="str">
        <f ca="1">IFERROR(__xludf.DUMMYFUNCTION("REGEXEXTRACT(B2368, ""^([^:]+)"")"),"Fabrics, woven")</f>
        <v>Fabrics, woven</v>
      </c>
      <c r="D2368" s="1" t="s">
        <v>11</v>
      </c>
      <c r="E2368" s="1" t="s">
        <v>11</v>
      </c>
    </row>
    <row r="2369" spans="1:5" ht="15.75" customHeight="1">
      <c r="A2369" s="1">
        <v>530921</v>
      </c>
      <c r="B2369" s="1" t="s">
        <v>2395</v>
      </c>
      <c r="C2369" s="1" t="str">
        <f ca="1">IFERROR(__xludf.DUMMYFUNCTION("REGEXEXTRACT(B2369, ""^([^:]+)"")"),"Fabrics, woven")</f>
        <v>Fabrics, woven</v>
      </c>
      <c r="D2369" s="1" t="s">
        <v>11</v>
      </c>
      <c r="E2369" s="1" t="s">
        <v>11</v>
      </c>
    </row>
    <row r="2370" spans="1:5" ht="15.75" customHeight="1">
      <c r="A2370" s="1">
        <v>530929</v>
      </c>
      <c r="B2370" s="1" t="s">
        <v>2396</v>
      </c>
      <c r="C2370" s="1" t="str">
        <f ca="1">IFERROR(__xludf.DUMMYFUNCTION("REGEXEXTRACT(B2370, ""^([^:]+)"")"),"Fabrics, woven")</f>
        <v>Fabrics, woven</v>
      </c>
      <c r="D2370" s="1" t="s">
        <v>11</v>
      </c>
      <c r="E2370" s="1" t="s">
        <v>11</v>
      </c>
    </row>
    <row r="2371" spans="1:5" ht="15.75" customHeight="1">
      <c r="A2371" s="1">
        <v>531010</v>
      </c>
      <c r="B2371" s="1" t="s">
        <v>2397</v>
      </c>
      <c r="C2371" s="1" t="str">
        <f ca="1">IFERROR(__xludf.DUMMYFUNCTION("REGEXEXTRACT(B2371, ""^([^:]+)"")"),"Fabrics, woven")</f>
        <v>Fabrics, woven</v>
      </c>
      <c r="D2371" s="1" t="s">
        <v>11</v>
      </c>
      <c r="E2371" s="1" t="s">
        <v>11</v>
      </c>
    </row>
    <row r="2372" spans="1:5" ht="15.75" customHeight="1">
      <c r="A2372" s="1">
        <v>531090</v>
      </c>
      <c r="B2372" s="1" t="s">
        <v>2398</v>
      </c>
      <c r="C2372" s="1" t="str">
        <f ca="1">IFERROR(__xludf.DUMMYFUNCTION("REGEXEXTRACT(B2372, ""^([^:]+)"")"),"Fabrics, woven")</f>
        <v>Fabrics, woven</v>
      </c>
      <c r="D2372" s="1" t="s">
        <v>11</v>
      </c>
      <c r="E2372" s="1" t="s">
        <v>11</v>
      </c>
    </row>
    <row r="2373" spans="1:5" ht="15.75" customHeight="1">
      <c r="A2373" s="1">
        <v>531100</v>
      </c>
      <c r="B2373" s="1" t="s">
        <v>2399</v>
      </c>
      <c r="C2373" s="1" t="str">
        <f ca="1">IFERROR(__xludf.DUMMYFUNCTION("REGEXEXTRACT(B2373, ""^([^:]+)"")"),"Fabrics, woven")</f>
        <v>Fabrics, woven</v>
      </c>
      <c r="D2373" s="1" t="s">
        <v>11</v>
      </c>
      <c r="E2373" s="1" t="s">
        <v>11</v>
      </c>
    </row>
    <row r="2374" spans="1:5" ht="15.75" customHeight="1">
      <c r="A2374" s="1">
        <v>540110</v>
      </c>
      <c r="B2374" s="1" t="s">
        <v>2400</v>
      </c>
      <c r="C2374" s="1" t="str">
        <f ca="1">IFERROR(__xludf.DUMMYFUNCTION("REGEXEXTRACT(B2374, ""^([^:]+)"")"),"Sewing thread")</f>
        <v>Sewing thread</v>
      </c>
      <c r="D2374" s="1" t="s">
        <v>11</v>
      </c>
      <c r="E2374" s="1" t="s">
        <v>11</v>
      </c>
    </row>
    <row r="2375" spans="1:5" ht="15.75" customHeight="1">
      <c r="A2375" s="1">
        <v>540120</v>
      </c>
      <c r="B2375" s="1" t="s">
        <v>2401</v>
      </c>
      <c r="C2375" s="1" t="str">
        <f ca="1">IFERROR(__xludf.DUMMYFUNCTION("REGEXEXTRACT(B2375, ""^([^:]+)"")"),"Sewing thread")</f>
        <v>Sewing thread</v>
      </c>
      <c r="D2375" s="1" t="s">
        <v>11</v>
      </c>
      <c r="E2375" s="1" t="s">
        <v>11</v>
      </c>
    </row>
    <row r="2376" spans="1:5" ht="15.75" customHeight="1">
      <c r="A2376" s="1">
        <v>540211</v>
      </c>
      <c r="B2376" s="1" t="s">
        <v>2402</v>
      </c>
      <c r="C2376" s="1" t="str">
        <f ca="1">IFERROR(__xludf.DUMMYFUNCTION("REGEXEXTRACT(B2376, ""^([^:]+)"")"),"Yarn, synthetic")</f>
        <v>Yarn, synthetic</v>
      </c>
      <c r="D2376" s="1" t="s">
        <v>11</v>
      </c>
      <c r="E2376" s="1" t="s">
        <v>11</v>
      </c>
    </row>
    <row r="2377" spans="1:5" ht="15.75" customHeight="1">
      <c r="A2377" s="1">
        <v>540219</v>
      </c>
      <c r="B2377" s="1" t="s">
        <v>2403</v>
      </c>
      <c r="C2377" s="1" t="str">
        <f ca="1">IFERROR(__xludf.DUMMYFUNCTION("REGEXEXTRACT(B2377, ""^([^:]+)"")"),"Yarn, synthetic")</f>
        <v>Yarn, synthetic</v>
      </c>
      <c r="D2377" s="1" t="s">
        <v>11</v>
      </c>
      <c r="E2377" s="1" t="s">
        <v>11</v>
      </c>
    </row>
    <row r="2378" spans="1:5" ht="15.75" customHeight="1">
      <c r="A2378" s="1">
        <v>540220</v>
      </c>
      <c r="B2378" s="1" t="s">
        <v>2404</v>
      </c>
      <c r="C2378" s="1" t="str">
        <f ca="1">IFERROR(__xludf.DUMMYFUNCTION("REGEXEXTRACT(B2378, ""^([^:]+)"")"),"Yarn, synthetic")</f>
        <v>Yarn, synthetic</v>
      </c>
      <c r="D2378" s="1" t="s">
        <v>11</v>
      </c>
      <c r="E2378" s="1" t="s">
        <v>11</v>
      </c>
    </row>
    <row r="2379" spans="1:5" ht="15.75" customHeight="1">
      <c r="A2379" s="1">
        <v>540231</v>
      </c>
      <c r="B2379" s="1" t="s">
        <v>2405</v>
      </c>
      <c r="C2379" s="1" t="str">
        <f ca="1">IFERROR(__xludf.DUMMYFUNCTION("REGEXEXTRACT(B2379, ""^([^:]+)"")"),"Yarn, synthetic")</f>
        <v>Yarn, synthetic</v>
      </c>
      <c r="D2379" s="1" t="s">
        <v>11</v>
      </c>
      <c r="E2379" s="1" t="s">
        <v>11</v>
      </c>
    </row>
    <row r="2380" spans="1:5" ht="15.75" customHeight="1">
      <c r="A2380" s="1">
        <v>540232</v>
      </c>
      <c r="B2380" s="1" t="s">
        <v>2406</v>
      </c>
      <c r="C2380" s="1" t="str">
        <f ca="1">IFERROR(__xludf.DUMMYFUNCTION("REGEXEXTRACT(B2380, ""^([^:]+)"")"),"Yarn, synthetic")</f>
        <v>Yarn, synthetic</v>
      </c>
      <c r="D2380" s="1" t="s">
        <v>11</v>
      </c>
      <c r="E2380" s="1" t="s">
        <v>11</v>
      </c>
    </row>
    <row r="2381" spans="1:5" ht="15.75" customHeight="1">
      <c r="A2381" s="1">
        <v>540233</v>
      </c>
      <c r="B2381" s="1" t="s">
        <v>2407</v>
      </c>
      <c r="C2381" s="1" t="str">
        <f ca="1">IFERROR(__xludf.DUMMYFUNCTION("REGEXEXTRACT(B2381, ""^([^:]+)"")"),"Yarn, synthetic")</f>
        <v>Yarn, synthetic</v>
      </c>
      <c r="D2381" s="1" t="s">
        <v>11</v>
      </c>
      <c r="E2381" s="1" t="s">
        <v>11</v>
      </c>
    </row>
    <row r="2382" spans="1:5" ht="15.75" customHeight="1">
      <c r="A2382" s="1">
        <v>540234</v>
      </c>
      <c r="B2382" s="1" t="s">
        <v>2408</v>
      </c>
      <c r="C2382" s="1" t="str">
        <f ca="1">IFERROR(__xludf.DUMMYFUNCTION("REGEXEXTRACT(B2382, ""^([^:]+)"")"),"Yarn, synthetic")</f>
        <v>Yarn, synthetic</v>
      </c>
      <c r="D2382" s="1" t="s">
        <v>11</v>
      </c>
      <c r="E2382" s="1" t="s">
        <v>11</v>
      </c>
    </row>
    <row r="2383" spans="1:5" ht="15.75" customHeight="1">
      <c r="A2383" s="1">
        <v>540239</v>
      </c>
      <c r="B2383" s="1" t="s">
        <v>2409</v>
      </c>
      <c r="C2383" s="1" t="str">
        <f ca="1">IFERROR(__xludf.DUMMYFUNCTION("REGEXEXTRACT(B2383, ""^([^:]+)"")"),"Yarn, synthetic")</f>
        <v>Yarn, synthetic</v>
      </c>
      <c r="D2383" s="1" t="s">
        <v>11</v>
      </c>
      <c r="E2383" s="1" t="s">
        <v>11</v>
      </c>
    </row>
    <row r="2384" spans="1:5" ht="15.75" customHeight="1">
      <c r="A2384" s="1">
        <v>540244</v>
      </c>
      <c r="B2384" s="1" t="s">
        <v>2410</v>
      </c>
      <c r="C2384" s="1" t="str">
        <f ca="1">IFERROR(__xludf.DUMMYFUNCTION("REGEXEXTRACT(B2384, ""^([^:]+)"")"),"Yarn, synthetic")</f>
        <v>Yarn, synthetic</v>
      </c>
      <c r="D2384" s="1" t="s">
        <v>11</v>
      </c>
      <c r="E2384" s="1" t="s">
        <v>11</v>
      </c>
    </row>
    <row r="2385" spans="1:5" ht="15.75" customHeight="1">
      <c r="A2385" s="1">
        <v>540245</v>
      </c>
      <c r="B2385" s="1" t="s">
        <v>2411</v>
      </c>
      <c r="C2385" s="1" t="str">
        <f ca="1">IFERROR(__xludf.DUMMYFUNCTION("REGEXEXTRACT(B2385, ""^([^:]+)"")"),"Yarn, synthetic")</f>
        <v>Yarn, synthetic</v>
      </c>
      <c r="D2385" s="1" t="s">
        <v>11</v>
      </c>
      <c r="E2385" s="1" t="s">
        <v>11</v>
      </c>
    </row>
    <row r="2386" spans="1:5" ht="15.75" customHeight="1">
      <c r="A2386" s="1">
        <v>540246</v>
      </c>
      <c r="B2386" s="1" t="s">
        <v>2412</v>
      </c>
      <c r="C2386" s="1" t="str">
        <f ca="1">IFERROR(__xludf.DUMMYFUNCTION("REGEXEXTRACT(B2386, ""^([^:]+)"")"),"Yarn, synthetic")</f>
        <v>Yarn, synthetic</v>
      </c>
      <c r="D2386" s="1" t="s">
        <v>11</v>
      </c>
      <c r="E2386" s="1" t="s">
        <v>11</v>
      </c>
    </row>
    <row r="2387" spans="1:5" ht="15.75" customHeight="1">
      <c r="A2387" s="1">
        <v>540247</v>
      </c>
      <c r="B2387" s="1" t="s">
        <v>2413</v>
      </c>
      <c r="C2387" s="1" t="str">
        <f ca="1">IFERROR(__xludf.DUMMYFUNCTION("REGEXEXTRACT(B2387, ""^([^:]+)"")"),"Yarn, synthetic")</f>
        <v>Yarn, synthetic</v>
      </c>
      <c r="D2387" s="1" t="s">
        <v>11</v>
      </c>
      <c r="E2387" s="1" t="s">
        <v>11</v>
      </c>
    </row>
    <row r="2388" spans="1:5" ht="15.75" customHeight="1">
      <c r="A2388" s="1">
        <v>540248</v>
      </c>
      <c r="B2388" s="1" t="s">
        <v>2414</v>
      </c>
      <c r="C2388" s="1" t="str">
        <f ca="1">IFERROR(__xludf.DUMMYFUNCTION("REGEXEXTRACT(B2388, ""^([^:]+)"")"),"Yarn, synthetic")</f>
        <v>Yarn, synthetic</v>
      </c>
      <c r="D2388" s="1" t="s">
        <v>11</v>
      </c>
      <c r="E2388" s="1" t="s">
        <v>11</v>
      </c>
    </row>
    <row r="2389" spans="1:5" ht="15.75" customHeight="1">
      <c r="A2389" s="1">
        <v>540249</v>
      </c>
      <c r="B2389" s="1" t="s">
        <v>2415</v>
      </c>
      <c r="C2389" s="1" t="str">
        <f ca="1">IFERROR(__xludf.DUMMYFUNCTION("REGEXEXTRACT(B2389, ""^([^:]+)"")"),"Yarn, synthetic")</f>
        <v>Yarn, synthetic</v>
      </c>
      <c r="D2389" s="1" t="s">
        <v>11</v>
      </c>
      <c r="E2389" s="1" t="s">
        <v>11</v>
      </c>
    </row>
    <row r="2390" spans="1:5" ht="15.75" customHeight="1">
      <c r="A2390" s="1">
        <v>540251</v>
      </c>
      <c r="B2390" s="1" t="s">
        <v>2416</v>
      </c>
      <c r="C2390" s="1" t="str">
        <f ca="1">IFERROR(__xludf.DUMMYFUNCTION("REGEXEXTRACT(B2390, ""^([^:]+)"")"),"Yarn, synthetic")</f>
        <v>Yarn, synthetic</v>
      </c>
      <c r="D2390" s="1" t="s">
        <v>11</v>
      </c>
      <c r="E2390" s="1" t="s">
        <v>11</v>
      </c>
    </row>
    <row r="2391" spans="1:5" ht="15.75" customHeight="1">
      <c r="A2391" s="1">
        <v>540252</v>
      </c>
      <c r="B2391" s="1" t="s">
        <v>2417</v>
      </c>
      <c r="C2391" s="1" t="str">
        <f ca="1">IFERROR(__xludf.DUMMYFUNCTION("REGEXEXTRACT(B2391, ""^([^:]+)"")"),"Yarn, synthetic")</f>
        <v>Yarn, synthetic</v>
      </c>
      <c r="D2391" s="1" t="s">
        <v>11</v>
      </c>
      <c r="E2391" s="1" t="s">
        <v>11</v>
      </c>
    </row>
    <row r="2392" spans="1:5" ht="15.75" customHeight="1">
      <c r="A2392" s="1">
        <v>540259</v>
      </c>
      <c r="B2392" s="1" t="s">
        <v>2418</v>
      </c>
      <c r="C2392" s="1" t="str">
        <f ca="1">IFERROR(__xludf.DUMMYFUNCTION("REGEXEXTRACT(B2392, ""^([^:]+)"")"),"Yarn, synthetic")</f>
        <v>Yarn, synthetic</v>
      </c>
      <c r="D2392" s="1" t="s">
        <v>11</v>
      </c>
      <c r="E2392" s="1" t="s">
        <v>11</v>
      </c>
    </row>
    <row r="2393" spans="1:5" ht="15.75" customHeight="1">
      <c r="A2393" s="1">
        <v>540261</v>
      </c>
      <c r="B2393" s="1" t="s">
        <v>2419</v>
      </c>
      <c r="C2393" s="1" t="str">
        <f ca="1">IFERROR(__xludf.DUMMYFUNCTION("REGEXEXTRACT(B2393, ""^([^:]+)"")"),"Yarn, synthetic")</f>
        <v>Yarn, synthetic</v>
      </c>
      <c r="D2393" s="1" t="s">
        <v>11</v>
      </c>
      <c r="E2393" s="1" t="s">
        <v>11</v>
      </c>
    </row>
    <row r="2394" spans="1:5" ht="15.75" customHeight="1">
      <c r="A2394" s="1">
        <v>540262</v>
      </c>
      <c r="B2394" s="1" t="s">
        <v>2420</v>
      </c>
      <c r="C2394" s="1" t="str">
        <f ca="1">IFERROR(__xludf.DUMMYFUNCTION("REGEXEXTRACT(B2394, ""^([^:]+)"")"),"Yarn, synthetic")</f>
        <v>Yarn, synthetic</v>
      </c>
      <c r="D2394" s="1" t="s">
        <v>11</v>
      </c>
      <c r="E2394" s="1" t="s">
        <v>11</v>
      </c>
    </row>
    <row r="2395" spans="1:5" ht="15.75" customHeight="1">
      <c r="A2395" s="1">
        <v>540269</v>
      </c>
      <c r="B2395" s="1" t="s">
        <v>2421</v>
      </c>
      <c r="C2395" s="1" t="str">
        <f ca="1">IFERROR(__xludf.DUMMYFUNCTION("REGEXEXTRACT(B2395, ""^([^:]+)"")"),"Yarn, synthetic")</f>
        <v>Yarn, synthetic</v>
      </c>
      <c r="D2395" s="1" t="s">
        <v>11</v>
      </c>
      <c r="E2395" s="1" t="s">
        <v>11</v>
      </c>
    </row>
    <row r="2396" spans="1:5" ht="15.75" customHeight="1">
      <c r="A2396" s="1">
        <v>540310</v>
      </c>
      <c r="B2396" s="1" t="s">
        <v>2422</v>
      </c>
      <c r="C2396" s="1" t="str">
        <f ca="1">IFERROR(__xludf.DUMMYFUNCTION("REGEXEXTRACT(B2396, ""^([^:]+)"")"),"Yarn, artificial")</f>
        <v>Yarn, artificial</v>
      </c>
      <c r="D2396" s="1" t="s">
        <v>11</v>
      </c>
      <c r="E2396" s="1" t="s">
        <v>11</v>
      </c>
    </row>
    <row r="2397" spans="1:5" ht="15.75" customHeight="1">
      <c r="A2397" s="1">
        <v>540331</v>
      </c>
      <c r="B2397" s="1" t="s">
        <v>2423</v>
      </c>
      <c r="C2397" s="1" t="str">
        <f ca="1">IFERROR(__xludf.DUMMYFUNCTION("REGEXEXTRACT(B2397, ""^([^:]+)"")"),"Yarn, artificial")</f>
        <v>Yarn, artificial</v>
      </c>
      <c r="D2397" s="1" t="s">
        <v>11</v>
      </c>
      <c r="E2397" s="1" t="s">
        <v>11</v>
      </c>
    </row>
    <row r="2398" spans="1:5" ht="15.75" customHeight="1">
      <c r="A2398" s="1">
        <v>540332</v>
      </c>
      <c r="B2398" s="1" t="s">
        <v>2424</v>
      </c>
      <c r="C2398" s="1" t="str">
        <f ca="1">IFERROR(__xludf.DUMMYFUNCTION("REGEXEXTRACT(B2398, ""^([^:]+)"")"),"Yarn, artificial")</f>
        <v>Yarn, artificial</v>
      </c>
      <c r="D2398" s="1" t="s">
        <v>11</v>
      </c>
      <c r="E2398" s="1" t="s">
        <v>11</v>
      </c>
    </row>
    <row r="2399" spans="1:5" ht="15.75" customHeight="1">
      <c r="A2399" s="1">
        <v>540333</v>
      </c>
      <c r="B2399" s="1" t="s">
        <v>2425</v>
      </c>
      <c r="C2399" s="1" t="str">
        <f ca="1">IFERROR(__xludf.DUMMYFUNCTION("REGEXEXTRACT(B2399, ""^([^:]+)"")"),"Yarn, artificial")</f>
        <v>Yarn, artificial</v>
      </c>
      <c r="D2399" s="1" t="s">
        <v>11</v>
      </c>
      <c r="E2399" s="1" t="s">
        <v>11</v>
      </c>
    </row>
    <row r="2400" spans="1:5" ht="15.75" customHeight="1">
      <c r="A2400" s="1">
        <v>540339</v>
      </c>
      <c r="B2400" s="1" t="s">
        <v>2426</v>
      </c>
      <c r="C2400" s="1" t="str">
        <f ca="1">IFERROR(__xludf.DUMMYFUNCTION("REGEXEXTRACT(B2400, ""^([^:]+)"")"),"Yarn, artificial")</f>
        <v>Yarn, artificial</v>
      </c>
      <c r="D2400" s="1" t="s">
        <v>11</v>
      </c>
      <c r="E2400" s="1" t="s">
        <v>11</v>
      </c>
    </row>
    <row r="2401" spans="1:5" ht="15.75" customHeight="1">
      <c r="A2401" s="1">
        <v>540341</v>
      </c>
      <c r="B2401" s="1" t="s">
        <v>2427</v>
      </c>
      <c r="C2401" s="1" t="str">
        <f ca="1">IFERROR(__xludf.DUMMYFUNCTION("REGEXEXTRACT(B2401, ""^([^:]+)"")"),"Yarn, artificial")</f>
        <v>Yarn, artificial</v>
      </c>
      <c r="D2401" s="1" t="s">
        <v>11</v>
      </c>
      <c r="E2401" s="1" t="s">
        <v>11</v>
      </c>
    </row>
    <row r="2402" spans="1:5" ht="15.75" customHeight="1">
      <c r="A2402" s="1">
        <v>540342</v>
      </c>
      <c r="B2402" s="1" t="s">
        <v>2428</v>
      </c>
      <c r="C2402" s="1" t="str">
        <f ca="1">IFERROR(__xludf.DUMMYFUNCTION("REGEXEXTRACT(B2402, ""^([^:]+)"")"),"Yarn, artificial")</f>
        <v>Yarn, artificial</v>
      </c>
      <c r="D2402" s="1" t="s">
        <v>11</v>
      </c>
      <c r="E2402" s="1" t="s">
        <v>11</v>
      </c>
    </row>
    <row r="2403" spans="1:5" ht="15.75" customHeight="1">
      <c r="A2403" s="1">
        <v>540349</v>
      </c>
      <c r="B2403" s="1" t="s">
        <v>2429</v>
      </c>
      <c r="C2403" s="1" t="str">
        <f ca="1">IFERROR(__xludf.DUMMYFUNCTION("REGEXEXTRACT(B2403, ""^([^:]+)"")"),"Yarn, artificial")</f>
        <v>Yarn, artificial</v>
      </c>
      <c r="D2403" s="1" t="s">
        <v>11</v>
      </c>
      <c r="E2403" s="1" t="s">
        <v>11</v>
      </c>
    </row>
    <row r="2404" spans="1:5" ht="15.75" customHeight="1">
      <c r="A2404" s="1">
        <v>540411</v>
      </c>
      <c r="B2404" s="1" t="s">
        <v>2430</v>
      </c>
      <c r="C2404" s="1" t="str">
        <f ca="1">IFERROR(__xludf.DUMMYFUNCTION("REGEXEXTRACT(B2404, ""^([^:]+)"")"),"Elastomeric monofilament")</f>
        <v>Elastomeric monofilament</v>
      </c>
      <c r="D2404" s="1" t="s">
        <v>11</v>
      </c>
      <c r="E2404" s="1" t="s">
        <v>11</v>
      </c>
    </row>
    <row r="2405" spans="1:5" ht="15.75" customHeight="1">
      <c r="A2405" s="1">
        <v>540412</v>
      </c>
      <c r="B2405" s="1" t="s">
        <v>2431</v>
      </c>
      <c r="C2405" s="1" t="str">
        <f ca="1">IFERROR(__xludf.DUMMYFUNCTION("REGEXEXTRACT(B2405, ""^([^:]+)"")"),"Monofilament of polypropylene")</f>
        <v>Monofilament of polypropylene</v>
      </c>
      <c r="D2405" s="1" t="s">
        <v>11</v>
      </c>
      <c r="E2405" s="1" t="s">
        <v>11</v>
      </c>
    </row>
    <row r="2406" spans="1:5" ht="15.75" customHeight="1">
      <c r="A2406" s="1">
        <v>540419</v>
      </c>
      <c r="B2406" s="1" t="s">
        <v>2432</v>
      </c>
      <c r="C2406" s="1" t="str">
        <f ca="1">IFERROR(__xludf.DUMMYFUNCTION("REGEXEXTRACT(B2406, ""^([^:]+)"")"),"Monofilament n.e.c. in heading no 5404")</f>
        <v>Monofilament n.e.c. in heading no 5404</v>
      </c>
      <c r="D2406" s="1" t="s">
        <v>11</v>
      </c>
      <c r="E2406" s="1" t="s">
        <v>11</v>
      </c>
    </row>
    <row r="2407" spans="1:5" ht="15.75" customHeight="1">
      <c r="A2407" s="1">
        <v>540490</v>
      </c>
      <c r="B2407" s="1" t="s">
        <v>2433</v>
      </c>
      <c r="C2407" s="1" t="str">
        <f ca="1">IFERROR(__xludf.DUMMYFUNCTION("REGEXEXTRACT(B2407, ""^([^:]+)"")"),"Filament, synthetic")</f>
        <v>Filament, synthetic</v>
      </c>
      <c r="D2407" s="1" t="s">
        <v>11</v>
      </c>
      <c r="E2407" s="1" t="s">
        <v>11</v>
      </c>
    </row>
    <row r="2408" spans="1:5" ht="15.75" customHeight="1">
      <c r="A2408" s="1">
        <v>540500</v>
      </c>
      <c r="B2408" s="1" t="s">
        <v>2434</v>
      </c>
      <c r="C2408" s="1" t="str">
        <f ca="1">IFERROR(__xludf.DUMMYFUNCTION("REGEXEXTRACT(B2408, ""^([^:]+)"")"),"Monofilament, synthetic")</f>
        <v>Monofilament, synthetic</v>
      </c>
      <c r="D2408" s="1" t="s">
        <v>11</v>
      </c>
      <c r="E2408" s="1" t="s">
        <v>11</v>
      </c>
    </row>
    <row r="2409" spans="1:5" ht="15.75" customHeight="1">
      <c r="A2409" s="1">
        <v>540600</v>
      </c>
      <c r="B2409" s="1" t="s">
        <v>2435</v>
      </c>
      <c r="C2409" s="1" t="str">
        <f ca="1">IFERROR(__xludf.DUMMYFUNCTION("REGEXEXTRACT(B2409, ""^([^:]+)"")"),"Man-made filament yarn (other than sewing thread), put up for retail sale")</f>
        <v>Man-made filament yarn (other than sewing thread), put up for retail sale</v>
      </c>
      <c r="D2409" s="1" t="s">
        <v>11</v>
      </c>
      <c r="E2409" s="1" t="s">
        <v>11</v>
      </c>
    </row>
    <row r="2410" spans="1:5" ht="15.75" customHeight="1">
      <c r="A2410" s="1">
        <v>540710</v>
      </c>
      <c r="B2410" s="1" t="s">
        <v>2436</v>
      </c>
      <c r="C2410" s="1" t="str">
        <f ca="1">IFERROR(__xludf.DUMMYFUNCTION("REGEXEXTRACT(B2410, ""^([^:]+)"")"),"Fabrics, woven")</f>
        <v>Fabrics, woven</v>
      </c>
      <c r="D2410" s="1" t="s">
        <v>11</v>
      </c>
      <c r="E2410" s="1" t="s">
        <v>11</v>
      </c>
    </row>
    <row r="2411" spans="1:5" ht="15.75" customHeight="1">
      <c r="A2411" s="1">
        <v>540720</v>
      </c>
      <c r="B2411" s="1" t="s">
        <v>2437</v>
      </c>
      <c r="C2411" s="1" t="str">
        <f ca="1">IFERROR(__xludf.DUMMYFUNCTION("REGEXEXTRACT(B2411, ""^([^:]+)"")"),"Fabrics, woven")</f>
        <v>Fabrics, woven</v>
      </c>
      <c r="D2411" s="1" t="s">
        <v>11</v>
      </c>
      <c r="E2411" s="1" t="s">
        <v>11</v>
      </c>
    </row>
    <row r="2412" spans="1:5" ht="15.75" customHeight="1">
      <c r="A2412" s="1">
        <v>540730</v>
      </c>
      <c r="B2412" s="1" t="s">
        <v>2438</v>
      </c>
      <c r="C2412" s="1" t="str">
        <f ca="1">IFERROR(__xludf.DUMMYFUNCTION("REGEXEXTRACT(B2412, ""^([^:]+)"")"),"Fabrics, woven")</f>
        <v>Fabrics, woven</v>
      </c>
      <c r="D2412" s="1" t="s">
        <v>11</v>
      </c>
      <c r="E2412" s="1" t="s">
        <v>11</v>
      </c>
    </row>
    <row r="2413" spans="1:5" ht="15.75" customHeight="1">
      <c r="A2413" s="1">
        <v>540741</v>
      </c>
      <c r="B2413" s="1" t="s">
        <v>2439</v>
      </c>
      <c r="C2413" s="1" t="str">
        <f ca="1">IFERROR(__xludf.DUMMYFUNCTION("REGEXEXTRACT(B2413, ""^([^:]+)"")"),"Fabrics, woven")</f>
        <v>Fabrics, woven</v>
      </c>
      <c r="D2413" s="1" t="s">
        <v>11</v>
      </c>
      <c r="E2413" s="1" t="s">
        <v>11</v>
      </c>
    </row>
    <row r="2414" spans="1:5" ht="15.75" customHeight="1">
      <c r="A2414" s="1">
        <v>540742</v>
      </c>
      <c r="B2414" s="1" t="s">
        <v>2440</v>
      </c>
      <c r="C2414" s="1" t="str">
        <f ca="1">IFERROR(__xludf.DUMMYFUNCTION("REGEXEXTRACT(B2414, ""^([^:]+)"")"),"Fabrics, woven")</f>
        <v>Fabrics, woven</v>
      </c>
      <c r="D2414" s="1" t="s">
        <v>11</v>
      </c>
      <c r="E2414" s="1" t="s">
        <v>11</v>
      </c>
    </row>
    <row r="2415" spans="1:5" ht="15.75" customHeight="1">
      <c r="A2415" s="1">
        <v>540743</v>
      </c>
      <c r="B2415" s="1" t="s">
        <v>2441</v>
      </c>
      <c r="C2415" s="1" t="str">
        <f ca="1">IFERROR(__xludf.DUMMYFUNCTION("REGEXEXTRACT(B2415, ""^([^:]+)"")"),"Fabrics, woven")</f>
        <v>Fabrics, woven</v>
      </c>
      <c r="D2415" s="1" t="s">
        <v>11</v>
      </c>
      <c r="E2415" s="1" t="s">
        <v>11</v>
      </c>
    </row>
    <row r="2416" spans="1:5" ht="15.75" customHeight="1">
      <c r="A2416" s="1">
        <v>540744</v>
      </c>
      <c r="B2416" s="1" t="s">
        <v>2442</v>
      </c>
      <c r="C2416" s="1" t="str">
        <f ca="1">IFERROR(__xludf.DUMMYFUNCTION("REGEXEXTRACT(B2416, ""^([^:]+)"")"),"Fabrics, woven")</f>
        <v>Fabrics, woven</v>
      </c>
      <c r="D2416" s="1" t="s">
        <v>11</v>
      </c>
      <c r="E2416" s="1" t="s">
        <v>11</v>
      </c>
    </row>
    <row r="2417" spans="1:5" ht="15.75" customHeight="1">
      <c r="A2417" s="1">
        <v>540751</v>
      </c>
      <c r="B2417" s="1" t="s">
        <v>2443</v>
      </c>
      <c r="C2417" s="1" t="str">
        <f ca="1">IFERROR(__xludf.DUMMYFUNCTION("REGEXEXTRACT(B2417, ""^([^:]+)"")"),"Fabrics, woven")</f>
        <v>Fabrics, woven</v>
      </c>
      <c r="D2417" s="1" t="s">
        <v>11</v>
      </c>
      <c r="E2417" s="1" t="s">
        <v>11</v>
      </c>
    </row>
    <row r="2418" spans="1:5" ht="15.75" customHeight="1">
      <c r="A2418" s="1">
        <v>540752</v>
      </c>
      <c r="B2418" s="1" t="s">
        <v>2444</v>
      </c>
      <c r="C2418" s="1" t="str">
        <f ca="1">IFERROR(__xludf.DUMMYFUNCTION("REGEXEXTRACT(B2418, ""^([^:]+)"")"),"Fabrics, woven")</f>
        <v>Fabrics, woven</v>
      </c>
      <c r="D2418" s="1" t="s">
        <v>11</v>
      </c>
      <c r="E2418" s="1" t="s">
        <v>11</v>
      </c>
    </row>
    <row r="2419" spans="1:5" ht="15.75" customHeight="1">
      <c r="A2419" s="1">
        <v>540753</v>
      </c>
      <c r="B2419" s="1" t="s">
        <v>2445</v>
      </c>
      <c r="C2419" s="1" t="str">
        <f ca="1">IFERROR(__xludf.DUMMYFUNCTION("REGEXEXTRACT(B2419, ""^([^:]+)"")"),"Fabrics, woven")</f>
        <v>Fabrics, woven</v>
      </c>
      <c r="D2419" s="1" t="s">
        <v>11</v>
      </c>
      <c r="E2419" s="1" t="s">
        <v>11</v>
      </c>
    </row>
    <row r="2420" spans="1:5" ht="15.75" customHeight="1">
      <c r="A2420" s="1">
        <v>540754</v>
      </c>
      <c r="B2420" s="1" t="s">
        <v>2446</v>
      </c>
      <c r="C2420" s="1" t="str">
        <f ca="1">IFERROR(__xludf.DUMMYFUNCTION("REGEXEXTRACT(B2420, ""^([^:]+)"")"),"Fabrics, woven")</f>
        <v>Fabrics, woven</v>
      </c>
      <c r="D2420" s="1" t="s">
        <v>11</v>
      </c>
      <c r="E2420" s="1" t="s">
        <v>11</v>
      </c>
    </row>
    <row r="2421" spans="1:5" ht="15.75" customHeight="1">
      <c r="A2421" s="1">
        <v>540761</v>
      </c>
      <c r="B2421" s="1" t="s">
        <v>2447</v>
      </c>
      <c r="C2421" s="1" t="str">
        <f ca="1">IFERROR(__xludf.DUMMYFUNCTION("REGEXEXTRACT(B2421, ""^([^:]+)"")"),"Fabrics, woven")</f>
        <v>Fabrics, woven</v>
      </c>
      <c r="D2421" s="1" t="s">
        <v>11</v>
      </c>
      <c r="E2421" s="1" t="s">
        <v>11</v>
      </c>
    </row>
    <row r="2422" spans="1:5" ht="15.75" customHeight="1">
      <c r="A2422" s="1">
        <v>540769</v>
      </c>
      <c r="B2422" s="1" t="s">
        <v>2448</v>
      </c>
      <c r="C2422" s="1" t="str">
        <f ca="1">IFERROR(__xludf.DUMMYFUNCTION("REGEXEXTRACT(B2422, ""^([^:]+)"")"),"Fabrics, woven")</f>
        <v>Fabrics, woven</v>
      </c>
      <c r="D2422" s="1" t="s">
        <v>11</v>
      </c>
      <c r="E2422" s="1" t="s">
        <v>11</v>
      </c>
    </row>
    <row r="2423" spans="1:5" ht="15.75" customHeight="1">
      <c r="A2423" s="1">
        <v>540771</v>
      </c>
      <c r="B2423" s="1" t="s">
        <v>2449</v>
      </c>
      <c r="C2423" s="1" t="str">
        <f ca="1">IFERROR(__xludf.DUMMYFUNCTION("REGEXEXTRACT(B2423, ""^([^:]+)"")"),"Fabrics, woven")</f>
        <v>Fabrics, woven</v>
      </c>
      <c r="D2423" s="1" t="s">
        <v>11</v>
      </c>
      <c r="E2423" s="1" t="s">
        <v>11</v>
      </c>
    </row>
    <row r="2424" spans="1:5" ht="15.75" customHeight="1">
      <c r="A2424" s="1">
        <v>540772</v>
      </c>
      <c r="B2424" s="1" t="s">
        <v>2450</v>
      </c>
      <c r="C2424" s="1" t="str">
        <f ca="1">IFERROR(__xludf.DUMMYFUNCTION("REGEXEXTRACT(B2424, ""^([^:]+)"")"),"Fabrics, woven")</f>
        <v>Fabrics, woven</v>
      </c>
      <c r="D2424" s="1" t="s">
        <v>11</v>
      </c>
      <c r="E2424" s="1" t="s">
        <v>11</v>
      </c>
    </row>
    <row r="2425" spans="1:5" ht="15.75" customHeight="1">
      <c r="A2425" s="1">
        <v>540773</v>
      </c>
      <c r="B2425" s="1" t="s">
        <v>2451</v>
      </c>
      <c r="C2425" s="1" t="str">
        <f ca="1">IFERROR(__xludf.DUMMYFUNCTION("REGEXEXTRACT(B2425, ""^([^:]+)"")"),"Fabrics, woven")</f>
        <v>Fabrics, woven</v>
      </c>
      <c r="D2425" s="1" t="s">
        <v>11</v>
      </c>
      <c r="E2425" s="1" t="s">
        <v>11</v>
      </c>
    </row>
    <row r="2426" spans="1:5" ht="15.75" customHeight="1">
      <c r="A2426" s="1">
        <v>540774</v>
      </c>
      <c r="B2426" s="1" t="s">
        <v>2452</v>
      </c>
      <c r="C2426" s="1" t="str">
        <f ca="1">IFERROR(__xludf.DUMMYFUNCTION("REGEXEXTRACT(B2426, ""^([^:]+)"")"),"Fabrics, woven")</f>
        <v>Fabrics, woven</v>
      </c>
      <c r="D2426" s="1" t="s">
        <v>11</v>
      </c>
      <c r="E2426" s="1" t="s">
        <v>11</v>
      </c>
    </row>
    <row r="2427" spans="1:5" ht="15.75" customHeight="1">
      <c r="A2427" s="1">
        <v>540781</v>
      </c>
      <c r="B2427" s="1" t="s">
        <v>2453</v>
      </c>
      <c r="C2427" s="1" t="str">
        <f ca="1">IFERROR(__xludf.DUMMYFUNCTION("REGEXEXTRACT(B2427, ""^([^:]+)"")"),"Fabrics, woven")</f>
        <v>Fabrics, woven</v>
      </c>
      <c r="D2427" s="1" t="s">
        <v>11</v>
      </c>
      <c r="E2427" s="1" t="s">
        <v>11</v>
      </c>
    </row>
    <row r="2428" spans="1:5" ht="15.75" customHeight="1">
      <c r="A2428" s="1">
        <v>540782</v>
      </c>
      <c r="B2428" s="1" t="s">
        <v>2454</v>
      </c>
      <c r="C2428" s="1" t="str">
        <f ca="1">IFERROR(__xludf.DUMMYFUNCTION("REGEXEXTRACT(B2428, ""^([^:]+)"")"),"Fabrics, woven")</f>
        <v>Fabrics, woven</v>
      </c>
      <c r="D2428" s="1" t="s">
        <v>11</v>
      </c>
      <c r="E2428" s="1" t="s">
        <v>11</v>
      </c>
    </row>
    <row r="2429" spans="1:5" ht="15.75" customHeight="1">
      <c r="A2429" s="1">
        <v>540783</v>
      </c>
      <c r="B2429" s="1" t="s">
        <v>2455</v>
      </c>
      <c r="C2429" s="1" t="str">
        <f ca="1">IFERROR(__xludf.DUMMYFUNCTION("REGEXEXTRACT(B2429, ""^([^:]+)"")"),"Fabrics, woven")</f>
        <v>Fabrics, woven</v>
      </c>
      <c r="D2429" s="1" t="s">
        <v>11</v>
      </c>
      <c r="E2429" s="1" t="s">
        <v>11</v>
      </c>
    </row>
    <row r="2430" spans="1:5" ht="15.75" customHeight="1">
      <c r="A2430" s="1">
        <v>540784</v>
      </c>
      <c r="B2430" s="1" t="s">
        <v>2456</v>
      </c>
      <c r="C2430" s="1" t="str">
        <f ca="1">IFERROR(__xludf.DUMMYFUNCTION("REGEXEXTRACT(B2430, ""^([^:]+)"")"),"Fabrics, woven")</f>
        <v>Fabrics, woven</v>
      </c>
      <c r="D2430" s="1" t="s">
        <v>11</v>
      </c>
      <c r="E2430" s="1" t="s">
        <v>11</v>
      </c>
    </row>
    <row r="2431" spans="1:5" ht="15.75" customHeight="1">
      <c r="A2431" s="1">
        <v>540791</v>
      </c>
      <c r="B2431" s="1" t="s">
        <v>2457</v>
      </c>
      <c r="C2431" s="1" t="str">
        <f ca="1">IFERROR(__xludf.DUMMYFUNCTION("REGEXEXTRACT(B2431, ""^([^:]+)"")"),"Fabrics, woven")</f>
        <v>Fabrics, woven</v>
      </c>
      <c r="D2431" s="1" t="s">
        <v>11</v>
      </c>
      <c r="E2431" s="1" t="s">
        <v>11</v>
      </c>
    </row>
    <row r="2432" spans="1:5" ht="15.75" customHeight="1">
      <c r="A2432" s="1">
        <v>540792</v>
      </c>
      <c r="B2432" s="1" t="s">
        <v>2458</v>
      </c>
      <c r="C2432" s="1" t="str">
        <f ca="1">IFERROR(__xludf.DUMMYFUNCTION("REGEXEXTRACT(B2432, ""^([^:]+)"")"),"Fabrics, woven")</f>
        <v>Fabrics, woven</v>
      </c>
      <c r="D2432" s="1" t="s">
        <v>11</v>
      </c>
      <c r="E2432" s="1" t="s">
        <v>11</v>
      </c>
    </row>
    <row r="2433" spans="1:5" ht="15.75" customHeight="1">
      <c r="A2433" s="1">
        <v>540793</v>
      </c>
      <c r="B2433" s="1" t="s">
        <v>2459</v>
      </c>
      <c r="C2433" s="1" t="str">
        <f ca="1">IFERROR(__xludf.DUMMYFUNCTION("REGEXEXTRACT(B2433, ""^([^:]+)"")"),"Fabrics, woven")</f>
        <v>Fabrics, woven</v>
      </c>
      <c r="D2433" s="1" t="s">
        <v>11</v>
      </c>
      <c r="E2433" s="1" t="s">
        <v>11</v>
      </c>
    </row>
    <row r="2434" spans="1:5" ht="15.75" customHeight="1">
      <c r="A2434" s="1">
        <v>540794</v>
      </c>
      <c r="B2434" s="1" t="s">
        <v>2460</v>
      </c>
      <c r="C2434" s="1" t="str">
        <f ca="1">IFERROR(__xludf.DUMMYFUNCTION("REGEXEXTRACT(B2434, ""^([^:]+)"")"),"Fabrics, woven")</f>
        <v>Fabrics, woven</v>
      </c>
      <c r="D2434" s="1" t="s">
        <v>11</v>
      </c>
      <c r="E2434" s="1" t="s">
        <v>11</v>
      </c>
    </row>
    <row r="2435" spans="1:5" ht="15.75" customHeight="1">
      <c r="A2435" s="1">
        <v>540810</v>
      </c>
      <c r="B2435" s="1" t="s">
        <v>2461</v>
      </c>
      <c r="C2435" s="1" t="str">
        <f ca="1">IFERROR(__xludf.DUMMYFUNCTION("REGEXEXTRACT(B2435, ""^([^:]+)"")"),"Fabrics, woven")</f>
        <v>Fabrics, woven</v>
      </c>
      <c r="D2435" s="1" t="s">
        <v>11</v>
      </c>
      <c r="E2435" s="1" t="s">
        <v>11</v>
      </c>
    </row>
    <row r="2436" spans="1:5" ht="15.75" customHeight="1">
      <c r="A2436" s="1">
        <v>540821</v>
      </c>
      <c r="B2436" s="1" t="s">
        <v>2462</v>
      </c>
      <c r="C2436" s="1" t="str">
        <f ca="1">IFERROR(__xludf.DUMMYFUNCTION("REGEXEXTRACT(B2436, ""^([^:]+)"")"),"Fabrics, woven")</f>
        <v>Fabrics, woven</v>
      </c>
      <c r="D2436" s="1" t="s">
        <v>11</v>
      </c>
      <c r="E2436" s="1" t="s">
        <v>11</v>
      </c>
    </row>
    <row r="2437" spans="1:5" ht="15.75" customHeight="1">
      <c r="A2437" s="1">
        <v>540822</v>
      </c>
      <c r="B2437" s="1" t="s">
        <v>2463</v>
      </c>
      <c r="C2437" s="1" t="str">
        <f ca="1">IFERROR(__xludf.DUMMYFUNCTION("REGEXEXTRACT(B2437, ""^([^:]+)"")"),"Fabrics, woven")</f>
        <v>Fabrics, woven</v>
      </c>
      <c r="D2437" s="1" t="s">
        <v>11</v>
      </c>
      <c r="E2437" s="1" t="s">
        <v>11</v>
      </c>
    </row>
    <row r="2438" spans="1:5" ht="15.75" customHeight="1">
      <c r="A2438" s="1">
        <v>540823</v>
      </c>
      <c r="B2438" s="1" t="s">
        <v>2464</v>
      </c>
      <c r="C2438" s="1" t="str">
        <f ca="1">IFERROR(__xludf.DUMMYFUNCTION("REGEXEXTRACT(B2438, ""^([^:]+)"")"),"Fabrics, woven")</f>
        <v>Fabrics, woven</v>
      </c>
      <c r="D2438" s="1" t="s">
        <v>11</v>
      </c>
      <c r="E2438" s="1" t="s">
        <v>11</v>
      </c>
    </row>
    <row r="2439" spans="1:5" ht="15.75" customHeight="1">
      <c r="A2439" s="1">
        <v>540824</v>
      </c>
      <c r="B2439" s="1" t="s">
        <v>2465</v>
      </c>
      <c r="C2439" s="1" t="str">
        <f ca="1">IFERROR(__xludf.DUMMYFUNCTION("REGEXEXTRACT(B2439, ""^([^:]+)"")"),"Fabrics, woven")</f>
        <v>Fabrics, woven</v>
      </c>
      <c r="D2439" s="1" t="s">
        <v>11</v>
      </c>
      <c r="E2439" s="1" t="s">
        <v>11</v>
      </c>
    </row>
    <row r="2440" spans="1:5" ht="15.75" customHeight="1">
      <c r="A2440" s="1">
        <v>540831</v>
      </c>
      <c r="B2440" s="1" t="s">
        <v>2466</v>
      </c>
      <c r="C2440" s="1" t="str">
        <f ca="1">IFERROR(__xludf.DUMMYFUNCTION("REGEXEXTRACT(B2440, ""^([^:]+)"")"),"Fabrics, woven")</f>
        <v>Fabrics, woven</v>
      </c>
      <c r="D2440" s="1" t="s">
        <v>11</v>
      </c>
      <c r="E2440" s="1" t="s">
        <v>11</v>
      </c>
    </row>
    <row r="2441" spans="1:5" ht="15.75" customHeight="1">
      <c r="A2441" s="1">
        <v>540832</v>
      </c>
      <c r="B2441" s="1" t="s">
        <v>2467</v>
      </c>
      <c r="C2441" s="1" t="str">
        <f ca="1">IFERROR(__xludf.DUMMYFUNCTION("REGEXEXTRACT(B2441, ""^([^:]+)"")"),"Fabrics, woven")</f>
        <v>Fabrics, woven</v>
      </c>
      <c r="D2441" s="1" t="s">
        <v>11</v>
      </c>
      <c r="E2441" s="1" t="s">
        <v>11</v>
      </c>
    </row>
    <row r="2442" spans="1:5" ht="15.75" customHeight="1">
      <c r="A2442" s="1">
        <v>540833</v>
      </c>
      <c r="B2442" s="1" t="s">
        <v>2468</v>
      </c>
      <c r="C2442" s="1" t="str">
        <f ca="1">IFERROR(__xludf.DUMMYFUNCTION("REGEXEXTRACT(B2442, ""^([^:]+)"")"),"Fabrics, woven")</f>
        <v>Fabrics, woven</v>
      </c>
      <c r="D2442" s="1" t="s">
        <v>11</v>
      </c>
      <c r="E2442" s="1" t="s">
        <v>11</v>
      </c>
    </row>
    <row r="2443" spans="1:5" ht="15.75" customHeight="1">
      <c r="A2443" s="1">
        <v>540834</v>
      </c>
      <c r="B2443" s="1" t="s">
        <v>2469</v>
      </c>
      <c r="C2443" s="1" t="str">
        <f ca="1">IFERROR(__xludf.DUMMYFUNCTION("REGEXEXTRACT(B2443, ""^([^:]+)"")"),"Fabrics, woven")</f>
        <v>Fabrics, woven</v>
      </c>
      <c r="D2443" s="1" t="s">
        <v>11</v>
      </c>
      <c r="E2443" s="1" t="s">
        <v>11</v>
      </c>
    </row>
    <row r="2444" spans="1:5" ht="15.75" customHeight="1">
      <c r="A2444" s="1">
        <v>550110</v>
      </c>
      <c r="B2444" s="1" t="s">
        <v>2470</v>
      </c>
      <c r="C2444" s="1" t="str">
        <f ca="1">IFERROR(__xludf.DUMMYFUNCTION("REGEXEXTRACT(B2444, ""^([^:]+)"")"),"Fibres")</f>
        <v>Fibres</v>
      </c>
      <c r="D2444" s="1" t="s">
        <v>11</v>
      </c>
      <c r="E2444" s="1" t="s">
        <v>11</v>
      </c>
    </row>
    <row r="2445" spans="1:5" ht="15.75" customHeight="1">
      <c r="A2445" s="1">
        <v>550120</v>
      </c>
      <c r="B2445" s="1" t="s">
        <v>2471</v>
      </c>
      <c r="C2445" s="1" t="str">
        <f ca="1">IFERROR(__xludf.DUMMYFUNCTION("REGEXEXTRACT(B2445, ""^([^:]+)"")"),"Fibres")</f>
        <v>Fibres</v>
      </c>
      <c r="D2445" s="1" t="s">
        <v>11</v>
      </c>
      <c r="E2445" s="1" t="s">
        <v>11</v>
      </c>
    </row>
    <row r="2446" spans="1:5" ht="15.75" customHeight="1">
      <c r="A2446" s="1">
        <v>550130</v>
      </c>
      <c r="B2446" s="1" t="s">
        <v>2472</v>
      </c>
      <c r="C2446" s="1" t="str">
        <f ca="1">IFERROR(__xludf.DUMMYFUNCTION("REGEXEXTRACT(B2446, ""^([^:]+)"")"),"Fibres")</f>
        <v>Fibres</v>
      </c>
      <c r="D2446" s="1" t="s">
        <v>11</v>
      </c>
      <c r="E2446" s="1" t="s">
        <v>11</v>
      </c>
    </row>
    <row r="2447" spans="1:5" ht="15.75" customHeight="1">
      <c r="A2447" s="1">
        <v>550140</v>
      </c>
      <c r="B2447" s="1" t="s">
        <v>2473</v>
      </c>
      <c r="C2447" s="1" t="str">
        <f ca="1">IFERROR(__xludf.DUMMYFUNCTION("REGEXEXTRACT(B2447, ""^([^:]+)"")"),"Fibres")</f>
        <v>Fibres</v>
      </c>
      <c r="D2447" s="1" t="s">
        <v>11</v>
      </c>
      <c r="E2447" s="1" t="s">
        <v>11</v>
      </c>
    </row>
    <row r="2448" spans="1:5" ht="15.75" customHeight="1">
      <c r="A2448" s="1">
        <v>550190</v>
      </c>
      <c r="B2448" s="1" t="s">
        <v>2474</v>
      </c>
      <c r="C2448" s="1" t="str">
        <f ca="1">IFERROR(__xludf.DUMMYFUNCTION("REGEXEXTRACT(B2448, ""^([^:]+)"")"),"Fibres")</f>
        <v>Fibres</v>
      </c>
      <c r="D2448" s="1" t="s">
        <v>11</v>
      </c>
      <c r="E2448" s="1" t="s">
        <v>11</v>
      </c>
    </row>
    <row r="2449" spans="1:5" ht="15.75" customHeight="1">
      <c r="A2449" s="1">
        <v>550200</v>
      </c>
      <c r="B2449" s="1" t="s">
        <v>2475</v>
      </c>
      <c r="C2449" s="1" t="str">
        <f ca="1">IFERROR(__xludf.DUMMYFUNCTION("REGEXEXTRACT(B2449, ""^([^:]+)"")"),"Fibres")</f>
        <v>Fibres</v>
      </c>
      <c r="D2449" s="1" t="s">
        <v>11</v>
      </c>
      <c r="E2449" s="1" t="s">
        <v>11</v>
      </c>
    </row>
    <row r="2450" spans="1:5" ht="15.75" customHeight="1">
      <c r="A2450" s="1">
        <v>550311</v>
      </c>
      <c r="B2450" s="1" t="s">
        <v>2476</v>
      </c>
      <c r="C2450" s="1" t="str">
        <f ca="1">IFERROR(__xludf.DUMMYFUNCTION("REGEXEXTRACT(B2450, ""^([^:]+)"")"),"Fibres")</f>
        <v>Fibres</v>
      </c>
      <c r="D2450" s="1" t="s">
        <v>11</v>
      </c>
      <c r="E2450" s="1" t="s">
        <v>11</v>
      </c>
    </row>
    <row r="2451" spans="1:5" ht="15.75" customHeight="1">
      <c r="A2451" s="1">
        <v>550319</v>
      </c>
      <c r="B2451" s="1" t="s">
        <v>2477</v>
      </c>
      <c r="C2451" s="1" t="str">
        <f ca="1">IFERROR(__xludf.DUMMYFUNCTION("REGEXEXTRACT(B2451, ""^([^:]+)"")"),"Fibres")</f>
        <v>Fibres</v>
      </c>
      <c r="D2451" s="1" t="s">
        <v>11</v>
      </c>
      <c r="E2451" s="1" t="s">
        <v>11</v>
      </c>
    </row>
    <row r="2452" spans="1:5" ht="15.75" customHeight="1">
      <c r="A2452" s="1">
        <v>550320</v>
      </c>
      <c r="B2452" s="1" t="s">
        <v>2478</v>
      </c>
      <c r="C2452" s="1" t="str">
        <f ca="1">IFERROR(__xludf.DUMMYFUNCTION("REGEXEXTRACT(B2452, ""^([^:]+)"")"),"Fibres")</f>
        <v>Fibres</v>
      </c>
      <c r="D2452" s="1" t="s">
        <v>11</v>
      </c>
      <c r="E2452" s="1" t="s">
        <v>11</v>
      </c>
    </row>
    <row r="2453" spans="1:5" ht="15.75" customHeight="1">
      <c r="A2453" s="1">
        <v>550330</v>
      </c>
      <c r="B2453" s="1" t="s">
        <v>2479</v>
      </c>
      <c r="C2453" s="1" t="str">
        <f ca="1">IFERROR(__xludf.DUMMYFUNCTION("REGEXEXTRACT(B2453, ""^([^:]+)"")"),"Fibres")</f>
        <v>Fibres</v>
      </c>
      <c r="D2453" s="1" t="s">
        <v>11</v>
      </c>
      <c r="E2453" s="1" t="s">
        <v>11</v>
      </c>
    </row>
    <row r="2454" spans="1:5" ht="15.75" customHeight="1">
      <c r="A2454" s="1">
        <v>550340</v>
      </c>
      <c r="B2454" s="1" t="s">
        <v>2480</v>
      </c>
      <c r="C2454" s="1" t="str">
        <f ca="1">IFERROR(__xludf.DUMMYFUNCTION("REGEXEXTRACT(B2454, ""^([^:]+)"")"),"Fibres")</f>
        <v>Fibres</v>
      </c>
      <c r="D2454" s="1" t="s">
        <v>11</v>
      </c>
      <c r="E2454" s="1" t="s">
        <v>11</v>
      </c>
    </row>
    <row r="2455" spans="1:5" ht="15.75" customHeight="1">
      <c r="A2455" s="1">
        <v>550390</v>
      </c>
      <c r="B2455" s="1" t="s">
        <v>2481</v>
      </c>
      <c r="C2455" s="1" t="str">
        <f ca="1">IFERROR(__xludf.DUMMYFUNCTION("REGEXEXTRACT(B2455, ""^([^:]+)"")"),"Fibres")</f>
        <v>Fibres</v>
      </c>
      <c r="D2455" s="1" t="s">
        <v>11</v>
      </c>
      <c r="E2455" s="1" t="s">
        <v>11</v>
      </c>
    </row>
    <row r="2456" spans="1:5" ht="15.75" customHeight="1">
      <c r="A2456" s="1">
        <v>550410</v>
      </c>
      <c r="B2456" s="1" t="s">
        <v>2482</v>
      </c>
      <c r="C2456" s="1" t="str">
        <f ca="1">IFERROR(__xludf.DUMMYFUNCTION("REGEXEXTRACT(B2456, ""^([^:]+)"")"),"Fibres")</f>
        <v>Fibres</v>
      </c>
      <c r="D2456" s="1" t="s">
        <v>11</v>
      </c>
      <c r="E2456" s="1" t="s">
        <v>11</v>
      </c>
    </row>
    <row r="2457" spans="1:5" ht="15.75" customHeight="1">
      <c r="A2457" s="1">
        <v>550490</v>
      </c>
      <c r="B2457" s="1" t="s">
        <v>2483</v>
      </c>
      <c r="C2457" s="1" t="str">
        <f ca="1">IFERROR(__xludf.DUMMYFUNCTION("REGEXEXTRACT(B2457, ""^([^:]+)"")"),"Fibres")</f>
        <v>Fibres</v>
      </c>
      <c r="D2457" s="1" t="s">
        <v>11</v>
      </c>
      <c r="E2457" s="1" t="s">
        <v>11</v>
      </c>
    </row>
    <row r="2458" spans="1:5" ht="15.75" customHeight="1">
      <c r="A2458" s="1">
        <v>550510</v>
      </c>
      <c r="B2458" s="1" t="s">
        <v>2484</v>
      </c>
      <c r="C2458" s="1" t="str">
        <f ca="1">IFERROR(__xludf.DUMMYFUNCTION("REGEXEXTRACT(B2458, ""^([^:]+)"")"),"Fibres")</f>
        <v>Fibres</v>
      </c>
      <c r="D2458" s="1" t="s">
        <v>11</v>
      </c>
      <c r="E2458" s="1" t="s">
        <v>11</v>
      </c>
    </row>
    <row r="2459" spans="1:5" ht="15.75" customHeight="1">
      <c r="A2459" s="1">
        <v>550520</v>
      </c>
      <c r="B2459" s="1" t="s">
        <v>2485</v>
      </c>
      <c r="C2459" s="1" t="str">
        <f ca="1">IFERROR(__xludf.DUMMYFUNCTION("REGEXEXTRACT(B2459, ""^([^:]+)"")"),"Fibres")</f>
        <v>Fibres</v>
      </c>
      <c r="D2459" s="1" t="s">
        <v>11</v>
      </c>
      <c r="E2459" s="1" t="s">
        <v>11</v>
      </c>
    </row>
    <row r="2460" spans="1:5" ht="15.75" customHeight="1">
      <c r="A2460" s="1">
        <v>550610</v>
      </c>
      <c r="B2460" s="1" t="s">
        <v>2486</v>
      </c>
      <c r="C2460" s="1" t="str">
        <f ca="1">IFERROR(__xludf.DUMMYFUNCTION("REGEXEXTRACT(B2460, ""^([^:]+)"")"),"Fibres")</f>
        <v>Fibres</v>
      </c>
      <c r="D2460" s="1" t="s">
        <v>11</v>
      </c>
      <c r="E2460" s="1" t="s">
        <v>11</v>
      </c>
    </row>
    <row r="2461" spans="1:5" ht="15.75" customHeight="1">
      <c r="A2461" s="1">
        <v>550620</v>
      </c>
      <c r="B2461" s="1" t="s">
        <v>2487</v>
      </c>
      <c r="C2461" s="1" t="str">
        <f ca="1">IFERROR(__xludf.DUMMYFUNCTION("REGEXEXTRACT(B2461, ""^([^:]+)"")"),"Fibres")</f>
        <v>Fibres</v>
      </c>
      <c r="D2461" s="1" t="s">
        <v>11</v>
      </c>
      <c r="E2461" s="1" t="s">
        <v>11</v>
      </c>
    </row>
    <row r="2462" spans="1:5" ht="15.75" customHeight="1">
      <c r="A2462" s="1">
        <v>550630</v>
      </c>
      <c r="B2462" s="1" t="s">
        <v>2488</v>
      </c>
      <c r="C2462" s="1" t="str">
        <f ca="1">IFERROR(__xludf.DUMMYFUNCTION("REGEXEXTRACT(B2462, ""^([^:]+)"")"),"Fibres")</f>
        <v>Fibres</v>
      </c>
      <c r="D2462" s="1" t="s">
        <v>11</v>
      </c>
      <c r="E2462" s="1" t="s">
        <v>11</v>
      </c>
    </row>
    <row r="2463" spans="1:5" ht="15.75" customHeight="1">
      <c r="A2463" s="1">
        <v>550690</v>
      </c>
      <c r="B2463" s="1" t="s">
        <v>2489</v>
      </c>
      <c r="C2463" s="1" t="str">
        <f ca="1">IFERROR(__xludf.DUMMYFUNCTION("REGEXEXTRACT(B2463, ""^([^:]+)"")"),"Fibres")</f>
        <v>Fibres</v>
      </c>
      <c r="D2463" s="1" t="s">
        <v>11</v>
      </c>
      <c r="E2463" s="1" t="s">
        <v>11</v>
      </c>
    </row>
    <row r="2464" spans="1:5" ht="15.75" customHeight="1">
      <c r="A2464" s="1">
        <v>550700</v>
      </c>
      <c r="B2464" s="1" t="s">
        <v>2490</v>
      </c>
      <c r="C2464" s="1" t="str">
        <f ca="1">IFERROR(__xludf.DUMMYFUNCTION("REGEXEXTRACT(B2464, ""^([^:]+)"")"),"Fibres")</f>
        <v>Fibres</v>
      </c>
      <c r="D2464" s="1" t="s">
        <v>11</v>
      </c>
      <c r="E2464" s="1" t="s">
        <v>11</v>
      </c>
    </row>
    <row r="2465" spans="1:5" ht="15.75" customHeight="1">
      <c r="A2465" s="1">
        <v>550810</v>
      </c>
      <c r="B2465" s="1" t="s">
        <v>2491</v>
      </c>
      <c r="C2465" s="1" t="str">
        <f ca="1">IFERROR(__xludf.DUMMYFUNCTION("REGEXEXTRACT(B2465, ""^([^:]+)"")"),"Sewing thread")</f>
        <v>Sewing thread</v>
      </c>
      <c r="D2465" s="1" t="s">
        <v>11</v>
      </c>
      <c r="E2465" s="1" t="s">
        <v>11</v>
      </c>
    </row>
    <row r="2466" spans="1:5" ht="15.75" customHeight="1">
      <c r="A2466" s="1">
        <v>550820</v>
      </c>
      <c r="B2466" s="1" t="s">
        <v>2492</v>
      </c>
      <c r="C2466" s="1" t="str">
        <f ca="1">IFERROR(__xludf.DUMMYFUNCTION("REGEXEXTRACT(B2466, ""^([^:]+)"")"),"Sewing thread")</f>
        <v>Sewing thread</v>
      </c>
      <c r="D2466" s="1" t="s">
        <v>11</v>
      </c>
      <c r="E2466" s="1" t="s">
        <v>11</v>
      </c>
    </row>
    <row r="2467" spans="1:5" ht="15.75" customHeight="1">
      <c r="A2467" s="1">
        <v>550911</v>
      </c>
      <c r="B2467" s="1" t="s">
        <v>2493</v>
      </c>
      <c r="C2467" s="1" t="str">
        <f ca="1">IFERROR(__xludf.DUMMYFUNCTION("REGEXEXTRACT(B2467, ""^([^:]+)"")"),"Yarn")</f>
        <v>Yarn</v>
      </c>
      <c r="D2467" s="1" t="s">
        <v>11</v>
      </c>
      <c r="E2467" s="1" t="s">
        <v>11</v>
      </c>
    </row>
    <row r="2468" spans="1:5" ht="15.75" customHeight="1">
      <c r="A2468" s="1">
        <v>550912</v>
      </c>
      <c r="B2468" s="1" t="s">
        <v>2494</v>
      </c>
      <c r="C2468" s="1" t="str">
        <f ca="1">IFERROR(__xludf.DUMMYFUNCTION("REGEXEXTRACT(B2468, ""^([^:]+)"")"),"Yarn")</f>
        <v>Yarn</v>
      </c>
      <c r="D2468" s="1" t="s">
        <v>11</v>
      </c>
      <c r="E2468" s="1" t="s">
        <v>11</v>
      </c>
    </row>
    <row r="2469" spans="1:5" ht="15.75" customHeight="1">
      <c r="A2469" s="1">
        <v>550921</v>
      </c>
      <c r="B2469" s="1" t="s">
        <v>2495</v>
      </c>
      <c r="C2469" s="1" t="str">
        <f ca="1">IFERROR(__xludf.DUMMYFUNCTION("REGEXEXTRACT(B2469, ""^([^:]+)"")"),"Yarn")</f>
        <v>Yarn</v>
      </c>
      <c r="D2469" s="1" t="s">
        <v>11</v>
      </c>
      <c r="E2469" s="1" t="s">
        <v>11</v>
      </c>
    </row>
    <row r="2470" spans="1:5" ht="15.75" customHeight="1">
      <c r="A2470" s="1">
        <v>550922</v>
      </c>
      <c r="B2470" s="1" t="s">
        <v>2496</v>
      </c>
      <c r="C2470" s="1" t="str">
        <f ca="1">IFERROR(__xludf.DUMMYFUNCTION("REGEXEXTRACT(B2470, ""^([^:]+)"")"),"Yarn")</f>
        <v>Yarn</v>
      </c>
      <c r="D2470" s="1" t="s">
        <v>11</v>
      </c>
      <c r="E2470" s="1" t="s">
        <v>11</v>
      </c>
    </row>
    <row r="2471" spans="1:5" ht="15.75" customHeight="1">
      <c r="A2471" s="1">
        <v>550931</v>
      </c>
      <c r="B2471" s="1" t="s">
        <v>2497</v>
      </c>
      <c r="C2471" s="1" t="str">
        <f ca="1">IFERROR(__xludf.DUMMYFUNCTION("REGEXEXTRACT(B2471, ""^([^:]+)"")"),"Yarn")</f>
        <v>Yarn</v>
      </c>
      <c r="D2471" s="1" t="s">
        <v>11</v>
      </c>
      <c r="E2471" s="1" t="s">
        <v>11</v>
      </c>
    </row>
    <row r="2472" spans="1:5" ht="15.75" customHeight="1">
      <c r="A2472" s="1">
        <v>550932</v>
      </c>
      <c r="B2472" s="1" t="s">
        <v>2498</v>
      </c>
      <c r="C2472" s="1" t="str">
        <f ca="1">IFERROR(__xludf.DUMMYFUNCTION("REGEXEXTRACT(B2472, ""^([^:]+)"")"),"Yarn")</f>
        <v>Yarn</v>
      </c>
      <c r="D2472" s="1" t="s">
        <v>11</v>
      </c>
      <c r="E2472" s="1" t="s">
        <v>11</v>
      </c>
    </row>
    <row r="2473" spans="1:5" ht="15.75" customHeight="1">
      <c r="A2473" s="1">
        <v>550941</v>
      </c>
      <c r="B2473" s="1" t="s">
        <v>2499</v>
      </c>
      <c r="C2473" s="1" t="str">
        <f ca="1">IFERROR(__xludf.DUMMYFUNCTION("REGEXEXTRACT(B2473, ""^([^:]+)"")"),"Yarn")</f>
        <v>Yarn</v>
      </c>
      <c r="D2473" s="1" t="s">
        <v>11</v>
      </c>
      <c r="E2473" s="1" t="s">
        <v>11</v>
      </c>
    </row>
    <row r="2474" spans="1:5" ht="15.75" customHeight="1">
      <c r="A2474" s="1">
        <v>550942</v>
      </c>
      <c r="B2474" s="1" t="s">
        <v>2500</v>
      </c>
      <c r="C2474" s="1" t="str">
        <f ca="1">IFERROR(__xludf.DUMMYFUNCTION("REGEXEXTRACT(B2474, ""^([^:]+)"")"),"Yarn")</f>
        <v>Yarn</v>
      </c>
      <c r="D2474" s="1" t="s">
        <v>11</v>
      </c>
      <c r="E2474" s="1" t="s">
        <v>11</v>
      </c>
    </row>
    <row r="2475" spans="1:5" ht="15.75" customHeight="1">
      <c r="A2475" s="1">
        <v>550951</v>
      </c>
      <c r="B2475" s="1" t="s">
        <v>2501</v>
      </c>
      <c r="C2475" s="1" t="str">
        <f ca="1">IFERROR(__xludf.DUMMYFUNCTION("REGEXEXTRACT(B2475, ""^([^:]+)"")"),"Yarn")</f>
        <v>Yarn</v>
      </c>
      <c r="D2475" s="1" t="s">
        <v>11</v>
      </c>
      <c r="E2475" s="1" t="s">
        <v>11</v>
      </c>
    </row>
    <row r="2476" spans="1:5" ht="15.75" customHeight="1">
      <c r="A2476" s="1">
        <v>550952</v>
      </c>
      <c r="B2476" s="1" t="s">
        <v>2502</v>
      </c>
      <c r="C2476" s="1" t="str">
        <f ca="1">IFERROR(__xludf.DUMMYFUNCTION("REGEXEXTRACT(B2476, ""^([^:]+)"")"),"Yarn")</f>
        <v>Yarn</v>
      </c>
      <c r="D2476" s="1" t="s">
        <v>11</v>
      </c>
      <c r="E2476" s="1" t="s">
        <v>11</v>
      </c>
    </row>
    <row r="2477" spans="1:5" ht="15.75" customHeight="1">
      <c r="A2477" s="1">
        <v>550953</v>
      </c>
      <c r="B2477" s="1" t="s">
        <v>2503</v>
      </c>
      <c r="C2477" s="1" t="str">
        <f ca="1">IFERROR(__xludf.DUMMYFUNCTION("REGEXEXTRACT(B2477, ""^([^:]+)"")"),"Yarn")</f>
        <v>Yarn</v>
      </c>
      <c r="D2477" s="1" t="s">
        <v>11</v>
      </c>
      <c r="E2477" s="1" t="s">
        <v>11</v>
      </c>
    </row>
    <row r="2478" spans="1:5" ht="15.75" customHeight="1">
      <c r="A2478" s="1">
        <v>550959</v>
      </c>
      <c r="B2478" s="1" t="s">
        <v>2504</v>
      </c>
      <c r="C2478" s="1" t="str">
        <f ca="1">IFERROR(__xludf.DUMMYFUNCTION("REGEXEXTRACT(B2478, ""^([^:]+)"")"),"Yarn")</f>
        <v>Yarn</v>
      </c>
      <c r="D2478" s="1" t="s">
        <v>11</v>
      </c>
      <c r="E2478" s="1" t="s">
        <v>11</v>
      </c>
    </row>
    <row r="2479" spans="1:5" ht="15.75" customHeight="1">
      <c r="A2479" s="1">
        <v>550961</v>
      </c>
      <c r="B2479" s="1" t="s">
        <v>2505</v>
      </c>
      <c r="C2479" s="1" t="str">
        <f ca="1">IFERROR(__xludf.DUMMYFUNCTION("REGEXEXTRACT(B2479, ""^([^:]+)"")"),"Yarn")</f>
        <v>Yarn</v>
      </c>
      <c r="D2479" s="1" t="s">
        <v>11</v>
      </c>
      <c r="E2479" s="1" t="s">
        <v>11</v>
      </c>
    </row>
    <row r="2480" spans="1:5" ht="15.75" customHeight="1">
      <c r="A2480" s="1">
        <v>550962</v>
      </c>
      <c r="B2480" s="1" t="s">
        <v>2506</v>
      </c>
      <c r="C2480" s="1" t="str">
        <f ca="1">IFERROR(__xludf.DUMMYFUNCTION("REGEXEXTRACT(B2480, ""^([^:]+)"")"),"Yarn")</f>
        <v>Yarn</v>
      </c>
      <c r="D2480" s="1" t="s">
        <v>11</v>
      </c>
      <c r="E2480" s="1" t="s">
        <v>11</v>
      </c>
    </row>
    <row r="2481" spans="1:5" ht="15.75" customHeight="1">
      <c r="A2481" s="1">
        <v>550969</v>
      </c>
      <c r="B2481" s="1" t="s">
        <v>2507</v>
      </c>
      <c r="C2481" s="1" t="str">
        <f ca="1">IFERROR(__xludf.DUMMYFUNCTION("REGEXEXTRACT(B2481, ""^([^:]+)"")"),"Yarn")</f>
        <v>Yarn</v>
      </c>
      <c r="D2481" s="1" t="s">
        <v>11</v>
      </c>
      <c r="E2481" s="1" t="s">
        <v>11</v>
      </c>
    </row>
    <row r="2482" spans="1:5" ht="15.75" customHeight="1">
      <c r="A2482" s="1">
        <v>550991</v>
      </c>
      <c r="B2482" s="1" t="s">
        <v>2508</v>
      </c>
      <c r="C2482" s="1" t="str">
        <f ca="1">IFERROR(__xludf.DUMMYFUNCTION("REGEXEXTRACT(B2482, ""^([^:]+)"")"),"Yarn")</f>
        <v>Yarn</v>
      </c>
      <c r="D2482" s="1" t="s">
        <v>11</v>
      </c>
      <c r="E2482" s="1" t="s">
        <v>11</v>
      </c>
    </row>
    <row r="2483" spans="1:5" ht="15.75" customHeight="1">
      <c r="A2483" s="1">
        <v>550992</v>
      </c>
      <c r="B2483" s="1" t="s">
        <v>2509</v>
      </c>
      <c r="C2483" s="1" t="str">
        <f ca="1">IFERROR(__xludf.DUMMYFUNCTION("REGEXEXTRACT(B2483, ""^([^:]+)"")"),"Yarn")</f>
        <v>Yarn</v>
      </c>
      <c r="D2483" s="1" t="s">
        <v>11</v>
      </c>
      <c r="E2483" s="1" t="s">
        <v>11</v>
      </c>
    </row>
    <row r="2484" spans="1:5" ht="15.75" customHeight="1">
      <c r="A2484" s="1">
        <v>550999</v>
      </c>
      <c r="B2484" s="1" t="s">
        <v>2510</v>
      </c>
      <c r="C2484" s="1" t="str">
        <f ca="1">IFERROR(__xludf.DUMMYFUNCTION("REGEXEXTRACT(B2484, ""^([^:]+)"")"),"Yarn")</f>
        <v>Yarn</v>
      </c>
      <c r="D2484" s="1" t="s">
        <v>11</v>
      </c>
      <c r="E2484" s="1" t="s">
        <v>11</v>
      </c>
    </row>
    <row r="2485" spans="1:5" ht="15.75" customHeight="1">
      <c r="A2485" s="1">
        <v>551011</v>
      </c>
      <c r="B2485" s="1" t="s">
        <v>2511</v>
      </c>
      <c r="C2485" s="1" t="str">
        <f ca="1">IFERROR(__xludf.DUMMYFUNCTION("REGEXEXTRACT(B2485, ""^([^:]+)"")"),"Yarn")</f>
        <v>Yarn</v>
      </c>
      <c r="D2485" s="1" t="s">
        <v>11</v>
      </c>
      <c r="E2485" s="1" t="s">
        <v>11</v>
      </c>
    </row>
    <row r="2486" spans="1:5" ht="15.75" customHeight="1">
      <c r="A2486" s="1">
        <v>551012</v>
      </c>
      <c r="B2486" s="1" t="s">
        <v>2512</v>
      </c>
      <c r="C2486" s="1" t="str">
        <f ca="1">IFERROR(__xludf.DUMMYFUNCTION("REGEXEXTRACT(B2486, ""^([^:]+)"")"),"Yarn")</f>
        <v>Yarn</v>
      </c>
      <c r="D2486" s="1" t="s">
        <v>11</v>
      </c>
      <c r="E2486" s="1" t="s">
        <v>11</v>
      </c>
    </row>
    <row r="2487" spans="1:5" ht="15.75" customHeight="1">
      <c r="A2487" s="1">
        <v>551020</v>
      </c>
      <c r="B2487" s="1" t="s">
        <v>2513</v>
      </c>
      <c r="C2487" s="1" t="str">
        <f ca="1">IFERROR(__xludf.DUMMYFUNCTION("REGEXEXTRACT(B2487, ""^([^:]+)"")"),"Yarn")</f>
        <v>Yarn</v>
      </c>
      <c r="D2487" s="1" t="s">
        <v>11</v>
      </c>
      <c r="E2487" s="1" t="s">
        <v>11</v>
      </c>
    </row>
    <row r="2488" spans="1:5" ht="15.75" customHeight="1">
      <c r="A2488" s="1">
        <v>551030</v>
      </c>
      <c r="B2488" s="1" t="s">
        <v>2514</v>
      </c>
      <c r="C2488" s="1" t="str">
        <f ca="1">IFERROR(__xludf.DUMMYFUNCTION("REGEXEXTRACT(B2488, ""^([^:]+)"")"),"Yarn")</f>
        <v>Yarn</v>
      </c>
      <c r="D2488" s="1" t="s">
        <v>11</v>
      </c>
      <c r="E2488" s="1" t="s">
        <v>11</v>
      </c>
    </row>
    <row r="2489" spans="1:5" ht="15.75" customHeight="1">
      <c r="A2489" s="1">
        <v>551090</v>
      </c>
      <c r="B2489" s="1" t="s">
        <v>2515</v>
      </c>
      <c r="C2489" s="1" t="str">
        <f ca="1">IFERROR(__xludf.DUMMYFUNCTION("REGEXEXTRACT(B2489, ""^([^:]+)"")"),"Yarn")</f>
        <v>Yarn</v>
      </c>
      <c r="D2489" s="1" t="s">
        <v>11</v>
      </c>
      <c r="E2489" s="1" t="s">
        <v>11</v>
      </c>
    </row>
    <row r="2490" spans="1:5" ht="15.75" customHeight="1">
      <c r="A2490" s="1">
        <v>551110</v>
      </c>
      <c r="B2490" s="1" t="s">
        <v>2516</v>
      </c>
      <c r="C2490" s="1" t="str">
        <f ca="1">IFERROR(__xludf.DUMMYFUNCTION("REGEXEXTRACT(B2490, ""^([^:]+)"")"),"Yarn")</f>
        <v>Yarn</v>
      </c>
      <c r="D2490" s="1" t="s">
        <v>11</v>
      </c>
      <c r="E2490" s="1" t="s">
        <v>11</v>
      </c>
    </row>
    <row r="2491" spans="1:5" ht="15.75" customHeight="1">
      <c r="A2491" s="1">
        <v>551120</v>
      </c>
      <c r="B2491" s="1" t="s">
        <v>2517</v>
      </c>
      <c r="C2491" s="1" t="str">
        <f ca="1">IFERROR(__xludf.DUMMYFUNCTION("REGEXEXTRACT(B2491, ""^([^:]+)"")"),"Yarn")</f>
        <v>Yarn</v>
      </c>
      <c r="D2491" s="1" t="s">
        <v>11</v>
      </c>
      <c r="E2491" s="1" t="s">
        <v>11</v>
      </c>
    </row>
    <row r="2492" spans="1:5" ht="15.75" customHeight="1">
      <c r="A2492" s="1">
        <v>551130</v>
      </c>
      <c r="B2492" s="1" t="s">
        <v>2518</v>
      </c>
      <c r="C2492" s="1" t="str">
        <f ca="1">IFERROR(__xludf.DUMMYFUNCTION("REGEXEXTRACT(B2492, ""^([^:]+)"")"),"Yarn")</f>
        <v>Yarn</v>
      </c>
      <c r="D2492" s="1" t="s">
        <v>11</v>
      </c>
      <c r="E2492" s="1" t="s">
        <v>11</v>
      </c>
    </row>
    <row r="2493" spans="1:5" ht="15.75" customHeight="1">
      <c r="A2493" s="1">
        <v>551211</v>
      </c>
      <c r="B2493" s="1" t="s">
        <v>2519</v>
      </c>
      <c r="C2493" s="1" t="str">
        <f ca="1">IFERROR(__xludf.DUMMYFUNCTION("REGEXEXTRACT(B2493, ""^([^:]+)"")"),"Fabrics, woven")</f>
        <v>Fabrics, woven</v>
      </c>
      <c r="D2493" s="1" t="s">
        <v>11</v>
      </c>
      <c r="E2493" s="1" t="s">
        <v>11</v>
      </c>
    </row>
    <row r="2494" spans="1:5" ht="15.75" customHeight="1">
      <c r="A2494" s="1">
        <v>551219</v>
      </c>
      <c r="B2494" s="1" t="s">
        <v>2520</v>
      </c>
      <c r="C2494" s="1" t="str">
        <f ca="1">IFERROR(__xludf.DUMMYFUNCTION("REGEXEXTRACT(B2494, ""^([^:]+)"")"),"Fabrics, woven")</f>
        <v>Fabrics, woven</v>
      </c>
      <c r="D2494" s="1" t="s">
        <v>11</v>
      </c>
      <c r="E2494" s="1" t="s">
        <v>11</v>
      </c>
    </row>
    <row r="2495" spans="1:5" ht="15.75" customHeight="1">
      <c r="A2495" s="1">
        <v>551221</v>
      </c>
      <c r="B2495" s="1" t="s">
        <v>2521</v>
      </c>
      <c r="C2495" s="1" t="str">
        <f ca="1">IFERROR(__xludf.DUMMYFUNCTION("REGEXEXTRACT(B2495, ""^([^:]+)"")"),"Fabrics, woven")</f>
        <v>Fabrics, woven</v>
      </c>
      <c r="D2495" s="1" t="s">
        <v>11</v>
      </c>
      <c r="E2495" s="1" t="s">
        <v>11</v>
      </c>
    </row>
    <row r="2496" spans="1:5" ht="15.75" customHeight="1">
      <c r="A2496" s="1">
        <v>551229</v>
      </c>
      <c r="B2496" s="1" t="s">
        <v>2522</v>
      </c>
      <c r="C2496" s="1" t="str">
        <f ca="1">IFERROR(__xludf.DUMMYFUNCTION("REGEXEXTRACT(B2496, ""^([^:]+)"")"),"Fabrics, woven")</f>
        <v>Fabrics, woven</v>
      </c>
      <c r="D2496" s="1" t="s">
        <v>11</v>
      </c>
      <c r="E2496" s="1" t="s">
        <v>11</v>
      </c>
    </row>
    <row r="2497" spans="1:5" ht="15.75" customHeight="1">
      <c r="A2497" s="1">
        <v>551291</v>
      </c>
      <c r="B2497" s="1" t="s">
        <v>2523</v>
      </c>
      <c r="C2497" s="1" t="str">
        <f ca="1">IFERROR(__xludf.DUMMYFUNCTION("REGEXEXTRACT(B2497, ""^([^:]+)"")"),"Fabrics, woven")</f>
        <v>Fabrics, woven</v>
      </c>
      <c r="D2497" s="1" t="s">
        <v>11</v>
      </c>
      <c r="E2497" s="1" t="s">
        <v>11</v>
      </c>
    </row>
    <row r="2498" spans="1:5" ht="15.75" customHeight="1">
      <c r="A2498" s="1">
        <v>551299</v>
      </c>
      <c r="B2498" s="1" t="s">
        <v>2524</v>
      </c>
      <c r="C2498" s="1" t="str">
        <f ca="1">IFERROR(__xludf.DUMMYFUNCTION("REGEXEXTRACT(B2498, ""^([^:]+)"")"),"Fabrics, woven")</f>
        <v>Fabrics, woven</v>
      </c>
      <c r="D2498" s="1" t="s">
        <v>11</v>
      </c>
      <c r="E2498" s="1" t="s">
        <v>11</v>
      </c>
    </row>
    <row r="2499" spans="1:5" ht="15.75" customHeight="1">
      <c r="A2499" s="1">
        <v>551311</v>
      </c>
      <c r="B2499" s="1" t="s">
        <v>2525</v>
      </c>
      <c r="C2499" s="1" t="str">
        <f ca="1">IFERROR(__xludf.DUMMYFUNCTION("REGEXEXTRACT(B2499, ""^([^:]+)"")"),"Fabrics, woven")</f>
        <v>Fabrics, woven</v>
      </c>
      <c r="D2499" s="1" t="s">
        <v>11</v>
      </c>
      <c r="E2499" s="1" t="s">
        <v>11</v>
      </c>
    </row>
    <row r="2500" spans="1:5" ht="15.75" customHeight="1">
      <c r="A2500" s="1">
        <v>551312</v>
      </c>
      <c r="B2500" s="1" t="s">
        <v>2526</v>
      </c>
      <c r="C2500" s="1" t="str">
        <f ca="1">IFERROR(__xludf.DUMMYFUNCTION("REGEXEXTRACT(B2500, ""^([^:]+)"")"),"Fabrics, woven")</f>
        <v>Fabrics, woven</v>
      </c>
      <c r="D2500" s="1" t="s">
        <v>11</v>
      </c>
      <c r="E2500" s="1" t="s">
        <v>11</v>
      </c>
    </row>
    <row r="2501" spans="1:5" ht="15.75" customHeight="1">
      <c r="A2501" s="1">
        <v>551313</v>
      </c>
      <c r="B2501" s="1" t="s">
        <v>2527</v>
      </c>
      <c r="C2501" s="1" t="str">
        <f ca="1">IFERROR(__xludf.DUMMYFUNCTION("REGEXEXTRACT(B2501, ""^([^:]+)"")"),"Fabrics, woven")</f>
        <v>Fabrics, woven</v>
      </c>
      <c r="D2501" s="1" t="s">
        <v>11</v>
      </c>
      <c r="E2501" s="1" t="s">
        <v>11</v>
      </c>
    </row>
    <row r="2502" spans="1:5" ht="15.75" customHeight="1">
      <c r="A2502" s="1">
        <v>551319</v>
      </c>
      <c r="B2502" s="1" t="s">
        <v>2528</v>
      </c>
      <c r="C2502" s="1" t="str">
        <f ca="1">IFERROR(__xludf.DUMMYFUNCTION("REGEXEXTRACT(B2502, ""^([^:]+)"")"),"Fabrics, woven")</f>
        <v>Fabrics, woven</v>
      </c>
      <c r="D2502" s="1" t="s">
        <v>11</v>
      </c>
      <c r="E2502" s="1" t="s">
        <v>11</v>
      </c>
    </row>
    <row r="2503" spans="1:5" ht="15.75" customHeight="1">
      <c r="A2503" s="1">
        <v>551321</v>
      </c>
      <c r="B2503" s="1" t="s">
        <v>2529</v>
      </c>
      <c r="C2503" s="1" t="str">
        <f ca="1">IFERROR(__xludf.DUMMYFUNCTION("REGEXEXTRACT(B2503, ""^([^:]+)"")"),"Fabrics, woven")</f>
        <v>Fabrics, woven</v>
      </c>
      <c r="D2503" s="1" t="s">
        <v>11</v>
      </c>
      <c r="E2503" s="1" t="s">
        <v>11</v>
      </c>
    </row>
    <row r="2504" spans="1:5" ht="15.75" customHeight="1">
      <c r="A2504" s="1">
        <v>551323</v>
      </c>
      <c r="B2504" s="1" t="s">
        <v>2530</v>
      </c>
      <c r="C2504" s="1" t="str">
        <f ca="1">IFERROR(__xludf.DUMMYFUNCTION("REGEXEXTRACT(B2504, ""^([^:]+)"")"),"Fabrics, woven")</f>
        <v>Fabrics, woven</v>
      </c>
      <c r="D2504" s="1" t="s">
        <v>11</v>
      </c>
      <c r="E2504" s="1" t="s">
        <v>11</v>
      </c>
    </row>
    <row r="2505" spans="1:5" ht="15.75" customHeight="1">
      <c r="A2505" s="1">
        <v>551329</v>
      </c>
      <c r="B2505" s="1" t="s">
        <v>2531</v>
      </c>
      <c r="C2505" s="1" t="str">
        <f ca="1">IFERROR(__xludf.DUMMYFUNCTION("REGEXEXTRACT(B2505, ""^([^:]+)"")"),"Fabrics, woven")</f>
        <v>Fabrics, woven</v>
      </c>
      <c r="D2505" s="1" t="s">
        <v>11</v>
      </c>
      <c r="E2505" s="1" t="s">
        <v>11</v>
      </c>
    </row>
    <row r="2506" spans="1:5" ht="15.75" customHeight="1">
      <c r="A2506" s="1">
        <v>551331</v>
      </c>
      <c r="B2506" s="1" t="s">
        <v>2532</v>
      </c>
      <c r="C2506" s="1" t="str">
        <f ca="1">IFERROR(__xludf.DUMMYFUNCTION("REGEXEXTRACT(B2506, ""^([^:]+)"")"),"Fabrics, woven")</f>
        <v>Fabrics, woven</v>
      </c>
      <c r="D2506" s="1" t="s">
        <v>11</v>
      </c>
      <c r="E2506" s="1" t="s">
        <v>11</v>
      </c>
    </row>
    <row r="2507" spans="1:5" ht="15.75" customHeight="1">
      <c r="A2507" s="1">
        <v>551339</v>
      </c>
      <c r="B2507" s="1" t="s">
        <v>2533</v>
      </c>
      <c r="C2507" s="1" t="str">
        <f ca="1">IFERROR(__xludf.DUMMYFUNCTION("REGEXEXTRACT(B2507, ""^([^:]+)"")"),"Fabrics, woven")</f>
        <v>Fabrics, woven</v>
      </c>
      <c r="D2507" s="1" t="s">
        <v>11</v>
      </c>
      <c r="E2507" s="1" t="s">
        <v>11</v>
      </c>
    </row>
    <row r="2508" spans="1:5" ht="15.75" customHeight="1">
      <c r="A2508" s="1">
        <v>551341</v>
      </c>
      <c r="B2508" s="1" t="s">
        <v>2534</v>
      </c>
      <c r="C2508" s="1" t="str">
        <f ca="1">IFERROR(__xludf.DUMMYFUNCTION("REGEXEXTRACT(B2508, ""^([^:]+)"")"),"Fabrics, woven")</f>
        <v>Fabrics, woven</v>
      </c>
      <c r="D2508" s="1" t="s">
        <v>11</v>
      </c>
      <c r="E2508" s="1" t="s">
        <v>11</v>
      </c>
    </row>
    <row r="2509" spans="1:5" ht="15.75" customHeight="1">
      <c r="A2509" s="1">
        <v>551349</v>
      </c>
      <c r="B2509" s="1" t="s">
        <v>2535</v>
      </c>
      <c r="C2509" s="1" t="str">
        <f ca="1">IFERROR(__xludf.DUMMYFUNCTION("REGEXEXTRACT(B2509, ""^([^:]+)"")"),"Fabrics, woven")</f>
        <v>Fabrics, woven</v>
      </c>
      <c r="D2509" s="1" t="s">
        <v>11</v>
      </c>
      <c r="E2509" s="1" t="s">
        <v>11</v>
      </c>
    </row>
    <row r="2510" spans="1:5" ht="15.75" customHeight="1">
      <c r="A2510" s="1">
        <v>551411</v>
      </c>
      <c r="B2510" s="1" t="s">
        <v>2536</v>
      </c>
      <c r="C2510" s="1" t="str">
        <f ca="1">IFERROR(__xludf.DUMMYFUNCTION("REGEXEXTRACT(B2510, ""^([^:]+)"")"),"Fabrics, woven")</f>
        <v>Fabrics, woven</v>
      </c>
      <c r="D2510" s="1" t="s">
        <v>11</v>
      </c>
      <c r="E2510" s="1" t="s">
        <v>11</v>
      </c>
    </row>
    <row r="2511" spans="1:5" ht="15.75" customHeight="1">
      <c r="A2511" s="1">
        <v>551412</v>
      </c>
      <c r="B2511" s="1" t="s">
        <v>2537</v>
      </c>
      <c r="C2511" s="1" t="str">
        <f ca="1">IFERROR(__xludf.DUMMYFUNCTION("REGEXEXTRACT(B2511, ""^([^:]+)"")"),"Fabrics, woven")</f>
        <v>Fabrics, woven</v>
      </c>
      <c r="D2511" s="1" t="s">
        <v>11</v>
      </c>
      <c r="E2511" s="1" t="s">
        <v>11</v>
      </c>
    </row>
    <row r="2512" spans="1:5" ht="15.75" customHeight="1">
      <c r="A2512" s="1">
        <v>551419</v>
      </c>
      <c r="B2512" s="1" t="s">
        <v>2538</v>
      </c>
      <c r="C2512" s="1" t="str">
        <f ca="1">IFERROR(__xludf.DUMMYFUNCTION("REGEXEXTRACT(B2512, ""^([^:]+)"")"),"Fabrics, woven")</f>
        <v>Fabrics, woven</v>
      </c>
      <c r="D2512" s="1" t="s">
        <v>11</v>
      </c>
      <c r="E2512" s="1" t="s">
        <v>11</v>
      </c>
    </row>
    <row r="2513" spans="1:5" ht="15.75" customHeight="1">
      <c r="A2513" s="1">
        <v>551421</v>
      </c>
      <c r="B2513" s="1" t="s">
        <v>2539</v>
      </c>
      <c r="C2513" s="1" t="str">
        <f ca="1">IFERROR(__xludf.DUMMYFUNCTION("REGEXEXTRACT(B2513, ""^([^:]+)"")"),"Fabrics, woven")</f>
        <v>Fabrics, woven</v>
      </c>
      <c r="D2513" s="1" t="s">
        <v>11</v>
      </c>
      <c r="E2513" s="1" t="s">
        <v>11</v>
      </c>
    </row>
    <row r="2514" spans="1:5" ht="15.75" customHeight="1">
      <c r="A2514" s="1">
        <v>551422</v>
      </c>
      <c r="B2514" s="1" t="s">
        <v>2540</v>
      </c>
      <c r="C2514" s="1" t="str">
        <f ca="1">IFERROR(__xludf.DUMMYFUNCTION("REGEXEXTRACT(B2514, ""^([^:]+)"")"),"Fabrics, woven")</f>
        <v>Fabrics, woven</v>
      </c>
      <c r="D2514" s="1" t="s">
        <v>11</v>
      </c>
      <c r="E2514" s="1" t="s">
        <v>11</v>
      </c>
    </row>
    <row r="2515" spans="1:5" ht="15.75" customHeight="1">
      <c r="A2515" s="1">
        <v>551423</v>
      </c>
      <c r="B2515" s="1" t="s">
        <v>2541</v>
      </c>
      <c r="C2515" s="1" t="str">
        <f ca="1">IFERROR(__xludf.DUMMYFUNCTION("REGEXEXTRACT(B2515, ""^([^:]+)"")"),"Fabrics, woven")</f>
        <v>Fabrics, woven</v>
      </c>
      <c r="D2515" s="1" t="s">
        <v>11</v>
      </c>
      <c r="E2515" s="1" t="s">
        <v>11</v>
      </c>
    </row>
    <row r="2516" spans="1:5" ht="15.75" customHeight="1">
      <c r="A2516" s="1">
        <v>551429</v>
      </c>
      <c r="B2516" s="1" t="s">
        <v>2542</v>
      </c>
      <c r="C2516" s="1" t="str">
        <f ca="1">IFERROR(__xludf.DUMMYFUNCTION("REGEXEXTRACT(B2516, ""^([^:]+)"")"),"Fabrics, woven")</f>
        <v>Fabrics, woven</v>
      </c>
      <c r="D2516" s="1" t="s">
        <v>11</v>
      </c>
      <c r="E2516" s="1" t="s">
        <v>11</v>
      </c>
    </row>
    <row r="2517" spans="1:5" ht="15.75" customHeight="1">
      <c r="A2517" s="1">
        <v>551430</v>
      </c>
      <c r="B2517" s="1" t="s">
        <v>2543</v>
      </c>
      <c r="C2517" s="1" t="str">
        <f ca="1">IFERROR(__xludf.DUMMYFUNCTION("REGEXEXTRACT(B2517, ""^([^:]+)"")"),"Fabrics, woven")</f>
        <v>Fabrics, woven</v>
      </c>
      <c r="D2517" s="1" t="s">
        <v>11</v>
      </c>
      <c r="E2517" s="1" t="s">
        <v>11</v>
      </c>
    </row>
    <row r="2518" spans="1:5" ht="15.75" customHeight="1">
      <c r="A2518" s="1">
        <v>551441</v>
      </c>
      <c r="B2518" s="1" t="s">
        <v>2544</v>
      </c>
      <c r="C2518" s="1" t="str">
        <f ca="1">IFERROR(__xludf.DUMMYFUNCTION("REGEXEXTRACT(B2518, ""^([^:]+)"")"),"Fabrics, woven")</f>
        <v>Fabrics, woven</v>
      </c>
      <c r="D2518" s="1" t="s">
        <v>11</v>
      </c>
      <c r="E2518" s="1" t="s">
        <v>11</v>
      </c>
    </row>
    <row r="2519" spans="1:5" ht="15.75" customHeight="1">
      <c r="A2519" s="1">
        <v>551442</v>
      </c>
      <c r="B2519" s="1" t="s">
        <v>2545</v>
      </c>
      <c r="C2519" s="1" t="str">
        <f ca="1">IFERROR(__xludf.DUMMYFUNCTION("REGEXEXTRACT(B2519, ""^([^:]+)"")"),"Fabrics, woven")</f>
        <v>Fabrics, woven</v>
      </c>
      <c r="D2519" s="1" t="s">
        <v>11</v>
      </c>
      <c r="E2519" s="1" t="s">
        <v>11</v>
      </c>
    </row>
    <row r="2520" spans="1:5" ht="15.75" customHeight="1">
      <c r="A2520" s="1">
        <v>551443</v>
      </c>
      <c r="B2520" s="1" t="s">
        <v>2546</v>
      </c>
      <c r="C2520" s="1" t="str">
        <f ca="1">IFERROR(__xludf.DUMMYFUNCTION("REGEXEXTRACT(B2520, ""^([^:]+)"")"),"Fabrics, woven")</f>
        <v>Fabrics, woven</v>
      </c>
      <c r="D2520" s="1" t="s">
        <v>11</v>
      </c>
      <c r="E2520" s="1" t="s">
        <v>11</v>
      </c>
    </row>
    <row r="2521" spans="1:5" ht="15.75" customHeight="1">
      <c r="A2521" s="1">
        <v>551449</v>
      </c>
      <c r="B2521" s="1" t="s">
        <v>2547</v>
      </c>
      <c r="C2521" s="1" t="str">
        <f ca="1">IFERROR(__xludf.DUMMYFUNCTION("REGEXEXTRACT(B2521, ""^([^:]+)"")"),"Fabrics, woven")</f>
        <v>Fabrics, woven</v>
      </c>
      <c r="D2521" s="1" t="s">
        <v>11</v>
      </c>
      <c r="E2521" s="1" t="s">
        <v>11</v>
      </c>
    </row>
    <row r="2522" spans="1:5" ht="15.75" customHeight="1">
      <c r="A2522" s="1">
        <v>551511</v>
      </c>
      <c r="B2522" s="1" t="s">
        <v>2548</v>
      </c>
      <c r="C2522" s="1" t="str">
        <f ca="1">IFERROR(__xludf.DUMMYFUNCTION("REGEXEXTRACT(B2522, ""^([^:]+)"")"),"Fabrics, woven")</f>
        <v>Fabrics, woven</v>
      </c>
      <c r="D2522" s="1" t="s">
        <v>11</v>
      </c>
      <c r="E2522" s="1" t="s">
        <v>11</v>
      </c>
    </row>
    <row r="2523" spans="1:5" ht="15.75" customHeight="1">
      <c r="A2523" s="1">
        <v>551512</v>
      </c>
      <c r="B2523" s="1" t="s">
        <v>2549</v>
      </c>
      <c r="C2523" s="1" t="str">
        <f ca="1">IFERROR(__xludf.DUMMYFUNCTION("REGEXEXTRACT(B2523, ""^([^:]+)"")"),"Fabrics, woven")</f>
        <v>Fabrics, woven</v>
      </c>
      <c r="D2523" s="1" t="s">
        <v>11</v>
      </c>
      <c r="E2523" s="1" t="s">
        <v>11</v>
      </c>
    </row>
    <row r="2524" spans="1:5" ht="15.75" customHeight="1">
      <c r="A2524" s="1">
        <v>551513</v>
      </c>
      <c r="B2524" s="1" t="s">
        <v>2550</v>
      </c>
      <c r="C2524" s="1" t="str">
        <f ca="1">IFERROR(__xludf.DUMMYFUNCTION("REGEXEXTRACT(B2524, ""^([^:]+)"")"),"Fabrics, woven")</f>
        <v>Fabrics, woven</v>
      </c>
      <c r="D2524" s="1" t="s">
        <v>11</v>
      </c>
      <c r="E2524" s="1" t="s">
        <v>11</v>
      </c>
    </row>
    <row r="2525" spans="1:5" ht="15.75" customHeight="1">
      <c r="A2525" s="1">
        <v>551519</v>
      </c>
      <c r="B2525" s="1" t="s">
        <v>2551</v>
      </c>
      <c r="C2525" s="1" t="str">
        <f ca="1">IFERROR(__xludf.DUMMYFUNCTION("REGEXEXTRACT(B2525, ""^([^:]+)"")"),"Fabrics, woven")</f>
        <v>Fabrics, woven</v>
      </c>
      <c r="D2525" s="1" t="s">
        <v>11</v>
      </c>
      <c r="E2525" s="1" t="s">
        <v>11</v>
      </c>
    </row>
    <row r="2526" spans="1:5" ht="15.75" customHeight="1">
      <c r="A2526" s="1">
        <v>551521</v>
      </c>
      <c r="B2526" s="1" t="s">
        <v>2552</v>
      </c>
      <c r="C2526" s="1" t="str">
        <f ca="1">IFERROR(__xludf.DUMMYFUNCTION("REGEXEXTRACT(B2526, ""^([^:]+)"")"),"Fabrics, woven")</f>
        <v>Fabrics, woven</v>
      </c>
      <c r="D2526" s="1" t="s">
        <v>11</v>
      </c>
      <c r="E2526" s="1" t="s">
        <v>11</v>
      </c>
    </row>
    <row r="2527" spans="1:5" ht="15.75" customHeight="1">
      <c r="A2527" s="1">
        <v>551522</v>
      </c>
      <c r="B2527" s="1" t="s">
        <v>2553</v>
      </c>
      <c r="C2527" s="1" t="str">
        <f ca="1">IFERROR(__xludf.DUMMYFUNCTION("REGEXEXTRACT(B2527, ""^([^:]+)"")"),"Fabrics, woven")</f>
        <v>Fabrics, woven</v>
      </c>
      <c r="D2527" s="1" t="s">
        <v>11</v>
      </c>
      <c r="E2527" s="1" t="s">
        <v>11</v>
      </c>
    </row>
    <row r="2528" spans="1:5" ht="15.75" customHeight="1">
      <c r="A2528" s="1">
        <v>551529</v>
      </c>
      <c r="B2528" s="1" t="s">
        <v>2554</v>
      </c>
      <c r="C2528" s="1" t="str">
        <f ca="1">IFERROR(__xludf.DUMMYFUNCTION("REGEXEXTRACT(B2528, ""^([^:]+)"")"),"Fabrics, woven")</f>
        <v>Fabrics, woven</v>
      </c>
      <c r="D2528" s="1" t="s">
        <v>11</v>
      </c>
      <c r="E2528" s="1" t="s">
        <v>11</v>
      </c>
    </row>
    <row r="2529" spans="1:5" ht="15.75" customHeight="1">
      <c r="A2529" s="1">
        <v>551591</v>
      </c>
      <c r="B2529" s="1" t="s">
        <v>2555</v>
      </c>
      <c r="C2529" s="1" t="str">
        <f ca="1">IFERROR(__xludf.DUMMYFUNCTION("REGEXEXTRACT(B2529, ""^([^:]+)"")"),"Fabrics, woven")</f>
        <v>Fabrics, woven</v>
      </c>
      <c r="D2529" s="1" t="s">
        <v>11</v>
      </c>
      <c r="E2529" s="1" t="s">
        <v>11</v>
      </c>
    </row>
    <row r="2530" spans="1:5" ht="15.75" customHeight="1">
      <c r="A2530" s="1">
        <v>551599</v>
      </c>
      <c r="B2530" s="1" t="s">
        <v>2556</v>
      </c>
      <c r="C2530" s="1" t="str">
        <f ca="1">IFERROR(__xludf.DUMMYFUNCTION("REGEXEXTRACT(B2530, ""^([^:]+)"")"),"Fabrics, woven")</f>
        <v>Fabrics, woven</v>
      </c>
      <c r="D2530" s="1" t="s">
        <v>11</v>
      </c>
      <c r="E2530" s="1" t="s">
        <v>11</v>
      </c>
    </row>
    <row r="2531" spans="1:5" ht="15.75" customHeight="1">
      <c r="A2531" s="1">
        <v>551611</v>
      </c>
      <c r="B2531" s="1" t="s">
        <v>2557</v>
      </c>
      <c r="C2531" s="1" t="str">
        <f ca="1">IFERROR(__xludf.DUMMYFUNCTION("REGEXEXTRACT(B2531, ""^([^:]+)"")"),"Fabrics, woven")</f>
        <v>Fabrics, woven</v>
      </c>
      <c r="D2531" s="1" t="s">
        <v>11</v>
      </c>
      <c r="E2531" s="1" t="s">
        <v>11</v>
      </c>
    </row>
    <row r="2532" spans="1:5" ht="15.75" customHeight="1">
      <c r="A2532" s="1">
        <v>551612</v>
      </c>
      <c r="B2532" s="1" t="s">
        <v>2558</v>
      </c>
      <c r="C2532" s="1" t="str">
        <f ca="1">IFERROR(__xludf.DUMMYFUNCTION("REGEXEXTRACT(B2532, ""^([^:]+)"")"),"Fabrics, woven")</f>
        <v>Fabrics, woven</v>
      </c>
      <c r="D2532" s="1" t="s">
        <v>11</v>
      </c>
      <c r="E2532" s="1" t="s">
        <v>11</v>
      </c>
    </row>
    <row r="2533" spans="1:5" ht="15.75" customHeight="1">
      <c r="A2533" s="1">
        <v>551613</v>
      </c>
      <c r="B2533" s="1" t="s">
        <v>2559</v>
      </c>
      <c r="C2533" s="1" t="str">
        <f ca="1">IFERROR(__xludf.DUMMYFUNCTION("REGEXEXTRACT(B2533, ""^([^:]+)"")"),"Fabrics, woven")</f>
        <v>Fabrics, woven</v>
      </c>
      <c r="D2533" s="1" t="s">
        <v>11</v>
      </c>
      <c r="E2533" s="1" t="s">
        <v>11</v>
      </c>
    </row>
    <row r="2534" spans="1:5" ht="15.75" customHeight="1">
      <c r="A2534" s="1">
        <v>551614</v>
      </c>
      <c r="B2534" s="1" t="s">
        <v>2560</v>
      </c>
      <c r="C2534" s="1" t="str">
        <f ca="1">IFERROR(__xludf.DUMMYFUNCTION("REGEXEXTRACT(B2534, ""^([^:]+)"")"),"Fabrics, woven")</f>
        <v>Fabrics, woven</v>
      </c>
      <c r="D2534" s="1" t="s">
        <v>11</v>
      </c>
      <c r="E2534" s="1" t="s">
        <v>11</v>
      </c>
    </row>
    <row r="2535" spans="1:5" ht="15.75" customHeight="1">
      <c r="A2535" s="1">
        <v>551621</v>
      </c>
      <c r="B2535" s="1" t="s">
        <v>2561</v>
      </c>
      <c r="C2535" s="1" t="str">
        <f ca="1">IFERROR(__xludf.DUMMYFUNCTION("REGEXEXTRACT(B2535, ""^([^:]+)"")"),"Fabrics, woven")</f>
        <v>Fabrics, woven</v>
      </c>
      <c r="D2535" s="1" t="s">
        <v>11</v>
      </c>
      <c r="E2535" s="1" t="s">
        <v>11</v>
      </c>
    </row>
    <row r="2536" spans="1:5" ht="15.75" customHeight="1">
      <c r="A2536" s="1">
        <v>551622</v>
      </c>
      <c r="B2536" s="1" t="s">
        <v>2562</v>
      </c>
      <c r="C2536" s="1" t="str">
        <f ca="1">IFERROR(__xludf.DUMMYFUNCTION("REGEXEXTRACT(B2536, ""^([^:]+)"")"),"Fabrics, woven")</f>
        <v>Fabrics, woven</v>
      </c>
      <c r="D2536" s="1" t="s">
        <v>11</v>
      </c>
      <c r="E2536" s="1" t="s">
        <v>11</v>
      </c>
    </row>
    <row r="2537" spans="1:5" ht="15.75" customHeight="1">
      <c r="A2537" s="1">
        <v>551623</v>
      </c>
      <c r="B2537" s="1" t="s">
        <v>2563</v>
      </c>
      <c r="C2537" s="1" t="str">
        <f ca="1">IFERROR(__xludf.DUMMYFUNCTION("REGEXEXTRACT(B2537, ""^([^:]+)"")"),"Fabrics, woven")</f>
        <v>Fabrics, woven</v>
      </c>
      <c r="D2537" s="1" t="s">
        <v>11</v>
      </c>
      <c r="E2537" s="1" t="s">
        <v>11</v>
      </c>
    </row>
    <row r="2538" spans="1:5" ht="15.75" customHeight="1">
      <c r="A2538" s="1">
        <v>551624</v>
      </c>
      <c r="B2538" s="1" t="s">
        <v>2564</v>
      </c>
      <c r="C2538" s="1" t="str">
        <f ca="1">IFERROR(__xludf.DUMMYFUNCTION("REGEXEXTRACT(B2538, ""^([^:]+)"")"),"Fabrics, woven")</f>
        <v>Fabrics, woven</v>
      </c>
      <c r="D2538" s="1" t="s">
        <v>11</v>
      </c>
      <c r="E2538" s="1" t="s">
        <v>11</v>
      </c>
    </row>
    <row r="2539" spans="1:5" ht="15.75" customHeight="1">
      <c r="A2539" s="1">
        <v>551631</v>
      </c>
      <c r="B2539" s="1" t="s">
        <v>2565</v>
      </c>
      <c r="C2539" s="1" t="str">
        <f ca="1">IFERROR(__xludf.DUMMYFUNCTION("REGEXEXTRACT(B2539, ""^([^:]+)"")"),"Fabrics, woven")</f>
        <v>Fabrics, woven</v>
      </c>
      <c r="D2539" s="1" t="s">
        <v>11</v>
      </c>
      <c r="E2539" s="1" t="s">
        <v>11</v>
      </c>
    </row>
    <row r="2540" spans="1:5" ht="15.75" customHeight="1">
      <c r="A2540" s="1">
        <v>551632</v>
      </c>
      <c r="B2540" s="1" t="s">
        <v>2566</v>
      </c>
      <c r="C2540" s="1" t="str">
        <f ca="1">IFERROR(__xludf.DUMMYFUNCTION("REGEXEXTRACT(B2540, ""^([^:]+)"")"),"Fabrics, woven")</f>
        <v>Fabrics, woven</v>
      </c>
      <c r="D2540" s="1" t="s">
        <v>11</v>
      </c>
      <c r="E2540" s="1" t="s">
        <v>11</v>
      </c>
    </row>
    <row r="2541" spans="1:5" ht="15.75" customHeight="1">
      <c r="A2541" s="1">
        <v>551633</v>
      </c>
      <c r="B2541" s="1" t="s">
        <v>2567</v>
      </c>
      <c r="C2541" s="1" t="str">
        <f ca="1">IFERROR(__xludf.DUMMYFUNCTION("REGEXEXTRACT(B2541, ""^([^:]+)"")"),"Fabrics, woven")</f>
        <v>Fabrics, woven</v>
      </c>
      <c r="D2541" s="1" t="s">
        <v>11</v>
      </c>
      <c r="E2541" s="1" t="s">
        <v>11</v>
      </c>
    </row>
    <row r="2542" spans="1:5" ht="15.75" customHeight="1">
      <c r="A2542" s="1">
        <v>551634</v>
      </c>
      <c r="B2542" s="1" t="s">
        <v>2568</v>
      </c>
      <c r="C2542" s="1" t="str">
        <f ca="1">IFERROR(__xludf.DUMMYFUNCTION("REGEXEXTRACT(B2542, ""^([^:]+)"")"),"Fabrics, woven")</f>
        <v>Fabrics, woven</v>
      </c>
      <c r="D2542" s="1" t="s">
        <v>11</v>
      </c>
      <c r="E2542" s="1" t="s">
        <v>11</v>
      </c>
    </row>
    <row r="2543" spans="1:5" ht="15.75" customHeight="1">
      <c r="A2543" s="1">
        <v>551641</v>
      </c>
      <c r="B2543" s="1" t="s">
        <v>2569</v>
      </c>
      <c r="C2543" s="1" t="str">
        <f ca="1">IFERROR(__xludf.DUMMYFUNCTION("REGEXEXTRACT(B2543, ""^([^:]+)"")"),"Fabrics, woven")</f>
        <v>Fabrics, woven</v>
      </c>
      <c r="D2543" s="1" t="s">
        <v>11</v>
      </c>
      <c r="E2543" s="1" t="s">
        <v>11</v>
      </c>
    </row>
    <row r="2544" spans="1:5" ht="15.75" customHeight="1">
      <c r="A2544" s="1">
        <v>551642</v>
      </c>
      <c r="B2544" s="1" t="s">
        <v>2570</v>
      </c>
      <c r="C2544" s="1" t="str">
        <f ca="1">IFERROR(__xludf.DUMMYFUNCTION("REGEXEXTRACT(B2544, ""^([^:]+)"")"),"Fabrics, woven")</f>
        <v>Fabrics, woven</v>
      </c>
      <c r="D2544" s="1" t="s">
        <v>11</v>
      </c>
      <c r="E2544" s="1" t="s">
        <v>11</v>
      </c>
    </row>
    <row r="2545" spans="1:5" ht="15.75" customHeight="1">
      <c r="A2545" s="1">
        <v>551643</v>
      </c>
      <c r="B2545" s="1" t="s">
        <v>2571</v>
      </c>
      <c r="C2545" s="1" t="str">
        <f ca="1">IFERROR(__xludf.DUMMYFUNCTION("REGEXEXTRACT(B2545, ""^([^:]+)"")"),"Fabrics, woven")</f>
        <v>Fabrics, woven</v>
      </c>
      <c r="D2545" s="1" t="s">
        <v>11</v>
      </c>
      <c r="E2545" s="1" t="s">
        <v>11</v>
      </c>
    </row>
    <row r="2546" spans="1:5" ht="15.75" customHeight="1">
      <c r="A2546" s="1">
        <v>551644</v>
      </c>
      <c r="B2546" s="1" t="s">
        <v>2572</v>
      </c>
      <c r="C2546" s="1" t="str">
        <f ca="1">IFERROR(__xludf.DUMMYFUNCTION("REGEXEXTRACT(B2546, ""^([^:]+)"")"),"Fabrics, woven")</f>
        <v>Fabrics, woven</v>
      </c>
      <c r="D2546" s="1" t="s">
        <v>11</v>
      </c>
      <c r="E2546" s="1" t="s">
        <v>11</v>
      </c>
    </row>
    <row r="2547" spans="1:5" ht="15.75" customHeight="1">
      <c r="A2547" s="1">
        <v>551691</v>
      </c>
      <c r="B2547" s="1" t="s">
        <v>2573</v>
      </c>
      <c r="C2547" s="1" t="str">
        <f ca="1">IFERROR(__xludf.DUMMYFUNCTION("REGEXEXTRACT(B2547, ""^([^:]+)"")"),"Fabrics, woven")</f>
        <v>Fabrics, woven</v>
      </c>
      <c r="D2547" s="1" t="s">
        <v>11</v>
      </c>
      <c r="E2547" s="1" t="s">
        <v>11</v>
      </c>
    </row>
    <row r="2548" spans="1:5" ht="15.75" customHeight="1">
      <c r="A2548" s="1">
        <v>551692</v>
      </c>
      <c r="B2548" s="1" t="s">
        <v>2574</v>
      </c>
      <c r="C2548" s="1" t="str">
        <f ca="1">IFERROR(__xludf.DUMMYFUNCTION("REGEXEXTRACT(B2548, ""^([^:]+)"")"),"Fabrics, woven")</f>
        <v>Fabrics, woven</v>
      </c>
      <c r="D2548" s="1" t="s">
        <v>11</v>
      </c>
      <c r="E2548" s="1" t="s">
        <v>11</v>
      </c>
    </row>
    <row r="2549" spans="1:5" ht="15.75" customHeight="1">
      <c r="A2549" s="1">
        <v>551693</v>
      </c>
      <c r="B2549" s="1" t="s">
        <v>2575</v>
      </c>
      <c r="C2549" s="1" t="str">
        <f ca="1">IFERROR(__xludf.DUMMYFUNCTION("REGEXEXTRACT(B2549, ""^([^:]+)"")"),"Fabrics, woven")</f>
        <v>Fabrics, woven</v>
      </c>
      <c r="D2549" s="1" t="s">
        <v>11</v>
      </c>
      <c r="E2549" s="1" t="s">
        <v>11</v>
      </c>
    </row>
    <row r="2550" spans="1:5" ht="15.75" customHeight="1">
      <c r="A2550" s="1">
        <v>551694</v>
      </c>
      <c r="B2550" s="1" t="s">
        <v>2576</v>
      </c>
      <c r="C2550" s="1" t="str">
        <f ca="1">IFERROR(__xludf.DUMMYFUNCTION("REGEXEXTRACT(B2550, ""^([^:]+)"")"),"Fabrics, woven")</f>
        <v>Fabrics, woven</v>
      </c>
      <c r="D2550" s="1" t="s">
        <v>11</v>
      </c>
      <c r="E2550" s="1" t="s">
        <v>11</v>
      </c>
    </row>
    <row r="2551" spans="1:5" ht="15.75" customHeight="1">
      <c r="A2551" s="1">
        <v>560110</v>
      </c>
      <c r="B2551" s="1" t="s">
        <v>2577</v>
      </c>
      <c r="C2551" s="1" t="str">
        <f ca="1">IFERROR(__xludf.DUMMYFUNCTION("REGEXEXTRACT(B2551, ""^([^:]+)"")"),"Wadding, other articles thereof, sanitary towels and tampons, napkins and napkin liners for babies and similar")</f>
        <v>Wadding, other articles thereof, sanitary towels and tampons, napkins and napkin liners for babies and similar</v>
      </c>
      <c r="D2551" s="1" t="s">
        <v>11</v>
      </c>
      <c r="E2551" s="1" t="s">
        <v>11</v>
      </c>
    </row>
    <row r="2552" spans="1:5" ht="15.75" customHeight="1">
      <c r="A2552" s="1">
        <v>560121</v>
      </c>
      <c r="B2552" s="1" t="s">
        <v>2578</v>
      </c>
      <c r="C2552" s="1" t="str">
        <f ca="1">IFERROR(__xludf.DUMMYFUNCTION("REGEXEXTRACT(B2552, ""^([^:]+)"")"),"Wadding")</f>
        <v>Wadding</v>
      </c>
      <c r="D2552" s="1" t="s">
        <v>11</v>
      </c>
      <c r="E2552" s="1" t="s">
        <v>11</v>
      </c>
    </row>
    <row r="2553" spans="1:5" ht="15.75" customHeight="1">
      <c r="A2553" s="1">
        <v>560122</v>
      </c>
      <c r="B2553" s="1" t="s">
        <v>2579</v>
      </c>
      <c r="C2553" s="1" t="str">
        <f ca="1">IFERROR(__xludf.DUMMYFUNCTION("REGEXEXTRACT(B2553, ""^([^:]+)"")"),"Wadding")</f>
        <v>Wadding</v>
      </c>
      <c r="D2553" s="1" t="s">
        <v>11</v>
      </c>
      <c r="E2553" s="1" t="s">
        <v>11</v>
      </c>
    </row>
    <row r="2554" spans="1:5" ht="15.75" customHeight="1">
      <c r="A2554" s="1">
        <v>560129</v>
      </c>
      <c r="B2554" s="1" t="s">
        <v>2580</v>
      </c>
      <c r="C2554" s="1" t="str">
        <f ca="1">IFERROR(__xludf.DUMMYFUNCTION("REGEXEXTRACT(B2554, ""^([^:]+)"")"),"Wadding")</f>
        <v>Wadding</v>
      </c>
      <c r="D2554" s="1" t="s">
        <v>11</v>
      </c>
      <c r="E2554" s="1" t="s">
        <v>11</v>
      </c>
    </row>
    <row r="2555" spans="1:5" ht="15.75" customHeight="1">
      <c r="A2555" s="1">
        <v>560130</v>
      </c>
      <c r="B2555" s="1" t="s">
        <v>2581</v>
      </c>
      <c r="C2555" s="1" t="str">
        <f ca="1">IFERROR(__xludf.DUMMYFUNCTION("REGEXEXTRACT(B2555, ""^([^:]+)"")"),"Wadding")</f>
        <v>Wadding</v>
      </c>
      <c r="D2555" s="1" t="s">
        <v>11</v>
      </c>
      <c r="E2555" s="1" t="s">
        <v>11</v>
      </c>
    </row>
    <row r="2556" spans="1:5" ht="15.75" customHeight="1">
      <c r="A2556" s="1">
        <v>560210</v>
      </c>
      <c r="B2556" s="1" t="s">
        <v>2582</v>
      </c>
      <c r="C2556" s="1" t="str">
        <f ca="1">IFERROR(__xludf.DUMMYFUNCTION("REGEXEXTRACT(B2556, ""^([^:]+)"")"),"Felt")</f>
        <v>Felt</v>
      </c>
      <c r="D2556" s="1" t="s">
        <v>11</v>
      </c>
      <c r="E2556" s="1" t="s">
        <v>11</v>
      </c>
    </row>
    <row r="2557" spans="1:5" ht="15.75" customHeight="1">
      <c r="A2557" s="1">
        <v>560221</v>
      </c>
      <c r="B2557" s="1" t="s">
        <v>2583</v>
      </c>
      <c r="C2557" s="1" t="str">
        <f ca="1">IFERROR(__xludf.DUMMYFUNCTION("REGEXEXTRACT(B2557, ""^([^:]+)"")"),"Felt")</f>
        <v>Felt</v>
      </c>
      <c r="D2557" s="1" t="s">
        <v>11</v>
      </c>
      <c r="E2557" s="1" t="s">
        <v>11</v>
      </c>
    </row>
    <row r="2558" spans="1:5" ht="15.75" customHeight="1">
      <c r="A2558" s="1">
        <v>560229</v>
      </c>
      <c r="B2558" s="1" t="s">
        <v>2584</v>
      </c>
      <c r="C2558" s="1" t="str">
        <f ca="1">IFERROR(__xludf.DUMMYFUNCTION("REGEXEXTRACT(B2558, ""^([^:]+)"")"),"Felt")</f>
        <v>Felt</v>
      </c>
      <c r="D2558" s="1" t="s">
        <v>11</v>
      </c>
      <c r="E2558" s="1" t="s">
        <v>11</v>
      </c>
    </row>
    <row r="2559" spans="1:5" ht="15.75" customHeight="1">
      <c r="A2559" s="1">
        <v>560290</v>
      </c>
      <c r="B2559" s="1" t="s">
        <v>2585</v>
      </c>
      <c r="C2559" s="1" t="str">
        <f ca="1">IFERROR(__xludf.DUMMYFUNCTION("REGEXEXTRACT(B2559, ""^([^:]+)"")"),"Felt")</f>
        <v>Felt</v>
      </c>
      <c r="D2559" s="1" t="s">
        <v>11</v>
      </c>
      <c r="E2559" s="1" t="s">
        <v>11</v>
      </c>
    </row>
    <row r="2560" spans="1:5" ht="15.75" customHeight="1">
      <c r="A2560" s="1">
        <v>560311</v>
      </c>
      <c r="B2560" s="1" t="s">
        <v>2586</v>
      </c>
      <c r="C2560" s="1" t="str">
        <f ca="1">IFERROR(__xludf.DUMMYFUNCTION("REGEXEXTRACT(B2560, ""^([^:]+)"")"),"Nonwovens")</f>
        <v>Nonwovens</v>
      </c>
      <c r="D2560" s="1" t="s">
        <v>11</v>
      </c>
      <c r="E2560" s="1" t="s">
        <v>11</v>
      </c>
    </row>
    <row r="2561" spans="1:5" ht="15.75" customHeight="1">
      <c r="A2561" s="1">
        <v>560312</v>
      </c>
      <c r="B2561" s="1" t="s">
        <v>2587</v>
      </c>
      <c r="C2561" s="1" t="str">
        <f ca="1">IFERROR(__xludf.DUMMYFUNCTION("REGEXEXTRACT(B2561, ""^([^:]+)"")"),"Nonwovens")</f>
        <v>Nonwovens</v>
      </c>
      <c r="D2561" s="1" t="s">
        <v>11</v>
      </c>
      <c r="E2561" s="1" t="s">
        <v>11</v>
      </c>
    </row>
    <row r="2562" spans="1:5" ht="15.75" customHeight="1">
      <c r="A2562" s="1">
        <v>560313</v>
      </c>
      <c r="B2562" s="1" t="s">
        <v>2588</v>
      </c>
      <c r="C2562" s="1" t="str">
        <f ca="1">IFERROR(__xludf.DUMMYFUNCTION("REGEXEXTRACT(B2562, ""^([^:]+)"")"),"Nonwovens")</f>
        <v>Nonwovens</v>
      </c>
      <c r="D2562" s="1" t="s">
        <v>11</v>
      </c>
      <c r="E2562" s="1" t="s">
        <v>11</v>
      </c>
    </row>
    <row r="2563" spans="1:5" ht="15.75" customHeight="1">
      <c r="A2563" s="1">
        <v>560314</v>
      </c>
      <c r="B2563" s="1" t="s">
        <v>2589</v>
      </c>
      <c r="C2563" s="1" t="str">
        <f ca="1">IFERROR(__xludf.DUMMYFUNCTION("REGEXEXTRACT(B2563, ""^([^:]+)"")"),"Nonwovens")</f>
        <v>Nonwovens</v>
      </c>
      <c r="D2563" s="1" t="s">
        <v>11</v>
      </c>
      <c r="E2563" s="1" t="s">
        <v>11</v>
      </c>
    </row>
    <row r="2564" spans="1:5" ht="15.75" customHeight="1">
      <c r="A2564" s="1">
        <v>560391</v>
      </c>
      <c r="B2564" s="1" t="s">
        <v>2590</v>
      </c>
      <c r="C2564" s="1" t="str">
        <f ca="1">IFERROR(__xludf.DUMMYFUNCTION("REGEXEXTRACT(B2564, ""^([^:]+)"")"),"Nonwovens")</f>
        <v>Nonwovens</v>
      </c>
      <c r="D2564" s="1" t="s">
        <v>11</v>
      </c>
      <c r="E2564" s="1" t="s">
        <v>11</v>
      </c>
    </row>
    <row r="2565" spans="1:5" ht="15.75" customHeight="1">
      <c r="A2565" s="1">
        <v>560392</v>
      </c>
      <c r="B2565" s="1" t="s">
        <v>2591</v>
      </c>
      <c r="C2565" s="1" t="str">
        <f ca="1">IFERROR(__xludf.DUMMYFUNCTION("REGEXEXTRACT(B2565, ""^([^:]+)"")"),"Nonwovens")</f>
        <v>Nonwovens</v>
      </c>
      <c r="D2565" s="1" t="s">
        <v>11</v>
      </c>
      <c r="E2565" s="1" t="s">
        <v>11</v>
      </c>
    </row>
    <row r="2566" spans="1:5" ht="15.75" customHeight="1">
      <c r="A2566" s="1">
        <v>560393</v>
      </c>
      <c r="B2566" s="1" t="s">
        <v>2592</v>
      </c>
      <c r="C2566" s="1" t="str">
        <f ca="1">IFERROR(__xludf.DUMMYFUNCTION("REGEXEXTRACT(B2566, ""^([^:]+)"")"),"Nonwovens")</f>
        <v>Nonwovens</v>
      </c>
      <c r="D2566" s="1" t="s">
        <v>11</v>
      </c>
      <c r="E2566" s="1" t="s">
        <v>11</v>
      </c>
    </row>
    <row r="2567" spans="1:5" ht="15.75" customHeight="1">
      <c r="A2567" s="1">
        <v>560394</v>
      </c>
      <c r="B2567" s="1" t="s">
        <v>2593</v>
      </c>
      <c r="C2567" s="1" t="str">
        <f ca="1">IFERROR(__xludf.DUMMYFUNCTION("REGEXEXTRACT(B2567, ""^([^:]+)"")"),"Nonwovens")</f>
        <v>Nonwovens</v>
      </c>
      <c r="D2567" s="1" t="s">
        <v>11</v>
      </c>
      <c r="E2567" s="1" t="s">
        <v>11</v>
      </c>
    </row>
    <row r="2568" spans="1:5" ht="15.75" customHeight="1">
      <c r="A2568" s="1">
        <v>560410</v>
      </c>
      <c r="B2568" s="1" t="s">
        <v>2594</v>
      </c>
      <c r="C2568" s="1" t="str">
        <f ca="1">IFERROR(__xludf.DUMMYFUNCTION("REGEXEXTRACT(B2568, ""^([^:]+)"")"),"Rubber thread and cord")</f>
        <v>Rubber thread and cord</v>
      </c>
      <c r="D2568" s="1" t="s">
        <v>11</v>
      </c>
      <c r="E2568" s="1" t="s">
        <v>11</v>
      </c>
    </row>
    <row r="2569" spans="1:5" ht="15.75" customHeight="1">
      <c r="A2569" s="1">
        <v>560490</v>
      </c>
      <c r="B2569" s="1" t="s">
        <v>2595</v>
      </c>
      <c r="C2569" s="1" t="str">
        <f ca="1">IFERROR(__xludf.DUMMYFUNCTION("REGEXEXTRACT(B2569, ""^([^:]+)"")"),"Yarn")</f>
        <v>Yarn</v>
      </c>
      <c r="D2569" s="1" t="s">
        <v>11</v>
      </c>
      <c r="E2569" s="1" t="s">
        <v>11</v>
      </c>
    </row>
    <row r="2570" spans="1:5" ht="15.75" customHeight="1">
      <c r="A2570" s="1">
        <v>560500</v>
      </c>
      <c r="B2570" s="1" t="s">
        <v>2596</v>
      </c>
      <c r="C2570" s="1" t="str">
        <f ca="1">IFERROR(__xludf.DUMMYFUNCTION("REGEXEXTRACT(B2570, ""^([^:]+)"")"),"Yarn")</f>
        <v>Yarn</v>
      </c>
      <c r="D2570" s="1" t="s">
        <v>11</v>
      </c>
      <c r="E2570" s="1" t="s">
        <v>11</v>
      </c>
    </row>
    <row r="2571" spans="1:5" ht="15.75" customHeight="1">
      <c r="A2571" s="1">
        <v>560600</v>
      </c>
      <c r="B2571" s="1" t="s">
        <v>2597</v>
      </c>
      <c r="C2571" s="1" t="str">
        <f ca="1">IFERROR(__xludf.DUMMYFUNCTION("REGEXEXTRACT(B2571, ""^([^:]+)"")"),"Yarn and strip and the like of heading no. 5404 or 5405")</f>
        <v>Yarn and strip and the like of heading no. 5404 or 5405</v>
      </c>
      <c r="D2571" s="1" t="s">
        <v>11</v>
      </c>
      <c r="E2571" s="1" t="s">
        <v>11</v>
      </c>
    </row>
    <row r="2572" spans="1:5" ht="15.75" customHeight="1">
      <c r="A2572" s="1">
        <v>560721</v>
      </c>
      <c r="B2572" s="1" t="s">
        <v>2598</v>
      </c>
      <c r="C2572" s="1" t="str">
        <f ca="1">IFERROR(__xludf.DUMMYFUNCTION("REGEXEXTRACT(B2572, ""^([^:]+)"")"),"Twine")</f>
        <v>Twine</v>
      </c>
      <c r="D2572" s="1" t="s">
        <v>11</v>
      </c>
      <c r="E2572" s="1" t="s">
        <v>11</v>
      </c>
    </row>
    <row r="2573" spans="1:5" ht="15.75" customHeight="1">
      <c r="A2573" s="1">
        <v>560729</v>
      </c>
      <c r="B2573" s="1" t="s">
        <v>2599</v>
      </c>
      <c r="C2573" s="1" t="str">
        <f ca="1">IFERROR(__xludf.DUMMYFUNCTION("REGEXEXTRACT(B2573, ""^([^:]+)"")"),"Twine, cordage, ropes, cables")</f>
        <v>Twine, cordage, ropes, cables</v>
      </c>
      <c r="D2573" s="1" t="s">
        <v>11</v>
      </c>
      <c r="E2573" s="1" t="s">
        <v>11</v>
      </c>
    </row>
    <row r="2574" spans="1:5" ht="15.75" customHeight="1">
      <c r="A2574" s="1">
        <v>560741</v>
      </c>
      <c r="B2574" s="1" t="s">
        <v>2600</v>
      </c>
      <c r="C2574" s="1" t="str">
        <f ca="1">IFERROR(__xludf.DUMMYFUNCTION("REGEXEXTRACT(B2574, ""^([^:]+)"")"),"Twine")</f>
        <v>Twine</v>
      </c>
      <c r="D2574" s="1" t="s">
        <v>11</v>
      </c>
      <c r="E2574" s="1" t="s">
        <v>11</v>
      </c>
    </row>
    <row r="2575" spans="1:5" ht="15.75" customHeight="1">
      <c r="A2575" s="1">
        <v>560749</v>
      </c>
      <c r="B2575" s="1" t="s">
        <v>2601</v>
      </c>
      <c r="C2575" s="1" t="str">
        <f ca="1">IFERROR(__xludf.DUMMYFUNCTION("REGEXEXTRACT(B2575, ""^([^:]+)"")"),"Twine, cordage, ropes, cables")</f>
        <v>Twine, cordage, ropes, cables</v>
      </c>
      <c r="D2575" s="1" t="s">
        <v>11</v>
      </c>
      <c r="E2575" s="1" t="s">
        <v>11</v>
      </c>
    </row>
    <row r="2576" spans="1:5" ht="15.75" customHeight="1">
      <c r="A2576" s="1">
        <v>560750</v>
      </c>
      <c r="B2576" s="1" t="s">
        <v>2602</v>
      </c>
      <c r="C2576" s="1" t="str">
        <f ca="1">IFERROR(__xludf.DUMMYFUNCTION("REGEXEXTRACT(B2576, ""^([^:]+)"")"),"Twine, cordage, ropes, cables")</f>
        <v>Twine, cordage, ropes, cables</v>
      </c>
      <c r="D2576" s="1" t="s">
        <v>11</v>
      </c>
      <c r="E2576" s="1" t="s">
        <v>11</v>
      </c>
    </row>
    <row r="2577" spans="1:5" ht="15.75" customHeight="1">
      <c r="A2577" s="1">
        <v>560790</v>
      </c>
      <c r="B2577" s="1" t="s">
        <v>2603</v>
      </c>
      <c r="C2577" s="1" t="str">
        <f ca="1">IFERROR(__xludf.DUMMYFUNCTION("REGEXEXTRACT(B2577, ""^([^:]+)"")"),"Twine, cordage, ropes, cables")</f>
        <v>Twine, cordage, ropes, cables</v>
      </c>
      <c r="D2577" s="1" t="s">
        <v>11</v>
      </c>
      <c r="E2577" s="1" t="s">
        <v>11</v>
      </c>
    </row>
    <row r="2578" spans="1:5" ht="15.75" customHeight="1">
      <c r="A2578" s="1">
        <v>560811</v>
      </c>
      <c r="B2578" s="1" t="s">
        <v>2604</v>
      </c>
      <c r="C2578" s="1" t="str">
        <f ca="1">IFERROR(__xludf.DUMMYFUNCTION("REGEXEXTRACT(B2578, ""^([^:]+)"")"),"Twine, cordage or rope")</f>
        <v>Twine, cordage or rope</v>
      </c>
      <c r="D2578" s="1" t="s">
        <v>11</v>
      </c>
      <c r="E2578" s="1" t="s">
        <v>11</v>
      </c>
    </row>
    <row r="2579" spans="1:5" ht="15.75" customHeight="1">
      <c r="A2579" s="1">
        <v>560819</v>
      </c>
      <c r="B2579" s="1" t="s">
        <v>2605</v>
      </c>
      <c r="C2579" s="1" t="str">
        <f ca="1">IFERROR(__xludf.DUMMYFUNCTION("REGEXEXTRACT(B2579, ""^([^:]+)"")"),"Twine, cordage or rope")</f>
        <v>Twine, cordage or rope</v>
      </c>
      <c r="D2579" s="1" t="s">
        <v>11</v>
      </c>
      <c r="E2579" s="1" t="s">
        <v>11</v>
      </c>
    </row>
    <row r="2580" spans="1:5" ht="15.75" customHeight="1">
      <c r="A2580" s="1">
        <v>560890</v>
      </c>
      <c r="B2580" s="1" t="s">
        <v>2606</v>
      </c>
      <c r="C2580" s="1" t="str">
        <f ca="1">IFERROR(__xludf.DUMMYFUNCTION("REGEXEXTRACT(B2580, ""^([^:]+)"")"),"Twine, cordage or rope")</f>
        <v>Twine, cordage or rope</v>
      </c>
      <c r="D2580" s="1" t="s">
        <v>11</v>
      </c>
      <c r="E2580" s="1" t="s">
        <v>11</v>
      </c>
    </row>
    <row r="2581" spans="1:5" ht="15.75" customHeight="1">
      <c r="A2581" s="1">
        <v>560900</v>
      </c>
      <c r="B2581" s="1" t="s">
        <v>2607</v>
      </c>
      <c r="C2581" s="1" t="str">
        <f ca="1">IFERROR(__xludf.DUMMYFUNCTION("REGEXEXTRACT(B2581, ""^([^:]+)"")"),"Yarn")</f>
        <v>Yarn</v>
      </c>
      <c r="D2581" s="1" t="s">
        <v>11</v>
      </c>
      <c r="E2581" s="1" t="s">
        <v>11</v>
      </c>
    </row>
    <row r="2582" spans="1:5" ht="15.75" customHeight="1">
      <c r="A2582" s="1">
        <v>570110</v>
      </c>
      <c r="B2582" s="1" t="s">
        <v>2608</v>
      </c>
      <c r="C2582" s="1" t="str">
        <f ca="1">IFERROR(__xludf.DUMMYFUNCTION("REGEXEXTRACT(B2582, ""^([^:]+)"")"),"Carpets and other textile floor coverings")</f>
        <v>Carpets and other textile floor coverings</v>
      </c>
      <c r="D2582" s="1" t="s">
        <v>11</v>
      </c>
      <c r="E2582" s="1" t="s">
        <v>11</v>
      </c>
    </row>
    <row r="2583" spans="1:5" ht="15.75" customHeight="1">
      <c r="A2583" s="1">
        <v>570190</v>
      </c>
      <c r="B2583" s="1" t="s">
        <v>2609</v>
      </c>
      <c r="C2583" s="1" t="str">
        <f ca="1">IFERROR(__xludf.DUMMYFUNCTION("REGEXEXTRACT(B2583, ""^([^:]+)"")"),"Carpets and other textile floor coverings")</f>
        <v>Carpets and other textile floor coverings</v>
      </c>
      <c r="D2583" s="1" t="s">
        <v>11</v>
      </c>
      <c r="E2583" s="1" t="s">
        <v>11</v>
      </c>
    </row>
    <row r="2584" spans="1:5" ht="15.75" customHeight="1">
      <c r="A2584" s="1">
        <v>570210</v>
      </c>
      <c r="B2584" s="1" t="s">
        <v>2610</v>
      </c>
      <c r="C2584" s="1" t="str">
        <f ca="1">IFERROR(__xludf.DUMMYFUNCTION("REGEXEXTRACT(B2584, ""^([^:]+)"")"),"Carpets and other textile floor coverings")</f>
        <v>Carpets and other textile floor coverings</v>
      </c>
      <c r="D2584" s="1" t="s">
        <v>11</v>
      </c>
      <c r="E2584" s="1" t="s">
        <v>11</v>
      </c>
    </row>
    <row r="2585" spans="1:5" ht="15.75" customHeight="1">
      <c r="A2585" s="1">
        <v>570220</v>
      </c>
      <c r="B2585" s="1" t="s">
        <v>2611</v>
      </c>
      <c r="C2585" s="1" t="str">
        <f ca="1">IFERROR(__xludf.DUMMYFUNCTION("REGEXEXTRACT(B2585, ""^([^:]+)"")"),"Carpets and other textile floor coverings")</f>
        <v>Carpets and other textile floor coverings</v>
      </c>
      <c r="D2585" s="1" t="s">
        <v>11</v>
      </c>
      <c r="E2585" s="1" t="s">
        <v>11</v>
      </c>
    </row>
    <row r="2586" spans="1:5" ht="15.75" customHeight="1">
      <c r="A2586" s="1">
        <v>570231</v>
      </c>
      <c r="B2586" s="1" t="s">
        <v>2612</v>
      </c>
      <c r="C2586" s="1" t="str">
        <f ca="1">IFERROR(__xludf.DUMMYFUNCTION("REGEXEXTRACT(B2586, ""^([^:]+)"")"),"Carpets and other textile floor coverings")</f>
        <v>Carpets and other textile floor coverings</v>
      </c>
      <c r="D2586" s="1" t="s">
        <v>11</v>
      </c>
      <c r="E2586" s="1" t="s">
        <v>11</v>
      </c>
    </row>
    <row r="2587" spans="1:5" ht="15.75" customHeight="1">
      <c r="A2587" s="1">
        <v>570232</v>
      </c>
      <c r="B2587" s="1" t="s">
        <v>2613</v>
      </c>
      <c r="C2587" s="1" t="str">
        <f ca="1">IFERROR(__xludf.DUMMYFUNCTION("REGEXEXTRACT(B2587, ""^([^:]+)"")"),"Carpets and other textile floor coverings")</f>
        <v>Carpets and other textile floor coverings</v>
      </c>
      <c r="D2587" s="1" t="s">
        <v>11</v>
      </c>
      <c r="E2587" s="1" t="s">
        <v>11</v>
      </c>
    </row>
    <row r="2588" spans="1:5" ht="15.75" customHeight="1">
      <c r="A2588" s="1">
        <v>570239</v>
      </c>
      <c r="B2588" s="1" t="s">
        <v>2614</v>
      </c>
      <c r="C2588" s="1" t="str">
        <f ca="1">IFERROR(__xludf.DUMMYFUNCTION("REGEXEXTRACT(B2588, ""^([^:]+)"")"),"Carpets and other textile floor coverings")</f>
        <v>Carpets and other textile floor coverings</v>
      </c>
      <c r="D2588" s="1" t="s">
        <v>11</v>
      </c>
      <c r="E2588" s="1" t="s">
        <v>11</v>
      </c>
    </row>
    <row r="2589" spans="1:5" ht="15.75" customHeight="1">
      <c r="A2589" s="1">
        <v>570241</v>
      </c>
      <c r="B2589" s="1" t="s">
        <v>2615</v>
      </c>
      <c r="C2589" s="1" t="str">
        <f ca="1">IFERROR(__xludf.DUMMYFUNCTION("REGEXEXTRACT(B2589, ""^([^:]+)"")"),"Carpets and other textile floor coverings")</f>
        <v>Carpets and other textile floor coverings</v>
      </c>
      <c r="D2589" s="1" t="s">
        <v>11</v>
      </c>
      <c r="E2589" s="1" t="s">
        <v>11</v>
      </c>
    </row>
    <row r="2590" spans="1:5" ht="15.75" customHeight="1">
      <c r="A2590" s="1">
        <v>570242</v>
      </c>
      <c r="B2590" s="1" t="s">
        <v>2616</v>
      </c>
      <c r="C2590" s="1" t="str">
        <f ca="1">IFERROR(__xludf.DUMMYFUNCTION("REGEXEXTRACT(B2590, ""^([^:]+)"")"),"Carpets and other textile floor coverings")</f>
        <v>Carpets and other textile floor coverings</v>
      </c>
      <c r="D2590" s="1" t="s">
        <v>11</v>
      </c>
      <c r="E2590" s="1" t="s">
        <v>11</v>
      </c>
    </row>
    <row r="2591" spans="1:5" ht="15.75" customHeight="1">
      <c r="A2591" s="1">
        <v>570249</v>
      </c>
      <c r="B2591" s="1" t="s">
        <v>2617</v>
      </c>
      <c r="C2591" s="1" t="str">
        <f ca="1">IFERROR(__xludf.DUMMYFUNCTION("REGEXEXTRACT(B2591, ""^([^:]+)"")"),"Carpets and other textile floor coverings")</f>
        <v>Carpets and other textile floor coverings</v>
      </c>
      <c r="D2591" s="1" t="s">
        <v>11</v>
      </c>
      <c r="E2591" s="1" t="s">
        <v>11</v>
      </c>
    </row>
    <row r="2592" spans="1:5" ht="15.75" customHeight="1">
      <c r="A2592" s="1">
        <v>570250</v>
      </c>
      <c r="B2592" s="1" t="s">
        <v>2618</v>
      </c>
      <c r="C2592" s="1" t="str">
        <f ca="1">IFERROR(__xludf.DUMMYFUNCTION("REGEXEXTRACT(B2592, ""^([^:]+)"")"),"Carpets and other textile floor coverings")</f>
        <v>Carpets and other textile floor coverings</v>
      </c>
      <c r="D2592" s="1" t="s">
        <v>11</v>
      </c>
      <c r="E2592" s="1" t="s">
        <v>11</v>
      </c>
    </row>
    <row r="2593" spans="1:5" ht="15.75" customHeight="1">
      <c r="A2593" s="1">
        <v>570291</v>
      </c>
      <c r="B2593" s="1" t="s">
        <v>2619</v>
      </c>
      <c r="C2593" s="1" t="str">
        <f ca="1">IFERROR(__xludf.DUMMYFUNCTION("REGEXEXTRACT(B2593, ""^([^:]+)"")"),"Carpets and other textile floor coverings")</f>
        <v>Carpets and other textile floor coverings</v>
      </c>
      <c r="D2593" s="1" t="s">
        <v>11</v>
      </c>
      <c r="E2593" s="1" t="s">
        <v>11</v>
      </c>
    </row>
    <row r="2594" spans="1:5" ht="15.75" customHeight="1">
      <c r="A2594" s="1">
        <v>570292</v>
      </c>
      <c r="B2594" s="1" t="s">
        <v>2620</v>
      </c>
      <c r="C2594" s="1" t="str">
        <f ca="1">IFERROR(__xludf.DUMMYFUNCTION("REGEXEXTRACT(B2594, ""^([^:]+)"")"),"Carpets and other textile floor coverings")</f>
        <v>Carpets and other textile floor coverings</v>
      </c>
      <c r="D2594" s="1" t="s">
        <v>11</v>
      </c>
      <c r="E2594" s="1" t="s">
        <v>11</v>
      </c>
    </row>
    <row r="2595" spans="1:5" ht="15.75" customHeight="1">
      <c r="A2595" s="1">
        <v>570299</v>
      </c>
      <c r="B2595" s="1" t="s">
        <v>2621</v>
      </c>
      <c r="C2595" s="1" t="str">
        <f ca="1">IFERROR(__xludf.DUMMYFUNCTION("REGEXEXTRACT(B2595, ""^([^:]+)"")"),"Carpets and other textile floor coverings")</f>
        <v>Carpets and other textile floor coverings</v>
      </c>
      <c r="D2595" s="1" t="s">
        <v>11</v>
      </c>
      <c r="E2595" s="1" t="s">
        <v>11</v>
      </c>
    </row>
    <row r="2596" spans="1:5" ht="15.75" customHeight="1">
      <c r="A2596" s="1">
        <v>570310</v>
      </c>
      <c r="B2596" s="1" t="s">
        <v>2622</v>
      </c>
      <c r="C2596" s="1" t="str">
        <f ca="1">IFERROR(__xludf.DUMMYFUNCTION("REGEXEXTRACT(B2596, ""^([^:]+)"")"),"Carpets and other textile floor coverings")</f>
        <v>Carpets and other textile floor coverings</v>
      </c>
      <c r="D2596" s="1" t="s">
        <v>11</v>
      </c>
      <c r="E2596" s="1" t="s">
        <v>11</v>
      </c>
    </row>
    <row r="2597" spans="1:5" ht="15.75" customHeight="1">
      <c r="A2597" s="1">
        <v>570320</v>
      </c>
      <c r="B2597" s="1" t="s">
        <v>2623</v>
      </c>
      <c r="C2597" s="1" t="str">
        <f ca="1">IFERROR(__xludf.DUMMYFUNCTION("REGEXEXTRACT(B2597, ""^([^:]+)"")"),"Carpets and other textile floor coverings")</f>
        <v>Carpets and other textile floor coverings</v>
      </c>
      <c r="D2597" s="1" t="s">
        <v>11</v>
      </c>
      <c r="E2597" s="1" t="s">
        <v>11</v>
      </c>
    </row>
    <row r="2598" spans="1:5" ht="15.75" customHeight="1">
      <c r="A2598" s="1">
        <v>570330</v>
      </c>
      <c r="B2598" s="1" t="s">
        <v>2624</v>
      </c>
      <c r="C2598" s="1" t="str">
        <f ca="1">IFERROR(__xludf.DUMMYFUNCTION("REGEXEXTRACT(B2598, ""^([^:]+)"")"),"Carpets and other textile floor coverings")</f>
        <v>Carpets and other textile floor coverings</v>
      </c>
      <c r="D2598" s="1" t="s">
        <v>11</v>
      </c>
      <c r="E2598" s="1" t="s">
        <v>11</v>
      </c>
    </row>
    <row r="2599" spans="1:5" ht="15.75" customHeight="1">
      <c r="A2599" s="1">
        <v>570390</v>
      </c>
      <c r="B2599" s="1" t="s">
        <v>2625</v>
      </c>
      <c r="C2599" s="1" t="str">
        <f ca="1">IFERROR(__xludf.DUMMYFUNCTION("REGEXEXTRACT(B2599, ""^([^:]+)"")"),"Carpets and other textile floor coverings")</f>
        <v>Carpets and other textile floor coverings</v>
      </c>
      <c r="D2599" s="1" t="s">
        <v>11</v>
      </c>
      <c r="E2599" s="1" t="s">
        <v>11</v>
      </c>
    </row>
    <row r="2600" spans="1:5" ht="15.75" customHeight="1">
      <c r="A2600" s="1">
        <v>570410</v>
      </c>
      <c r="B2600" s="1" t="s">
        <v>2626</v>
      </c>
      <c r="C2600" s="1" t="str">
        <f ca="1">IFERROR(__xludf.DUMMYFUNCTION("REGEXEXTRACT(B2600, ""^([^:]+)"")"),"Textile floor coverings")</f>
        <v>Textile floor coverings</v>
      </c>
      <c r="D2600" s="1" t="s">
        <v>11</v>
      </c>
      <c r="E2600" s="1" t="s">
        <v>11</v>
      </c>
    </row>
    <row r="2601" spans="1:5" ht="15.75" customHeight="1">
      <c r="A2601" s="1">
        <v>570490</v>
      </c>
      <c r="B2601" s="1" t="s">
        <v>2627</v>
      </c>
      <c r="C2601" s="1" t="str">
        <f ca="1">IFERROR(__xludf.DUMMYFUNCTION("REGEXEXTRACT(B2601, ""^([^:]+)"")"),"Carpets and other textile floor coverings")</f>
        <v>Carpets and other textile floor coverings</v>
      </c>
      <c r="D2601" s="1" t="s">
        <v>11</v>
      </c>
      <c r="E2601" s="1" t="s">
        <v>11</v>
      </c>
    </row>
    <row r="2602" spans="1:5" ht="15.75" customHeight="1">
      <c r="A2602" s="1">
        <v>570500</v>
      </c>
      <c r="B2602" s="1" t="s">
        <v>2628</v>
      </c>
      <c r="C2602" s="1" t="str">
        <f ca="1">IFERROR(__xludf.DUMMYFUNCTION("REGEXEXTRACT(B2602, ""^([^:]+)"")"),"Carpets and other textile floor coverings")</f>
        <v>Carpets and other textile floor coverings</v>
      </c>
      <c r="D2602" s="1" t="s">
        <v>11</v>
      </c>
      <c r="E2602" s="1" t="s">
        <v>11</v>
      </c>
    </row>
    <row r="2603" spans="1:5" ht="15.75" customHeight="1">
      <c r="A2603" s="1">
        <v>580110</v>
      </c>
      <c r="B2603" s="1" t="s">
        <v>2629</v>
      </c>
      <c r="C2603" s="1" t="str">
        <f ca="1">IFERROR(__xludf.DUMMYFUNCTION("REGEXEXTRACT(B2603, ""^([^:]+)"")"),"Fabrics")</f>
        <v>Fabrics</v>
      </c>
      <c r="D2603" s="1" t="s">
        <v>11</v>
      </c>
      <c r="E2603" s="1" t="s">
        <v>11</v>
      </c>
    </row>
    <row r="2604" spans="1:5" ht="15.75" customHeight="1">
      <c r="A2604" s="1">
        <v>580121</v>
      </c>
      <c r="B2604" s="1" t="s">
        <v>2630</v>
      </c>
      <c r="C2604" s="1" t="str">
        <f ca="1">IFERROR(__xludf.DUMMYFUNCTION("REGEXEXTRACT(B2604, ""^([^:]+)"")"),"Fabrics")</f>
        <v>Fabrics</v>
      </c>
      <c r="D2604" s="1" t="s">
        <v>11</v>
      </c>
      <c r="E2604" s="1" t="s">
        <v>11</v>
      </c>
    </row>
    <row r="2605" spans="1:5" ht="15.75" customHeight="1">
      <c r="A2605" s="1">
        <v>580122</v>
      </c>
      <c r="B2605" s="1" t="s">
        <v>2631</v>
      </c>
      <c r="C2605" s="1" t="str">
        <f ca="1">IFERROR(__xludf.DUMMYFUNCTION("REGEXEXTRACT(B2605, ""^([^:]+)"")"),"Fabrics")</f>
        <v>Fabrics</v>
      </c>
      <c r="D2605" s="1" t="s">
        <v>11</v>
      </c>
      <c r="E2605" s="1" t="s">
        <v>11</v>
      </c>
    </row>
    <row r="2606" spans="1:5" ht="15.75" customHeight="1">
      <c r="A2606" s="1">
        <v>580123</v>
      </c>
      <c r="B2606" s="1" t="s">
        <v>2632</v>
      </c>
      <c r="C2606" s="1" t="str">
        <f ca="1">IFERROR(__xludf.DUMMYFUNCTION("REGEXEXTRACT(B2606, ""^([^:]+)"")"),"Fabrics")</f>
        <v>Fabrics</v>
      </c>
      <c r="D2606" s="1" t="s">
        <v>11</v>
      </c>
      <c r="E2606" s="1" t="s">
        <v>11</v>
      </c>
    </row>
    <row r="2607" spans="1:5" ht="15.75" customHeight="1">
      <c r="A2607" s="1">
        <v>580124</v>
      </c>
      <c r="B2607" s="1" t="s">
        <v>2633</v>
      </c>
      <c r="C2607" s="1" t="str">
        <f ca="1">IFERROR(__xludf.DUMMYFUNCTION("REGEXEXTRACT(B2607, ""^([^:]+)"")"),"Fabrics")</f>
        <v>Fabrics</v>
      </c>
      <c r="D2607" s="1" t="s">
        <v>11</v>
      </c>
      <c r="E2607" s="1" t="s">
        <v>11</v>
      </c>
    </row>
    <row r="2608" spans="1:5" ht="15.75" customHeight="1">
      <c r="A2608" s="1">
        <v>580125</v>
      </c>
      <c r="B2608" s="1" t="s">
        <v>2634</v>
      </c>
      <c r="C2608" s="1" t="str">
        <f ca="1">IFERROR(__xludf.DUMMYFUNCTION("REGEXEXTRACT(B2608, ""^([^:]+)"")"),"Fabrics")</f>
        <v>Fabrics</v>
      </c>
      <c r="D2608" s="1" t="s">
        <v>11</v>
      </c>
      <c r="E2608" s="1" t="s">
        <v>11</v>
      </c>
    </row>
    <row r="2609" spans="1:5" ht="15.75" customHeight="1">
      <c r="A2609" s="1">
        <v>580126</v>
      </c>
      <c r="B2609" s="1" t="s">
        <v>2635</v>
      </c>
      <c r="C2609" s="1" t="str">
        <f ca="1">IFERROR(__xludf.DUMMYFUNCTION("REGEXEXTRACT(B2609, ""^([^:]+)"")"),"Fabrics")</f>
        <v>Fabrics</v>
      </c>
      <c r="D2609" s="1" t="s">
        <v>11</v>
      </c>
      <c r="E2609" s="1" t="s">
        <v>11</v>
      </c>
    </row>
    <row r="2610" spans="1:5" ht="15.75" customHeight="1">
      <c r="A2610" s="1">
        <v>580131</v>
      </c>
      <c r="B2610" s="1" t="s">
        <v>2636</v>
      </c>
      <c r="C2610" s="1" t="str">
        <f ca="1">IFERROR(__xludf.DUMMYFUNCTION("REGEXEXTRACT(B2610, ""^([^:]+)"")"),"Fabrics")</f>
        <v>Fabrics</v>
      </c>
      <c r="D2610" s="1" t="s">
        <v>11</v>
      </c>
      <c r="E2610" s="1" t="s">
        <v>11</v>
      </c>
    </row>
    <row r="2611" spans="1:5" ht="15.75" customHeight="1">
      <c r="A2611" s="1">
        <v>580132</v>
      </c>
      <c r="B2611" s="1" t="s">
        <v>2637</v>
      </c>
      <c r="C2611" s="1" t="str">
        <f ca="1">IFERROR(__xludf.DUMMYFUNCTION("REGEXEXTRACT(B2611, ""^([^:]+)"")"),"Fabrics")</f>
        <v>Fabrics</v>
      </c>
      <c r="D2611" s="1" t="s">
        <v>11</v>
      </c>
      <c r="E2611" s="1" t="s">
        <v>11</v>
      </c>
    </row>
    <row r="2612" spans="1:5" ht="15.75" customHeight="1">
      <c r="A2612" s="1">
        <v>580133</v>
      </c>
      <c r="B2612" s="1" t="s">
        <v>2638</v>
      </c>
      <c r="C2612" s="1" t="str">
        <f ca="1">IFERROR(__xludf.DUMMYFUNCTION("REGEXEXTRACT(B2612, ""^([^:]+)"")"),"Fabrics")</f>
        <v>Fabrics</v>
      </c>
      <c r="D2612" s="1" t="s">
        <v>11</v>
      </c>
      <c r="E2612" s="1" t="s">
        <v>11</v>
      </c>
    </row>
    <row r="2613" spans="1:5" ht="15.75" customHeight="1">
      <c r="A2613" s="1">
        <v>580134</v>
      </c>
      <c r="B2613" s="1" t="s">
        <v>2639</v>
      </c>
      <c r="C2613" s="1" t="str">
        <f ca="1">IFERROR(__xludf.DUMMYFUNCTION("REGEXEXTRACT(B2613, ""^([^:]+)"")"),"Fabrics")</f>
        <v>Fabrics</v>
      </c>
      <c r="D2613" s="1" t="s">
        <v>11</v>
      </c>
      <c r="E2613" s="1" t="s">
        <v>11</v>
      </c>
    </row>
    <row r="2614" spans="1:5" ht="15.75" customHeight="1">
      <c r="A2614" s="1">
        <v>580135</v>
      </c>
      <c r="B2614" s="1" t="s">
        <v>2640</v>
      </c>
      <c r="C2614" s="1" t="str">
        <f ca="1">IFERROR(__xludf.DUMMYFUNCTION("REGEXEXTRACT(B2614, ""^([^:]+)"")"),"Fabrics")</f>
        <v>Fabrics</v>
      </c>
      <c r="D2614" s="1" t="s">
        <v>11</v>
      </c>
      <c r="E2614" s="1" t="s">
        <v>11</v>
      </c>
    </row>
    <row r="2615" spans="1:5" ht="15.75" customHeight="1">
      <c r="A2615" s="1">
        <v>580136</v>
      </c>
      <c r="B2615" s="1" t="s">
        <v>2641</v>
      </c>
      <c r="C2615" s="1" t="str">
        <f ca="1">IFERROR(__xludf.DUMMYFUNCTION("REGEXEXTRACT(B2615, ""^([^:]+)"")"),"Fabrics")</f>
        <v>Fabrics</v>
      </c>
      <c r="D2615" s="1" t="s">
        <v>11</v>
      </c>
      <c r="E2615" s="1" t="s">
        <v>11</v>
      </c>
    </row>
    <row r="2616" spans="1:5" ht="15.75" customHeight="1">
      <c r="A2616" s="1">
        <v>580190</v>
      </c>
      <c r="B2616" s="1" t="s">
        <v>2642</v>
      </c>
      <c r="C2616" s="1" t="str">
        <f ca="1">IFERROR(__xludf.DUMMYFUNCTION("REGEXEXTRACT(B2616, ""^([^:]+)"")"),"Fabrics")</f>
        <v>Fabrics</v>
      </c>
      <c r="D2616" s="1" t="s">
        <v>11</v>
      </c>
      <c r="E2616" s="1" t="s">
        <v>11</v>
      </c>
    </row>
    <row r="2617" spans="1:5" ht="15.75" customHeight="1">
      <c r="A2617" s="1">
        <v>580211</v>
      </c>
      <c r="B2617" s="1" t="s">
        <v>2643</v>
      </c>
      <c r="C2617" s="1" t="str">
        <f ca="1">IFERROR(__xludf.DUMMYFUNCTION("REGEXEXTRACT(B2617, ""^([^:]+)"")"),"Fabrics")</f>
        <v>Fabrics</v>
      </c>
      <c r="D2617" s="1" t="s">
        <v>11</v>
      </c>
      <c r="E2617" s="1" t="s">
        <v>11</v>
      </c>
    </row>
    <row r="2618" spans="1:5" ht="15.75" customHeight="1">
      <c r="A2618" s="1">
        <v>580219</v>
      </c>
      <c r="B2618" s="1" t="s">
        <v>2644</v>
      </c>
      <c r="C2618" s="1" t="str">
        <f ca="1">IFERROR(__xludf.DUMMYFUNCTION("REGEXEXTRACT(B2618, ""^([^:]+)"")"),"Fabrics")</f>
        <v>Fabrics</v>
      </c>
      <c r="D2618" s="1" t="s">
        <v>11</v>
      </c>
      <c r="E2618" s="1" t="s">
        <v>11</v>
      </c>
    </row>
    <row r="2619" spans="1:5" ht="15.75" customHeight="1">
      <c r="A2619" s="1">
        <v>580220</v>
      </c>
      <c r="B2619" s="1" t="s">
        <v>2645</v>
      </c>
      <c r="C2619" s="1" t="str">
        <f ca="1">IFERROR(__xludf.DUMMYFUNCTION("REGEXEXTRACT(B2619, ""^([^:]+)"")"),"Fabrics")</f>
        <v>Fabrics</v>
      </c>
      <c r="D2619" s="1" t="s">
        <v>11</v>
      </c>
      <c r="E2619" s="1" t="s">
        <v>11</v>
      </c>
    </row>
    <row r="2620" spans="1:5" ht="15.75" customHeight="1">
      <c r="A2620" s="1">
        <v>580230</v>
      </c>
      <c r="B2620" s="1" t="s">
        <v>2646</v>
      </c>
      <c r="C2620" s="1" t="str">
        <f ca="1">IFERROR(__xludf.DUMMYFUNCTION("REGEXEXTRACT(B2620, ""^([^:]+)"")"),"Fabrics")</f>
        <v>Fabrics</v>
      </c>
      <c r="D2620" s="1" t="s">
        <v>11</v>
      </c>
      <c r="E2620" s="1" t="s">
        <v>11</v>
      </c>
    </row>
    <row r="2621" spans="1:5" ht="15.75" customHeight="1">
      <c r="A2621" s="1">
        <v>580300</v>
      </c>
      <c r="B2621" s="1" t="s">
        <v>2647</v>
      </c>
      <c r="C2621" s="1" t="str">
        <f ca="1">IFERROR(__xludf.DUMMYFUNCTION("REGEXEXTRACT(B2621, ""^([^:]+)"")"),"Gauze")</f>
        <v>Gauze</v>
      </c>
      <c r="D2621" s="1" t="s">
        <v>11</v>
      </c>
      <c r="E2621" s="1" t="s">
        <v>11</v>
      </c>
    </row>
    <row r="2622" spans="1:5" ht="15.75" customHeight="1">
      <c r="A2622" s="1">
        <v>580410</v>
      </c>
      <c r="B2622" s="1" t="s">
        <v>2648</v>
      </c>
      <c r="C2622" s="1" t="str">
        <f ca="1">IFERROR(__xludf.DUMMYFUNCTION("REGEXEXTRACT(B2622, ""^([^:]+)"")"),"Tulles and other net fabrics")</f>
        <v>Tulles and other net fabrics</v>
      </c>
      <c r="D2622" s="1" t="s">
        <v>11</v>
      </c>
      <c r="E2622" s="1" t="s">
        <v>11</v>
      </c>
    </row>
    <row r="2623" spans="1:5" ht="15.75" customHeight="1">
      <c r="A2623" s="1">
        <v>580421</v>
      </c>
      <c r="B2623" s="1" t="s">
        <v>2649</v>
      </c>
      <c r="C2623" s="1" t="str">
        <f ca="1">IFERROR(__xludf.DUMMYFUNCTION("REGEXEXTRACT(B2623, ""^([^:]+)"")"),"Lace")</f>
        <v>Lace</v>
      </c>
      <c r="D2623" s="1" t="s">
        <v>11</v>
      </c>
      <c r="E2623" s="1" t="s">
        <v>11</v>
      </c>
    </row>
    <row r="2624" spans="1:5" ht="15.75" customHeight="1">
      <c r="A2624" s="1">
        <v>580429</v>
      </c>
      <c r="B2624" s="1" t="s">
        <v>2650</v>
      </c>
      <c r="C2624" s="1" t="str">
        <f ca="1">IFERROR(__xludf.DUMMYFUNCTION("REGEXEXTRACT(B2624, ""^([^:]+)"")"),"Lace")</f>
        <v>Lace</v>
      </c>
      <c r="D2624" s="1" t="s">
        <v>11</v>
      </c>
      <c r="E2624" s="1" t="s">
        <v>11</v>
      </c>
    </row>
    <row r="2625" spans="1:5" ht="15.75" customHeight="1">
      <c r="A2625" s="1">
        <v>580430</v>
      </c>
      <c r="B2625" s="1" t="s">
        <v>2651</v>
      </c>
      <c r="C2625" s="1" t="str">
        <f ca="1">IFERROR(__xludf.DUMMYFUNCTION("REGEXEXTRACT(B2625, ""^([^:]+)"")"),"Lace")</f>
        <v>Lace</v>
      </c>
      <c r="D2625" s="1" t="s">
        <v>11</v>
      </c>
      <c r="E2625" s="1" t="s">
        <v>11</v>
      </c>
    </row>
    <row r="2626" spans="1:5" ht="15.75" customHeight="1">
      <c r="A2626" s="1">
        <v>580500</v>
      </c>
      <c r="B2626" s="1" t="s">
        <v>2652</v>
      </c>
      <c r="C2626" s="1" t="str">
        <f ca="1">IFERROR(__xludf.DUMMYFUNCTION("REGEXEXTRACT(B2626, ""^([^:]+)"")"),"Tapestries")</f>
        <v>Tapestries</v>
      </c>
      <c r="D2626" s="1" t="s">
        <v>11</v>
      </c>
      <c r="E2626" s="1" t="s">
        <v>11</v>
      </c>
    </row>
    <row r="2627" spans="1:5" ht="15.75" customHeight="1">
      <c r="A2627" s="1">
        <v>580610</v>
      </c>
      <c r="B2627" s="1" t="s">
        <v>2653</v>
      </c>
      <c r="C2627" s="1" t="str">
        <f ca="1">IFERROR(__xludf.DUMMYFUNCTION("REGEXEXTRACT(B2627, ""^([^:]+)"")"),"Fabrics")</f>
        <v>Fabrics</v>
      </c>
      <c r="D2627" s="1" t="s">
        <v>11</v>
      </c>
      <c r="E2627" s="1" t="s">
        <v>11</v>
      </c>
    </row>
    <row r="2628" spans="1:5" ht="15.75" customHeight="1">
      <c r="A2628" s="1">
        <v>580620</v>
      </c>
      <c r="B2628" s="1" t="s">
        <v>2654</v>
      </c>
      <c r="C2628" s="1" t="str">
        <f ca="1">IFERROR(__xludf.DUMMYFUNCTION("REGEXEXTRACT(B2628, ""^([^:]+)"")"),"Fabrics")</f>
        <v>Fabrics</v>
      </c>
      <c r="D2628" s="1" t="s">
        <v>11</v>
      </c>
      <c r="E2628" s="1" t="s">
        <v>11</v>
      </c>
    </row>
    <row r="2629" spans="1:5" ht="15.75" customHeight="1">
      <c r="A2629" s="1">
        <v>580631</v>
      </c>
      <c r="B2629" s="1" t="s">
        <v>2655</v>
      </c>
      <c r="C2629" s="1" t="str">
        <f ca="1">IFERROR(__xludf.DUMMYFUNCTION("REGEXEXTRACT(B2629, ""^([^:]+)"")"),"Fabrics")</f>
        <v>Fabrics</v>
      </c>
      <c r="D2629" s="1" t="s">
        <v>11</v>
      </c>
      <c r="E2629" s="1" t="s">
        <v>11</v>
      </c>
    </row>
    <row r="2630" spans="1:5" ht="15.75" customHeight="1">
      <c r="A2630" s="1">
        <v>580632</v>
      </c>
      <c r="B2630" s="1" t="s">
        <v>2656</v>
      </c>
      <c r="C2630" s="1" t="str">
        <f ca="1">IFERROR(__xludf.DUMMYFUNCTION("REGEXEXTRACT(B2630, ""^([^:]+)"")"),"Fabrics, narrow woven fabrics, n.e.c. in heading no. 5806, of man-made fibres (excluding goods of heading no. 5807)")</f>
        <v>Fabrics, narrow woven fabrics, n.e.c. in heading no. 5806, of man-made fibres (excluding goods of heading no. 5807)</v>
      </c>
      <c r="D2630" s="1" t="s">
        <v>11</v>
      </c>
      <c r="E2630" s="1" t="s">
        <v>11</v>
      </c>
    </row>
    <row r="2631" spans="1:5" ht="15.75" customHeight="1">
      <c r="A2631" s="1">
        <v>580639</v>
      </c>
      <c r="B2631" s="1" t="s">
        <v>2657</v>
      </c>
      <c r="C2631" s="1" t="str">
        <f ca="1">IFERROR(__xludf.DUMMYFUNCTION("REGEXEXTRACT(B2631, ""^([^:]+)"")"),"Fabrics")</f>
        <v>Fabrics</v>
      </c>
      <c r="D2631" s="1" t="s">
        <v>11</v>
      </c>
      <c r="E2631" s="1" t="s">
        <v>11</v>
      </c>
    </row>
    <row r="2632" spans="1:5" ht="15.75" customHeight="1">
      <c r="A2632" s="1">
        <v>580640</v>
      </c>
      <c r="B2632" s="1" t="s">
        <v>2658</v>
      </c>
      <c r="C2632" s="1" t="str">
        <f ca="1">IFERROR(__xludf.DUMMYFUNCTION("REGEXEXTRACT(B2632, ""^([^:]+)"")"),"Fabrics")</f>
        <v>Fabrics</v>
      </c>
      <c r="D2632" s="1" t="s">
        <v>11</v>
      </c>
      <c r="E2632" s="1" t="s">
        <v>11</v>
      </c>
    </row>
    <row r="2633" spans="1:5" ht="15.75" customHeight="1">
      <c r="A2633" s="1">
        <v>580710</v>
      </c>
      <c r="B2633" s="1" t="s">
        <v>2659</v>
      </c>
      <c r="C2633" s="1" t="str">
        <f ca="1">IFERROR(__xludf.DUMMYFUNCTION("REGEXEXTRACT(B2633, ""^([^:]+)"")"),"Labels, badges and similar articles")</f>
        <v>Labels, badges and similar articles</v>
      </c>
      <c r="D2633" s="1" t="s">
        <v>11</v>
      </c>
      <c r="E2633" s="1" t="s">
        <v>11</v>
      </c>
    </row>
    <row r="2634" spans="1:5" ht="15.75" customHeight="1">
      <c r="A2634" s="1">
        <v>580790</v>
      </c>
      <c r="B2634" s="1" t="s">
        <v>2660</v>
      </c>
      <c r="C2634" s="1" t="str">
        <f ca="1">IFERROR(__xludf.DUMMYFUNCTION("REGEXEXTRACT(B2634, ""^([^:]+)"")"),"Labels, badges and similar articles")</f>
        <v>Labels, badges and similar articles</v>
      </c>
      <c r="D2634" s="1" t="s">
        <v>11</v>
      </c>
      <c r="E2634" s="1" t="s">
        <v>11</v>
      </c>
    </row>
    <row r="2635" spans="1:5" ht="15.75" customHeight="1">
      <c r="A2635" s="1">
        <v>580810</v>
      </c>
      <c r="B2635" s="1" t="s">
        <v>2661</v>
      </c>
      <c r="C2635" s="1" t="str">
        <f ca="1">IFERROR(__xludf.DUMMYFUNCTION("REGEXEXTRACT(B2635, ""^([^:]+)"")"),"Braids")</f>
        <v>Braids</v>
      </c>
      <c r="D2635" s="1" t="s">
        <v>11</v>
      </c>
      <c r="E2635" s="1" t="s">
        <v>11</v>
      </c>
    </row>
    <row r="2636" spans="1:5" ht="15.75" customHeight="1">
      <c r="A2636" s="1">
        <v>580890</v>
      </c>
      <c r="B2636" s="1" t="s">
        <v>2662</v>
      </c>
      <c r="C2636" s="1" t="str">
        <f ca="1">IFERROR(__xludf.DUMMYFUNCTION("REGEXEXTRACT(B2636, ""^([^:]+)"")"),"Ornamental trimmings")</f>
        <v>Ornamental trimmings</v>
      </c>
      <c r="D2636" s="1" t="s">
        <v>11</v>
      </c>
      <c r="E2636" s="1" t="s">
        <v>11</v>
      </c>
    </row>
    <row r="2637" spans="1:5" ht="15.75" customHeight="1">
      <c r="A2637" s="1">
        <v>580900</v>
      </c>
      <c r="B2637" s="1" t="s">
        <v>2663</v>
      </c>
      <c r="C2637" s="1" t="str">
        <f ca="1">IFERROR(__xludf.DUMMYFUNCTION("REGEXEXTRACT(B2637, ""^([^:]+)"")"),"Fabrics, woven")</f>
        <v>Fabrics, woven</v>
      </c>
      <c r="D2637" s="1" t="s">
        <v>11</v>
      </c>
      <c r="E2637" s="1" t="s">
        <v>11</v>
      </c>
    </row>
    <row r="2638" spans="1:5" ht="15.75" customHeight="1">
      <c r="A2638" s="1">
        <v>581010</v>
      </c>
      <c r="B2638" s="1" t="s">
        <v>2664</v>
      </c>
      <c r="C2638" s="1" t="str">
        <f ca="1">IFERROR(__xludf.DUMMYFUNCTION("REGEXEXTRACT(B2638, ""^([^:]+)"")"),"Embroidery")</f>
        <v>Embroidery</v>
      </c>
      <c r="D2638" s="1" t="s">
        <v>11</v>
      </c>
      <c r="E2638" s="1" t="s">
        <v>11</v>
      </c>
    </row>
    <row r="2639" spans="1:5" ht="15.75" customHeight="1">
      <c r="A2639" s="1">
        <v>581091</v>
      </c>
      <c r="B2639" s="1" t="s">
        <v>2665</v>
      </c>
      <c r="C2639" s="1" t="str">
        <f ca="1">IFERROR(__xludf.DUMMYFUNCTION("REGEXEXTRACT(B2639, ""^([^:]+)"")"),"Embroidery")</f>
        <v>Embroidery</v>
      </c>
      <c r="D2639" s="1" t="s">
        <v>11</v>
      </c>
      <c r="E2639" s="1" t="s">
        <v>11</v>
      </c>
    </row>
    <row r="2640" spans="1:5" ht="15.75" customHeight="1">
      <c r="A2640" s="1">
        <v>581092</v>
      </c>
      <c r="B2640" s="1" t="s">
        <v>2666</v>
      </c>
      <c r="C2640" s="1" t="str">
        <f ca="1">IFERROR(__xludf.DUMMYFUNCTION("REGEXEXTRACT(B2640, ""^([^:]+)"")"),"Embroidery")</f>
        <v>Embroidery</v>
      </c>
      <c r="D2640" s="1" t="s">
        <v>11</v>
      </c>
      <c r="E2640" s="1" t="s">
        <v>11</v>
      </c>
    </row>
    <row r="2641" spans="1:5" ht="15.75" customHeight="1">
      <c r="A2641" s="1">
        <v>581099</v>
      </c>
      <c r="B2641" s="1" t="s">
        <v>2667</v>
      </c>
      <c r="C2641" s="1" t="str">
        <f ca="1">IFERROR(__xludf.DUMMYFUNCTION("REGEXEXTRACT(B2641, ""^([^:]+)"")"),"Embroidery")</f>
        <v>Embroidery</v>
      </c>
      <c r="D2641" s="1" t="s">
        <v>11</v>
      </c>
      <c r="E2641" s="1" t="s">
        <v>11</v>
      </c>
    </row>
    <row r="2642" spans="1:5" ht="15.75" customHeight="1">
      <c r="A2642" s="1">
        <v>581100</v>
      </c>
      <c r="B2642" s="1" t="s">
        <v>2668</v>
      </c>
      <c r="C2642" s="1" t="str">
        <f ca="1">IFERROR(__xludf.DUMMYFUNCTION("REGEXEXTRACT(B2642, ""^([^:]+)"")"),"Quilted textile products")</f>
        <v>Quilted textile products</v>
      </c>
      <c r="D2642" s="1" t="s">
        <v>11</v>
      </c>
      <c r="E2642" s="1" t="s">
        <v>11</v>
      </c>
    </row>
    <row r="2643" spans="1:5" ht="15.75" customHeight="1">
      <c r="A2643" s="1">
        <v>590110</v>
      </c>
      <c r="B2643" s="1" t="s">
        <v>2669</v>
      </c>
      <c r="C2643" s="1" t="str">
        <f ca="1">IFERROR(__xludf.DUMMYFUNCTION("REGEXEXTRACT(B2643, ""^([^:]+)"")"),"Textile fabrics")</f>
        <v>Textile fabrics</v>
      </c>
      <c r="D2643" s="1" t="s">
        <v>11</v>
      </c>
      <c r="E2643" s="1" t="s">
        <v>11</v>
      </c>
    </row>
    <row r="2644" spans="1:5" ht="15.75" customHeight="1">
      <c r="A2644" s="1">
        <v>590190</v>
      </c>
      <c r="B2644" s="1" t="s">
        <v>2670</v>
      </c>
      <c r="C2644" s="1" t="str">
        <f ca="1">IFERROR(__xludf.DUMMYFUNCTION("REGEXEXTRACT(B2644, ""^([^:]+)"")"),"Textile fabrics")</f>
        <v>Textile fabrics</v>
      </c>
      <c r="D2644" s="1" t="s">
        <v>11</v>
      </c>
      <c r="E2644" s="1" t="s">
        <v>11</v>
      </c>
    </row>
    <row r="2645" spans="1:5" ht="15.75" customHeight="1">
      <c r="A2645" s="1">
        <v>590210</v>
      </c>
      <c r="B2645" s="1" t="s">
        <v>2671</v>
      </c>
      <c r="C2645" s="1" t="str">
        <f ca="1">IFERROR(__xludf.DUMMYFUNCTION("REGEXEXTRACT(B2645, ""^([^:]+)"")"),"Textile fabrics")</f>
        <v>Textile fabrics</v>
      </c>
      <c r="D2645" s="1" t="s">
        <v>11</v>
      </c>
      <c r="E2645" s="1" t="s">
        <v>11</v>
      </c>
    </row>
    <row r="2646" spans="1:5" ht="15.75" customHeight="1">
      <c r="A2646" s="1">
        <v>590220</v>
      </c>
      <c r="B2646" s="1" t="s">
        <v>2672</v>
      </c>
      <c r="C2646" s="1" t="str">
        <f ca="1">IFERROR(__xludf.DUMMYFUNCTION("REGEXEXTRACT(B2646, ""^([^:]+)"")"),"Textile fabrics")</f>
        <v>Textile fabrics</v>
      </c>
      <c r="D2646" s="1" t="s">
        <v>11</v>
      </c>
      <c r="E2646" s="1" t="s">
        <v>11</v>
      </c>
    </row>
    <row r="2647" spans="1:5" ht="15.75" customHeight="1">
      <c r="A2647" s="1">
        <v>590290</v>
      </c>
      <c r="B2647" s="1" t="s">
        <v>2673</v>
      </c>
      <c r="C2647" s="1" t="str">
        <f ca="1">IFERROR(__xludf.DUMMYFUNCTION("REGEXEXTRACT(B2647, ""^([^:]+)"")"),"Textile fabrics")</f>
        <v>Textile fabrics</v>
      </c>
      <c r="D2647" s="1" t="s">
        <v>11</v>
      </c>
      <c r="E2647" s="1" t="s">
        <v>11</v>
      </c>
    </row>
    <row r="2648" spans="1:5" ht="15.75" customHeight="1">
      <c r="A2648" s="1">
        <v>590310</v>
      </c>
      <c r="B2648" s="1" t="s">
        <v>2674</v>
      </c>
      <c r="C2648" s="1" t="str">
        <f ca="1">IFERROR(__xludf.DUMMYFUNCTION("REGEXEXTRACT(B2648, ""^([^:]+)"")"),"Textile fabrics")</f>
        <v>Textile fabrics</v>
      </c>
      <c r="D2648" s="1" t="s">
        <v>11</v>
      </c>
      <c r="E2648" s="1" t="s">
        <v>11</v>
      </c>
    </row>
    <row r="2649" spans="1:5" ht="15.75" customHeight="1">
      <c r="A2649" s="1">
        <v>590320</v>
      </c>
      <c r="B2649" s="1" t="s">
        <v>2675</v>
      </c>
      <c r="C2649" s="1" t="str">
        <f ca="1">IFERROR(__xludf.DUMMYFUNCTION("REGEXEXTRACT(B2649, ""^([^:]+)"")"),"Textile fabrics")</f>
        <v>Textile fabrics</v>
      </c>
      <c r="D2649" s="1" t="s">
        <v>11</v>
      </c>
      <c r="E2649" s="1" t="s">
        <v>11</v>
      </c>
    </row>
    <row r="2650" spans="1:5" ht="15.75" customHeight="1">
      <c r="A2650" s="1">
        <v>590390</v>
      </c>
      <c r="B2650" s="1" t="s">
        <v>2676</v>
      </c>
      <c r="C2650" s="1" t="str">
        <f ca="1">IFERROR(__xludf.DUMMYFUNCTION("REGEXEXTRACT(B2650, ""^([^:]+)"")"),"Textile fabrics")</f>
        <v>Textile fabrics</v>
      </c>
      <c r="D2650" s="1" t="s">
        <v>11</v>
      </c>
      <c r="E2650" s="1" t="s">
        <v>11</v>
      </c>
    </row>
    <row r="2651" spans="1:5" ht="15.75" customHeight="1">
      <c r="A2651" s="1">
        <v>590410</v>
      </c>
      <c r="B2651" s="1" t="s">
        <v>2677</v>
      </c>
      <c r="C2651" s="1" t="str">
        <f ca="1">IFERROR(__xludf.DUMMYFUNCTION("REGEXEXTRACT(B2651, ""^([^:]+)"")"),"Linoleum, whether or not cut to shape")</f>
        <v>Linoleum, whether or not cut to shape</v>
      </c>
      <c r="D2651" s="1" t="s">
        <v>11</v>
      </c>
      <c r="E2651" s="1" t="s">
        <v>11</v>
      </c>
    </row>
    <row r="2652" spans="1:5" ht="15.75" customHeight="1">
      <c r="A2652" s="1">
        <v>590490</v>
      </c>
      <c r="B2652" s="1" t="s">
        <v>2678</v>
      </c>
      <c r="C2652" s="1" t="str">
        <f ca="1">IFERROR(__xludf.DUMMYFUNCTION("REGEXEXTRACT(B2652, ""^([^:]+)"")"),"Textiles floor coverings")</f>
        <v>Textiles floor coverings</v>
      </c>
      <c r="D2652" s="1" t="s">
        <v>11</v>
      </c>
      <c r="E2652" s="1" t="s">
        <v>11</v>
      </c>
    </row>
    <row r="2653" spans="1:5" ht="15.75" customHeight="1">
      <c r="A2653" s="1">
        <v>590500</v>
      </c>
      <c r="B2653" s="1" t="s">
        <v>2679</v>
      </c>
      <c r="C2653" s="1" t="str">
        <f ca="1">IFERROR(__xludf.DUMMYFUNCTION("REGEXEXTRACT(B2653, ""^([^:]+)"")"),"Textile wall coverings of fabrics impregnated, coated, covered or laminated")</f>
        <v>Textile wall coverings of fabrics impregnated, coated, covered or laminated</v>
      </c>
      <c r="D2653" s="1" t="s">
        <v>11</v>
      </c>
      <c r="E2653" s="1" t="s">
        <v>11</v>
      </c>
    </row>
    <row r="2654" spans="1:5" ht="15.75" customHeight="1">
      <c r="A2654" s="1">
        <v>590610</v>
      </c>
      <c r="B2654" s="1" t="s">
        <v>2680</v>
      </c>
      <c r="C2654" s="1" t="str">
        <f ca="1">IFERROR(__xludf.DUMMYFUNCTION("REGEXEXTRACT(B2654, ""^([^:]+)"")"),"Textile fabrics, rubberised")</f>
        <v>Textile fabrics, rubberised</v>
      </c>
      <c r="D2654" s="1" t="s">
        <v>11</v>
      </c>
      <c r="E2654" s="1" t="s">
        <v>11</v>
      </c>
    </row>
    <row r="2655" spans="1:5" ht="15.75" customHeight="1">
      <c r="A2655" s="1">
        <v>590691</v>
      </c>
      <c r="B2655" s="1" t="s">
        <v>2681</v>
      </c>
      <c r="C2655" s="1" t="str">
        <f ca="1">IFERROR(__xludf.DUMMYFUNCTION("REGEXEXTRACT(B2655, ""^([^:]+)"")"),"Textile fabrics, rubberised")</f>
        <v>Textile fabrics, rubberised</v>
      </c>
      <c r="D2655" s="1" t="s">
        <v>11</v>
      </c>
      <c r="E2655" s="1" t="s">
        <v>11</v>
      </c>
    </row>
    <row r="2656" spans="1:5" ht="15.75" customHeight="1">
      <c r="A2656" s="1">
        <v>590699</v>
      </c>
      <c r="B2656" s="1" t="s">
        <v>2682</v>
      </c>
      <c r="C2656" s="1" t="str">
        <f ca="1">IFERROR(__xludf.DUMMYFUNCTION("REGEXEXTRACT(B2656, ""^([^:]+)"")"),"Textile fabrics, rubberised")</f>
        <v>Textile fabrics, rubberised</v>
      </c>
      <c r="D2656" s="1" t="s">
        <v>11</v>
      </c>
      <c r="E2656" s="1" t="s">
        <v>11</v>
      </c>
    </row>
    <row r="2657" spans="1:5" ht="15.75" customHeight="1">
      <c r="A2657" s="1">
        <v>590700</v>
      </c>
      <c r="B2657" s="1" t="s">
        <v>2683</v>
      </c>
      <c r="C2657" s="1" t="str">
        <f ca="1">IFERROR(__xludf.DUMMYFUNCTION("REGEXEXTRACT(B2657, ""^([^:]+)"")"),"Textile fabrics")</f>
        <v>Textile fabrics</v>
      </c>
      <c r="D2657" s="1" t="s">
        <v>11</v>
      </c>
      <c r="E2657" s="1" t="s">
        <v>11</v>
      </c>
    </row>
    <row r="2658" spans="1:5" ht="15.75" customHeight="1">
      <c r="A2658" s="1">
        <v>590800</v>
      </c>
      <c r="B2658" s="1" t="s">
        <v>2684</v>
      </c>
      <c r="C2658" s="1" t="str">
        <f ca="1">IFERROR(__xludf.DUMMYFUNCTION("REGEXEXTRACT(B2658, ""^([^:]+)"")"),"Textile wicks, woven, plaited or knitted")</f>
        <v>Textile wicks, woven, plaited or knitted</v>
      </c>
      <c r="D2658" s="1" t="s">
        <v>11</v>
      </c>
      <c r="E2658" s="1" t="s">
        <v>11</v>
      </c>
    </row>
    <row r="2659" spans="1:5" ht="15.75" customHeight="1">
      <c r="A2659" s="1">
        <v>590900</v>
      </c>
      <c r="B2659" s="1" t="s">
        <v>2685</v>
      </c>
      <c r="C2659" s="1" t="str">
        <f ca="1">IFERROR(__xludf.DUMMYFUNCTION("REGEXEXTRACT(B2659, ""^([^:]+)"")"),"Textile hosepiping and similar textile tubing")</f>
        <v>Textile hosepiping and similar textile tubing</v>
      </c>
      <c r="D2659" s="1" t="s">
        <v>11</v>
      </c>
      <c r="E2659" s="1" t="s">
        <v>11</v>
      </c>
    </row>
    <row r="2660" spans="1:5" ht="15.75" customHeight="1">
      <c r="A2660" s="1">
        <v>591000</v>
      </c>
      <c r="B2660" s="1" t="s">
        <v>2686</v>
      </c>
      <c r="C2660" s="1" t="str">
        <f ca="1">IFERROR(__xludf.DUMMYFUNCTION("REGEXEXTRACT(B2660, ""^([^:]+)"")"),"Textiles")</f>
        <v>Textiles</v>
      </c>
      <c r="D2660" s="1" t="s">
        <v>11</v>
      </c>
      <c r="E2660" s="1" t="s">
        <v>11</v>
      </c>
    </row>
    <row r="2661" spans="1:5" ht="15.75" customHeight="1">
      <c r="A2661" s="1">
        <v>591110</v>
      </c>
      <c r="B2661" s="1" t="s">
        <v>2687</v>
      </c>
      <c r="C2661" s="1" t="str">
        <f ca="1">IFERROR(__xludf.DUMMYFUNCTION("REGEXEXTRACT(B2661, ""^([^:]+)"")"),"Textile fabric, felt &amp; felt-lined woven fabrics, coated/covered/laminated with rubber, leather or other material, for card clothing, similar fabrics used for technical purposes, including rubber impregnated narrow velvet fabrics to cover weaving spindles")</f>
        <v>Textile fabric, felt &amp; felt-lined woven fabrics, coated/covered/laminated with rubber, leather or other material, for card clothing, similar fabrics used for technical purposes, including rubber impregnated narrow velvet fabrics to cover weaving spindles</v>
      </c>
      <c r="D2661" s="1" t="s">
        <v>11</v>
      </c>
      <c r="E2661" s="1" t="s">
        <v>11</v>
      </c>
    </row>
    <row r="2662" spans="1:5" ht="15.75" customHeight="1">
      <c r="A2662" s="1">
        <v>591120</v>
      </c>
      <c r="B2662" s="1" t="s">
        <v>2688</v>
      </c>
      <c r="C2662" s="1" t="str">
        <f ca="1">IFERROR(__xludf.DUMMYFUNCTION("REGEXEXTRACT(B2662, ""^([^:]+)"")"),"Textile products and articles for technical uses")</f>
        <v>Textile products and articles for technical uses</v>
      </c>
      <c r="D2662" s="1" t="s">
        <v>11</v>
      </c>
      <c r="E2662" s="1" t="s">
        <v>11</v>
      </c>
    </row>
    <row r="2663" spans="1:5" ht="15.75" customHeight="1">
      <c r="A2663" s="1">
        <v>591131</v>
      </c>
      <c r="B2663" s="1" t="s">
        <v>2689</v>
      </c>
      <c r="C2663" s="1" t="str">
        <f ca="1">IFERROR(__xludf.DUMMYFUNCTION("REGEXEXTRACT(B2663, ""^([^:]+)"")"),"Textiles")</f>
        <v>Textiles</v>
      </c>
      <c r="D2663" s="1" t="s">
        <v>11</v>
      </c>
      <c r="E2663" s="1" t="s">
        <v>11</v>
      </c>
    </row>
    <row r="2664" spans="1:5" ht="15.75" customHeight="1">
      <c r="A2664" s="1">
        <v>591132</v>
      </c>
      <c r="B2664" s="1" t="s">
        <v>2690</v>
      </c>
      <c r="C2664" s="1" t="str">
        <f ca="1">IFERROR(__xludf.DUMMYFUNCTION("REGEXEXTRACT(B2664, ""^([^:]+)"")"),"Textiles")</f>
        <v>Textiles</v>
      </c>
      <c r="D2664" s="1" t="s">
        <v>11</v>
      </c>
      <c r="E2664" s="1" t="s">
        <v>11</v>
      </c>
    </row>
    <row r="2665" spans="1:5" ht="15.75" customHeight="1">
      <c r="A2665" s="1">
        <v>591140</v>
      </c>
      <c r="B2665" s="1" t="s">
        <v>2691</v>
      </c>
      <c r="C2665" s="1" t="str">
        <f ca="1">IFERROR(__xludf.DUMMYFUNCTION("REGEXEXTRACT(B2665, ""^([^:]+)"")"),"Textile products and articles for technical uses")</f>
        <v>Textile products and articles for technical uses</v>
      </c>
      <c r="D2665" s="1" t="s">
        <v>11</v>
      </c>
      <c r="E2665" s="1" t="s">
        <v>11</v>
      </c>
    </row>
    <row r="2666" spans="1:5" ht="15.75" customHeight="1">
      <c r="A2666" s="1">
        <v>591190</v>
      </c>
      <c r="B2666" s="1" t="s">
        <v>2692</v>
      </c>
      <c r="C2666" s="1" t="str">
        <f ca="1">IFERROR(__xludf.DUMMYFUNCTION("REGEXEXTRACT(B2666, ""^([^:]+)"")"),"Textile products and articles for technical uses")</f>
        <v>Textile products and articles for technical uses</v>
      </c>
      <c r="D2666" s="1" t="s">
        <v>11</v>
      </c>
      <c r="E2666" s="1" t="s">
        <v>11</v>
      </c>
    </row>
    <row r="2667" spans="1:5" ht="15.75" customHeight="1">
      <c r="A2667" s="1">
        <v>600110</v>
      </c>
      <c r="B2667" s="1" t="s">
        <v>2693</v>
      </c>
      <c r="C2667" s="1" t="str">
        <f ca="1">IFERROR(__xludf.DUMMYFUNCTION("REGEXEXTRACT(B2667, ""^([^:]+)"")"),"Fabrics")</f>
        <v>Fabrics</v>
      </c>
      <c r="D2667" s="1" t="s">
        <v>11</v>
      </c>
      <c r="E2667" s="1" t="s">
        <v>11</v>
      </c>
    </row>
    <row r="2668" spans="1:5" ht="15.75" customHeight="1">
      <c r="A2668" s="1">
        <v>600121</v>
      </c>
      <c r="B2668" s="1" t="s">
        <v>2694</v>
      </c>
      <c r="C2668" s="1" t="str">
        <f ca="1">IFERROR(__xludf.DUMMYFUNCTION("REGEXEXTRACT(B2668, ""^([^:]+)"")"),"Fabrics")</f>
        <v>Fabrics</v>
      </c>
      <c r="D2668" s="1" t="s">
        <v>11</v>
      </c>
      <c r="E2668" s="1" t="s">
        <v>11</v>
      </c>
    </row>
    <row r="2669" spans="1:5" ht="15.75" customHeight="1">
      <c r="A2669" s="1">
        <v>600122</v>
      </c>
      <c r="B2669" s="1" t="s">
        <v>2695</v>
      </c>
      <c r="C2669" s="1" t="str">
        <f ca="1">IFERROR(__xludf.DUMMYFUNCTION("REGEXEXTRACT(B2669, ""^([^:]+)"")"),"Fabrics")</f>
        <v>Fabrics</v>
      </c>
      <c r="D2669" s="1" t="s">
        <v>11</v>
      </c>
      <c r="E2669" s="1" t="s">
        <v>11</v>
      </c>
    </row>
    <row r="2670" spans="1:5" ht="15.75" customHeight="1">
      <c r="A2670" s="1">
        <v>600129</v>
      </c>
      <c r="B2670" s="1" t="s">
        <v>2696</v>
      </c>
      <c r="C2670" s="1" t="str">
        <f ca="1">IFERROR(__xludf.DUMMYFUNCTION("REGEXEXTRACT(B2670, ""^([^:]+)"")"),"Fabrics")</f>
        <v>Fabrics</v>
      </c>
      <c r="D2670" s="1" t="s">
        <v>11</v>
      </c>
      <c r="E2670" s="1" t="s">
        <v>11</v>
      </c>
    </row>
    <row r="2671" spans="1:5" ht="15.75" customHeight="1">
      <c r="A2671" s="1">
        <v>600191</v>
      </c>
      <c r="B2671" s="1" t="s">
        <v>2697</v>
      </c>
      <c r="C2671" s="1" t="str">
        <f ca="1">IFERROR(__xludf.DUMMYFUNCTION("REGEXEXTRACT(B2671, ""^([^:]+)"")"),"Fabrics")</f>
        <v>Fabrics</v>
      </c>
      <c r="D2671" s="1" t="s">
        <v>11</v>
      </c>
      <c r="E2671" s="1" t="s">
        <v>11</v>
      </c>
    </row>
    <row r="2672" spans="1:5" ht="15.75" customHeight="1">
      <c r="A2672" s="1">
        <v>600192</v>
      </c>
      <c r="B2672" s="1" t="s">
        <v>2698</v>
      </c>
      <c r="C2672" s="1" t="str">
        <f ca="1">IFERROR(__xludf.DUMMYFUNCTION("REGEXEXTRACT(B2672, ""^([^:]+)"")"),"Fabrics")</f>
        <v>Fabrics</v>
      </c>
      <c r="D2672" s="1" t="s">
        <v>11</v>
      </c>
      <c r="E2672" s="1" t="s">
        <v>11</v>
      </c>
    </row>
    <row r="2673" spans="1:5" ht="15.75" customHeight="1">
      <c r="A2673" s="1">
        <v>600199</v>
      </c>
      <c r="B2673" s="1" t="s">
        <v>2699</v>
      </c>
      <c r="C2673" s="1" t="str">
        <f ca="1">IFERROR(__xludf.DUMMYFUNCTION("REGEXEXTRACT(B2673, ""^([^:]+)"")"),"Fabrics")</f>
        <v>Fabrics</v>
      </c>
      <c r="D2673" s="1" t="s">
        <v>11</v>
      </c>
      <c r="E2673" s="1" t="s">
        <v>11</v>
      </c>
    </row>
    <row r="2674" spans="1:5" ht="15.75" customHeight="1">
      <c r="A2674" s="1">
        <v>600240</v>
      </c>
      <c r="B2674" s="1" t="s">
        <v>2700</v>
      </c>
      <c r="C2674" s="1" t="str">
        <f ca="1">IFERROR(__xludf.DUMMYFUNCTION("REGEXEXTRACT(B2674, ""^([^:]+)"")"),"Fabrics")</f>
        <v>Fabrics</v>
      </c>
      <c r="D2674" s="1" t="s">
        <v>11</v>
      </c>
      <c r="E2674" s="1" t="s">
        <v>11</v>
      </c>
    </row>
    <row r="2675" spans="1:5" ht="15.75" customHeight="1">
      <c r="A2675" s="1">
        <v>600290</v>
      </c>
      <c r="B2675" s="1" t="s">
        <v>2701</v>
      </c>
      <c r="C2675" s="1" t="str">
        <f ca="1">IFERROR(__xludf.DUMMYFUNCTION("REGEXEXTRACT(B2675, ""^([^:]+)"")"),"Fabrics")</f>
        <v>Fabrics</v>
      </c>
      <c r="D2675" s="1" t="s">
        <v>11</v>
      </c>
      <c r="E2675" s="1" t="s">
        <v>11</v>
      </c>
    </row>
    <row r="2676" spans="1:5" ht="15.75" customHeight="1">
      <c r="A2676" s="1">
        <v>600310</v>
      </c>
      <c r="B2676" s="1" t="s">
        <v>2702</v>
      </c>
      <c r="C2676" s="1" t="str">
        <f ca="1">IFERROR(__xludf.DUMMYFUNCTION("REGEXEXTRACT(B2676, ""^([^:]+)"")"),"Fabrics")</f>
        <v>Fabrics</v>
      </c>
      <c r="D2676" s="1" t="s">
        <v>11</v>
      </c>
      <c r="E2676" s="1" t="s">
        <v>11</v>
      </c>
    </row>
    <row r="2677" spans="1:5" ht="15.75" customHeight="1">
      <c r="A2677" s="1">
        <v>600320</v>
      </c>
      <c r="B2677" s="1" t="s">
        <v>2703</v>
      </c>
      <c r="C2677" s="1" t="str">
        <f ca="1">IFERROR(__xludf.DUMMYFUNCTION("REGEXEXTRACT(B2677, ""^([^:]+)"")"),"Fabrics")</f>
        <v>Fabrics</v>
      </c>
      <c r="D2677" s="1" t="s">
        <v>11</v>
      </c>
      <c r="E2677" s="1" t="s">
        <v>11</v>
      </c>
    </row>
    <row r="2678" spans="1:5" ht="15.75" customHeight="1">
      <c r="A2678" s="1">
        <v>600330</v>
      </c>
      <c r="B2678" s="1" t="s">
        <v>2704</v>
      </c>
      <c r="C2678" s="1" t="str">
        <f ca="1">IFERROR(__xludf.DUMMYFUNCTION("REGEXEXTRACT(B2678, ""^([^:]+)"")"),"Fabrics")</f>
        <v>Fabrics</v>
      </c>
      <c r="D2678" s="1" t="s">
        <v>11</v>
      </c>
      <c r="E2678" s="1" t="s">
        <v>11</v>
      </c>
    </row>
    <row r="2679" spans="1:5" ht="15.75" customHeight="1">
      <c r="A2679" s="1">
        <v>600340</v>
      </c>
      <c r="B2679" s="1" t="s">
        <v>2705</v>
      </c>
      <c r="C2679" s="1" t="str">
        <f ca="1">IFERROR(__xludf.DUMMYFUNCTION("REGEXEXTRACT(B2679, ""^([^:]+)"")"),"Fabrics")</f>
        <v>Fabrics</v>
      </c>
      <c r="D2679" s="1" t="s">
        <v>11</v>
      </c>
      <c r="E2679" s="1" t="s">
        <v>11</v>
      </c>
    </row>
    <row r="2680" spans="1:5" ht="15.75" customHeight="1">
      <c r="A2680" s="1">
        <v>600390</v>
      </c>
      <c r="B2680" s="1" t="s">
        <v>2706</v>
      </c>
      <c r="C2680" s="1" t="str">
        <f ca="1">IFERROR(__xludf.DUMMYFUNCTION("REGEXEXTRACT(B2680, ""^([^:]+)"")"),"Fabrics")</f>
        <v>Fabrics</v>
      </c>
      <c r="D2680" s="1" t="s">
        <v>11</v>
      </c>
      <c r="E2680" s="1" t="s">
        <v>11</v>
      </c>
    </row>
    <row r="2681" spans="1:5" ht="15.75" customHeight="1">
      <c r="A2681" s="1">
        <v>600410</v>
      </c>
      <c r="B2681" s="1" t="s">
        <v>2707</v>
      </c>
      <c r="C2681" s="1" t="str">
        <f ca="1">IFERROR(__xludf.DUMMYFUNCTION("REGEXEXTRACT(B2681, ""^([^:]+)"")"),"Fabrics")</f>
        <v>Fabrics</v>
      </c>
      <c r="D2681" s="1" t="s">
        <v>11</v>
      </c>
      <c r="E2681" s="1" t="s">
        <v>11</v>
      </c>
    </row>
    <row r="2682" spans="1:5" ht="15.75" customHeight="1">
      <c r="A2682" s="1">
        <v>600490</v>
      </c>
      <c r="B2682" s="1" t="s">
        <v>2708</v>
      </c>
      <c r="C2682" s="1" t="str">
        <f ca="1">IFERROR(__xludf.DUMMYFUNCTION("REGEXEXTRACT(B2682, ""^([^:]+)"")"),"Fabrics")</f>
        <v>Fabrics</v>
      </c>
      <c r="D2682" s="1" t="s">
        <v>11</v>
      </c>
      <c r="E2682" s="1" t="s">
        <v>11</v>
      </c>
    </row>
    <row r="2683" spans="1:5" ht="15.75" customHeight="1">
      <c r="A2683" s="1">
        <v>600521</v>
      </c>
      <c r="B2683" s="1" t="s">
        <v>2709</v>
      </c>
      <c r="C2683" s="1" t="str">
        <f ca="1">IFERROR(__xludf.DUMMYFUNCTION("REGEXEXTRACT(B2683, ""^([^:]+)"")"),"Fabrics")</f>
        <v>Fabrics</v>
      </c>
      <c r="D2683" s="1" t="s">
        <v>11</v>
      </c>
      <c r="E2683" s="1" t="s">
        <v>11</v>
      </c>
    </row>
    <row r="2684" spans="1:5" ht="15.75" customHeight="1">
      <c r="A2684" s="1">
        <v>600522</v>
      </c>
      <c r="B2684" s="1" t="s">
        <v>2710</v>
      </c>
      <c r="C2684" s="1" t="str">
        <f ca="1">IFERROR(__xludf.DUMMYFUNCTION("REGEXEXTRACT(B2684, ""^([^:]+)"")"),"Fabrics")</f>
        <v>Fabrics</v>
      </c>
      <c r="D2684" s="1" t="s">
        <v>11</v>
      </c>
      <c r="E2684" s="1" t="s">
        <v>11</v>
      </c>
    </row>
    <row r="2685" spans="1:5" ht="15.75" customHeight="1">
      <c r="A2685" s="1">
        <v>600523</v>
      </c>
      <c r="B2685" s="1" t="s">
        <v>2711</v>
      </c>
      <c r="C2685" s="1" t="str">
        <f ca="1">IFERROR(__xludf.DUMMYFUNCTION("REGEXEXTRACT(B2685, ""^([^:]+)"")"),"Fabrics")</f>
        <v>Fabrics</v>
      </c>
      <c r="D2685" s="1" t="s">
        <v>11</v>
      </c>
      <c r="E2685" s="1" t="s">
        <v>11</v>
      </c>
    </row>
    <row r="2686" spans="1:5" ht="15.75" customHeight="1">
      <c r="A2686" s="1">
        <v>600524</v>
      </c>
      <c r="B2686" s="1" t="s">
        <v>2712</v>
      </c>
      <c r="C2686" s="1" t="str">
        <f ca="1">IFERROR(__xludf.DUMMYFUNCTION("REGEXEXTRACT(B2686, ""^([^:]+)"")"),"Fabrics")</f>
        <v>Fabrics</v>
      </c>
      <c r="D2686" s="1" t="s">
        <v>11</v>
      </c>
      <c r="E2686" s="1" t="s">
        <v>11</v>
      </c>
    </row>
    <row r="2687" spans="1:5" ht="15.75" customHeight="1">
      <c r="A2687" s="1">
        <v>600531</v>
      </c>
      <c r="B2687" s="1" t="s">
        <v>2713</v>
      </c>
      <c r="C2687" s="1" t="str">
        <f ca="1">IFERROR(__xludf.DUMMYFUNCTION("REGEXEXTRACT(B2687, ""^([^:]+)"")"),"Fabrics")</f>
        <v>Fabrics</v>
      </c>
      <c r="D2687" s="1" t="s">
        <v>11</v>
      </c>
      <c r="E2687" s="1" t="s">
        <v>11</v>
      </c>
    </row>
    <row r="2688" spans="1:5" ht="15.75" customHeight="1">
      <c r="A2688" s="1">
        <v>600532</v>
      </c>
      <c r="B2688" s="1" t="s">
        <v>2714</v>
      </c>
      <c r="C2688" s="1" t="str">
        <f ca="1">IFERROR(__xludf.DUMMYFUNCTION("REGEXEXTRACT(B2688, ""^([^:]+)"")"),"Fabrics")</f>
        <v>Fabrics</v>
      </c>
      <c r="D2688" s="1" t="s">
        <v>11</v>
      </c>
      <c r="E2688" s="1" t="s">
        <v>11</v>
      </c>
    </row>
    <row r="2689" spans="1:5" ht="15.75" customHeight="1">
      <c r="A2689" s="1">
        <v>600533</v>
      </c>
      <c r="B2689" s="1" t="s">
        <v>2715</v>
      </c>
      <c r="C2689" s="1" t="str">
        <f ca="1">IFERROR(__xludf.DUMMYFUNCTION("REGEXEXTRACT(B2689, ""^([^:]+)"")"),"Fabrics")</f>
        <v>Fabrics</v>
      </c>
      <c r="D2689" s="1" t="s">
        <v>11</v>
      </c>
      <c r="E2689" s="1" t="s">
        <v>11</v>
      </c>
    </row>
    <row r="2690" spans="1:5" ht="15.75" customHeight="1">
      <c r="A2690" s="1">
        <v>600534</v>
      </c>
      <c r="B2690" s="1" t="s">
        <v>2716</v>
      </c>
      <c r="C2690" s="1" t="str">
        <f ca="1">IFERROR(__xludf.DUMMYFUNCTION("REGEXEXTRACT(B2690, ""^([^:]+)"")"),"Fabrics")</f>
        <v>Fabrics</v>
      </c>
      <c r="D2690" s="1" t="s">
        <v>11</v>
      </c>
      <c r="E2690" s="1" t="s">
        <v>11</v>
      </c>
    </row>
    <row r="2691" spans="1:5" ht="15.75" customHeight="1">
      <c r="A2691" s="1">
        <v>600541</v>
      </c>
      <c r="B2691" s="1" t="s">
        <v>2717</v>
      </c>
      <c r="C2691" s="1" t="str">
        <f ca="1">IFERROR(__xludf.DUMMYFUNCTION("REGEXEXTRACT(B2691, ""^([^:]+)"")"),"Fabrics")</f>
        <v>Fabrics</v>
      </c>
      <c r="D2691" s="1" t="s">
        <v>11</v>
      </c>
      <c r="E2691" s="1" t="s">
        <v>11</v>
      </c>
    </row>
    <row r="2692" spans="1:5" ht="15.75" customHeight="1">
      <c r="A2692" s="1">
        <v>600542</v>
      </c>
      <c r="B2692" s="1" t="s">
        <v>2718</v>
      </c>
      <c r="C2692" s="1" t="str">
        <f ca="1">IFERROR(__xludf.DUMMYFUNCTION("REGEXEXTRACT(B2692, ""^([^:]+)"")"),"Fabrics")</f>
        <v>Fabrics</v>
      </c>
      <c r="D2692" s="1" t="s">
        <v>11</v>
      </c>
      <c r="E2692" s="1" t="s">
        <v>11</v>
      </c>
    </row>
    <row r="2693" spans="1:5" ht="15.75" customHeight="1">
      <c r="A2693" s="1">
        <v>600543</v>
      </c>
      <c r="B2693" s="1" t="s">
        <v>2719</v>
      </c>
      <c r="C2693" s="1" t="str">
        <f ca="1">IFERROR(__xludf.DUMMYFUNCTION("REGEXEXTRACT(B2693, ""^([^:]+)"")"),"Fabrics")</f>
        <v>Fabrics</v>
      </c>
      <c r="D2693" s="1" t="s">
        <v>11</v>
      </c>
      <c r="E2693" s="1" t="s">
        <v>11</v>
      </c>
    </row>
    <row r="2694" spans="1:5" ht="15.75" customHeight="1">
      <c r="A2694" s="1">
        <v>600544</v>
      </c>
      <c r="B2694" s="1" t="s">
        <v>2720</v>
      </c>
      <c r="C2694" s="1" t="str">
        <f ca="1">IFERROR(__xludf.DUMMYFUNCTION("REGEXEXTRACT(B2694, ""^([^:]+)"")"),"Fabrics")</f>
        <v>Fabrics</v>
      </c>
      <c r="D2694" s="1" t="s">
        <v>11</v>
      </c>
      <c r="E2694" s="1" t="s">
        <v>11</v>
      </c>
    </row>
    <row r="2695" spans="1:5" ht="15.75" customHeight="1">
      <c r="A2695" s="1">
        <v>600590</v>
      </c>
      <c r="B2695" s="1" t="s">
        <v>2721</v>
      </c>
      <c r="C2695" s="1" t="str">
        <f ca="1">IFERROR(__xludf.DUMMYFUNCTION("REGEXEXTRACT(B2695, ""^([^:]+)"")"),"Fabrics")</f>
        <v>Fabrics</v>
      </c>
      <c r="D2695" s="1" t="s">
        <v>11</v>
      </c>
      <c r="E2695" s="1" t="s">
        <v>11</v>
      </c>
    </row>
    <row r="2696" spans="1:5" ht="15.75" customHeight="1">
      <c r="A2696" s="1">
        <v>600610</v>
      </c>
      <c r="B2696" s="1" t="s">
        <v>2722</v>
      </c>
      <c r="C2696" s="1" t="str">
        <f ca="1">IFERROR(__xludf.DUMMYFUNCTION("REGEXEXTRACT(B2696, ""^([^:]+)"")"),"Fabrics")</f>
        <v>Fabrics</v>
      </c>
      <c r="D2696" s="1" t="s">
        <v>11</v>
      </c>
      <c r="E2696" s="1" t="s">
        <v>11</v>
      </c>
    </row>
    <row r="2697" spans="1:5" ht="15.75" customHeight="1">
      <c r="A2697" s="1">
        <v>600621</v>
      </c>
      <c r="B2697" s="1" t="s">
        <v>2723</v>
      </c>
      <c r="C2697" s="1" t="str">
        <f ca="1">IFERROR(__xludf.DUMMYFUNCTION("REGEXEXTRACT(B2697, ""^([^:]+)"")"),"Fabrics")</f>
        <v>Fabrics</v>
      </c>
      <c r="D2697" s="1" t="s">
        <v>11</v>
      </c>
      <c r="E2697" s="1" t="s">
        <v>11</v>
      </c>
    </row>
    <row r="2698" spans="1:5" ht="15.75" customHeight="1">
      <c r="A2698" s="1">
        <v>600622</v>
      </c>
      <c r="B2698" s="1" t="s">
        <v>2724</v>
      </c>
      <c r="C2698" s="1" t="str">
        <f ca="1">IFERROR(__xludf.DUMMYFUNCTION("REGEXEXTRACT(B2698, ""^([^:]+)"")"),"Fabrics")</f>
        <v>Fabrics</v>
      </c>
      <c r="D2698" s="1" t="s">
        <v>11</v>
      </c>
      <c r="E2698" s="1" t="s">
        <v>11</v>
      </c>
    </row>
    <row r="2699" spans="1:5" ht="15.75" customHeight="1">
      <c r="A2699" s="1">
        <v>600623</v>
      </c>
      <c r="B2699" s="1" t="s">
        <v>2725</v>
      </c>
      <c r="C2699" s="1" t="str">
        <f ca="1">IFERROR(__xludf.DUMMYFUNCTION("REGEXEXTRACT(B2699, ""^([^:]+)"")"),"Fabrics")</f>
        <v>Fabrics</v>
      </c>
      <c r="D2699" s="1" t="s">
        <v>11</v>
      </c>
      <c r="E2699" s="1" t="s">
        <v>11</v>
      </c>
    </row>
    <row r="2700" spans="1:5" ht="15.75" customHeight="1">
      <c r="A2700" s="1">
        <v>600624</v>
      </c>
      <c r="B2700" s="1" t="s">
        <v>2726</v>
      </c>
      <c r="C2700" s="1" t="str">
        <f ca="1">IFERROR(__xludf.DUMMYFUNCTION("REGEXEXTRACT(B2700, ""^([^:]+)"")"),"Fabrics")</f>
        <v>Fabrics</v>
      </c>
      <c r="D2700" s="1" t="s">
        <v>11</v>
      </c>
      <c r="E2700" s="1" t="s">
        <v>11</v>
      </c>
    </row>
    <row r="2701" spans="1:5" ht="15.75" customHeight="1">
      <c r="A2701" s="1">
        <v>600631</v>
      </c>
      <c r="B2701" s="1" t="s">
        <v>2727</v>
      </c>
      <c r="C2701" s="1" t="str">
        <f ca="1">IFERROR(__xludf.DUMMYFUNCTION("REGEXEXTRACT(B2701, ""^([^:]+)"")"),"Fabrics")</f>
        <v>Fabrics</v>
      </c>
      <c r="D2701" s="1" t="s">
        <v>11</v>
      </c>
      <c r="E2701" s="1" t="s">
        <v>11</v>
      </c>
    </row>
    <row r="2702" spans="1:5" ht="15.75" customHeight="1">
      <c r="A2702" s="1">
        <v>600632</v>
      </c>
      <c r="B2702" s="1" t="s">
        <v>2728</v>
      </c>
      <c r="C2702" s="1" t="str">
        <f ca="1">IFERROR(__xludf.DUMMYFUNCTION("REGEXEXTRACT(B2702, ""^([^:]+)"")"),"Fabrics")</f>
        <v>Fabrics</v>
      </c>
      <c r="D2702" s="1" t="s">
        <v>11</v>
      </c>
      <c r="E2702" s="1" t="s">
        <v>11</v>
      </c>
    </row>
    <row r="2703" spans="1:5" ht="15.75" customHeight="1">
      <c r="A2703" s="1">
        <v>600633</v>
      </c>
      <c r="B2703" s="1" t="s">
        <v>2729</v>
      </c>
      <c r="C2703" s="1" t="str">
        <f ca="1">IFERROR(__xludf.DUMMYFUNCTION("REGEXEXTRACT(B2703, ""^([^:]+)"")"),"Fabrics")</f>
        <v>Fabrics</v>
      </c>
      <c r="D2703" s="1" t="s">
        <v>11</v>
      </c>
      <c r="E2703" s="1" t="s">
        <v>11</v>
      </c>
    </row>
    <row r="2704" spans="1:5" ht="15.75" customHeight="1">
      <c r="A2704" s="1">
        <v>600634</v>
      </c>
      <c r="B2704" s="1" t="s">
        <v>2730</v>
      </c>
      <c r="C2704" s="1" t="str">
        <f ca="1">IFERROR(__xludf.DUMMYFUNCTION("REGEXEXTRACT(B2704, ""^([^:]+)"")"),"Fabrics")</f>
        <v>Fabrics</v>
      </c>
      <c r="D2704" s="1" t="s">
        <v>11</v>
      </c>
      <c r="E2704" s="1" t="s">
        <v>11</v>
      </c>
    </row>
    <row r="2705" spans="1:5" ht="15.75" customHeight="1">
      <c r="A2705" s="1">
        <v>600641</v>
      </c>
      <c r="B2705" s="1" t="s">
        <v>2731</v>
      </c>
      <c r="C2705" s="1" t="str">
        <f ca="1">IFERROR(__xludf.DUMMYFUNCTION("REGEXEXTRACT(B2705, ""^([^:]+)"")"),"Fabrics")</f>
        <v>Fabrics</v>
      </c>
      <c r="D2705" s="1" t="s">
        <v>11</v>
      </c>
      <c r="E2705" s="1" t="s">
        <v>11</v>
      </c>
    </row>
    <row r="2706" spans="1:5" ht="15.75" customHeight="1">
      <c r="A2706" s="1">
        <v>600642</v>
      </c>
      <c r="B2706" s="1" t="s">
        <v>2732</v>
      </c>
      <c r="C2706" s="1" t="str">
        <f ca="1">IFERROR(__xludf.DUMMYFUNCTION("REGEXEXTRACT(B2706, ""^([^:]+)"")"),"Fabrics")</f>
        <v>Fabrics</v>
      </c>
      <c r="D2706" s="1" t="s">
        <v>11</v>
      </c>
      <c r="E2706" s="1" t="s">
        <v>11</v>
      </c>
    </row>
    <row r="2707" spans="1:5" ht="15.75" customHeight="1">
      <c r="A2707" s="1">
        <v>600643</v>
      </c>
      <c r="B2707" s="1" t="s">
        <v>2733</v>
      </c>
      <c r="C2707" s="1" t="str">
        <f ca="1">IFERROR(__xludf.DUMMYFUNCTION("REGEXEXTRACT(B2707, ""^([^:]+)"")"),"Fabrics")</f>
        <v>Fabrics</v>
      </c>
      <c r="D2707" s="1" t="s">
        <v>11</v>
      </c>
      <c r="E2707" s="1" t="s">
        <v>11</v>
      </c>
    </row>
    <row r="2708" spans="1:5" ht="15.75" customHeight="1">
      <c r="A2708" s="1">
        <v>600644</v>
      </c>
      <c r="B2708" s="1" t="s">
        <v>2734</v>
      </c>
      <c r="C2708" s="1" t="str">
        <f ca="1">IFERROR(__xludf.DUMMYFUNCTION("REGEXEXTRACT(B2708, ""^([^:]+)"")"),"Fabrics")</f>
        <v>Fabrics</v>
      </c>
      <c r="D2708" s="1" t="s">
        <v>11</v>
      </c>
      <c r="E2708" s="1" t="s">
        <v>11</v>
      </c>
    </row>
    <row r="2709" spans="1:5" ht="15.75" customHeight="1">
      <c r="A2709" s="1">
        <v>600690</v>
      </c>
      <c r="B2709" s="1" t="s">
        <v>2735</v>
      </c>
      <c r="C2709" s="1" t="str">
        <f ca="1">IFERROR(__xludf.DUMMYFUNCTION("REGEXEXTRACT(B2709, ""^([^:]+)"")"),"Fabrics")</f>
        <v>Fabrics</v>
      </c>
      <c r="D2709" s="1" t="s">
        <v>11</v>
      </c>
      <c r="E2709" s="1" t="s">
        <v>11</v>
      </c>
    </row>
    <row r="2710" spans="1:5" ht="15.75" customHeight="1">
      <c r="A2710" s="1">
        <v>610120</v>
      </c>
      <c r="B2710" s="1" t="s">
        <v>2736</v>
      </c>
      <c r="C2710" s="1" t="str">
        <f ca="1">IFERROR(__xludf.DUMMYFUNCTION("REGEXEXTRACT(B2710, ""^([^:]+)"")"),"Coats")</f>
        <v>Coats</v>
      </c>
      <c r="D2710" s="1" t="s">
        <v>11</v>
      </c>
      <c r="E2710" s="1" t="s">
        <v>11</v>
      </c>
    </row>
    <row r="2711" spans="1:5" ht="15.75" customHeight="1">
      <c r="A2711" s="1">
        <v>610130</v>
      </c>
      <c r="B2711" s="1" t="s">
        <v>2737</v>
      </c>
      <c r="C2711" s="1" t="str">
        <f ca="1">IFERROR(__xludf.DUMMYFUNCTION("REGEXEXTRACT(B2711, ""^([^:]+)"")"),"Coats")</f>
        <v>Coats</v>
      </c>
      <c r="D2711" s="1" t="s">
        <v>11</v>
      </c>
      <c r="E2711" s="1" t="s">
        <v>11</v>
      </c>
    </row>
    <row r="2712" spans="1:5" ht="15.75" customHeight="1">
      <c r="A2712" s="1">
        <v>610190</v>
      </c>
      <c r="B2712" s="1" t="s">
        <v>2738</v>
      </c>
      <c r="C2712" s="1" t="str">
        <f ca="1">IFERROR(__xludf.DUMMYFUNCTION("REGEXEXTRACT(B2712, ""^([^:]+)"")"),"Coats")</f>
        <v>Coats</v>
      </c>
      <c r="D2712" s="1" t="s">
        <v>11</v>
      </c>
      <c r="E2712" s="1" t="s">
        <v>11</v>
      </c>
    </row>
    <row r="2713" spans="1:5" ht="15.75" customHeight="1">
      <c r="A2713" s="1">
        <v>610210</v>
      </c>
      <c r="B2713" s="1" t="s">
        <v>2739</v>
      </c>
      <c r="C2713" s="1" t="str">
        <f ca="1">IFERROR(__xludf.DUMMYFUNCTION("REGEXEXTRACT(B2713, ""^([^:]+)"")"),"Coats")</f>
        <v>Coats</v>
      </c>
      <c r="D2713" s="1" t="s">
        <v>11</v>
      </c>
      <c r="E2713" s="1" t="s">
        <v>11</v>
      </c>
    </row>
    <row r="2714" spans="1:5" ht="15.75" customHeight="1">
      <c r="A2714" s="1">
        <v>610220</v>
      </c>
      <c r="B2714" s="1" t="s">
        <v>2740</v>
      </c>
      <c r="C2714" s="1" t="str">
        <f ca="1">IFERROR(__xludf.DUMMYFUNCTION("REGEXEXTRACT(B2714, ""^([^:]+)"")"),"Coats")</f>
        <v>Coats</v>
      </c>
      <c r="D2714" s="1" t="s">
        <v>11</v>
      </c>
      <c r="E2714" s="1" t="s">
        <v>11</v>
      </c>
    </row>
    <row r="2715" spans="1:5" ht="15.75" customHeight="1">
      <c r="A2715" s="1">
        <v>610230</v>
      </c>
      <c r="B2715" s="1" t="s">
        <v>2741</v>
      </c>
      <c r="C2715" s="1" t="str">
        <f ca="1">IFERROR(__xludf.DUMMYFUNCTION("REGEXEXTRACT(B2715, ""^([^:]+)"")"),"Coats")</f>
        <v>Coats</v>
      </c>
      <c r="D2715" s="1" t="s">
        <v>11</v>
      </c>
      <c r="E2715" s="1" t="s">
        <v>11</v>
      </c>
    </row>
    <row r="2716" spans="1:5" ht="15.75" customHeight="1">
      <c r="A2716" s="1">
        <v>610290</v>
      </c>
      <c r="B2716" s="1" t="s">
        <v>2742</v>
      </c>
      <c r="C2716" s="1" t="str">
        <f ca="1">IFERROR(__xludf.DUMMYFUNCTION("REGEXEXTRACT(B2716, ""^([^:]+)"")"),"Coats")</f>
        <v>Coats</v>
      </c>
      <c r="D2716" s="1" t="s">
        <v>11</v>
      </c>
      <c r="E2716" s="1" t="s">
        <v>11</v>
      </c>
    </row>
    <row r="2717" spans="1:5" ht="15.75" customHeight="1">
      <c r="A2717" s="1">
        <v>610310</v>
      </c>
      <c r="B2717" s="1" t="s">
        <v>2743</v>
      </c>
      <c r="C2717" s="1" t="str">
        <f ca="1">IFERROR(__xludf.DUMMYFUNCTION("REGEXEXTRACT(B2717, ""^([^:]+)"")"),"Suits")</f>
        <v>Suits</v>
      </c>
      <c r="D2717" s="1" t="s">
        <v>11</v>
      </c>
      <c r="E2717" s="1" t="s">
        <v>11</v>
      </c>
    </row>
    <row r="2718" spans="1:5" ht="15.75" customHeight="1">
      <c r="A2718" s="1">
        <v>610322</v>
      </c>
      <c r="B2718" s="1" t="s">
        <v>2744</v>
      </c>
      <c r="C2718" s="1" t="str">
        <f ca="1">IFERROR(__xludf.DUMMYFUNCTION("REGEXEXTRACT(B2718, ""^([^:]+)"")"),"Ensembles")</f>
        <v>Ensembles</v>
      </c>
      <c r="D2718" s="1" t="s">
        <v>11</v>
      </c>
      <c r="E2718" s="1" t="s">
        <v>11</v>
      </c>
    </row>
    <row r="2719" spans="1:5" ht="15.75" customHeight="1">
      <c r="A2719" s="1">
        <v>610323</v>
      </c>
      <c r="B2719" s="1" t="s">
        <v>2745</v>
      </c>
      <c r="C2719" s="1" t="str">
        <f ca="1">IFERROR(__xludf.DUMMYFUNCTION("REGEXEXTRACT(B2719, ""^([^:]+)"")"),"Ensembles")</f>
        <v>Ensembles</v>
      </c>
      <c r="D2719" s="1" t="s">
        <v>11</v>
      </c>
      <c r="E2719" s="1" t="s">
        <v>11</v>
      </c>
    </row>
    <row r="2720" spans="1:5" ht="15.75" customHeight="1">
      <c r="A2720" s="1">
        <v>610329</v>
      </c>
      <c r="B2720" s="1" t="s">
        <v>2746</v>
      </c>
      <c r="C2720" s="1" t="str">
        <f ca="1">IFERROR(__xludf.DUMMYFUNCTION("REGEXEXTRACT(B2720, ""^([^:]+)"")"),"Ensembles")</f>
        <v>Ensembles</v>
      </c>
      <c r="D2720" s="1" t="s">
        <v>11</v>
      </c>
      <c r="E2720" s="1" t="s">
        <v>11</v>
      </c>
    </row>
    <row r="2721" spans="1:5" ht="15.75" customHeight="1">
      <c r="A2721" s="1">
        <v>610331</v>
      </c>
      <c r="B2721" s="1" t="s">
        <v>2747</v>
      </c>
      <c r="C2721" s="1" t="str">
        <f ca="1">IFERROR(__xludf.DUMMYFUNCTION("REGEXEXTRACT(B2721, ""^([^:]+)"")"),"Jackets and blazers")</f>
        <v>Jackets and blazers</v>
      </c>
      <c r="D2721" s="1" t="s">
        <v>11</v>
      </c>
      <c r="E2721" s="1" t="s">
        <v>11</v>
      </c>
    </row>
    <row r="2722" spans="1:5" ht="15.75" customHeight="1">
      <c r="A2722" s="1">
        <v>610332</v>
      </c>
      <c r="B2722" s="1" t="s">
        <v>2748</v>
      </c>
      <c r="C2722" s="1" t="str">
        <f ca="1">IFERROR(__xludf.DUMMYFUNCTION("REGEXEXTRACT(B2722, ""^([^:]+)"")"),"Jackets and blazers")</f>
        <v>Jackets and blazers</v>
      </c>
      <c r="D2722" s="1" t="s">
        <v>11</v>
      </c>
      <c r="E2722" s="1" t="s">
        <v>11</v>
      </c>
    </row>
    <row r="2723" spans="1:5" ht="15.75" customHeight="1">
      <c r="A2723" s="1">
        <v>610333</v>
      </c>
      <c r="B2723" s="1" t="s">
        <v>2749</v>
      </c>
      <c r="C2723" s="1" t="str">
        <f ca="1">IFERROR(__xludf.DUMMYFUNCTION("REGEXEXTRACT(B2723, ""^([^:]+)"")"),"Jackets and blazers")</f>
        <v>Jackets and blazers</v>
      </c>
      <c r="D2723" s="1" t="s">
        <v>11</v>
      </c>
      <c r="E2723" s="1" t="s">
        <v>11</v>
      </c>
    </row>
    <row r="2724" spans="1:5" ht="15.75" customHeight="1">
      <c r="A2724" s="1">
        <v>610339</v>
      </c>
      <c r="B2724" s="1" t="s">
        <v>2750</v>
      </c>
      <c r="C2724" s="1" t="str">
        <f ca="1">IFERROR(__xludf.DUMMYFUNCTION("REGEXEXTRACT(B2724, ""^([^:]+)"")"),"Jackets and blazers")</f>
        <v>Jackets and blazers</v>
      </c>
      <c r="D2724" s="1" t="s">
        <v>11</v>
      </c>
      <c r="E2724" s="1" t="s">
        <v>11</v>
      </c>
    </row>
    <row r="2725" spans="1:5" ht="15.75" customHeight="1">
      <c r="A2725" s="1">
        <v>610341</v>
      </c>
      <c r="B2725" s="1" t="s">
        <v>2751</v>
      </c>
      <c r="C2725" s="1" t="str">
        <f ca="1">IFERROR(__xludf.DUMMYFUNCTION("REGEXEXTRACT(B2725, ""^([^:]+)"")"),"Trousers, bib and brace overalls, breeches and shorts")</f>
        <v>Trousers, bib and brace overalls, breeches and shorts</v>
      </c>
      <c r="D2725" s="1" t="s">
        <v>11</v>
      </c>
      <c r="E2725" s="1" t="s">
        <v>11</v>
      </c>
    </row>
    <row r="2726" spans="1:5" ht="15.75" customHeight="1">
      <c r="A2726" s="1">
        <v>610342</v>
      </c>
      <c r="B2726" s="1" t="s">
        <v>2752</v>
      </c>
      <c r="C2726" s="1" t="str">
        <f ca="1">IFERROR(__xludf.DUMMYFUNCTION("REGEXEXTRACT(B2726, ""^([^:]+)"")"),"Trousers, bib and brace overalls, breeches and shorts")</f>
        <v>Trousers, bib and brace overalls, breeches and shorts</v>
      </c>
      <c r="D2726" s="1" t="s">
        <v>11</v>
      </c>
      <c r="E2726" s="1" t="s">
        <v>11</v>
      </c>
    </row>
    <row r="2727" spans="1:5" ht="15.75" customHeight="1">
      <c r="A2727" s="1">
        <v>610343</v>
      </c>
      <c r="B2727" s="1" t="s">
        <v>2753</v>
      </c>
      <c r="C2727" s="1" t="str">
        <f ca="1">IFERROR(__xludf.DUMMYFUNCTION("REGEXEXTRACT(B2727, ""^([^:]+)"")"),"Trousers, bib and brace overalls, breeches and shorts")</f>
        <v>Trousers, bib and brace overalls, breeches and shorts</v>
      </c>
      <c r="D2727" s="1" t="s">
        <v>11</v>
      </c>
      <c r="E2727" s="1" t="s">
        <v>11</v>
      </c>
    </row>
    <row r="2728" spans="1:5" ht="15.75" customHeight="1">
      <c r="A2728" s="1">
        <v>610349</v>
      </c>
      <c r="B2728" s="1" t="s">
        <v>2754</v>
      </c>
      <c r="C2728" s="1" t="str">
        <f ca="1">IFERROR(__xludf.DUMMYFUNCTION("REGEXEXTRACT(B2728, ""^([^:]+)"")"),"Trousers, bib and brace overalls, breeches and shorts")</f>
        <v>Trousers, bib and brace overalls, breeches and shorts</v>
      </c>
      <c r="D2728" s="1" t="s">
        <v>11</v>
      </c>
      <c r="E2728" s="1" t="s">
        <v>11</v>
      </c>
    </row>
    <row r="2729" spans="1:5" ht="15.75" customHeight="1">
      <c r="A2729" s="1">
        <v>610413</v>
      </c>
      <c r="B2729" s="1" t="s">
        <v>2755</v>
      </c>
      <c r="C2729" s="1" t="str">
        <f ca="1">IFERROR(__xludf.DUMMYFUNCTION("REGEXEXTRACT(B2729, ""^([^:]+)"")"),"Suits")</f>
        <v>Suits</v>
      </c>
      <c r="D2729" s="1" t="s">
        <v>11</v>
      </c>
      <c r="E2729" s="1" t="s">
        <v>11</v>
      </c>
    </row>
    <row r="2730" spans="1:5" ht="15.75" customHeight="1">
      <c r="A2730" s="1">
        <v>610419</v>
      </c>
      <c r="B2730" s="1" t="s">
        <v>2756</v>
      </c>
      <c r="C2730" s="1" t="str">
        <f ca="1">IFERROR(__xludf.DUMMYFUNCTION("REGEXEXTRACT(B2730, ""^([^:]+)"")"),"Suits")</f>
        <v>Suits</v>
      </c>
      <c r="D2730" s="1" t="s">
        <v>11</v>
      </c>
      <c r="E2730" s="1" t="s">
        <v>11</v>
      </c>
    </row>
    <row r="2731" spans="1:5" ht="15.75" customHeight="1">
      <c r="A2731" s="1">
        <v>610422</v>
      </c>
      <c r="B2731" s="1" t="s">
        <v>2757</v>
      </c>
      <c r="C2731" s="1" t="str">
        <f ca="1">IFERROR(__xludf.DUMMYFUNCTION("REGEXEXTRACT(B2731, ""^([^:]+)"")"),"Ensembles")</f>
        <v>Ensembles</v>
      </c>
      <c r="D2731" s="1" t="s">
        <v>11</v>
      </c>
      <c r="E2731" s="1" t="s">
        <v>11</v>
      </c>
    </row>
    <row r="2732" spans="1:5" ht="15.75" customHeight="1">
      <c r="A2732" s="1">
        <v>610423</v>
      </c>
      <c r="B2732" s="1" t="s">
        <v>2758</v>
      </c>
      <c r="C2732" s="1" t="str">
        <f ca="1">IFERROR(__xludf.DUMMYFUNCTION("REGEXEXTRACT(B2732, ""^([^:]+)"")"),"Ensembles")</f>
        <v>Ensembles</v>
      </c>
      <c r="D2732" s="1" t="s">
        <v>11</v>
      </c>
      <c r="E2732" s="1" t="s">
        <v>11</v>
      </c>
    </row>
    <row r="2733" spans="1:5" ht="15.75" customHeight="1">
      <c r="A2733" s="1">
        <v>610429</v>
      </c>
      <c r="B2733" s="1" t="s">
        <v>2759</v>
      </c>
      <c r="C2733" s="1" t="str">
        <f ca="1">IFERROR(__xludf.DUMMYFUNCTION("REGEXEXTRACT(B2733, ""^([^:]+)"")"),"Ensembles")</f>
        <v>Ensembles</v>
      </c>
      <c r="D2733" s="1" t="s">
        <v>11</v>
      </c>
      <c r="E2733" s="1" t="s">
        <v>11</v>
      </c>
    </row>
    <row r="2734" spans="1:5" ht="15.75" customHeight="1">
      <c r="A2734" s="1">
        <v>610431</v>
      </c>
      <c r="B2734" s="1" t="s">
        <v>2760</v>
      </c>
      <c r="C2734" s="1" t="str">
        <f ca="1">IFERROR(__xludf.DUMMYFUNCTION("REGEXEXTRACT(B2734, ""^([^:]+)"")"),"Jackets")</f>
        <v>Jackets</v>
      </c>
      <c r="D2734" s="1" t="s">
        <v>11</v>
      </c>
      <c r="E2734" s="1" t="s">
        <v>11</v>
      </c>
    </row>
    <row r="2735" spans="1:5" ht="15.75" customHeight="1">
      <c r="A2735" s="1">
        <v>610432</v>
      </c>
      <c r="B2735" s="1" t="s">
        <v>2761</v>
      </c>
      <c r="C2735" s="1" t="str">
        <f ca="1">IFERROR(__xludf.DUMMYFUNCTION("REGEXEXTRACT(B2735, ""^([^:]+)"")"),"Jackets")</f>
        <v>Jackets</v>
      </c>
      <c r="D2735" s="1" t="s">
        <v>11</v>
      </c>
      <c r="E2735" s="1" t="s">
        <v>11</v>
      </c>
    </row>
    <row r="2736" spans="1:5" ht="15.75" customHeight="1">
      <c r="A2736" s="1">
        <v>610433</v>
      </c>
      <c r="B2736" s="1" t="s">
        <v>2762</v>
      </c>
      <c r="C2736" s="1" t="str">
        <f ca="1">IFERROR(__xludf.DUMMYFUNCTION("REGEXEXTRACT(B2736, ""^([^:]+)"")"),"Jackets")</f>
        <v>Jackets</v>
      </c>
      <c r="D2736" s="1" t="s">
        <v>11</v>
      </c>
      <c r="E2736" s="1" t="s">
        <v>11</v>
      </c>
    </row>
    <row r="2737" spans="1:5" ht="15.75" customHeight="1">
      <c r="A2737" s="1">
        <v>610439</v>
      </c>
      <c r="B2737" s="1" t="s">
        <v>2763</v>
      </c>
      <c r="C2737" s="1" t="str">
        <f ca="1">IFERROR(__xludf.DUMMYFUNCTION("REGEXEXTRACT(B2737, ""^([^:]+)"")"),"Jackets")</f>
        <v>Jackets</v>
      </c>
      <c r="D2737" s="1" t="s">
        <v>11</v>
      </c>
      <c r="E2737" s="1" t="s">
        <v>11</v>
      </c>
    </row>
    <row r="2738" spans="1:5" ht="15.75" customHeight="1">
      <c r="A2738" s="1">
        <v>610441</v>
      </c>
      <c r="B2738" s="1" t="s">
        <v>2764</v>
      </c>
      <c r="C2738" s="1" t="str">
        <f ca="1">IFERROR(__xludf.DUMMYFUNCTION("REGEXEXTRACT(B2738, ""^([^:]+)"")"),"Dresses")</f>
        <v>Dresses</v>
      </c>
      <c r="D2738" s="1" t="s">
        <v>11</v>
      </c>
      <c r="E2738" s="1" t="s">
        <v>11</v>
      </c>
    </row>
    <row r="2739" spans="1:5" ht="15.75" customHeight="1">
      <c r="A2739" s="1">
        <v>610442</v>
      </c>
      <c r="B2739" s="1" t="s">
        <v>2765</v>
      </c>
      <c r="C2739" s="1" t="str">
        <f ca="1">IFERROR(__xludf.DUMMYFUNCTION("REGEXEXTRACT(B2739, ""^([^:]+)"")"),"Dresses")</f>
        <v>Dresses</v>
      </c>
      <c r="D2739" s="1" t="s">
        <v>11</v>
      </c>
      <c r="E2739" s="1" t="s">
        <v>11</v>
      </c>
    </row>
    <row r="2740" spans="1:5" ht="15.75" customHeight="1">
      <c r="A2740" s="1">
        <v>610443</v>
      </c>
      <c r="B2740" s="1" t="s">
        <v>2766</v>
      </c>
      <c r="C2740" s="1" t="str">
        <f ca="1">IFERROR(__xludf.DUMMYFUNCTION("REGEXEXTRACT(B2740, ""^([^:]+)"")"),"Dresses")</f>
        <v>Dresses</v>
      </c>
      <c r="D2740" s="1" t="s">
        <v>11</v>
      </c>
      <c r="E2740" s="1" t="s">
        <v>11</v>
      </c>
    </row>
    <row r="2741" spans="1:5" ht="15.75" customHeight="1">
      <c r="A2741" s="1">
        <v>610444</v>
      </c>
      <c r="B2741" s="1" t="s">
        <v>2767</v>
      </c>
      <c r="C2741" s="1" t="str">
        <f ca="1">IFERROR(__xludf.DUMMYFUNCTION("REGEXEXTRACT(B2741, ""^([^:]+)"")"),"Dresses")</f>
        <v>Dresses</v>
      </c>
      <c r="D2741" s="1" t="s">
        <v>11</v>
      </c>
      <c r="E2741" s="1" t="s">
        <v>11</v>
      </c>
    </row>
    <row r="2742" spans="1:5" ht="15.75" customHeight="1">
      <c r="A2742" s="1">
        <v>610449</v>
      </c>
      <c r="B2742" s="1" t="s">
        <v>2768</v>
      </c>
      <c r="C2742" s="1" t="str">
        <f ca="1">IFERROR(__xludf.DUMMYFUNCTION("REGEXEXTRACT(B2742, ""^([^:]+)"")"),"Dresses")</f>
        <v>Dresses</v>
      </c>
      <c r="D2742" s="1" t="s">
        <v>11</v>
      </c>
      <c r="E2742" s="1" t="s">
        <v>11</v>
      </c>
    </row>
    <row r="2743" spans="1:5" ht="15.75" customHeight="1">
      <c r="A2743" s="1">
        <v>610451</v>
      </c>
      <c r="B2743" s="1" t="s">
        <v>2769</v>
      </c>
      <c r="C2743" s="1" t="str">
        <f ca="1">IFERROR(__xludf.DUMMYFUNCTION("REGEXEXTRACT(B2743, ""^([^:]+)"")"),"Skirts and divided skirts")</f>
        <v>Skirts and divided skirts</v>
      </c>
      <c r="D2743" s="1" t="s">
        <v>11</v>
      </c>
      <c r="E2743" s="1" t="s">
        <v>11</v>
      </c>
    </row>
    <row r="2744" spans="1:5" ht="15.75" customHeight="1">
      <c r="A2744" s="1">
        <v>610452</v>
      </c>
      <c r="B2744" s="1" t="s">
        <v>2770</v>
      </c>
      <c r="C2744" s="1" t="str">
        <f ca="1">IFERROR(__xludf.DUMMYFUNCTION("REGEXEXTRACT(B2744, ""^([^:]+)"")"),"Skirts and divided skirts")</f>
        <v>Skirts and divided skirts</v>
      </c>
      <c r="D2744" s="1" t="s">
        <v>11</v>
      </c>
      <c r="E2744" s="1" t="s">
        <v>11</v>
      </c>
    </row>
    <row r="2745" spans="1:5" ht="15.75" customHeight="1">
      <c r="A2745" s="1">
        <v>610453</v>
      </c>
      <c r="B2745" s="1" t="s">
        <v>2771</v>
      </c>
      <c r="C2745" s="1" t="str">
        <f ca="1">IFERROR(__xludf.DUMMYFUNCTION("REGEXEXTRACT(B2745, ""^([^:]+)"")"),"Skirts and divided skirts")</f>
        <v>Skirts and divided skirts</v>
      </c>
      <c r="D2745" s="1" t="s">
        <v>11</v>
      </c>
      <c r="E2745" s="1" t="s">
        <v>11</v>
      </c>
    </row>
    <row r="2746" spans="1:5" ht="15.75" customHeight="1">
      <c r="A2746" s="1">
        <v>610459</v>
      </c>
      <c r="B2746" s="1" t="s">
        <v>2772</v>
      </c>
      <c r="C2746" s="1" t="str">
        <f ca="1">IFERROR(__xludf.DUMMYFUNCTION("REGEXEXTRACT(B2746, ""^([^:]+)"")"),"Skirts and divided skirts")</f>
        <v>Skirts and divided skirts</v>
      </c>
      <c r="D2746" s="1" t="s">
        <v>11</v>
      </c>
      <c r="E2746" s="1" t="s">
        <v>11</v>
      </c>
    </row>
    <row r="2747" spans="1:5" ht="15.75" customHeight="1">
      <c r="A2747" s="1">
        <v>610461</v>
      </c>
      <c r="B2747" s="1" t="s">
        <v>2773</v>
      </c>
      <c r="C2747" s="1" t="str">
        <f ca="1">IFERROR(__xludf.DUMMYFUNCTION("REGEXEXTRACT(B2747, ""^([^:]+)"")"),"Trousers, bib and brace overalls, breeches and shorts")</f>
        <v>Trousers, bib and brace overalls, breeches and shorts</v>
      </c>
      <c r="D2747" s="1" t="s">
        <v>11</v>
      </c>
      <c r="E2747" s="1" t="s">
        <v>11</v>
      </c>
    </row>
    <row r="2748" spans="1:5" ht="15.75" customHeight="1">
      <c r="A2748" s="1">
        <v>610462</v>
      </c>
      <c r="B2748" s="1" t="s">
        <v>2774</v>
      </c>
      <c r="C2748" s="1" t="str">
        <f ca="1">IFERROR(__xludf.DUMMYFUNCTION("REGEXEXTRACT(B2748, ""^([^:]+)"")"),"Trousers, bib and brace overalls, breeches and shorts")</f>
        <v>Trousers, bib and brace overalls, breeches and shorts</v>
      </c>
      <c r="D2748" s="1" t="s">
        <v>11</v>
      </c>
      <c r="E2748" s="1" t="s">
        <v>11</v>
      </c>
    </row>
    <row r="2749" spans="1:5" ht="15.75" customHeight="1">
      <c r="A2749" s="1">
        <v>610463</v>
      </c>
      <c r="B2749" s="1" t="s">
        <v>2775</v>
      </c>
      <c r="C2749" s="1" t="str">
        <f ca="1">IFERROR(__xludf.DUMMYFUNCTION("REGEXEXTRACT(B2749, ""^([^:]+)"")"),"Trousers, bib and brace overalls, breeches and shorts")</f>
        <v>Trousers, bib and brace overalls, breeches and shorts</v>
      </c>
      <c r="D2749" s="1" t="s">
        <v>11</v>
      </c>
      <c r="E2749" s="1" t="s">
        <v>11</v>
      </c>
    </row>
    <row r="2750" spans="1:5" ht="15.75" customHeight="1">
      <c r="A2750" s="1">
        <v>610469</v>
      </c>
      <c r="B2750" s="1" t="s">
        <v>2776</v>
      </c>
      <c r="C2750" s="1" t="str">
        <f ca="1">IFERROR(__xludf.DUMMYFUNCTION("REGEXEXTRACT(B2750, ""^([^:]+)"")"),"Trousers, bib and brace overalls, breeches and shorts")</f>
        <v>Trousers, bib and brace overalls, breeches and shorts</v>
      </c>
      <c r="D2750" s="1" t="s">
        <v>11</v>
      </c>
      <c r="E2750" s="1" t="s">
        <v>11</v>
      </c>
    </row>
    <row r="2751" spans="1:5" ht="15.75" customHeight="1">
      <c r="A2751" s="1">
        <v>610510</v>
      </c>
      <c r="B2751" s="1" t="s">
        <v>2777</v>
      </c>
      <c r="C2751" s="1" t="str">
        <f ca="1">IFERROR(__xludf.DUMMYFUNCTION("REGEXEXTRACT(B2751, ""^([^:]+)"")"),"Shirts")</f>
        <v>Shirts</v>
      </c>
      <c r="D2751" s="1" t="s">
        <v>11</v>
      </c>
      <c r="E2751" s="1" t="s">
        <v>11</v>
      </c>
    </row>
    <row r="2752" spans="1:5" ht="15.75" customHeight="1">
      <c r="A2752" s="1">
        <v>610520</v>
      </c>
      <c r="B2752" s="1" t="s">
        <v>2778</v>
      </c>
      <c r="C2752" s="1" t="str">
        <f ca="1">IFERROR(__xludf.DUMMYFUNCTION("REGEXEXTRACT(B2752, ""^([^:]+)"")"),"Shirts")</f>
        <v>Shirts</v>
      </c>
      <c r="D2752" s="1" t="s">
        <v>11</v>
      </c>
      <c r="E2752" s="1" t="s">
        <v>11</v>
      </c>
    </row>
    <row r="2753" spans="1:5" ht="15.75" customHeight="1">
      <c r="A2753" s="1">
        <v>610590</v>
      </c>
      <c r="B2753" s="1" t="s">
        <v>2779</v>
      </c>
      <c r="C2753" s="1" t="str">
        <f ca="1">IFERROR(__xludf.DUMMYFUNCTION("REGEXEXTRACT(B2753, ""^([^:]+)"")"),"Shirts")</f>
        <v>Shirts</v>
      </c>
      <c r="D2753" s="1" t="s">
        <v>11</v>
      </c>
      <c r="E2753" s="1" t="s">
        <v>11</v>
      </c>
    </row>
    <row r="2754" spans="1:5" ht="15.75" customHeight="1">
      <c r="A2754" s="1">
        <v>610610</v>
      </c>
      <c r="B2754" s="1" t="s">
        <v>2780</v>
      </c>
      <c r="C2754" s="1" t="str">
        <f ca="1">IFERROR(__xludf.DUMMYFUNCTION("REGEXEXTRACT(B2754, ""^([^:]+)"")"),"Blouses, shirts and shirt-blouses")</f>
        <v>Blouses, shirts and shirt-blouses</v>
      </c>
      <c r="D2754" s="1" t="s">
        <v>11</v>
      </c>
      <c r="E2754" s="1" t="s">
        <v>11</v>
      </c>
    </row>
    <row r="2755" spans="1:5" ht="15.75" customHeight="1">
      <c r="A2755" s="1">
        <v>610620</v>
      </c>
      <c r="B2755" s="1" t="s">
        <v>2781</v>
      </c>
      <c r="C2755" s="1" t="str">
        <f ca="1">IFERROR(__xludf.DUMMYFUNCTION("REGEXEXTRACT(B2755, ""^([^:]+)"")"),"Blouses, shirts and shirt-blouses")</f>
        <v>Blouses, shirts and shirt-blouses</v>
      </c>
      <c r="D2755" s="1" t="s">
        <v>11</v>
      </c>
      <c r="E2755" s="1" t="s">
        <v>11</v>
      </c>
    </row>
    <row r="2756" spans="1:5" ht="15.75" customHeight="1">
      <c r="A2756" s="1">
        <v>610690</v>
      </c>
      <c r="B2756" s="1" t="s">
        <v>2782</v>
      </c>
      <c r="C2756" s="1" t="str">
        <f ca="1">IFERROR(__xludf.DUMMYFUNCTION("REGEXEXTRACT(B2756, ""^([^:]+)"")"),"Blouses, shirts and shirt-blouses")</f>
        <v>Blouses, shirts and shirt-blouses</v>
      </c>
      <c r="D2756" s="1" t="s">
        <v>11</v>
      </c>
      <c r="E2756" s="1" t="s">
        <v>11</v>
      </c>
    </row>
    <row r="2757" spans="1:5" ht="15.75" customHeight="1">
      <c r="A2757" s="1">
        <v>610711</v>
      </c>
      <c r="B2757" s="1" t="s">
        <v>2783</v>
      </c>
      <c r="C2757" s="1" t="str">
        <f ca="1">IFERROR(__xludf.DUMMYFUNCTION("REGEXEXTRACT(B2757, ""^([^:]+)"")"),"Underpants and briefs")</f>
        <v>Underpants and briefs</v>
      </c>
      <c r="D2757" s="1" t="s">
        <v>11</v>
      </c>
      <c r="E2757" s="1" t="s">
        <v>11</v>
      </c>
    </row>
    <row r="2758" spans="1:5" ht="15.75" customHeight="1">
      <c r="A2758" s="1">
        <v>610712</v>
      </c>
      <c r="B2758" s="1" t="s">
        <v>2784</v>
      </c>
      <c r="C2758" s="1" t="str">
        <f ca="1">IFERROR(__xludf.DUMMYFUNCTION("REGEXEXTRACT(B2758, ""^([^:]+)"")"),"Underpants and briefs")</f>
        <v>Underpants and briefs</v>
      </c>
      <c r="D2758" s="1" t="s">
        <v>11</v>
      </c>
      <c r="E2758" s="1" t="s">
        <v>11</v>
      </c>
    </row>
    <row r="2759" spans="1:5" ht="15.75" customHeight="1">
      <c r="A2759" s="1">
        <v>610719</v>
      </c>
      <c r="B2759" s="1" t="s">
        <v>2785</v>
      </c>
      <c r="C2759" s="1" t="str">
        <f ca="1">IFERROR(__xludf.DUMMYFUNCTION("REGEXEXTRACT(B2759, ""^([^:]+)"")"),"Underpants and briefs")</f>
        <v>Underpants and briefs</v>
      </c>
      <c r="D2759" s="1" t="s">
        <v>11</v>
      </c>
      <c r="E2759" s="1" t="s">
        <v>11</v>
      </c>
    </row>
    <row r="2760" spans="1:5" ht="15.75" customHeight="1">
      <c r="A2760" s="1">
        <v>610721</v>
      </c>
      <c r="B2760" s="1" t="s">
        <v>2786</v>
      </c>
      <c r="C2760" s="1" t="str">
        <f ca="1">IFERROR(__xludf.DUMMYFUNCTION("REGEXEXTRACT(B2760, ""^([^:]+)"")"),"Nightshirts and pyjamas")</f>
        <v>Nightshirts and pyjamas</v>
      </c>
      <c r="D2760" s="1" t="s">
        <v>11</v>
      </c>
      <c r="E2760" s="1" t="s">
        <v>11</v>
      </c>
    </row>
    <row r="2761" spans="1:5" ht="15.75" customHeight="1">
      <c r="A2761" s="1">
        <v>610722</v>
      </c>
      <c r="B2761" s="1" t="s">
        <v>2787</v>
      </c>
      <c r="C2761" s="1" t="str">
        <f ca="1">IFERROR(__xludf.DUMMYFUNCTION("REGEXEXTRACT(B2761, ""^([^:]+)"")"),"Nightshirts and pyjamas")</f>
        <v>Nightshirts and pyjamas</v>
      </c>
      <c r="D2761" s="1" t="s">
        <v>11</v>
      </c>
      <c r="E2761" s="1" t="s">
        <v>11</v>
      </c>
    </row>
    <row r="2762" spans="1:5" ht="15.75" customHeight="1">
      <c r="A2762" s="1">
        <v>610729</v>
      </c>
      <c r="B2762" s="1" t="s">
        <v>2788</v>
      </c>
      <c r="C2762" s="1" t="str">
        <f ca="1">IFERROR(__xludf.DUMMYFUNCTION("REGEXEXTRACT(B2762, ""^([^:]+)"")"),"Nightshirts and pyjamas")</f>
        <v>Nightshirts and pyjamas</v>
      </c>
      <c r="D2762" s="1" t="s">
        <v>11</v>
      </c>
      <c r="E2762" s="1" t="s">
        <v>11</v>
      </c>
    </row>
    <row r="2763" spans="1:5" ht="15.75" customHeight="1">
      <c r="A2763" s="1">
        <v>610791</v>
      </c>
      <c r="B2763" s="1" t="s">
        <v>2789</v>
      </c>
      <c r="C2763" s="1" t="str">
        <f ca="1">IFERROR(__xludf.DUMMYFUNCTION("REGEXEXTRACT(B2763, ""^([^:]+)"")"),"Bathrobes, dressing gowns and similar articles")</f>
        <v>Bathrobes, dressing gowns and similar articles</v>
      </c>
      <c r="D2763" s="1" t="s">
        <v>11</v>
      </c>
      <c r="E2763" s="1" t="s">
        <v>11</v>
      </c>
    </row>
    <row r="2764" spans="1:5" ht="15.75" customHeight="1">
      <c r="A2764" s="1">
        <v>610799</v>
      </c>
      <c r="B2764" s="1" t="s">
        <v>2790</v>
      </c>
      <c r="C2764" s="1" t="str">
        <f ca="1">IFERROR(__xludf.DUMMYFUNCTION("REGEXEXTRACT(B2764, ""^([^:]+)"")"),"Bathrobes, dressing gowns and similar articles")</f>
        <v>Bathrobes, dressing gowns and similar articles</v>
      </c>
      <c r="D2764" s="1" t="s">
        <v>11</v>
      </c>
      <c r="E2764" s="1" t="s">
        <v>11</v>
      </c>
    </row>
    <row r="2765" spans="1:5" ht="15.75" customHeight="1">
      <c r="A2765" s="1">
        <v>610811</v>
      </c>
      <c r="B2765" s="1" t="s">
        <v>2791</v>
      </c>
      <c r="C2765" s="1" t="str">
        <f ca="1">IFERROR(__xludf.DUMMYFUNCTION("REGEXEXTRACT(B2765, ""^([^:]+)"")"),"Slips and petticoats")</f>
        <v>Slips and petticoats</v>
      </c>
      <c r="D2765" s="1" t="s">
        <v>11</v>
      </c>
      <c r="E2765" s="1" t="s">
        <v>11</v>
      </c>
    </row>
    <row r="2766" spans="1:5" ht="15.75" customHeight="1">
      <c r="A2766" s="1">
        <v>610819</v>
      </c>
      <c r="B2766" s="1" t="s">
        <v>2792</v>
      </c>
      <c r="C2766" s="1" t="str">
        <f ca="1">IFERROR(__xludf.DUMMYFUNCTION("REGEXEXTRACT(B2766, ""^([^:]+)"")"),"Slips and petticoats")</f>
        <v>Slips and petticoats</v>
      </c>
      <c r="D2766" s="1" t="s">
        <v>11</v>
      </c>
      <c r="E2766" s="1" t="s">
        <v>11</v>
      </c>
    </row>
    <row r="2767" spans="1:5" ht="15.75" customHeight="1">
      <c r="A2767" s="1">
        <v>610821</v>
      </c>
      <c r="B2767" s="1" t="s">
        <v>2793</v>
      </c>
      <c r="C2767" s="1" t="str">
        <f ca="1">IFERROR(__xludf.DUMMYFUNCTION("REGEXEXTRACT(B2767, ""^([^:]+)"")"),"Briefs and panties")</f>
        <v>Briefs and panties</v>
      </c>
      <c r="D2767" s="1" t="s">
        <v>11</v>
      </c>
      <c r="E2767" s="1" t="s">
        <v>11</v>
      </c>
    </row>
    <row r="2768" spans="1:5" ht="15.75" customHeight="1">
      <c r="A2768" s="1">
        <v>610822</v>
      </c>
      <c r="B2768" s="1" t="s">
        <v>2794</v>
      </c>
      <c r="C2768" s="1" t="str">
        <f ca="1">IFERROR(__xludf.DUMMYFUNCTION("REGEXEXTRACT(B2768, ""^([^:]+)"")"),"Briefs and panties")</f>
        <v>Briefs and panties</v>
      </c>
      <c r="D2768" s="1" t="s">
        <v>11</v>
      </c>
      <c r="E2768" s="1" t="s">
        <v>11</v>
      </c>
    </row>
    <row r="2769" spans="1:5" ht="15.75" customHeight="1">
      <c r="A2769" s="1">
        <v>610829</v>
      </c>
      <c r="B2769" s="1" t="s">
        <v>2795</v>
      </c>
      <c r="C2769" s="1" t="str">
        <f ca="1">IFERROR(__xludf.DUMMYFUNCTION("REGEXEXTRACT(B2769, ""^([^:]+)"")"),"Briefs and panties")</f>
        <v>Briefs and panties</v>
      </c>
      <c r="D2769" s="1" t="s">
        <v>11</v>
      </c>
      <c r="E2769" s="1" t="s">
        <v>11</v>
      </c>
    </row>
    <row r="2770" spans="1:5" ht="15.75" customHeight="1">
      <c r="A2770" s="1">
        <v>610831</v>
      </c>
      <c r="B2770" s="1" t="s">
        <v>2796</v>
      </c>
      <c r="C2770" s="1" t="str">
        <f ca="1">IFERROR(__xludf.DUMMYFUNCTION("REGEXEXTRACT(B2770, ""^([^:]+)"")"),"Nightdresses and pyjamas")</f>
        <v>Nightdresses and pyjamas</v>
      </c>
      <c r="D2770" s="1" t="s">
        <v>11</v>
      </c>
      <c r="E2770" s="1" t="s">
        <v>11</v>
      </c>
    </row>
    <row r="2771" spans="1:5" ht="15.75" customHeight="1">
      <c r="A2771" s="1">
        <v>610832</v>
      </c>
      <c r="B2771" s="1" t="s">
        <v>2797</v>
      </c>
      <c r="C2771" s="1" t="str">
        <f ca="1">IFERROR(__xludf.DUMMYFUNCTION("REGEXEXTRACT(B2771, ""^([^:]+)"")"),"Nightdresses and pyjamas")</f>
        <v>Nightdresses and pyjamas</v>
      </c>
      <c r="D2771" s="1" t="s">
        <v>11</v>
      </c>
      <c r="E2771" s="1" t="s">
        <v>11</v>
      </c>
    </row>
    <row r="2772" spans="1:5" ht="15.75" customHeight="1">
      <c r="A2772" s="1">
        <v>610839</v>
      </c>
      <c r="B2772" s="1" t="s">
        <v>2798</v>
      </c>
      <c r="C2772" s="1" t="str">
        <f ca="1">IFERROR(__xludf.DUMMYFUNCTION("REGEXEXTRACT(B2772, ""^([^:]+)"")"),"Nightdresses and pyjamas")</f>
        <v>Nightdresses and pyjamas</v>
      </c>
      <c r="D2772" s="1" t="s">
        <v>11</v>
      </c>
      <c r="E2772" s="1" t="s">
        <v>11</v>
      </c>
    </row>
    <row r="2773" spans="1:5" ht="15.75" customHeight="1">
      <c r="A2773" s="1">
        <v>610891</v>
      </c>
      <c r="B2773" s="1" t="s">
        <v>2799</v>
      </c>
      <c r="C2773" s="1" t="str">
        <f ca="1">IFERROR(__xludf.DUMMYFUNCTION("REGEXEXTRACT(B2773, ""^([^:]+)"")"),"Negligees, bathrobes, dressing gowns and similar articles")</f>
        <v>Negligees, bathrobes, dressing gowns and similar articles</v>
      </c>
      <c r="D2773" s="1" t="s">
        <v>11</v>
      </c>
      <c r="E2773" s="1" t="s">
        <v>11</v>
      </c>
    </row>
    <row r="2774" spans="1:5" ht="15.75" customHeight="1">
      <c r="A2774" s="1">
        <v>610892</v>
      </c>
      <c r="B2774" s="1" t="s">
        <v>2800</v>
      </c>
      <c r="C2774" s="1" t="str">
        <f ca="1">IFERROR(__xludf.DUMMYFUNCTION("REGEXEXTRACT(B2774, ""^([^:]+)"")"),"Negligees, bathrobes, dressing gowns and similar articles")</f>
        <v>Negligees, bathrobes, dressing gowns and similar articles</v>
      </c>
      <c r="D2774" s="1" t="s">
        <v>11</v>
      </c>
      <c r="E2774" s="1" t="s">
        <v>11</v>
      </c>
    </row>
    <row r="2775" spans="1:5" ht="15.75" customHeight="1">
      <c r="A2775" s="1">
        <v>610899</v>
      </c>
      <c r="B2775" s="1" t="s">
        <v>2801</v>
      </c>
      <c r="C2775" s="1" t="str">
        <f ca="1">IFERROR(__xludf.DUMMYFUNCTION("REGEXEXTRACT(B2775, ""^([^:]+)"")"),"Negligees, bathrobes, dressing gowns and similar articles")</f>
        <v>Negligees, bathrobes, dressing gowns and similar articles</v>
      </c>
      <c r="D2775" s="1" t="s">
        <v>11</v>
      </c>
      <c r="E2775" s="1" t="s">
        <v>11</v>
      </c>
    </row>
    <row r="2776" spans="1:5" ht="15.75" customHeight="1">
      <c r="A2776" s="1">
        <v>610910</v>
      </c>
      <c r="B2776" s="1" t="s">
        <v>2802</v>
      </c>
      <c r="C2776" s="1" t="str">
        <f ca="1">IFERROR(__xludf.DUMMYFUNCTION("REGEXEXTRACT(B2776, ""^([^:]+)"")"),"T-shirts, singlets and other vests")</f>
        <v>T-shirts, singlets and other vests</v>
      </c>
      <c r="D2776" s="1" t="s">
        <v>11</v>
      </c>
      <c r="E2776" s="1" t="s">
        <v>11</v>
      </c>
    </row>
    <row r="2777" spans="1:5" ht="15.75" customHeight="1">
      <c r="A2777" s="1">
        <v>610990</v>
      </c>
      <c r="B2777" s="1" t="s">
        <v>2803</v>
      </c>
      <c r="C2777" s="1" t="str">
        <f ca="1">IFERROR(__xludf.DUMMYFUNCTION("REGEXEXTRACT(B2777, ""^([^:]+)"")"),"T-shirts, singlets and other vests")</f>
        <v>T-shirts, singlets and other vests</v>
      </c>
      <c r="D2777" s="1" t="s">
        <v>11</v>
      </c>
      <c r="E2777" s="1" t="s">
        <v>11</v>
      </c>
    </row>
    <row r="2778" spans="1:5" ht="15.75" customHeight="1">
      <c r="A2778" s="1">
        <v>611011</v>
      </c>
      <c r="B2778" s="1" t="s">
        <v>2804</v>
      </c>
      <c r="C2778" s="1" t="str">
        <f ca="1">IFERROR(__xludf.DUMMYFUNCTION("REGEXEXTRACT(B2778, ""^([^:]+)"")"),"Jerseys, pullovers, cardigans, waistcoats and similar articles")</f>
        <v>Jerseys, pullovers, cardigans, waistcoats and similar articles</v>
      </c>
      <c r="D2778" s="1" t="s">
        <v>11</v>
      </c>
      <c r="E2778" s="1" t="s">
        <v>11</v>
      </c>
    </row>
    <row r="2779" spans="1:5" ht="15.75" customHeight="1">
      <c r="A2779" s="1">
        <v>611012</v>
      </c>
      <c r="B2779" s="1" t="s">
        <v>2805</v>
      </c>
      <c r="C2779" s="1" t="str">
        <f ca="1">IFERROR(__xludf.DUMMYFUNCTION("REGEXEXTRACT(B2779, ""^([^:]+)"")"),"Jerseys, pullovers, cardigans, waistcoats and similar articles")</f>
        <v>Jerseys, pullovers, cardigans, waistcoats and similar articles</v>
      </c>
      <c r="D2779" s="1" t="s">
        <v>11</v>
      </c>
      <c r="E2779" s="1" t="s">
        <v>11</v>
      </c>
    </row>
    <row r="2780" spans="1:5" ht="15.75" customHeight="1">
      <c r="A2780" s="1">
        <v>611019</v>
      </c>
      <c r="B2780" s="1" t="s">
        <v>2806</v>
      </c>
      <c r="C2780" s="1" t="str">
        <f ca="1">IFERROR(__xludf.DUMMYFUNCTION("REGEXEXTRACT(B2780, ""^([^:]+)"")"),"Jerseys, pullovers, cardigans, waistcoats and similar articles")</f>
        <v>Jerseys, pullovers, cardigans, waistcoats and similar articles</v>
      </c>
      <c r="D2780" s="1" t="s">
        <v>11</v>
      </c>
      <c r="E2780" s="1" t="s">
        <v>11</v>
      </c>
    </row>
    <row r="2781" spans="1:5" ht="15.75" customHeight="1">
      <c r="A2781" s="1">
        <v>611020</v>
      </c>
      <c r="B2781" s="1" t="s">
        <v>2807</v>
      </c>
      <c r="C2781" s="1" t="str">
        <f ca="1">IFERROR(__xludf.DUMMYFUNCTION("REGEXEXTRACT(B2781, ""^([^:]+)"")"),"Jerseys, pullovers, cardigans, waistcoats and similar articles")</f>
        <v>Jerseys, pullovers, cardigans, waistcoats and similar articles</v>
      </c>
      <c r="D2781" s="1" t="s">
        <v>11</v>
      </c>
      <c r="E2781" s="1" t="s">
        <v>11</v>
      </c>
    </row>
    <row r="2782" spans="1:5" ht="15.75" customHeight="1">
      <c r="A2782" s="1">
        <v>611030</v>
      </c>
      <c r="B2782" s="1" t="s">
        <v>2808</v>
      </c>
      <c r="C2782" s="1" t="str">
        <f ca="1">IFERROR(__xludf.DUMMYFUNCTION("REGEXEXTRACT(B2782, ""^([^:]+)"")"),"Jerseys, pullovers, cardigans, waistcoats and similar articles")</f>
        <v>Jerseys, pullovers, cardigans, waistcoats and similar articles</v>
      </c>
      <c r="D2782" s="1" t="s">
        <v>11</v>
      </c>
      <c r="E2782" s="1" t="s">
        <v>11</v>
      </c>
    </row>
    <row r="2783" spans="1:5" ht="15.75" customHeight="1">
      <c r="A2783" s="1">
        <v>611090</v>
      </c>
      <c r="B2783" s="1" t="s">
        <v>2809</v>
      </c>
      <c r="C2783" s="1" t="str">
        <f ca="1">IFERROR(__xludf.DUMMYFUNCTION("REGEXEXTRACT(B2783, ""^([^:]+)"")"),"Jerseys, pullovers, cardigans, waistcoats and similar articles")</f>
        <v>Jerseys, pullovers, cardigans, waistcoats and similar articles</v>
      </c>
      <c r="D2783" s="1" t="s">
        <v>11</v>
      </c>
      <c r="E2783" s="1" t="s">
        <v>11</v>
      </c>
    </row>
    <row r="2784" spans="1:5" ht="15.75" customHeight="1">
      <c r="A2784" s="1">
        <v>611120</v>
      </c>
      <c r="B2784" s="1" t="s">
        <v>2810</v>
      </c>
      <c r="C2784" s="1" t="str">
        <f ca="1">IFERROR(__xludf.DUMMYFUNCTION("REGEXEXTRACT(B2784, ""^([^:]+)"")"),"Garments and clothing accessories")</f>
        <v>Garments and clothing accessories</v>
      </c>
      <c r="D2784" s="1" t="s">
        <v>11</v>
      </c>
      <c r="E2784" s="1" t="s">
        <v>11</v>
      </c>
    </row>
    <row r="2785" spans="1:6" ht="15.75" customHeight="1">
      <c r="A2785" s="1">
        <v>611130</v>
      </c>
      <c r="B2785" s="1" t="s">
        <v>2811</v>
      </c>
      <c r="C2785" s="1" t="str">
        <f ca="1">IFERROR(__xludf.DUMMYFUNCTION("REGEXEXTRACT(B2785, ""^([^:]+)"")"),"Garments and clothing accessories")</f>
        <v>Garments and clothing accessories</v>
      </c>
      <c r="D2785" s="1" t="s">
        <v>11</v>
      </c>
      <c r="E2785" s="1" t="s">
        <v>11</v>
      </c>
    </row>
    <row r="2786" spans="1:6" ht="15.75" customHeight="1">
      <c r="A2786" s="1">
        <v>611190</v>
      </c>
      <c r="B2786" s="1" t="s">
        <v>2812</v>
      </c>
      <c r="C2786" s="1" t="str">
        <f ca="1">IFERROR(__xludf.DUMMYFUNCTION("REGEXEXTRACT(B2786, ""^([^:]+)"")"),"Garments and clothing accessories")</f>
        <v>Garments and clothing accessories</v>
      </c>
      <c r="D2786" s="1" t="s">
        <v>11</v>
      </c>
      <c r="E2786" s="1" t="s">
        <v>11</v>
      </c>
    </row>
    <row r="2787" spans="1:6" ht="15.75" customHeight="1">
      <c r="A2787" s="1">
        <v>611211</v>
      </c>
      <c r="B2787" s="1" t="s">
        <v>2813</v>
      </c>
      <c r="C2787" s="1" t="str">
        <f ca="1">IFERROR(__xludf.DUMMYFUNCTION("REGEXEXTRACT(B2787, ""^([^:]+)"")"),"Track suits")</f>
        <v>Track suits</v>
      </c>
      <c r="D2787" s="1" t="s">
        <v>11</v>
      </c>
      <c r="E2787" s="1" t="s">
        <v>11</v>
      </c>
    </row>
    <row r="2788" spans="1:6" ht="15.75" customHeight="1">
      <c r="A2788" s="1">
        <v>611212</v>
      </c>
      <c r="B2788" s="1" t="s">
        <v>2814</v>
      </c>
      <c r="C2788" s="1" t="str">
        <f ca="1">IFERROR(__xludf.DUMMYFUNCTION("REGEXEXTRACT(B2788, ""^([^:]+)"")"),"Track suits")</f>
        <v>Track suits</v>
      </c>
      <c r="D2788" s="1" t="s">
        <v>11</v>
      </c>
      <c r="E2788" s="1" t="s">
        <v>11</v>
      </c>
    </row>
    <row r="2789" spans="1:6" ht="15.75" customHeight="1">
      <c r="A2789" s="1">
        <v>611219</v>
      </c>
      <c r="B2789" s="1" t="s">
        <v>2815</v>
      </c>
      <c r="C2789" s="1" t="str">
        <f ca="1">IFERROR(__xludf.DUMMYFUNCTION("REGEXEXTRACT(B2789, ""^([^:]+)"")"),"Track suits")</f>
        <v>Track suits</v>
      </c>
      <c r="D2789" s="1" t="s">
        <v>11</v>
      </c>
      <c r="E2789" s="1" t="s">
        <v>11</v>
      </c>
    </row>
    <row r="2790" spans="1:6" ht="15.75" customHeight="1">
      <c r="A2790" s="1">
        <v>611220</v>
      </c>
      <c r="B2790" s="1" t="s">
        <v>2816</v>
      </c>
      <c r="C2790" s="1" t="str">
        <f ca="1">IFERROR(__xludf.DUMMYFUNCTION("REGEXEXTRACT(B2790, ""^([^:]+)"")"),"Ski suits")</f>
        <v>Ski suits</v>
      </c>
      <c r="D2790" s="1" t="s">
        <v>11</v>
      </c>
      <c r="E2790" s="1" t="s">
        <v>11</v>
      </c>
    </row>
    <row r="2791" spans="1:6" ht="15.75" customHeight="1">
      <c r="A2791" s="1">
        <v>611231</v>
      </c>
      <c r="B2791" s="1" t="s">
        <v>2817</v>
      </c>
      <c r="C2791" s="1" t="str">
        <f ca="1">IFERROR(__xludf.DUMMYFUNCTION("REGEXEXTRACT(B2791, ""^([^:]+)"")"),"Swimwear")</f>
        <v>Swimwear</v>
      </c>
      <c r="D2791" s="1" t="s">
        <v>11</v>
      </c>
      <c r="E2791" s="1" t="s">
        <v>11</v>
      </c>
    </row>
    <row r="2792" spans="1:6" ht="15.75" customHeight="1">
      <c r="A2792" s="1">
        <v>611239</v>
      </c>
      <c r="B2792" s="1" t="s">
        <v>2818</v>
      </c>
      <c r="C2792" s="1" t="str">
        <f ca="1">IFERROR(__xludf.DUMMYFUNCTION("REGEXEXTRACT(B2792, ""^([^:]+)"")"),"Swimwear")</f>
        <v>Swimwear</v>
      </c>
      <c r="D2792" s="1" t="s">
        <v>11</v>
      </c>
      <c r="E2792" s="1" t="s">
        <v>11</v>
      </c>
    </row>
    <row r="2793" spans="1:6" ht="15.75" customHeight="1">
      <c r="A2793" s="1">
        <v>611241</v>
      </c>
      <c r="B2793" s="1" t="s">
        <v>2819</v>
      </c>
      <c r="C2793" s="1" t="str">
        <f ca="1">IFERROR(__xludf.DUMMYFUNCTION("REGEXEXTRACT(B2793, ""^([^:]+)"")"),"Swimwear")</f>
        <v>Swimwear</v>
      </c>
      <c r="D2793" s="1" t="s">
        <v>11</v>
      </c>
      <c r="E2793" s="1" t="s">
        <v>11</v>
      </c>
    </row>
    <row r="2794" spans="1:6" ht="15.75" customHeight="1">
      <c r="A2794" s="1">
        <v>611249</v>
      </c>
      <c r="B2794" s="1" t="s">
        <v>2820</v>
      </c>
      <c r="C2794" s="1" t="str">
        <f ca="1">IFERROR(__xludf.DUMMYFUNCTION("REGEXEXTRACT(B2794, ""^([^:]+)"")"),"Swimwear")</f>
        <v>Swimwear</v>
      </c>
      <c r="D2794" s="1" t="s">
        <v>11</v>
      </c>
      <c r="E2794" s="1" t="s">
        <v>11</v>
      </c>
    </row>
    <row r="2795" spans="1:6" ht="15.75" customHeight="1">
      <c r="A2795" s="1">
        <v>611300</v>
      </c>
      <c r="B2795" s="1" t="s">
        <v>2821</v>
      </c>
      <c r="C2795" s="1" t="str">
        <f ca="1">IFERROR(__xludf.DUMMYFUNCTION("REGEXEXTRACT(B2795, ""^([^:]+)"")"),"Garments")</f>
        <v>Garments</v>
      </c>
      <c r="D2795" s="1" t="s">
        <v>11</v>
      </c>
      <c r="E2795" s="1" t="s">
        <v>11</v>
      </c>
    </row>
    <row r="2796" spans="1:6" ht="15.75" customHeight="1">
      <c r="A2796" s="1">
        <v>611420</v>
      </c>
      <c r="B2796" s="1" t="s">
        <v>2822</v>
      </c>
      <c r="C2796" s="1" t="str">
        <f ca="1">IFERROR(__xludf.DUMMYFUNCTION("REGEXEXTRACT(B2796, ""^([^:]+)"")"),"Garments")</f>
        <v>Garments</v>
      </c>
      <c r="D2796" s="1" t="s">
        <v>11</v>
      </c>
      <c r="E2796" s="1" t="s">
        <v>11</v>
      </c>
    </row>
    <row r="2797" spans="1:6" ht="15.75" customHeight="1">
      <c r="A2797" s="1">
        <v>611430</v>
      </c>
      <c r="B2797" s="1" t="s">
        <v>2823</v>
      </c>
      <c r="C2797" s="1" t="str">
        <f ca="1">IFERROR(__xludf.DUMMYFUNCTION("REGEXEXTRACT(B2797, ""^([^:]+)"")"),"Garments")</f>
        <v>Garments</v>
      </c>
      <c r="D2797" s="1" t="s">
        <v>11</v>
      </c>
      <c r="E2797" s="1" t="s">
        <v>11</v>
      </c>
    </row>
    <row r="2798" spans="1:6" ht="15.75" customHeight="1">
      <c r="A2798" s="1">
        <v>611490</v>
      </c>
      <c r="B2798" s="1" t="s">
        <v>2824</v>
      </c>
      <c r="C2798" s="1" t="str">
        <f ca="1">IFERROR(__xludf.DUMMYFUNCTION("REGEXEXTRACT(B2798, ""^([^:]+)"")"),"Garments")</f>
        <v>Garments</v>
      </c>
      <c r="D2798" s="1" t="s">
        <v>11</v>
      </c>
      <c r="E2798" s="1" t="s">
        <v>11</v>
      </c>
    </row>
    <row r="2799" spans="1:6" ht="15.75" customHeight="1">
      <c r="A2799" s="1">
        <v>401490</v>
      </c>
      <c r="B2799" s="2" t="s">
        <v>1889</v>
      </c>
      <c r="C2799" s="1" t="str">
        <f ca="1">IFERROR(__xludf.DUMMYFUNCTION("REGEXEXTRACT(B2799, ""^([^:]+)"")"),"Rubber")</f>
        <v>Rubber</v>
      </c>
      <c r="D2799" s="1">
        <v>1</v>
      </c>
      <c r="E2799" s="11" t="s">
        <v>1419</v>
      </c>
      <c r="F2799" s="2" t="s">
        <v>1419</v>
      </c>
    </row>
    <row r="2800" spans="1:6" ht="15.75" customHeight="1">
      <c r="A2800" s="1">
        <v>611521</v>
      </c>
      <c r="B2800" s="1" t="s">
        <v>2826</v>
      </c>
      <c r="C2800" s="1" t="str">
        <f ca="1">IFERROR(__xludf.DUMMYFUNCTION("REGEXEXTRACT(B2800, ""^([^:]+)"")"),"Hosiery")</f>
        <v>Hosiery</v>
      </c>
      <c r="D2800" s="1" t="s">
        <v>11</v>
      </c>
      <c r="E2800" s="1" t="s">
        <v>11</v>
      </c>
    </row>
    <row r="2801" spans="1:5" ht="15.75" customHeight="1">
      <c r="A2801" s="1">
        <v>611522</v>
      </c>
      <c r="B2801" s="1" t="s">
        <v>2827</v>
      </c>
      <c r="C2801" s="1" t="str">
        <f ca="1">IFERROR(__xludf.DUMMYFUNCTION("REGEXEXTRACT(B2801, ""^([^:]+)"")"),"Hosiery")</f>
        <v>Hosiery</v>
      </c>
      <c r="D2801" s="1" t="s">
        <v>11</v>
      </c>
      <c r="E2801" s="1" t="s">
        <v>11</v>
      </c>
    </row>
    <row r="2802" spans="1:5" ht="15.75" customHeight="1">
      <c r="A2802" s="1">
        <v>611529</v>
      </c>
      <c r="B2802" s="1" t="s">
        <v>2828</v>
      </c>
      <c r="C2802" s="1" t="str">
        <f ca="1">IFERROR(__xludf.DUMMYFUNCTION("REGEXEXTRACT(B2802, ""^([^:]+)"")"),"Hosiery")</f>
        <v>Hosiery</v>
      </c>
      <c r="D2802" s="1" t="s">
        <v>11</v>
      </c>
      <c r="E2802" s="1" t="s">
        <v>11</v>
      </c>
    </row>
    <row r="2803" spans="1:5" ht="15.75" customHeight="1">
      <c r="A2803" s="1">
        <v>611530</v>
      </c>
      <c r="B2803" s="1" t="s">
        <v>2829</v>
      </c>
      <c r="C2803" s="1" t="str">
        <f ca="1">IFERROR(__xludf.DUMMYFUNCTION("REGEXEXTRACT(B2803, ""^([^:]+)"")"),"Hosiery")</f>
        <v>Hosiery</v>
      </c>
      <c r="D2803" s="1" t="s">
        <v>11</v>
      </c>
      <c r="E2803" s="1" t="s">
        <v>11</v>
      </c>
    </row>
    <row r="2804" spans="1:5" ht="15.75" customHeight="1">
      <c r="A2804" s="1">
        <v>611594</v>
      </c>
      <c r="B2804" s="1" t="s">
        <v>2830</v>
      </c>
      <c r="C2804" s="1" t="str">
        <f ca="1">IFERROR(__xludf.DUMMYFUNCTION("REGEXEXTRACT(B2804, ""^([^:]+)"")"),"Hosiery and footwear")</f>
        <v>Hosiery and footwear</v>
      </c>
      <c r="D2804" s="1" t="s">
        <v>11</v>
      </c>
      <c r="E2804" s="1" t="s">
        <v>11</v>
      </c>
    </row>
    <row r="2805" spans="1:5" ht="15.75" customHeight="1">
      <c r="A2805" s="1">
        <v>611595</v>
      </c>
      <c r="B2805" s="1" t="s">
        <v>2831</v>
      </c>
      <c r="C2805" s="1" t="str">
        <f ca="1">IFERROR(__xludf.DUMMYFUNCTION("REGEXEXTRACT(B2805, ""^([^:]+)"")"),"Hosiery and footwear")</f>
        <v>Hosiery and footwear</v>
      </c>
      <c r="D2805" s="1" t="s">
        <v>11</v>
      </c>
      <c r="E2805" s="1" t="s">
        <v>11</v>
      </c>
    </row>
    <row r="2806" spans="1:5" ht="15.75" customHeight="1">
      <c r="A2806" s="1">
        <v>611596</v>
      </c>
      <c r="B2806" s="1" t="s">
        <v>2832</v>
      </c>
      <c r="C2806" s="1" t="str">
        <f ca="1">IFERROR(__xludf.DUMMYFUNCTION("REGEXEXTRACT(B2806, ""^([^:]+)"")"),"Hosiery and footwear")</f>
        <v>Hosiery and footwear</v>
      </c>
      <c r="D2806" s="1" t="s">
        <v>11</v>
      </c>
      <c r="E2806" s="1" t="s">
        <v>11</v>
      </c>
    </row>
    <row r="2807" spans="1:5" ht="15.75" customHeight="1">
      <c r="A2807" s="1">
        <v>611599</v>
      </c>
      <c r="B2807" s="1" t="s">
        <v>2833</v>
      </c>
      <c r="C2807" s="1" t="str">
        <f ca="1">IFERROR(__xludf.DUMMYFUNCTION("REGEXEXTRACT(B2807, ""^([^:]+)"")"),"Hosiery and footwear")</f>
        <v>Hosiery and footwear</v>
      </c>
      <c r="D2807" s="1" t="s">
        <v>11</v>
      </c>
      <c r="E2807" s="1" t="s">
        <v>11</v>
      </c>
    </row>
    <row r="2808" spans="1:5" ht="15.75" customHeight="1">
      <c r="A2808" s="1">
        <v>611610</v>
      </c>
      <c r="B2808" s="1" t="s">
        <v>2834</v>
      </c>
      <c r="C2808" s="1" t="str">
        <f ca="1">IFERROR(__xludf.DUMMYFUNCTION("REGEXEXTRACT(B2808, ""^([^:]+)"")"),"Gloves, mittens and mitts")</f>
        <v>Gloves, mittens and mitts</v>
      </c>
      <c r="D2808" s="1" t="s">
        <v>11</v>
      </c>
      <c r="E2808" s="1" t="s">
        <v>11</v>
      </c>
    </row>
    <row r="2809" spans="1:5" ht="15.75" customHeight="1">
      <c r="A2809" s="1">
        <v>611691</v>
      </c>
      <c r="B2809" s="1" t="s">
        <v>2835</v>
      </c>
      <c r="C2809" s="1" t="str">
        <f ca="1">IFERROR(__xludf.DUMMYFUNCTION("REGEXEXTRACT(B2809, ""^([^:]+)"")"),"Gloves, mittens and mitts")</f>
        <v>Gloves, mittens and mitts</v>
      </c>
      <c r="D2809" s="1" t="s">
        <v>11</v>
      </c>
      <c r="E2809" s="1" t="s">
        <v>11</v>
      </c>
    </row>
    <row r="2810" spans="1:5" ht="15.75" customHeight="1">
      <c r="A2810" s="1">
        <v>611692</v>
      </c>
      <c r="B2810" s="1" t="s">
        <v>2836</v>
      </c>
      <c r="C2810" s="1" t="str">
        <f ca="1">IFERROR(__xludf.DUMMYFUNCTION("REGEXEXTRACT(B2810, ""^([^:]+)"")"),"Gloves, mittens and mitts")</f>
        <v>Gloves, mittens and mitts</v>
      </c>
      <c r="D2810" s="1" t="s">
        <v>11</v>
      </c>
      <c r="E2810" s="1" t="s">
        <v>11</v>
      </c>
    </row>
    <row r="2811" spans="1:5" ht="15.75" customHeight="1">
      <c r="A2811" s="1">
        <v>611693</v>
      </c>
      <c r="B2811" s="1" t="s">
        <v>2837</v>
      </c>
      <c r="C2811" s="1" t="str">
        <f ca="1">IFERROR(__xludf.DUMMYFUNCTION("REGEXEXTRACT(B2811, ""^([^:]+)"")"),"Gloves, mittens and mitts")</f>
        <v>Gloves, mittens and mitts</v>
      </c>
      <c r="D2811" s="1" t="s">
        <v>11</v>
      </c>
      <c r="E2811" s="1" t="s">
        <v>11</v>
      </c>
    </row>
    <row r="2812" spans="1:5" ht="15.75" customHeight="1">
      <c r="A2812" s="1">
        <v>611699</v>
      </c>
      <c r="B2812" s="1" t="s">
        <v>2838</v>
      </c>
      <c r="C2812" s="1" t="str">
        <f ca="1">IFERROR(__xludf.DUMMYFUNCTION("REGEXEXTRACT(B2812, ""^([^:]+)"")"),"Gloves, mittens and mitts")</f>
        <v>Gloves, mittens and mitts</v>
      </c>
      <c r="D2812" s="1" t="s">
        <v>11</v>
      </c>
      <c r="E2812" s="1" t="s">
        <v>11</v>
      </c>
    </row>
    <row r="2813" spans="1:5" ht="15.75" customHeight="1">
      <c r="A2813" s="1">
        <v>611710</v>
      </c>
      <c r="B2813" s="1" t="s">
        <v>2839</v>
      </c>
      <c r="C2813" s="1" t="str">
        <f ca="1">IFERROR(__xludf.DUMMYFUNCTION("REGEXEXTRACT(B2813, ""^([^:]+)"")"),"Shawls, scarves, mufflers, mantillas, veils and the like")</f>
        <v>Shawls, scarves, mufflers, mantillas, veils and the like</v>
      </c>
      <c r="D2813" s="1" t="s">
        <v>11</v>
      </c>
      <c r="E2813" s="1" t="s">
        <v>11</v>
      </c>
    </row>
    <row r="2814" spans="1:5" ht="15.75" customHeight="1">
      <c r="A2814" s="1">
        <v>611780</v>
      </c>
      <c r="B2814" s="1" t="s">
        <v>2840</v>
      </c>
      <c r="C2814" s="1" t="str">
        <f ca="1">IFERROR(__xludf.DUMMYFUNCTION("REGEXEXTRACT(B2814, ""^([^:]+)"")"),"Clothing accessories")</f>
        <v>Clothing accessories</v>
      </c>
      <c r="D2814" s="1" t="s">
        <v>11</v>
      </c>
      <c r="E2814" s="1" t="s">
        <v>11</v>
      </c>
    </row>
    <row r="2815" spans="1:5" ht="15.75" customHeight="1">
      <c r="A2815" s="1">
        <v>611790</v>
      </c>
      <c r="B2815" s="1" t="s">
        <v>2841</v>
      </c>
      <c r="C2815" s="1" t="str">
        <f ca="1">IFERROR(__xludf.DUMMYFUNCTION("REGEXEXTRACT(B2815, ""^([^:]+)"")"),"Clothing")</f>
        <v>Clothing</v>
      </c>
      <c r="D2815" s="1" t="s">
        <v>11</v>
      </c>
      <c r="E2815" s="1" t="s">
        <v>11</v>
      </c>
    </row>
    <row r="2816" spans="1:5" ht="15.75" customHeight="1">
      <c r="A2816" s="1">
        <v>620111</v>
      </c>
      <c r="B2816" s="1" t="s">
        <v>2842</v>
      </c>
      <c r="C2816" s="1" t="str">
        <f ca="1">IFERROR(__xludf.DUMMYFUNCTION("REGEXEXTRACT(B2816, ""^([^:]+)"")"),"Coats")</f>
        <v>Coats</v>
      </c>
      <c r="D2816" s="1" t="s">
        <v>11</v>
      </c>
      <c r="E2816" s="1" t="s">
        <v>11</v>
      </c>
    </row>
    <row r="2817" spans="1:5" ht="15.75" customHeight="1">
      <c r="A2817" s="1">
        <v>620112</v>
      </c>
      <c r="B2817" s="1" t="s">
        <v>2843</v>
      </c>
      <c r="C2817" s="1" t="str">
        <f ca="1">IFERROR(__xludf.DUMMYFUNCTION("REGEXEXTRACT(B2817, ""^([^:]+)"")"),"Coats")</f>
        <v>Coats</v>
      </c>
      <c r="D2817" s="1" t="s">
        <v>11</v>
      </c>
      <c r="E2817" s="1" t="s">
        <v>11</v>
      </c>
    </row>
    <row r="2818" spans="1:5" ht="15.75" customHeight="1">
      <c r="A2818" s="1">
        <v>620113</v>
      </c>
      <c r="B2818" s="1" t="s">
        <v>2844</v>
      </c>
      <c r="C2818" s="1" t="str">
        <f ca="1">IFERROR(__xludf.DUMMYFUNCTION("REGEXEXTRACT(B2818, ""^([^:]+)"")"),"Coats")</f>
        <v>Coats</v>
      </c>
      <c r="D2818" s="1" t="s">
        <v>11</v>
      </c>
      <c r="E2818" s="1" t="s">
        <v>11</v>
      </c>
    </row>
    <row r="2819" spans="1:5" ht="15.75" customHeight="1">
      <c r="A2819" s="1">
        <v>620119</v>
      </c>
      <c r="B2819" s="1" t="s">
        <v>2845</v>
      </c>
      <c r="C2819" s="1" t="str">
        <f ca="1">IFERROR(__xludf.DUMMYFUNCTION("REGEXEXTRACT(B2819, ""^([^:]+)"")"),"Coats")</f>
        <v>Coats</v>
      </c>
      <c r="D2819" s="1" t="s">
        <v>11</v>
      </c>
      <c r="E2819" s="1" t="s">
        <v>11</v>
      </c>
    </row>
    <row r="2820" spans="1:5" ht="15.75" customHeight="1">
      <c r="A2820" s="1">
        <v>620191</v>
      </c>
      <c r="B2820" s="1" t="s">
        <v>2846</v>
      </c>
      <c r="C2820" s="1" t="str">
        <f ca="1">IFERROR(__xludf.DUMMYFUNCTION("REGEXEXTRACT(B2820, ""^([^:]+)"")"),"Anoraks (including ski-jackets), wind-cheaters, wind-jackets and similar articles")</f>
        <v>Anoraks (including ski-jackets), wind-cheaters, wind-jackets and similar articles</v>
      </c>
      <c r="D2820" s="1" t="s">
        <v>11</v>
      </c>
      <c r="E2820" s="1" t="s">
        <v>11</v>
      </c>
    </row>
    <row r="2821" spans="1:5" ht="15.75" customHeight="1">
      <c r="A2821" s="1">
        <v>620192</v>
      </c>
      <c r="B2821" s="1" t="s">
        <v>2847</v>
      </c>
      <c r="C2821" s="1" t="str">
        <f ca="1">IFERROR(__xludf.DUMMYFUNCTION("REGEXEXTRACT(B2821, ""^([^:]+)"")"),"Anoraks (including ski-jackets), wind-cheaters, wind-jackets and similar articles")</f>
        <v>Anoraks (including ski-jackets), wind-cheaters, wind-jackets and similar articles</v>
      </c>
      <c r="D2821" s="1" t="s">
        <v>11</v>
      </c>
      <c r="E2821" s="1" t="s">
        <v>11</v>
      </c>
    </row>
    <row r="2822" spans="1:5" ht="15.75" customHeight="1">
      <c r="A2822" s="1">
        <v>620193</v>
      </c>
      <c r="B2822" s="1" t="s">
        <v>2848</v>
      </c>
      <c r="C2822" s="1" t="str">
        <f ca="1">IFERROR(__xludf.DUMMYFUNCTION("REGEXEXTRACT(B2822, ""^([^:]+)"")"),"Anoraks (including ski-jackets), wind-cheaters, wind-jackets and similar articles")</f>
        <v>Anoraks (including ski-jackets), wind-cheaters, wind-jackets and similar articles</v>
      </c>
      <c r="D2822" s="1" t="s">
        <v>11</v>
      </c>
      <c r="E2822" s="1" t="s">
        <v>11</v>
      </c>
    </row>
    <row r="2823" spans="1:5" ht="15.75" customHeight="1">
      <c r="A2823" s="1">
        <v>620199</v>
      </c>
      <c r="B2823" s="1" t="s">
        <v>2849</v>
      </c>
      <c r="C2823" s="1" t="str">
        <f ca="1">IFERROR(__xludf.DUMMYFUNCTION("REGEXEXTRACT(B2823, ""^([^:]+)"")"),"Anoraks (including ski-jackets), wind-cheaters, wind-jackets and similar articles")</f>
        <v>Anoraks (including ski-jackets), wind-cheaters, wind-jackets and similar articles</v>
      </c>
      <c r="D2823" s="1" t="s">
        <v>11</v>
      </c>
      <c r="E2823" s="1" t="s">
        <v>11</v>
      </c>
    </row>
    <row r="2824" spans="1:5" ht="15.75" customHeight="1">
      <c r="A2824" s="1">
        <v>620211</v>
      </c>
      <c r="B2824" s="1" t="s">
        <v>2850</v>
      </c>
      <c r="C2824" s="1" t="str">
        <f ca="1">IFERROR(__xludf.DUMMYFUNCTION("REGEXEXTRACT(B2824, ""^([^:]+)"")"),"Coats")</f>
        <v>Coats</v>
      </c>
      <c r="D2824" s="1" t="s">
        <v>11</v>
      </c>
      <c r="E2824" s="1" t="s">
        <v>11</v>
      </c>
    </row>
    <row r="2825" spans="1:5" ht="15.75" customHeight="1">
      <c r="A2825" s="1">
        <v>620212</v>
      </c>
      <c r="B2825" s="1" t="s">
        <v>2851</v>
      </c>
      <c r="C2825" s="1" t="str">
        <f ca="1">IFERROR(__xludf.DUMMYFUNCTION("REGEXEXTRACT(B2825, ""^([^:]+)"")"),"Coats")</f>
        <v>Coats</v>
      </c>
      <c r="D2825" s="1" t="s">
        <v>11</v>
      </c>
      <c r="E2825" s="1" t="s">
        <v>11</v>
      </c>
    </row>
    <row r="2826" spans="1:5" ht="15.75" customHeight="1">
      <c r="A2826" s="1">
        <v>620213</v>
      </c>
      <c r="B2826" s="1" t="s">
        <v>2852</v>
      </c>
      <c r="C2826" s="1" t="str">
        <f ca="1">IFERROR(__xludf.DUMMYFUNCTION("REGEXEXTRACT(B2826, ""^([^:]+)"")"),"Coats")</f>
        <v>Coats</v>
      </c>
      <c r="D2826" s="1" t="s">
        <v>11</v>
      </c>
      <c r="E2826" s="1" t="s">
        <v>11</v>
      </c>
    </row>
    <row r="2827" spans="1:5" ht="15.75" customHeight="1">
      <c r="A2827" s="1">
        <v>620219</v>
      </c>
      <c r="B2827" s="1" t="s">
        <v>2853</v>
      </c>
      <c r="C2827" s="1" t="str">
        <f ca="1">IFERROR(__xludf.DUMMYFUNCTION("REGEXEXTRACT(B2827, ""^([^:]+)"")"),"Coats")</f>
        <v>Coats</v>
      </c>
      <c r="D2827" s="1" t="s">
        <v>11</v>
      </c>
      <c r="E2827" s="1" t="s">
        <v>11</v>
      </c>
    </row>
    <row r="2828" spans="1:5" ht="15.75" customHeight="1">
      <c r="A2828" s="1">
        <v>620291</v>
      </c>
      <c r="B2828" s="1" t="s">
        <v>2854</v>
      </c>
      <c r="C2828" s="1" t="str">
        <f ca="1">IFERROR(__xludf.DUMMYFUNCTION("REGEXEXTRACT(B2828, ""^([^:]+)"")"),"Anoraks (including ski-jackets), wind-cheaters, wind-jackets and similar articles")</f>
        <v>Anoraks (including ski-jackets), wind-cheaters, wind-jackets and similar articles</v>
      </c>
      <c r="D2828" s="1" t="s">
        <v>11</v>
      </c>
      <c r="E2828" s="1" t="s">
        <v>11</v>
      </c>
    </row>
    <row r="2829" spans="1:5" ht="15.75" customHeight="1">
      <c r="A2829" s="1">
        <v>620292</v>
      </c>
      <c r="B2829" s="1" t="s">
        <v>2855</v>
      </c>
      <c r="C2829" s="1" t="str">
        <f ca="1">IFERROR(__xludf.DUMMYFUNCTION("REGEXEXTRACT(B2829, ""^([^:]+)"")"),"Anoraks (including ski-jackets), wind-cheaters, wind-jackets and similar articles")</f>
        <v>Anoraks (including ski-jackets), wind-cheaters, wind-jackets and similar articles</v>
      </c>
      <c r="D2829" s="1" t="s">
        <v>11</v>
      </c>
      <c r="E2829" s="1" t="s">
        <v>11</v>
      </c>
    </row>
    <row r="2830" spans="1:5" ht="15.75" customHeight="1">
      <c r="A2830" s="1">
        <v>620293</v>
      </c>
      <c r="B2830" s="1" t="s">
        <v>2856</v>
      </c>
      <c r="C2830" s="1" t="str">
        <f ca="1">IFERROR(__xludf.DUMMYFUNCTION("REGEXEXTRACT(B2830, ""^([^:]+)"")"),"Anoraks (including ski-jackets), wind-cheaters, wind-jackets and similar articles")</f>
        <v>Anoraks (including ski-jackets), wind-cheaters, wind-jackets and similar articles</v>
      </c>
      <c r="D2830" s="1" t="s">
        <v>11</v>
      </c>
      <c r="E2830" s="1" t="s">
        <v>11</v>
      </c>
    </row>
    <row r="2831" spans="1:5" ht="15.75" customHeight="1">
      <c r="A2831" s="1">
        <v>620299</v>
      </c>
      <c r="B2831" s="1" t="s">
        <v>2857</v>
      </c>
      <c r="C2831" s="1" t="str">
        <f ca="1">IFERROR(__xludf.DUMMYFUNCTION("REGEXEXTRACT(B2831, ""^([^:]+)"")"),"Anoraks (including ski-jackets), wind-cheaters, wind-jackets and similar articles")</f>
        <v>Anoraks (including ski-jackets), wind-cheaters, wind-jackets and similar articles</v>
      </c>
      <c r="D2831" s="1" t="s">
        <v>11</v>
      </c>
      <c r="E2831" s="1" t="s">
        <v>11</v>
      </c>
    </row>
    <row r="2832" spans="1:5" ht="15.75" customHeight="1">
      <c r="A2832" s="1">
        <v>620311</v>
      </c>
      <c r="B2832" s="1" t="s">
        <v>2858</v>
      </c>
      <c r="C2832" s="1" t="str">
        <f ca="1">IFERROR(__xludf.DUMMYFUNCTION("REGEXEXTRACT(B2832, ""^([^:]+)"")"),"Suits")</f>
        <v>Suits</v>
      </c>
      <c r="D2832" s="1" t="s">
        <v>11</v>
      </c>
      <c r="E2832" s="1" t="s">
        <v>11</v>
      </c>
    </row>
    <row r="2833" spans="1:5" ht="15.75" customHeight="1">
      <c r="A2833" s="1">
        <v>620312</v>
      </c>
      <c r="B2833" s="1" t="s">
        <v>2859</v>
      </c>
      <c r="C2833" s="1" t="str">
        <f ca="1">IFERROR(__xludf.DUMMYFUNCTION("REGEXEXTRACT(B2833, ""^([^:]+)"")"),"Suits")</f>
        <v>Suits</v>
      </c>
      <c r="D2833" s="1" t="s">
        <v>11</v>
      </c>
      <c r="E2833" s="1" t="s">
        <v>11</v>
      </c>
    </row>
    <row r="2834" spans="1:5" ht="15.75" customHeight="1">
      <c r="A2834" s="1">
        <v>620319</v>
      </c>
      <c r="B2834" s="1" t="s">
        <v>2860</v>
      </c>
      <c r="C2834" s="1" t="str">
        <f ca="1">IFERROR(__xludf.DUMMYFUNCTION("REGEXEXTRACT(B2834, ""^([^:]+)"")"),"Suits")</f>
        <v>Suits</v>
      </c>
      <c r="D2834" s="1" t="s">
        <v>11</v>
      </c>
      <c r="E2834" s="1" t="s">
        <v>11</v>
      </c>
    </row>
    <row r="2835" spans="1:5" ht="15.75" customHeight="1">
      <c r="A2835" s="1">
        <v>620322</v>
      </c>
      <c r="B2835" s="1" t="s">
        <v>2861</v>
      </c>
      <c r="C2835" s="1" t="str">
        <f ca="1">IFERROR(__xludf.DUMMYFUNCTION("REGEXEXTRACT(B2835, ""^([^:]+)"")"),"Ensembles")</f>
        <v>Ensembles</v>
      </c>
      <c r="D2835" s="1" t="s">
        <v>11</v>
      </c>
      <c r="E2835" s="1" t="s">
        <v>11</v>
      </c>
    </row>
    <row r="2836" spans="1:5" ht="15.75" customHeight="1">
      <c r="A2836" s="1">
        <v>620323</v>
      </c>
      <c r="B2836" s="1" t="s">
        <v>2862</v>
      </c>
      <c r="C2836" s="1" t="str">
        <f ca="1">IFERROR(__xludf.DUMMYFUNCTION("REGEXEXTRACT(B2836, ""^([^:]+)"")"),"Ensembles")</f>
        <v>Ensembles</v>
      </c>
      <c r="D2836" s="1" t="s">
        <v>11</v>
      </c>
      <c r="E2836" s="1" t="s">
        <v>11</v>
      </c>
    </row>
    <row r="2837" spans="1:5" ht="15.75" customHeight="1">
      <c r="A2837" s="1">
        <v>620329</v>
      </c>
      <c r="B2837" s="1" t="s">
        <v>2863</v>
      </c>
      <c r="C2837" s="1" t="str">
        <f ca="1">IFERROR(__xludf.DUMMYFUNCTION("REGEXEXTRACT(B2837, ""^([^:]+)"")"),"Ensembles")</f>
        <v>Ensembles</v>
      </c>
      <c r="D2837" s="1" t="s">
        <v>11</v>
      </c>
      <c r="E2837" s="1" t="s">
        <v>11</v>
      </c>
    </row>
    <row r="2838" spans="1:5" ht="15.75" customHeight="1">
      <c r="A2838" s="1">
        <v>620331</v>
      </c>
      <c r="B2838" s="1" t="s">
        <v>2864</v>
      </c>
      <c r="C2838" s="1" t="str">
        <f ca="1">IFERROR(__xludf.DUMMYFUNCTION("REGEXEXTRACT(B2838, ""^([^:]+)"")"),"Jackets and blazers")</f>
        <v>Jackets and blazers</v>
      </c>
      <c r="D2838" s="1" t="s">
        <v>11</v>
      </c>
      <c r="E2838" s="1" t="s">
        <v>11</v>
      </c>
    </row>
    <row r="2839" spans="1:5" ht="15.75" customHeight="1">
      <c r="A2839" s="1">
        <v>620332</v>
      </c>
      <c r="B2839" s="1" t="s">
        <v>2865</v>
      </c>
      <c r="C2839" s="1" t="str">
        <f ca="1">IFERROR(__xludf.DUMMYFUNCTION("REGEXEXTRACT(B2839, ""^([^:]+)"")"),"Jackets and blazers")</f>
        <v>Jackets and blazers</v>
      </c>
      <c r="D2839" s="1" t="s">
        <v>11</v>
      </c>
      <c r="E2839" s="1" t="s">
        <v>11</v>
      </c>
    </row>
    <row r="2840" spans="1:5" ht="15.75" customHeight="1">
      <c r="A2840" s="1">
        <v>620333</v>
      </c>
      <c r="B2840" s="1" t="s">
        <v>2866</v>
      </c>
      <c r="C2840" s="1" t="str">
        <f ca="1">IFERROR(__xludf.DUMMYFUNCTION("REGEXEXTRACT(B2840, ""^([^:]+)"")"),"Jackets and blazers")</f>
        <v>Jackets and blazers</v>
      </c>
      <c r="D2840" s="1" t="s">
        <v>11</v>
      </c>
      <c r="E2840" s="1" t="s">
        <v>11</v>
      </c>
    </row>
    <row r="2841" spans="1:5" ht="15.75" customHeight="1">
      <c r="A2841" s="1">
        <v>620339</v>
      </c>
      <c r="B2841" s="1" t="s">
        <v>2867</v>
      </c>
      <c r="C2841" s="1" t="str">
        <f ca="1">IFERROR(__xludf.DUMMYFUNCTION("REGEXEXTRACT(B2841, ""^([^:]+)"")"),"Jackets and blazers")</f>
        <v>Jackets and blazers</v>
      </c>
      <c r="D2841" s="1" t="s">
        <v>11</v>
      </c>
      <c r="E2841" s="1" t="s">
        <v>11</v>
      </c>
    </row>
    <row r="2842" spans="1:5" ht="15.75" customHeight="1">
      <c r="A2842" s="1">
        <v>620341</v>
      </c>
      <c r="B2842" s="1" t="s">
        <v>2868</v>
      </c>
      <c r="C2842" s="1" t="str">
        <f ca="1">IFERROR(__xludf.DUMMYFUNCTION("REGEXEXTRACT(B2842, ""^([^:]+)"")"),"Trousers, bib and brace overalls, breeches and shorts")</f>
        <v>Trousers, bib and brace overalls, breeches and shorts</v>
      </c>
      <c r="D2842" s="1" t="s">
        <v>11</v>
      </c>
      <c r="E2842" s="1" t="s">
        <v>11</v>
      </c>
    </row>
    <row r="2843" spans="1:5" ht="15.75" customHeight="1">
      <c r="A2843" s="1">
        <v>620342</v>
      </c>
      <c r="B2843" s="1" t="s">
        <v>2869</v>
      </c>
      <c r="C2843" s="1" t="str">
        <f ca="1">IFERROR(__xludf.DUMMYFUNCTION("REGEXEXTRACT(B2843, ""^([^:]+)"")"),"Trousers, bib and brace overalls, breeches and shorts")</f>
        <v>Trousers, bib and brace overalls, breeches and shorts</v>
      </c>
      <c r="D2843" s="1" t="s">
        <v>11</v>
      </c>
      <c r="E2843" s="1" t="s">
        <v>11</v>
      </c>
    </row>
    <row r="2844" spans="1:5" ht="15.75" customHeight="1">
      <c r="A2844" s="1">
        <v>620343</v>
      </c>
      <c r="B2844" s="1" t="s">
        <v>2870</v>
      </c>
      <c r="C2844" s="1" t="str">
        <f ca="1">IFERROR(__xludf.DUMMYFUNCTION("REGEXEXTRACT(B2844, ""^([^:]+)"")"),"Trousers, bib and brace overalls, breeches and shorts")</f>
        <v>Trousers, bib and brace overalls, breeches and shorts</v>
      </c>
      <c r="D2844" s="1" t="s">
        <v>11</v>
      </c>
      <c r="E2844" s="1" t="s">
        <v>11</v>
      </c>
    </row>
    <row r="2845" spans="1:5" ht="15.75" customHeight="1">
      <c r="A2845" s="1">
        <v>620349</v>
      </c>
      <c r="B2845" s="1" t="s">
        <v>2871</v>
      </c>
      <c r="C2845" s="1" t="str">
        <f ca="1">IFERROR(__xludf.DUMMYFUNCTION("REGEXEXTRACT(B2845, ""^([^:]+)"")"),"Trousers, bib and brace overalls, breeches and shorts")</f>
        <v>Trousers, bib and brace overalls, breeches and shorts</v>
      </c>
      <c r="D2845" s="1" t="s">
        <v>11</v>
      </c>
      <c r="E2845" s="1" t="s">
        <v>11</v>
      </c>
    </row>
    <row r="2846" spans="1:5" ht="15.75" customHeight="1">
      <c r="A2846" s="1">
        <v>620411</v>
      </c>
      <c r="B2846" s="1" t="s">
        <v>2872</v>
      </c>
      <c r="C2846" s="1" t="str">
        <f ca="1">IFERROR(__xludf.DUMMYFUNCTION("REGEXEXTRACT(B2846, ""^([^:]+)"")"),"Suits")</f>
        <v>Suits</v>
      </c>
      <c r="D2846" s="1" t="s">
        <v>11</v>
      </c>
      <c r="E2846" s="1" t="s">
        <v>11</v>
      </c>
    </row>
    <row r="2847" spans="1:5" ht="15.75" customHeight="1">
      <c r="A2847" s="1">
        <v>620412</v>
      </c>
      <c r="B2847" s="1" t="s">
        <v>2873</v>
      </c>
      <c r="C2847" s="1" t="str">
        <f ca="1">IFERROR(__xludf.DUMMYFUNCTION("REGEXEXTRACT(B2847, ""^([^:]+)"")"),"Suits")</f>
        <v>Suits</v>
      </c>
      <c r="D2847" s="1" t="s">
        <v>11</v>
      </c>
      <c r="E2847" s="1" t="s">
        <v>11</v>
      </c>
    </row>
    <row r="2848" spans="1:5" ht="15.75" customHeight="1">
      <c r="A2848" s="1">
        <v>620413</v>
      </c>
      <c r="B2848" s="1" t="s">
        <v>2874</v>
      </c>
      <c r="C2848" s="1" t="str">
        <f ca="1">IFERROR(__xludf.DUMMYFUNCTION("REGEXEXTRACT(B2848, ""^([^:]+)"")"),"Suits")</f>
        <v>Suits</v>
      </c>
      <c r="D2848" s="1" t="s">
        <v>11</v>
      </c>
      <c r="E2848" s="1" t="s">
        <v>11</v>
      </c>
    </row>
    <row r="2849" spans="1:5" ht="15.75" customHeight="1">
      <c r="A2849" s="1">
        <v>620419</v>
      </c>
      <c r="B2849" s="1" t="s">
        <v>2875</v>
      </c>
      <c r="C2849" s="1" t="str">
        <f ca="1">IFERROR(__xludf.DUMMYFUNCTION("REGEXEXTRACT(B2849, ""^([^:]+)"")"),"Suits")</f>
        <v>Suits</v>
      </c>
      <c r="D2849" s="1" t="s">
        <v>11</v>
      </c>
      <c r="E2849" s="1" t="s">
        <v>11</v>
      </c>
    </row>
    <row r="2850" spans="1:5" ht="15.75" customHeight="1">
      <c r="A2850" s="1">
        <v>620421</v>
      </c>
      <c r="B2850" s="1" t="s">
        <v>2876</v>
      </c>
      <c r="C2850" s="1" t="str">
        <f ca="1">IFERROR(__xludf.DUMMYFUNCTION("REGEXEXTRACT(B2850, ""^([^:]+)"")"),"Ensembles")</f>
        <v>Ensembles</v>
      </c>
      <c r="D2850" s="1" t="s">
        <v>11</v>
      </c>
      <c r="E2850" s="1" t="s">
        <v>11</v>
      </c>
    </row>
    <row r="2851" spans="1:5" ht="15.75" customHeight="1">
      <c r="A2851" s="1">
        <v>620422</v>
      </c>
      <c r="B2851" s="1" t="s">
        <v>2877</v>
      </c>
      <c r="C2851" s="1" t="str">
        <f ca="1">IFERROR(__xludf.DUMMYFUNCTION("REGEXEXTRACT(B2851, ""^([^:]+)"")"),"Ensembles")</f>
        <v>Ensembles</v>
      </c>
      <c r="D2851" s="1" t="s">
        <v>11</v>
      </c>
      <c r="E2851" s="1" t="s">
        <v>11</v>
      </c>
    </row>
    <row r="2852" spans="1:5" ht="15.75" customHeight="1">
      <c r="A2852" s="1">
        <v>620423</v>
      </c>
      <c r="B2852" s="1" t="s">
        <v>2878</v>
      </c>
      <c r="C2852" s="1" t="str">
        <f ca="1">IFERROR(__xludf.DUMMYFUNCTION("REGEXEXTRACT(B2852, ""^([^:]+)"")"),"Ensembles")</f>
        <v>Ensembles</v>
      </c>
      <c r="D2852" s="1" t="s">
        <v>11</v>
      </c>
      <c r="E2852" s="1" t="s">
        <v>11</v>
      </c>
    </row>
    <row r="2853" spans="1:5" ht="15.75" customHeight="1">
      <c r="A2853" s="1">
        <v>620429</v>
      </c>
      <c r="B2853" s="1" t="s">
        <v>2879</v>
      </c>
      <c r="C2853" s="1" t="str">
        <f ca="1">IFERROR(__xludf.DUMMYFUNCTION("REGEXEXTRACT(B2853, ""^([^:]+)"")"),"Ensembles")</f>
        <v>Ensembles</v>
      </c>
      <c r="D2853" s="1" t="s">
        <v>11</v>
      </c>
      <c r="E2853" s="1" t="s">
        <v>11</v>
      </c>
    </row>
    <row r="2854" spans="1:5" ht="15.75" customHeight="1">
      <c r="A2854" s="1">
        <v>620431</v>
      </c>
      <c r="B2854" s="1" t="s">
        <v>2880</v>
      </c>
      <c r="C2854" s="1" t="str">
        <f ca="1">IFERROR(__xludf.DUMMYFUNCTION("REGEXEXTRACT(B2854, ""^([^:]+)"")"),"Jackets and blazers")</f>
        <v>Jackets and blazers</v>
      </c>
      <c r="D2854" s="1" t="s">
        <v>11</v>
      </c>
      <c r="E2854" s="1" t="s">
        <v>11</v>
      </c>
    </row>
    <row r="2855" spans="1:5" ht="15.75" customHeight="1">
      <c r="A2855" s="1">
        <v>620432</v>
      </c>
      <c r="B2855" s="1" t="s">
        <v>2881</v>
      </c>
      <c r="C2855" s="1" t="str">
        <f ca="1">IFERROR(__xludf.DUMMYFUNCTION("REGEXEXTRACT(B2855, ""^([^:]+)"")"),"Jackets and blazers")</f>
        <v>Jackets and blazers</v>
      </c>
      <c r="D2855" s="1" t="s">
        <v>11</v>
      </c>
      <c r="E2855" s="1" t="s">
        <v>11</v>
      </c>
    </row>
    <row r="2856" spans="1:5" ht="15.75" customHeight="1">
      <c r="A2856" s="1">
        <v>620433</v>
      </c>
      <c r="B2856" s="1" t="s">
        <v>2882</v>
      </c>
      <c r="C2856" s="1" t="str">
        <f ca="1">IFERROR(__xludf.DUMMYFUNCTION("REGEXEXTRACT(B2856, ""^([^:]+)"")"),"Jackets and blazers")</f>
        <v>Jackets and blazers</v>
      </c>
      <c r="D2856" s="1" t="s">
        <v>11</v>
      </c>
      <c r="E2856" s="1" t="s">
        <v>11</v>
      </c>
    </row>
    <row r="2857" spans="1:5" ht="15.75" customHeight="1">
      <c r="A2857" s="1">
        <v>620439</v>
      </c>
      <c r="B2857" s="1" t="s">
        <v>2883</v>
      </c>
      <c r="C2857" s="1" t="str">
        <f ca="1">IFERROR(__xludf.DUMMYFUNCTION("REGEXEXTRACT(B2857, ""^([^:]+)"")"),"Jackets and blazers")</f>
        <v>Jackets and blazers</v>
      </c>
      <c r="D2857" s="1" t="s">
        <v>11</v>
      </c>
      <c r="E2857" s="1" t="s">
        <v>11</v>
      </c>
    </row>
    <row r="2858" spans="1:5" ht="15.75" customHeight="1">
      <c r="A2858" s="1">
        <v>620441</v>
      </c>
      <c r="B2858" s="1" t="s">
        <v>2884</v>
      </c>
      <c r="C2858" s="1" t="str">
        <f ca="1">IFERROR(__xludf.DUMMYFUNCTION("REGEXEXTRACT(B2858, ""^([^:]+)"")"),"Dresses")</f>
        <v>Dresses</v>
      </c>
      <c r="D2858" s="1" t="s">
        <v>11</v>
      </c>
      <c r="E2858" s="1" t="s">
        <v>11</v>
      </c>
    </row>
    <row r="2859" spans="1:5" ht="15.75" customHeight="1">
      <c r="A2859" s="1">
        <v>620442</v>
      </c>
      <c r="B2859" s="1" t="s">
        <v>2885</v>
      </c>
      <c r="C2859" s="1" t="str">
        <f ca="1">IFERROR(__xludf.DUMMYFUNCTION("REGEXEXTRACT(B2859, ""^([^:]+)"")"),"Dresses")</f>
        <v>Dresses</v>
      </c>
      <c r="D2859" s="1" t="s">
        <v>11</v>
      </c>
      <c r="E2859" s="1" t="s">
        <v>11</v>
      </c>
    </row>
    <row r="2860" spans="1:5" ht="15.75" customHeight="1">
      <c r="A2860" s="1">
        <v>620443</v>
      </c>
      <c r="B2860" s="1" t="s">
        <v>2886</v>
      </c>
      <c r="C2860" s="1" t="str">
        <f ca="1">IFERROR(__xludf.DUMMYFUNCTION("REGEXEXTRACT(B2860, ""^([^:]+)"")"),"Dresses")</f>
        <v>Dresses</v>
      </c>
      <c r="D2860" s="1" t="s">
        <v>11</v>
      </c>
      <c r="E2860" s="1" t="s">
        <v>11</v>
      </c>
    </row>
    <row r="2861" spans="1:5" ht="15.75" customHeight="1">
      <c r="A2861" s="1">
        <v>620444</v>
      </c>
      <c r="B2861" s="1" t="s">
        <v>2887</v>
      </c>
      <c r="C2861" s="1" t="str">
        <f ca="1">IFERROR(__xludf.DUMMYFUNCTION("REGEXEXTRACT(B2861, ""^([^:]+)"")"),"Dresses")</f>
        <v>Dresses</v>
      </c>
      <c r="D2861" s="1" t="s">
        <v>11</v>
      </c>
      <c r="E2861" s="1" t="s">
        <v>11</v>
      </c>
    </row>
    <row r="2862" spans="1:5" ht="15.75" customHeight="1">
      <c r="A2862" s="1">
        <v>620449</v>
      </c>
      <c r="B2862" s="1" t="s">
        <v>2888</v>
      </c>
      <c r="C2862" s="1" t="str">
        <f ca="1">IFERROR(__xludf.DUMMYFUNCTION("REGEXEXTRACT(B2862, ""^([^:]+)"")"),"Dresses")</f>
        <v>Dresses</v>
      </c>
      <c r="D2862" s="1" t="s">
        <v>11</v>
      </c>
      <c r="E2862" s="1" t="s">
        <v>11</v>
      </c>
    </row>
    <row r="2863" spans="1:5" ht="15.75" customHeight="1">
      <c r="A2863" s="1">
        <v>620451</v>
      </c>
      <c r="B2863" s="1" t="s">
        <v>2889</v>
      </c>
      <c r="C2863" s="1" t="str">
        <f ca="1">IFERROR(__xludf.DUMMYFUNCTION("REGEXEXTRACT(B2863, ""^([^:]+)"")"),"Skirts and divided skirts")</f>
        <v>Skirts and divided skirts</v>
      </c>
      <c r="D2863" s="1" t="s">
        <v>11</v>
      </c>
      <c r="E2863" s="1" t="s">
        <v>11</v>
      </c>
    </row>
    <row r="2864" spans="1:5" ht="15.75" customHeight="1">
      <c r="A2864" s="1">
        <v>620452</v>
      </c>
      <c r="B2864" s="1" t="s">
        <v>2890</v>
      </c>
      <c r="C2864" s="1" t="str">
        <f ca="1">IFERROR(__xludf.DUMMYFUNCTION("REGEXEXTRACT(B2864, ""^([^:]+)"")"),"Skirts and divided skirts")</f>
        <v>Skirts and divided skirts</v>
      </c>
      <c r="D2864" s="1" t="s">
        <v>11</v>
      </c>
      <c r="E2864" s="1" t="s">
        <v>11</v>
      </c>
    </row>
    <row r="2865" spans="1:5" ht="15.75" customHeight="1">
      <c r="A2865" s="1">
        <v>620453</v>
      </c>
      <c r="B2865" s="1" t="s">
        <v>2891</v>
      </c>
      <c r="C2865" s="1" t="str">
        <f ca="1">IFERROR(__xludf.DUMMYFUNCTION("REGEXEXTRACT(B2865, ""^([^:]+)"")"),"Skirts and divided skirts")</f>
        <v>Skirts and divided skirts</v>
      </c>
      <c r="D2865" s="1" t="s">
        <v>11</v>
      </c>
      <c r="E2865" s="1" t="s">
        <v>11</v>
      </c>
    </row>
    <row r="2866" spans="1:5" ht="15.75" customHeight="1">
      <c r="A2866" s="1">
        <v>620459</v>
      </c>
      <c r="B2866" s="1" t="s">
        <v>2892</v>
      </c>
      <c r="C2866" s="1" t="str">
        <f ca="1">IFERROR(__xludf.DUMMYFUNCTION("REGEXEXTRACT(B2866, ""^([^:]+)"")"),"Skirts and divided skirts")</f>
        <v>Skirts and divided skirts</v>
      </c>
      <c r="D2866" s="1" t="s">
        <v>11</v>
      </c>
      <c r="E2866" s="1" t="s">
        <v>11</v>
      </c>
    </row>
    <row r="2867" spans="1:5" ht="15.75" customHeight="1">
      <c r="A2867" s="1">
        <v>620461</v>
      </c>
      <c r="B2867" s="1" t="s">
        <v>2893</v>
      </c>
      <c r="C2867" s="1" t="str">
        <f ca="1">IFERROR(__xludf.DUMMYFUNCTION("REGEXEXTRACT(B2867, ""^([^:]+)"")"),"Trousers, bib and brace overalls, breeches and shorts")</f>
        <v>Trousers, bib and brace overalls, breeches and shorts</v>
      </c>
      <c r="D2867" s="1" t="s">
        <v>11</v>
      </c>
      <c r="E2867" s="1" t="s">
        <v>11</v>
      </c>
    </row>
    <row r="2868" spans="1:5" ht="15.75" customHeight="1">
      <c r="A2868" s="1">
        <v>620462</v>
      </c>
      <c r="B2868" s="1" t="s">
        <v>2894</v>
      </c>
      <c r="C2868" s="1" t="str">
        <f ca="1">IFERROR(__xludf.DUMMYFUNCTION("REGEXEXTRACT(B2868, ""^([^:]+)"")"),"Trousers, bib and brace overalls, breeches and shorts")</f>
        <v>Trousers, bib and brace overalls, breeches and shorts</v>
      </c>
      <c r="D2868" s="1" t="s">
        <v>11</v>
      </c>
      <c r="E2868" s="1" t="s">
        <v>11</v>
      </c>
    </row>
    <row r="2869" spans="1:5" ht="15.75" customHeight="1">
      <c r="A2869" s="1">
        <v>620463</v>
      </c>
      <c r="B2869" s="1" t="s">
        <v>2895</v>
      </c>
      <c r="C2869" s="1" t="str">
        <f ca="1">IFERROR(__xludf.DUMMYFUNCTION("REGEXEXTRACT(B2869, ""^([^:]+)"")"),"Trousers, bib and brace overalls, breeches and shorts")</f>
        <v>Trousers, bib and brace overalls, breeches and shorts</v>
      </c>
      <c r="D2869" s="1" t="s">
        <v>11</v>
      </c>
      <c r="E2869" s="1" t="s">
        <v>11</v>
      </c>
    </row>
    <row r="2870" spans="1:5" ht="15.75" customHeight="1">
      <c r="A2870" s="1">
        <v>620469</v>
      </c>
      <c r="B2870" s="1" t="s">
        <v>2896</v>
      </c>
      <c r="C2870" s="1" t="str">
        <f ca="1">IFERROR(__xludf.DUMMYFUNCTION("REGEXEXTRACT(B2870, ""^([^:]+)"")"),"Trousers, bib and brace overalls, breeches and shorts")</f>
        <v>Trousers, bib and brace overalls, breeches and shorts</v>
      </c>
      <c r="D2870" s="1" t="s">
        <v>11</v>
      </c>
      <c r="E2870" s="1" t="s">
        <v>11</v>
      </c>
    </row>
    <row r="2871" spans="1:5" ht="15.75" customHeight="1">
      <c r="A2871" s="1">
        <v>620520</v>
      </c>
      <c r="B2871" s="1" t="s">
        <v>2897</v>
      </c>
      <c r="C2871" s="1" t="str">
        <f ca="1">IFERROR(__xludf.DUMMYFUNCTION("REGEXEXTRACT(B2871, ""^([^:]+)"")"),"Shirts")</f>
        <v>Shirts</v>
      </c>
      <c r="D2871" s="1" t="s">
        <v>11</v>
      </c>
      <c r="E2871" s="1" t="s">
        <v>11</v>
      </c>
    </row>
    <row r="2872" spans="1:5" ht="15.75" customHeight="1">
      <c r="A2872" s="1">
        <v>620530</v>
      </c>
      <c r="B2872" s="1" t="s">
        <v>2898</v>
      </c>
      <c r="C2872" s="1" t="str">
        <f ca="1">IFERROR(__xludf.DUMMYFUNCTION("REGEXEXTRACT(B2872, ""^([^:]+)"")"),"Shirts")</f>
        <v>Shirts</v>
      </c>
      <c r="D2872" s="1" t="s">
        <v>11</v>
      </c>
      <c r="E2872" s="1" t="s">
        <v>11</v>
      </c>
    </row>
    <row r="2873" spans="1:5" ht="15.75" customHeight="1">
      <c r="A2873" s="1">
        <v>620590</v>
      </c>
      <c r="B2873" s="1" t="s">
        <v>2899</v>
      </c>
      <c r="C2873" s="1" t="str">
        <f ca="1">IFERROR(__xludf.DUMMYFUNCTION("REGEXEXTRACT(B2873, ""^([^:]+)"")"),"Shirts")</f>
        <v>Shirts</v>
      </c>
      <c r="D2873" s="1" t="s">
        <v>11</v>
      </c>
      <c r="E2873" s="1" t="s">
        <v>11</v>
      </c>
    </row>
    <row r="2874" spans="1:5" ht="15.75" customHeight="1">
      <c r="A2874" s="1">
        <v>620610</v>
      </c>
      <c r="B2874" s="1" t="s">
        <v>2900</v>
      </c>
      <c r="C2874" s="1" t="str">
        <f ca="1">IFERROR(__xludf.DUMMYFUNCTION("REGEXEXTRACT(B2874, ""^([^:]+)"")"),"Blouses, shirts and shirt-blouses")</f>
        <v>Blouses, shirts and shirt-blouses</v>
      </c>
      <c r="D2874" s="1" t="s">
        <v>11</v>
      </c>
      <c r="E2874" s="1" t="s">
        <v>11</v>
      </c>
    </row>
    <row r="2875" spans="1:5" ht="15.75" customHeight="1">
      <c r="A2875" s="1">
        <v>620620</v>
      </c>
      <c r="B2875" s="1" t="s">
        <v>2901</v>
      </c>
      <c r="C2875" s="1" t="str">
        <f ca="1">IFERROR(__xludf.DUMMYFUNCTION("REGEXEXTRACT(B2875, ""^([^:]+)"")"),"Blouses, shirts and shirt-blouses")</f>
        <v>Blouses, shirts and shirt-blouses</v>
      </c>
      <c r="D2875" s="1" t="s">
        <v>11</v>
      </c>
      <c r="E2875" s="1" t="s">
        <v>11</v>
      </c>
    </row>
    <row r="2876" spans="1:5" ht="15.75" customHeight="1">
      <c r="A2876" s="1">
        <v>620630</v>
      </c>
      <c r="B2876" s="1" t="s">
        <v>2902</v>
      </c>
      <c r="C2876" s="1" t="str">
        <f ca="1">IFERROR(__xludf.DUMMYFUNCTION("REGEXEXTRACT(B2876, ""^([^:]+)"")"),"Blouses, shirts and shirt-blouses")</f>
        <v>Blouses, shirts and shirt-blouses</v>
      </c>
      <c r="D2876" s="1" t="s">
        <v>11</v>
      </c>
      <c r="E2876" s="1" t="s">
        <v>11</v>
      </c>
    </row>
    <row r="2877" spans="1:5" ht="15.75" customHeight="1">
      <c r="A2877" s="1">
        <v>620640</v>
      </c>
      <c r="B2877" s="1" t="s">
        <v>2903</v>
      </c>
      <c r="C2877" s="1" t="str">
        <f ca="1">IFERROR(__xludf.DUMMYFUNCTION("REGEXEXTRACT(B2877, ""^([^:]+)"")"),"Blouses, shirts and shirt-blouses")</f>
        <v>Blouses, shirts and shirt-blouses</v>
      </c>
      <c r="D2877" s="1" t="s">
        <v>11</v>
      </c>
      <c r="E2877" s="1" t="s">
        <v>11</v>
      </c>
    </row>
    <row r="2878" spans="1:5" ht="15.75" customHeight="1">
      <c r="A2878" s="1">
        <v>620690</v>
      </c>
      <c r="B2878" s="1" t="s">
        <v>2904</v>
      </c>
      <c r="C2878" s="1" t="str">
        <f ca="1">IFERROR(__xludf.DUMMYFUNCTION("REGEXEXTRACT(B2878, ""^([^:]+)"")"),"Blouses, shirts and shirt-blouses")</f>
        <v>Blouses, shirts and shirt-blouses</v>
      </c>
      <c r="D2878" s="1" t="s">
        <v>11</v>
      </c>
      <c r="E2878" s="1" t="s">
        <v>11</v>
      </c>
    </row>
    <row r="2879" spans="1:5" ht="15.75" customHeight="1">
      <c r="A2879" s="1">
        <v>620711</v>
      </c>
      <c r="B2879" s="1" t="s">
        <v>2905</v>
      </c>
      <c r="C2879" s="1" t="str">
        <f ca="1">IFERROR(__xludf.DUMMYFUNCTION("REGEXEXTRACT(B2879, ""^([^:]+)"")"),"Underpants and briefs")</f>
        <v>Underpants and briefs</v>
      </c>
      <c r="D2879" s="1" t="s">
        <v>11</v>
      </c>
      <c r="E2879" s="1" t="s">
        <v>11</v>
      </c>
    </row>
    <row r="2880" spans="1:5" ht="15.75" customHeight="1">
      <c r="A2880" s="1">
        <v>620719</v>
      </c>
      <c r="B2880" s="1" t="s">
        <v>2906</v>
      </c>
      <c r="C2880" s="1" t="str">
        <f ca="1">IFERROR(__xludf.DUMMYFUNCTION("REGEXEXTRACT(B2880, ""^([^:]+)"")"),"Underpants and briefs")</f>
        <v>Underpants and briefs</v>
      </c>
      <c r="D2880" s="1" t="s">
        <v>11</v>
      </c>
      <c r="E2880" s="1" t="s">
        <v>11</v>
      </c>
    </row>
    <row r="2881" spans="1:5" ht="15.75" customHeight="1">
      <c r="A2881" s="1">
        <v>620721</v>
      </c>
      <c r="B2881" s="1" t="s">
        <v>2907</v>
      </c>
      <c r="C2881" s="1" t="str">
        <f ca="1">IFERROR(__xludf.DUMMYFUNCTION("REGEXEXTRACT(B2881, ""^([^:]+)"")"),"Nightshirts and pyjamas")</f>
        <v>Nightshirts and pyjamas</v>
      </c>
      <c r="D2881" s="1" t="s">
        <v>11</v>
      </c>
      <c r="E2881" s="1" t="s">
        <v>11</v>
      </c>
    </row>
    <row r="2882" spans="1:5" ht="15.75" customHeight="1">
      <c r="A2882" s="1">
        <v>620722</v>
      </c>
      <c r="B2882" s="1" t="s">
        <v>2908</v>
      </c>
      <c r="C2882" s="1" t="str">
        <f ca="1">IFERROR(__xludf.DUMMYFUNCTION("REGEXEXTRACT(B2882, ""^([^:]+)"")"),"Nightshirts and pyjamas")</f>
        <v>Nightshirts and pyjamas</v>
      </c>
      <c r="D2882" s="1" t="s">
        <v>11</v>
      </c>
      <c r="E2882" s="1" t="s">
        <v>11</v>
      </c>
    </row>
    <row r="2883" spans="1:5" ht="15.75" customHeight="1">
      <c r="A2883" s="1">
        <v>620729</v>
      </c>
      <c r="B2883" s="1" t="s">
        <v>2909</v>
      </c>
      <c r="C2883" s="1" t="str">
        <f ca="1">IFERROR(__xludf.DUMMYFUNCTION("REGEXEXTRACT(B2883, ""^([^:]+)"")"),"Nightshirts and pyjamas")</f>
        <v>Nightshirts and pyjamas</v>
      </c>
      <c r="D2883" s="1" t="s">
        <v>11</v>
      </c>
      <c r="E2883" s="1" t="s">
        <v>11</v>
      </c>
    </row>
    <row r="2884" spans="1:5" ht="15.75" customHeight="1">
      <c r="A2884" s="1">
        <v>620791</v>
      </c>
      <c r="B2884" s="1" t="s">
        <v>2910</v>
      </c>
      <c r="C2884" s="1" t="str">
        <f ca="1">IFERROR(__xludf.DUMMYFUNCTION("REGEXEXTRACT(B2884, ""^([^:]+)"")"),"Singlets and other vests, bathrobes, dressing gowns and similar articles")</f>
        <v>Singlets and other vests, bathrobes, dressing gowns and similar articles</v>
      </c>
      <c r="D2884" s="1" t="s">
        <v>11</v>
      </c>
      <c r="E2884" s="1" t="s">
        <v>11</v>
      </c>
    </row>
    <row r="2885" spans="1:5" ht="15.75" customHeight="1">
      <c r="A2885" s="1">
        <v>620799</v>
      </c>
      <c r="B2885" s="1" t="s">
        <v>2911</v>
      </c>
      <c r="C2885" s="1" t="str">
        <f ca="1">IFERROR(__xludf.DUMMYFUNCTION("REGEXEXTRACT(B2885, ""^([^:]+)"")"),"Singlets and other vests, bathrobes, dressing gowns and similar articles")</f>
        <v>Singlets and other vests, bathrobes, dressing gowns and similar articles</v>
      </c>
      <c r="D2885" s="1" t="s">
        <v>11</v>
      </c>
      <c r="E2885" s="1" t="s">
        <v>11</v>
      </c>
    </row>
    <row r="2886" spans="1:5" ht="15.75" customHeight="1">
      <c r="A2886" s="1">
        <v>620811</v>
      </c>
      <c r="B2886" s="1" t="s">
        <v>2912</v>
      </c>
      <c r="C2886" s="1" t="str">
        <f ca="1">IFERROR(__xludf.DUMMYFUNCTION("REGEXEXTRACT(B2886, ""^([^:]+)"")"),"Slips and petticoats")</f>
        <v>Slips and petticoats</v>
      </c>
      <c r="D2886" s="1" t="s">
        <v>11</v>
      </c>
      <c r="E2886" s="1" t="s">
        <v>11</v>
      </c>
    </row>
    <row r="2887" spans="1:5" ht="15.75" customHeight="1">
      <c r="A2887" s="1">
        <v>620819</v>
      </c>
      <c r="B2887" s="1" t="s">
        <v>2913</v>
      </c>
      <c r="C2887" s="1" t="str">
        <f ca="1">IFERROR(__xludf.DUMMYFUNCTION("REGEXEXTRACT(B2887, ""^([^:]+)"")"),"Slips and petticoats")</f>
        <v>Slips and petticoats</v>
      </c>
      <c r="D2887" s="1" t="s">
        <v>11</v>
      </c>
      <c r="E2887" s="1" t="s">
        <v>11</v>
      </c>
    </row>
    <row r="2888" spans="1:5" ht="15.75" customHeight="1">
      <c r="A2888" s="1">
        <v>620821</v>
      </c>
      <c r="B2888" s="1" t="s">
        <v>2914</v>
      </c>
      <c r="C2888" s="1" t="str">
        <f ca="1">IFERROR(__xludf.DUMMYFUNCTION("REGEXEXTRACT(B2888, ""^([^:]+)"")"),"Nightdresses and pyjamas")</f>
        <v>Nightdresses and pyjamas</v>
      </c>
      <c r="D2888" s="1" t="s">
        <v>11</v>
      </c>
      <c r="E2888" s="1" t="s">
        <v>11</v>
      </c>
    </row>
    <row r="2889" spans="1:5" ht="15.75" customHeight="1">
      <c r="A2889" s="1">
        <v>620822</v>
      </c>
      <c r="B2889" s="1" t="s">
        <v>2915</v>
      </c>
      <c r="C2889" s="1" t="str">
        <f ca="1">IFERROR(__xludf.DUMMYFUNCTION("REGEXEXTRACT(B2889, ""^([^:]+)"")"),"Nightdresses and pyjamas")</f>
        <v>Nightdresses and pyjamas</v>
      </c>
      <c r="D2889" s="1" t="s">
        <v>11</v>
      </c>
      <c r="E2889" s="1" t="s">
        <v>11</v>
      </c>
    </row>
    <row r="2890" spans="1:5" ht="15.75" customHeight="1">
      <c r="A2890" s="1">
        <v>620829</v>
      </c>
      <c r="B2890" s="1" t="s">
        <v>2916</v>
      </c>
      <c r="C2890" s="1" t="str">
        <f ca="1">IFERROR(__xludf.DUMMYFUNCTION("REGEXEXTRACT(B2890, ""^([^:]+)"")"),"Nightdresses and pyjamas")</f>
        <v>Nightdresses and pyjamas</v>
      </c>
      <c r="D2890" s="1" t="s">
        <v>11</v>
      </c>
      <c r="E2890" s="1" t="s">
        <v>11</v>
      </c>
    </row>
    <row r="2891" spans="1:5" ht="15.75" customHeight="1">
      <c r="A2891" s="1">
        <v>620891</v>
      </c>
      <c r="B2891" s="1" t="s">
        <v>2917</v>
      </c>
      <c r="C2891" s="1" t="str">
        <f ca="1">IFERROR(__xludf.DUMMYFUNCTION("REGEXEXTRACT(B2891, ""^([^:]+)"")"),"Singlets and other vests, briefs, panties, negligees, bathrobes, dressing gowns and similar articles")</f>
        <v>Singlets and other vests, briefs, panties, negligees, bathrobes, dressing gowns and similar articles</v>
      </c>
      <c r="D2891" s="1" t="s">
        <v>11</v>
      </c>
      <c r="E2891" s="1" t="s">
        <v>11</v>
      </c>
    </row>
    <row r="2892" spans="1:5" ht="15.75" customHeight="1">
      <c r="A2892" s="1">
        <v>620892</v>
      </c>
      <c r="B2892" s="1" t="s">
        <v>2918</v>
      </c>
      <c r="C2892" s="1" t="str">
        <f ca="1">IFERROR(__xludf.DUMMYFUNCTION("REGEXEXTRACT(B2892, ""^([^:]+)"")"),"Singlets and other vests, briefs, panties, negligees, bathrobes, dressing gowns and similar articles")</f>
        <v>Singlets and other vests, briefs, panties, negligees, bathrobes, dressing gowns and similar articles</v>
      </c>
      <c r="D2892" s="1" t="s">
        <v>11</v>
      </c>
      <c r="E2892" s="1" t="s">
        <v>11</v>
      </c>
    </row>
    <row r="2893" spans="1:5" ht="15.75" customHeight="1">
      <c r="A2893" s="1">
        <v>620899</v>
      </c>
      <c r="B2893" s="1" t="s">
        <v>2919</v>
      </c>
      <c r="C2893" s="1" t="str">
        <f ca="1">IFERROR(__xludf.DUMMYFUNCTION("REGEXEXTRACT(B2893, ""^([^:]+)"")"),"Singlets and other vests, briefs, panties, negligees, bathrobes, dressing gowns and similar articles")</f>
        <v>Singlets and other vests, briefs, panties, negligees, bathrobes, dressing gowns and similar articles</v>
      </c>
      <c r="D2893" s="1" t="s">
        <v>11</v>
      </c>
      <c r="E2893" s="1" t="s">
        <v>11</v>
      </c>
    </row>
    <row r="2894" spans="1:5" ht="15.75" customHeight="1">
      <c r="A2894" s="1">
        <v>620920</v>
      </c>
      <c r="B2894" s="1" t="s">
        <v>2920</v>
      </c>
      <c r="C2894" s="1" t="str">
        <f ca="1">IFERROR(__xludf.DUMMYFUNCTION("REGEXEXTRACT(B2894, ""^([^:]+)"")"),"Garments and clothing accessories")</f>
        <v>Garments and clothing accessories</v>
      </c>
      <c r="D2894" s="1" t="s">
        <v>11</v>
      </c>
      <c r="E2894" s="1" t="s">
        <v>11</v>
      </c>
    </row>
    <row r="2895" spans="1:5" ht="15.75" customHeight="1">
      <c r="A2895" s="1">
        <v>620930</v>
      </c>
      <c r="B2895" s="1" t="s">
        <v>2921</v>
      </c>
      <c r="C2895" s="1" t="str">
        <f ca="1">IFERROR(__xludf.DUMMYFUNCTION("REGEXEXTRACT(B2895, ""^([^:]+)"")"),"Garments and clothing accessories")</f>
        <v>Garments and clothing accessories</v>
      </c>
      <c r="D2895" s="1" t="s">
        <v>11</v>
      </c>
      <c r="E2895" s="1" t="s">
        <v>11</v>
      </c>
    </row>
    <row r="2896" spans="1:5" ht="15.75" customHeight="1">
      <c r="A2896" s="1">
        <v>620990</v>
      </c>
      <c r="B2896" s="1" t="s">
        <v>2922</v>
      </c>
      <c r="C2896" s="1" t="str">
        <f ca="1">IFERROR(__xludf.DUMMYFUNCTION("REGEXEXTRACT(B2896, ""^([^:]+)"")"),"Garments and clothing accessories")</f>
        <v>Garments and clothing accessories</v>
      </c>
      <c r="D2896" s="1" t="s">
        <v>11</v>
      </c>
      <c r="E2896" s="1" t="s">
        <v>11</v>
      </c>
    </row>
    <row r="2897" spans="1:5" ht="15.75" customHeight="1">
      <c r="A2897" s="1">
        <v>621010</v>
      </c>
      <c r="B2897" s="1" t="s">
        <v>2923</v>
      </c>
      <c r="C2897" s="1" t="str">
        <f ca="1">IFERROR(__xludf.DUMMYFUNCTION("REGEXEXTRACT(B2897, ""^([^:]+)"")"),"Garments")</f>
        <v>Garments</v>
      </c>
      <c r="D2897" s="1" t="s">
        <v>11</v>
      </c>
      <c r="E2897" s="1" t="s">
        <v>11</v>
      </c>
    </row>
    <row r="2898" spans="1:5" ht="15.75" customHeight="1">
      <c r="A2898" s="1">
        <v>621020</v>
      </c>
      <c r="B2898" s="1" t="s">
        <v>2924</v>
      </c>
      <c r="C2898" s="1" t="str">
        <f ca="1">IFERROR(__xludf.DUMMYFUNCTION("REGEXEXTRACT(B2898, ""^([^:]+)"")"),"Garments")</f>
        <v>Garments</v>
      </c>
      <c r="D2898" s="1" t="s">
        <v>11</v>
      </c>
      <c r="E2898" s="1" t="s">
        <v>11</v>
      </c>
    </row>
    <row r="2899" spans="1:5" ht="15.75" customHeight="1">
      <c r="A2899" s="1">
        <v>621030</v>
      </c>
      <c r="B2899" s="1" t="s">
        <v>2925</v>
      </c>
      <c r="C2899" s="1" t="str">
        <f ca="1">IFERROR(__xludf.DUMMYFUNCTION("REGEXEXTRACT(B2899, ""^([^:]+)"")"),"Garments")</f>
        <v>Garments</v>
      </c>
      <c r="D2899" s="1" t="s">
        <v>11</v>
      </c>
      <c r="E2899" s="1" t="s">
        <v>11</v>
      </c>
    </row>
    <row r="2900" spans="1:5" ht="15.75" customHeight="1">
      <c r="A2900" s="1">
        <v>621040</v>
      </c>
      <c r="B2900" s="1" t="s">
        <v>2926</v>
      </c>
      <c r="C2900" s="1" t="str">
        <f ca="1">IFERROR(__xludf.DUMMYFUNCTION("REGEXEXTRACT(B2900, ""^([^:]+)"")"),"Garments")</f>
        <v>Garments</v>
      </c>
      <c r="D2900" s="1" t="s">
        <v>11</v>
      </c>
      <c r="E2900" s="1" t="s">
        <v>11</v>
      </c>
    </row>
    <row r="2901" spans="1:5" ht="15.75" customHeight="1">
      <c r="A2901" s="1">
        <v>621050</v>
      </c>
      <c r="B2901" s="1" t="s">
        <v>2927</v>
      </c>
      <c r="C2901" s="1" t="str">
        <f ca="1">IFERROR(__xludf.DUMMYFUNCTION("REGEXEXTRACT(B2901, ""^([^:]+)"")"),"Garments")</f>
        <v>Garments</v>
      </c>
      <c r="D2901" s="1" t="s">
        <v>11</v>
      </c>
      <c r="E2901" s="1" t="s">
        <v>11</v>
      </c>
    </row>
    <row r="2902" spans="1:5" ht="15.75" customHeight="1">
      <c r="A2902" s="1">
        <v>621111</v>
      </c>
      <c r="B2902" s="1" t="s">
        <v>2928</v>
      </c>
      <c r="C2902" s="1" t="str">
        <f ca="1">IFERROR(__xludf.DUMMYFUNCTION("REGEXEXTRACT(B2902, ""^([^:]+)"")"),"Swimwear")</f>
        <v>Swimwear</v>
      </c>
      <c r="D2902" s="1" t="s">
        <v>11</v>
      </c>
      <c r="E2902" s="1" t="s">
        <v>11</v>
      </c>
    </row>
    <row r="2903" spans="1:5" ht="15.75" customHeight="1">
      <c r="A2903" s="1">
        <v>621112</v>
      </c>
      <c r="B2903" s="1" t="s">
        <v>2929</v>
      </c>
      <c r="C2903" s="1" t="str">
        <f ca="1">IFERROR(__xludf.DUMMYFUNCTION("REGEXEXTRACT(B2903, ""^([^:]+)"")"),"Swimwear")</f>
        <v>Swimwear</v>
      </c>
      <c r="D2903" s="1" t="s">
        <v>11</v>
      </c>
      <c r="E2903" s="1" t="s">
        <v>11</v>
      </c>
    </row>
    <row r="2904" spans="1:5" ht="15.75" customHeight="1">
      <c r="A2904" s="1">
        <v>621120</v>
      </c>
      <c r="B2904" s="1" t="s">
        <v>2930</v>
      </c>
      <c r="C2904" s="1" t="str">
        <f ca="1">IFERROR(__xludf.DUMMYFUNCTION("REGEXEXTRACT(B2904, ""^([^:]+)"")"),"Ski suits")</f>
        <v>Ski suits</v>
      </c>
      <c r="D2904" s="1" t="s">
        <v>11</v>
      </c>
      <c r="E2904" s="1" t="s">
        <v>11</v>
      </c>
    </row>
    <row r="2905" spans="1:5" ht="15.75" customHeight="1">
      <c r="A2905" s="1">
        <v>621132</v>
      </c>
      <c r="B2905" s="1" t="s">
        <v>2931</v>
      </c>
      <c r="C2905" s="1" t="str">
        <f ca="1">IFERROR(__xludf.DUMMYFUNCTION("REGEXEXTRACT(B2905, ""^([^:]+)"")"),"Track suits and other garments n.e.c.")</f>
        <v>Track suits and other garments n.e.c.</v>
      </c>
      <c r="D2905" s="1" t="s">
        <v>11</v>
      </c>
      <c r="E2905" s="1" t="s">
        <v>11</v>
      </c>
    </row>
    <row r="2906" spans="1:5" ht="15.75" customHeight="1">
      <c r="A2906" s="1">
        <v>621133</v>
      </c>
      <c r="B2906" s="1" t="s">
        <v>2932</v>
      </c>
      <c r="C2906" s="1" t="str">
        <f ca="1">IFERROR(__xludf.DUMMYFUNCTION("REGEXEXTRACT(B2906, ""^([^:]+)"")"),"Track suits and other garments n.e.c.")</f>
        <v>Track suits and other garments n.e.c.</v>
      </c>
      <c r="D2906" s="1" t="s">
        <v>11</v>
      </c>
      <c r="E2906" s="1" t="s">
        <v>11</v>
      </c>
    </row>
    <row r="2907" spans="1:5" ht="15.75" customHeight="1">
      <c r="A2907" s="1">
        <v>621139</v>
      </c>
      <c r="B2907" s="1" t="s">
        <v>2933</v>
      </c>
      <c r="C2907" s="1" t="str">
        <f ca="1">IFERROR(__xludf.DUMMYFUNCTION("REGEXEXTRACT(B2907, ""^([^:]+)"")"),"Track suits and other garments n.e.c.")</f>
        <v>Track suits and other garments n.e.c.</v>
      </c>
      <c r="D2907" s="1" t="s">
        <v>11</v>
      </c>
      <c r="E2907" s="1" t="s">
        <v>11</v>
      </c>
    </row>
    <row r="2908" spans="1:5" ht="15.75" customHeight="1">
      <c r="A2908" s="1">
        <v>621141</v>
      </c>
      <c r="B2908" s="1" t="s">
        <v>2934</v>
      </c>
      <c r="C2908" s="1" t="str">
        <f ca="1">IFERROR(__xludf.DUMMYFUNCTION("REGEXEXTRACT(B2908, ""^([^:]+)"")"),"Track suits and other garments n.e.c.")</f>
        <v>Track suits and other garments n.e.c.</v>
      </c>
      <c r="D2908" s="1" t="s">
        <v>11</v>
      </c>
      <c r="E2908" s="1" t="s">
        <v>11</v>
      </c>
    </row>
    <row r="2909" spans="1:5" ht="15.75" customHeight="1">
      <c r="A2909" s="1">
        <v>621142</v>
      </c>
      <c r="B2909" s="1" t="s">
        <v>2935</v>
      </c>
      <c r="C2909" s="1" t="str">
        <f ca="1">IFERROR(__xludf.DUMMYFUNCTION("REGEXEXTRACT(B2909, ""^([^:]+)"")"),"Track suits and other garments n.e.c.")</f>
        <v>Track suits and other garments n.e.c.</v>
      </c>
      <c r="D2909" s="1" t="s">
        <v>11</v>
      </c>
      <c r="E2909" s="1" t="s">
        <v>11</v>
      </c>
    </row>
    <row r="2910" spans="1:5" ht="15.75" customHeight="1">
      <c r="A2910" s="1">
        <v>621143</v>
      </c>
      <c r="B2910" s="1" t="s">
        <v>2936</v>
      </c>
      <c r="C2910" s="1" t="str">
        <f ca="1">IFERROR(__xludf.DUMMYFUNCTION("REGEXEXTRACT(B2910, ""^([^:]+)"")"),"Track suits and other garments n.e.c.")</f>
        <v>Track suits and other garments n.e.c.</v>
      </c>
      <c r="D2910" s="1" t="s">
        <v>11</v>
      </c>
      <c r="E2910" s="1" t="s">
        <v>11</v>
      </c>
    </row>
    <row r="2911" spans="1:5" ht="15.75" customHeight="1">
      <c r="A2911" s="1">
        <v>621149</v>
      </c>
      <c r="B2911" s="1" t="s">
        <v>2937</v>
      </c>
      <c r="C2911" s="1" t="str">
        <f ca="1">IFERROR(__xludf.DUMMYFUNCTION("REGEXEXTRACT(B2911, ""^([^:]+)"")"),"Track suits and other garments n.e.c.")</f>
        <v>Track suits and other garments n.e.c.</v>
      </c>
      <c r="D2911" s="1" t="s">
        <v>11</v>
      </c>
      <c r="E2911" s="1" t="s">
        <v>11</v>
      </c>
    </row>
    <row r="2912" spans="1:5" ht="15.75" customHeight="1">
      <c r="A2912" s="1">
        <v>621210</v>
      </c>
      <c r="B2912" s="1" t="s">
        <v>2938</v>
      </c>
      <c r="C2912" s="1" t="str">
        <f ca="1">IFERROR(__xludf.DUMMYFUNCTION("REGEXEXTRACT(B2912, ""^([^:]+)"")"),"Brassieres")</f>
        <v>Brassieres</v>
      </c>
      <c r="D2912" s="1" t="s">
        <v>11</v>
      </c>
      <c r="E2912" s="1" t="s">
        <v>11</v>
      </c>
    </row>
    <row r="2913" spans="1:5" ht="15.75" customHeight="1">
      <c r="A2913" s="1">
        <v>621220</v>
      </c>
      <c r="B2913" s="1" t="s">
        <v>2939</v>
      </c>
      <c r="C2913" s="1" t="str">
        <f ca="1">IFERROR(__xludf.DUMMYFUNCTION("REGEXEXTRACT(B2913, ""^([^:]+)"")"),"Girdles and panty-girdles")</f>
        <v>Girdles and panty-girdles</v>
      </c>
      <c r="D2913" s="1" t="s">
        <v>11</v>
      </c>
      <c r="E2913" s="1" t="s">
        <v>11</v>
      </c>
    </row>
    <row r="2914" spans="1:5" ht="15.75" customHeight="1">
      <c r="A2914" s="1">
        <v>621230</v>
      </c>
      <c r="B2914" s="1" t="s">
        <v>2940</v>
      </c>
      <c r="C2914" s="1" t="str">
        <f ca="1">IFERROR(__xludf.DUMMYFUNCTION("REGEXEXTRACT(B2914, ""^([^:]+)"")"),"Corselettes")</f>
        <v>Corselettes</v>
      </c>
      <c r="D2914" s="1" t="s">
        <v>11</v>
      </c>
      <c r="E2914" s="1" t="s">
        <v>11</v>
      </c>
    </row>
    <row r="2915" spans="1:5" ht="15.75" customHeight="1">
      <c r="A2915" s="1">
        <v>621290</v>
      </c>
      <c r="B2915" s="1" t="s">
        <v>2941</v>
      </c>
      <c r="C2915" s="1" t="str">
        <f ca="1">IFERROR(__xludf.DUMMYFUNCTION("REGEXEXTRACT(B2915, ""^([^:]+)"")"),"Braces, suspenders, garters and similar articles")</f>
        <v>Braces, suspenders, garters and similar articles</v>
      </c>
      <c r="D2915" s="1" t="s">
        <v>11</v>
      </c>
      <c r="E2915" s="1" t="s">
        <v>11</v>
      </c>
    </row>
    <row r="2916" spans="1:5" ht="15.75" customHeight="1">
      <c r="A2916" s="1">
        <v>621320</v>
      </c>
      <c r="B2916" s="1" t="s">
        <v>2942</v>
      </c>
      <c r="C2916" s="1" t="str">
        <f ca="1">IFERROR(__xludf.DUMMYFUNCTION("REGEXEXTRACT(B2916, ""^([^:]+)"")"),"Handkerchiefs")</f>
        <v>Handkerchiefs</v>
      </c>
      <c r="D2916" s="1" t="s">
        <v>11</v>
      </c>
      <c r="E2916" s="1" t="s">
        <v>11</v>
      </c>
    </row>
    <row r="2917" spans="1:5" ht="15.75" customHeight="1">
      <c r="A2917" s="1">
        <v>621390</v>
      </c>
      <c r="B2917" s="1" t="s">
        <v>2943</v>
      </c>
      <c r="C2917" s="1" t="str">
        <f ca="1">IFERROR(__xludf.DUMMYFUNCTION("REGEXEXTRACT(B2917, ""^([^:]+)"")"),"Handkerchiefs")</f>
        <v>Handkerchiefs</v>
      </c>
      <c r="D2917" s="1" t="s">
        <v>11</v>
      </c>
      <c r="E2917" s="1" t="s">
        <v>11</v>
      </c>
    </row>
    <row r="2918" spans="1:5" ht="15.75" customHeight="1">
      <c r="A2918" s="1">
        <v>621410</v>
      </c>
      <c r="B2918" s="1" t="s">
        <v>2944</v>
      </c>
      <c r="C2918" s="1" t="str">
        <f ca="1">IFERROR(__xludf.DUMMYFUNCTION("REGEXEXTRACT(B2918, ""^([^:]+)"")"),"Shawls, scarves, mufflers, mantillas, veils and the like")</f>
        <v>Shawls, scarves, mufflers, mantillas, veils and the like</v>
      </c>
      <c r="D2918" s="1" t="s">
        <v>11</v>
      </c>
      <c r="E2918" s="1" t="s">
        <v>11</v>
      </c>
    </row>
    <row r="2919" spans="1:5" ht="15.75" customHeight="1">
      <c r="A2919" s="1">
        <v>621420</v>
      </c>
      <c r="B2919" s="1" t="s">
        <v>2945</v>
      </c>
      <c r="C2919" s="1" t="str">
        <f ca="1">IFERROR(__xludf.DUMMYFUNCTION("REGEXEXTRACT(B2919, ""^([^:]+)"")"),"Shawls, scarves, mufflers, mantillas, veils and the like")</f>
        <v>Shawls, scarves, mufflers, mantillas, veils and the like</v>
      </c>
      <c r="D2919" s="1" t="s">
        <v>11</v>
      </c>
      <c r="E2919" s="1" t="s">
        <v>11</v>
      </c>
    </row>
    <row r="2920" spans="1:5" ht="15.75" customHeight="1">
      <c r="A2920" s="1">
        <v>621430</v>
      </c>
      <c r="B2920" s="1" t="s">
        <v>2946</v>
      </c>
      <c r="C2920" s="1" t="str">
        <f ca="1">IFERROR(__xludf.DUMMYFUNCTION("REGEXEXTRACT(B2920, ""^([^:]+)"")"),"Shawls, scarves, mufflers, mantillas, veils and the like")</f>
        <v>Shawls, scarves, mufflers, mantillas, veils and the like</v>
      </c>
      <c r="D2920" s="1" t="s">
        <v>11</v>
      </c>
      <c r="E2920" s="1" t="s">
        <v>11</v>
      </c>
    </row>
    <row r="2921" spans="1:5" ht="15.75" customHeight="1">
      <c r="A2921" s="1">
        <v>621440</v>
      </c>
      <c r="B2921" s="1" t="s">
        <v>2947</v>
      </c>
      <c r="C2921" s="1" t="str">
        <f ca="1">IFERROR(__xludf.DUMMYFUNCTION("REGEXEXTRACT(B2921, ""^([^:]+)"")"),"Shawls, scarves, mufflers, mantillas, veils and the like")</f>
        <v>Shawls, scarves, mufflers, mantillas, veils and the like</v>
      </c>
      <c r="D2921" s="1" t="s">
        <v>11</v>
      </c>
      <c r="E2921" s="1" t="s">
        <v>11</v>
      </c>
    </row>
    <row r="2922" spans="1:5" ht="15.75" customHeight="1">
      <c r="A2922" s="1">
        <v>621490</v>
      </c>
      <c r="B2922" s="1" t="s">
        <v>2948</v>
      </c>
      <c r="C2922" s="1" t="str">
        <f ca="1">IFERROR(__xludf.DUMMYFUNCTION("REGEXEXTRACT(B2922, ""^([^:]+)"")"),"Shawls, scarves, mufflers, mantillas, veils and the like")</f>
        <v>Shawls, scarves, mufflers, mantillas, veils and the like</v>
      </c>
      <c r="D2922" s="1" t="s">
        <v>11</v>
      </c>
      <c r="E2922" s="1" t="s">
        <v>11</v>
      </c>
    </row>
    <row r="2923" spans="1:5" ht="15.75" customHeight="1">
      <c r="A2923" s="1">
        <v>621510</v>
      </c>
      <c r="B2923" s="1" t="s">
        <v>2949</v>
      </c>
      <c r="C2923" s="1" t="str">
        <f ca="1">IFERROR(__xludf.DUMMYFUNCTION("REGEXEXTRACT(B2923, ""^([^:]+)"")"),"Ties, bow ties and cravats")</f>
        <v>Ties, bow ties and cravats</v>
      </c>
      <c r="D2923" s="1" t="s">
        <v>11</v>
      </c>
      <c r="E2923" s="1" t="s">
        <v>11</v>
      </c>
    </row>
    <row r="2924" spans="1:5" ht="15.75" customHeight="1">
      <c r="A2924" s="1">
        <v>621520</v>
      </c>
      <c r="B2924" s="1" t="s">
        <v>2950</v>
      </c>
      <c r="C2924" s="1" t="str">
        <f ca="1">IFERROR(__xludf.DUMMYFUNCTION("REGEXEXTRACT(B2924, ""^([^:]+)"")"),"Ties, bow ties and cravats")</f>
        <v>Ties, bow ties and cravats</v>
      </c>
      <c r="D2924" s="1" t="s">
        <v>11</v>
      </c>
      <c r="E2924" s="1" t="s">
        <v>11</v>
      </c>
    </row>
    <row r="2925" spans="1:5" ht="15.75" customHeight="1">
      <c r="A2925" s="1">
        <v>621590</v>
      </c>
      <c r="B2925" s="1" t="s">
        <v>2951</v>
      </c>
      <c r="C2925" s="1" t="str">
        <f ca="1">IFERROR(__xludf.DUMMYFUNCTION("REGEXEXTRACT(B2925, ""^([^:]+)"")"),"Ties, bow ties and cravats")</f>
        <v>Ties, bow ties and cravats</v>
      </c>
      <c r="D2925" s="1" t="s">
        <v>11</v>
      </c>
      <c r="E2925" s="1" t="s">
        <v>11</v>
      </c>
    </row>
    <row r="2926" spans="1:5" ht="15.75" customHeight="1">
      <c r="A2926" s="1">
        <v>621600</v>
      </c>
      <c r="B2926" s="1" t="s">
        <v>2952</v>
      </c>
      <c r="C2926" s="1" t="str">
        <f ca="1">IFERROR(__xludf.DUMMYFUNCTION("REGEXEXTRACT(B2926, ""^([^:]+)"")"),"Gloves, mittens and mitts (not knitted or crocheted)")</f>
        <v>Gloves, mittens and mitts (not knitted or crocheted)</v>
      </c>
      <c r="D2926" s="1" t="s">
        <v>11</v>
      </c>
      <c r="E2926" s="1" t="s">
        <v>11</v>
      </c>
    </row>
    <row r="2927" spans="1:5" ht="15.75" customHeight="1">
      <c r="A2927" s="1">
        <v>621710</v>
      </c>
      <c r="B2927" s="1" t="s">
        <v>2953</v>
      </c>
      <c r="C2927" s="1" t="str">
        <f ca="1">IFERROR(__xludf.DUMMYFUNCTION("REGEXEXTRACT(B2927, ""^([^:]+)"")"),"Clothing accessories")</f>
        <v>Clothing accessories</v>
      </c>
      <c r="D2927" s="1" t="s">
        <v>11</v>
      </c>
      <c r="E2927" s="1" t="s">
        <v>11</v>
      </c>
    </row>
    <row r="2928" spans="1:5" ht="15.75" customHeight="1">
      <c r="A2928" s="1">
        <v>621790</v>
      </c>
      <c r="B2928" s="1" t="s">
        <v>2954</v>
      </c>
      <c r="C2928" s="1" t="str">
        <f ca="1">IFERROR(__xludf.DUMMYFUNCTION("REGEXEXTRACT(B2928, ""^([^:]+)"")"),"Clothing")</f>
        <v>Clothing</v>
      </c>
      <c r="D2928" s="1" t="s">
        <v>11</v>
      </c>
      <c r="E2928" s="1" t="s">
        <v>11</v>
      </c>
    </row>
    <row r="2929" spans="1:5" ht="15.75" customHeight="1">
      <c r="A2929" s="1">
        <v>630110</v>
      </c>
      <c r="B2929" s="1" t="s">
        <v>2955</v>
      </c>
      <c r="C2929" s="1" t="str">
        <f ca="1">IFERROR(__xludf.DUMMYFUNCTION("REGEXEXTRACT(B2929, ""^([^:]+)"")"),"Blankets")</f>
        <v>Blankets</v>
      </c>
      <c r="D2929" s="1" t="s">
        <v>11</v>
      </c>
      <c r="E2929" s="1" t="s">
        <v>11</v>
      </c>
    </row>
    <row r="2930" spans="1:5" ht="15.75" customHeight="1">
      <c r="A2930" s="1">
        <v>630120</v>
      </c>
      <c r="B2930" s="1" t="s">
        <v>2956</v>
      </c>
      <c r="C2930" s="1" t="str">
        <f ca="1">IFERROR(__xludf.DUMMYFUNCTION("REGEXEXTRACT(B2930, ""^([^:]+)"")"),"Blankets (other than electric blankets) and travelling rugs")</f>
        <v>Blankets (other than electric blankets) and travelling rugs</v>
      </c>
      <c r="D2930" s="1" t="s">
        <v>11</v>
      </c>
      <c r="E2930" s="1" t="s">
        <v>11</v>
      </c>
    </row>
    <row r="2931" spans="1:5" ht="15.75" customHeight="1">
      <c r="A2931" s="1">
        <v>630130</v>
      </c>
      <c r="B2931" s="1" t="s">
        <v>2957</v>
      </c>
      <c r="C2931" s="1" t="str">
        <f ca="1">IFERROR(__xludf.DUMMYFUNCTION("REGEXEXTRACT(B2931, ""^([^:]+)"")"),"Blankets (other than electric blankets) and travelling rugs")</f>
        <v>Blankets (other than electric blankets) and travelling rugs</v>
      </c>
      <c r="D2931" s="1" t="s">
        <v>11</v>
      </c>
      <c r="E2931" s="1" t="s">
        <v>11</v>
      </c>
    </row>
    <row r="2932" spans="1:5" ht="15.75" customHeight="1">
      <c r="A2932" s="1">
        <v>630140</v>
      </c>
      <c r="B2932" s="1" t="s">
        <v>2958</v>
      </c>
      <c r="C2932" s="1" t="str">
        <f ca="1">IFERROR(__xludf.DUMMYFUNCTION("REGEXEXTRACT(B2932, ""^([^:]+)"")"),"Blankets (other than electric blankets) and travelling rugs")</f>
        <v>Blankets (other than electric blankets) and travelling rugs</v>
      </c>
      <c r="D2932" s="1" t="s">
        <v>11</v>
      </c>
      <c r="E2932" s="1" t="s">
        <v>11</v>
      </c>
    </row>
    <row r="2933" spans="1:5" ht="15.75" customHeight="1">
      <c r="A2933" s="1">
        <v>630190</v>
      </c>
      <c r="B2933" s="1" t="s">
        <v>2959</v>
      </c>
      <c r="C2933" s="1" t="str">
        <f ca="1">IFERROR(__xludf.DUMMYFUNCTION("REGEXEXTRACT(B2933, ""^([^:]+)"")"),"Blankets and travelling rugs")</f>
        <v>Blankets and travelling rugs</v>
      </c>
      <c r="D2933" s="1" t="s">
        <v>11</v>
      </c>
      <c r="E2933" s="1" t="s">
        <v>11</v>
      </c>
    </row>
    <row r="2934" spans="1:5" ht="15.75" customHeight="1">
      <c r="A2934" s="1">
        <v>630210</v>
      </c>
      <c r="B2934" s="1" t="s">
        <v>2960</v>
      </c>
      <c r="C2934" s="1" t="str">
        <f ca="1">IFERROR(__xludf.DUMMYFUNCTION("REGEXEXTRACT(B2934, ""^([^:]+)"")"),"Bed linen")</f>
        <v>Bed linen</v>
      </c>
      <c r="D2934" s="1" t="s">
        <v>11</v>
      </c>
      <c r="E2934" s="1" t="s">
        <v>11</v>
      </c>
    </row>
    <row r="2935" spans="1:5" ht="15.75" customHeight="1">
      <c r="A2935" s="1">
        <v>630221</v>
      </c>
      <c r="B2935" s="1" t="s">
        <v>2961</v>
      </c>
      <c r="C2935" s="1" t="str">
        <f ca="1">IFERROR(__xludf.DUMMYFUNCTION("REGEXEXTRACT(B2935, ""^([^:]+)"")"),"Bed linen")</f>
        <v>Bed linen</v>
      </c>
      <c r="D2935" s="1" t="s">
        <v>11</v>
      </c>
      <c r="E2935" s="1" t="s">
        <v>11</v>
      </c>
    </row>
    <row r="2936" spans="1:5" ht="15.75" customHeight="1">
      <c r="A2936" s="1">
        <v>630222</v>
      </c>
      <c r="B2936" s="1" t="s">
        <v>2962</v>
      </c>
      <c r="C2936" s="1" t="str">
        <f ca="1">IFERROR(__xludf.DUMMYFUNCTION("REGEXEXTRACT(B2936, ""^([^:]+)"")"),"Bed linen")</f>
        <v>Bed linen</v>
      </c>
      <c r="D2936" s="1" t="s">
        <v>11</v>
      </c>
      <c r="E2936" s="1" t="s">
        <v>11</v>
      </c>
    </row>
    <row r="2937" spans="1:5" ht="15.75" customHeight="1">
      <c r="A2937" s="1">
        <v>630229</v>
      </c>
      <c r="B2937" s="1" t="s">
        <v>2963</v>
      </c>
      <c r="C2937" s="1" t="str">
        <f ca="1">IFERROR(__xludf.DUMMYFUNCTION("REGEXEXTRACT(B2937, ""^([^:]+)"")"),"Bed linen")</f>
        <v>Bed linen</v>
      </c>
      <c r="D2937" s="1" t="s">
        <v>11</v>
      </c>
      <c r="E2937" s="1" t="s">
        <v>11</v>
      </c>
    </row>
    <row r="2938" spans="1:5" ht="15.75" customHeight="1">
      <c r="A2938" s="1">
        <v>630231</v>
      </c>
      <c r="B2938" s="1" t="s">
        <v>2964</v>
      </c>
      <c r="C2938" s="1" t="str">
        <f ca="1">IFERROR(__xludf.DUMMYFUNCTION("REGEXEXTRACT(B2938, ""^([^:]+)"")"),"Bed linen")</f>
        <v>Bed linen</v>
      </c>
      <c r="D2938" s="1" t="s">
        <v>11</v>
      </c>
      <c r="E2938" s="1" t="s">
        <v>11</v>
      </c>
    </row>
    <row r="2939" spans="1:5" ht="15.75" customHeight="1">
      <c r="A2939" s="1">
        <v>630232</v>
      </c>
      <c r="B2939" s="1" t="s">
        <v>2965</v>
      </c>
      <c r="C2939" s="1" t="str">
        <f ca="1">IFERROR(__xludf.DUMMYFUNCTION("REGEXEXTRACT(B2939, ""^([^:]+)"")"),"Bed linen")</f>
        <v>Bed linen</v>
      </c>
      <c r="D2939" s="1" t="s">
        <v>11</v>
      </c>
      <c r="E2939" s="1" t="s">
        <v>11</v>
      </c>
    </row>
    <row r="2940" spans="1:5" ht="15.75" customHeight="1">
      <c r="A2940" s="1">
        <v>630239</v>
      </c>
      <c r="B2940" s="1" t="s">
        <v>2966</v>
      </c>
      <c r="C2940" s="1" t="str">
        <f ca="1">IFERROR(__xludf.DUMMYFUNCTION("REGEXEXTRACT(B2940, ""^([^:]+)"")"),"Bed linen")</f>
        <v>Bed linen</v>
      </c>
      <c r="D2940" s="1" t="s">
        <v>11</v>
      </c>
      <c r="E2940" s="1" t="s">
        <v>11</v>
      </c>
    </row>
    <row r="2941" spans="1:5" ht="15.75" customHeight="1">
      <c r="A2941" s="1">
        <v>630240</v>
      </c>
      <c r="B2941" s="1" t="s">
        <v>2967</v>
      </c>
      <c r="C2941" s="1" t="str">
        <f ca="1">IFERROR(__xludf.DUMMYFUNCTION("REGEXEXTRACT(B2941, ""^([^:]+)"")"),"Table linen")</f>
        <v>Table linen</v>
      </c>
      <c r="D2941" s="1" t="s">
        <v>11</v>
      </c>
      <c r="E2941" s="1" t="s">
        <v>11</v>
      </c>
    </row>
    <row r="2942" spans="1:5" ht="15.75" customHeight="1">
      <c r="A2942" s="1">
        <v>630251</v>
      </c>
      <c r="B2942" s="1" t="s">
        <v>2968</v>
      </c>
      <c r="C2942" s="1" t="str">
        <f ca="1">IFERROR(__xludf.DUMMYFUNCTION("REGEXEXTRACT(B2942, ""^([^:]+)"")"),"Table linen")</f>
        <v>Table linen</v>
      </c>
      <c r="D2942" s="1" t="s">
        <v>11</v>
      </c>
      <c r="E2942" s="1" t="s">
        <v>11</v>
      </c>
    </row>
    <row r="2943" spans="1:5" ht="15.75" customHeight="1">
      <c r="A2943" s="1">
        <v>630253</v>
      </c>
      <c r="B2943" s="1" t="s">
        <v>2969</v>
      </c>
      <c r="C2943" s="1" t="str">
        <f ca="1">IFERROR(__xludf.DUMMYFUNCTION("REGEXEXTRACT(B2943, ""^([^:]+)"")"),"Table linen")</f>
        <v>Table linen</v>
      </c>
      <c r="D2943" s="1" t="s">
        <v>11</v>
      </c>
      <c r="E2943" s="1" t="s">
        <v>11</v>
      </c>
    </row>
    <row r="2944" spans="1:5" ht="15.75" customHeight="1">
      <c r="A2944" s="1">
        <v>630259</v>
      </c>
      <c r="B2944" s="1" t="s">
        <v>2970</v>
      </c>
      <c r="C2944" s="1" t="str">
        <f ca="1">IFERROR(__xludf.DUMMYFUNCTION("REGEXEXTRACT(B2944, ""^([^:]+)"")"),"Table linen")</f>
        <v>Table linen</v>
      </c>
      <c r="D2944" s="1" t="s">
        <v>11</v>
      </c>
      <c r="E2944" s="1" t="s">
        <v>11</v>
      </c>
    </row>
    <row r="2945" spans="1:5" ht="15.75" customHeight="1">
      <c r="A2945" s="1">
        <v>630260</v>
      </c>
      <c r="B2945" s="1" t="s">
        <v>2971</v>
      </c>
      <c r="C2945" s="1" t="str">
        <f ca="1">IFERROR(__xludf.DUMMYFUNCTION("REGEXEXTRACT(B2945, ""^([^:]+)"")"),"Kitchen and toilet linen")</f>
        <v>Kitchen and toilet linen</v>
      </c>
      <c r="D2945" s="1" t="s">
        <v>11</v>
      </c>
      <c r="E2945" s="1" t="s">
        <v>11</v>
      </c>
    </row>
    <row r="2946" spans="1:5" ht="15.75" customHeight="1">
      <c r="A2946" s="1">
        <v>630291</v>
      </c>
      <c r="B2946" s="1" t="s">
        <v>2972</v>
      </c>
      <c r="C2946" s="1" t="str">
        <f ca="1">IFERROR(__xludf.DUMMYFUNCTION("REGEXEXTRACT(B2946, ""^([^:]+)"")"),"Toilet and kitchen linen")</f>
        <v>Toilet and kitchen linen</v>
      </c>
      <c r="D2946" s="1" t="s">
        <v>11</v>
      </c>
      <c r="E2946" s="1" t="s">
        <v>11</v>
      </c>
    </row>
    <row r="2947" spans="1:5" ht="15.75" customHeight="1">
      <c r="A2947" s="1">
        <v>630293</v>
      </c>
      <c r="B2947" s="1" t="s">
        <v>2973</v>
      </c>
      <c r="C2947" s="1" t="str">
        <f ca="1">IFERROR(__xludf.DUMMYFUNCTION("REGEXEXTRACT(B2947, ""^([^:]+)"")"),"Toilet and kitchen linen")</f>
        <v>Toilet and kitchen linen</v>
      </c>
      <c r="D2947" s="1" t="s">
        <v>11</v>
      </c>
      <c r="E2947" s="1" t="s">
        <v>11</v>
      </c>
    </row>
    <row r="2948" spans="1:5" ht="15.75" customHeight="1">
      <c r="A2948" s="1">
        <v>630299</v>
      </c>
      <c r="B2948" s="1" t="s">
        <v>2974</v>
      </c>
      <c r="C2948" s="1" t="str">
        <f ca="1">IFERROR(__xludf.DUMMYFUNCTION("REGEXEXTRACT(B2948, ""^([^:]+)"")"),"Toilet and kitchen linen")</f>
        <v>Toilet and kitchen linen</v>
      </c>
      <c r="D2948" s="1" t="s">
        <v>11</v>
      </c>
      <c r="E2948" s="1" t="s">
        <v>11</v>
      </c>
    </row>
    <row r="2949" spans="1:5" ht="15.75" customHeight="1">
      <c r="A2949" s="1">
        <v>630312</v>
      </c>
      <c r="B2949" s="1" t="s">
        <v>2975</v>
      </c>
      <c r="C2949" s="1" t="str">
        <f ca="1">IFERROR(__xludf.DUMMYFUNCTION("REGEXEXTRACT(B2949, ""^([^:]+)"")"),"Curtains (including drapes) and interior blinds")</f>
        <v>Curtains (including drapes) and interior blinds</v>
      </c>
      <c r="D2949" s="1" t="s">
        <v>11</v>
      </c>
      <c r="E2949" s="1" t="s">
        <v>11</v>
      </c>
    </row>
    <row r="2950" spans="1:5" ht="15.75" customHeight="1">
      <c r="A2950" s="1">
        <v>630319</v>
      </c>
      <c r="B2950" s="1" t="s">
        <v>2976</v>
      </c>
      <c r="C2950" s="1" t="str">
        <f ca="1">IFERROR(__xludf.DUMMYFUNCTION("REGEXEXTRACT(B2950, ""^([^:]+)"")"),"Curtains (including drapes) and interior blinds")</f>
        <v>Curtains (including drapes) and interior blinds</v>
      </c>
      <c r="D2950" s="1" t="s">
        <v>11</v>
      </c>
      <c r="E2950" s="1" t="s">
        <v>11</v>
      </c>
    </row>
    <row r="2951" spans="1:5" ht="15.75" customHeight="1">
      <c r="A2951" s="1">
        <v>630391</v>
      </c>
      <c r="B2951" s="1" t="s">
        <v>2977</v>
      </c>
      <c r="C2951" s="1" t="str">
        <f ca="1">IFERROR(__xludf.DUMMYFUNCTION("REGEXEXTRACT(B2951, ""^([^:]+)"")"),"Curtains (including drapes) and interior blinds, curtain or bed valances")</f>
        <v>Curtains (including drapes) and interior blinds, curtain or bed valances</v>
      </c>
      <c r="D2951" s="1" t="s">
        <v>11</v>
      </c>
      <c r="E2951" s="1" t="s">
        <v>11</v>
      </c>
    </row>
    <row r="2952" spans="1:5" ht="15.75" customHeight="1">
      <c r="A2952" s="1">
        <v>630392</v>
      </c>
      <c r="B2952" s="1" t="s">
        <v>2978</v>
      </c>
      <c r="C2952" s="1" t="str">
        <f ca="1">IFERROR(__xludf.DUMMYFUNCTION("REGEXEXTRACT(B2952, ""^([^:]+)"")"),"Curtains (including drapes) and interior blinds, curtain or bed valances")</f>
        <v>Curtains (including drapes) and interior blinds, curtain or bed valances</v>
      </c>
      <c r="D2952" s="1" t="s">
        <v>11</v>
      </c>
      <c r="E2952" s="1" t="s">
        <v>11</v>
      </c>
    </row>
    <row r="2953" spans="1:5" ht="15.75" customHeight="1">
      <c r="A2953" s="1">
        <v>630399</v>
      </c>
      <c r="B2953" s="1" t="s">
        <v>2979</v>
      </c>
      <c r="C2953" s="1" t="str">
        <f ca="1">IFERROR(__xludf.DUMMYFUNCTION("REGEXEXTRACT(B2953, ""^([^:]+)"")"),"Curtains (including drapes) and interior blinds, curtain or bed valances")</f>
        <v>Curtains (including drapes) and interior blinds, curtain or bed valances</v>
      </c>
      <c r="D2953" s="1" t="s">
        <v>11</v>
      </c>
      <c r="E2953" s="1" t="s">
        <v>11</v>
      </c>
    </row>
    <row r="2954" spans="1:5" ht="15.75" customHeight="1">
      <c r="A2954" s="1">
        <v>630411</v>
      </c>
      <c r="B2954" s="1" t="s">
        <v>2980</v>
      </c>
      <c r="C2954" s="1" t="str">
        <f ca="1">IFERROR(__xludf.DUMMYFUNCTION("REGEXEXTRACT(B2954, ""^([^:]+)"")"),"Bedspreads")</f>
        <v>Bedspreads</v>
      </c>
      <c r="D2954" s="1" t="s">
        <v>11</v>
      </c>
      <c r="E2954" s="1" t="s">
        <v>11</v>
      </c>
    </row>
    <row r="2955" spans="1:5" ht="15.75" customHeight="1">
      <c r="A2955" s="1">
        <v>630419</v>
      </c>
      <c r="B2955" s="1" t="s">
        <v>2981</v>
      </c>
      <c r="C2955" s="1" t="str">
        <f ca="1">IFERROR(__xludf.DUMMYFUNCTION("REGEXEXTRACT(B2955, ""^([^:]+)"")"),"Bedspreads")</f>
        <v>Bedspreads</v>
      </c>
      <c r="D2955" s="1" t="s">
        <v>11</v>
      </c>
      <c r="E2955" s="1" t="s">
        <v>11</v>
      </c>
    </row>
    <row r="2956" spans="1:5" ht="15.75" customHeight="1">
      <c r="A2956" s="1">
        <v>630491</v>
      </c>
      <c r="B2956" s="1" t="s">
        <v>2982</v>
      </c>
      <c r="C2956" s="1" t="str">
        <f ca="1">IFERROR(__xludf.DUMMYFUNCTION("REGEXEXTRACT(B2956, ""^([^:]+)"")"),"Furnishing articles")</f>
        <v>Furnishing articles</v>
      </c>
      <c r="D2956" s="1" t="s">
        <v>11</v>
      </c>
      <c r="E2956" s="1" t="s">
        <v>11</v>
      </c>
    </row>
    <row r="2957" spans="1:5" ht="15.75" customHeight="1">
      <c r="A2957" s="1">
        <v>630492</v>
      </c>
      <c r="B2957" s="1" t="s">
        <v>2983</v>
      </c>
      <c r="C2957" s="1" t="str">
        <f ca="1">IFERROR(__xludf.DUMMYFUNCTION("REGEXEXTRACT(B2957, ""^([^:]+)"")"),"Furnishing articles")</f>
        <v>Furnishing articles</v>
      </c>
      <c r="D2957" s="1" t="s">
        <v>11</v>
      </c>
      <c r="E2957" s="1" t="s">
        <v>11</v>
      </c>
    </row>
    <row r="2958" spans="1:5" ht="15.75" customHeight="1">
      <c r="A2958" s="1">
        <v>630493</v>
      </c>
      <c r="B2958" s="1" t="s">
        <v>2984</v>
      </c>
      <c r="C2958" s="1" t="str">
        <f ca="1">IFERROR(__xludf.DUMMYFUNCTION("REGEXEXTRACT(B2958, ""^([^:]+)"")"),"Furnishing articles")</f>
        <v>Furnishing articles</v>
      </c>
      <c r="D2958" s="1" t="s">
        <v>11</v>
      </c>
      <c r="E2958" s="1" t="s">
        <v>11</v>
      </c>
    </row>
    <row r="2959" spans="1:5" ht="15.75" customHeight="1">
      <c r="A2959" s="1">
        <v>630499</v>
      </c>
      <c r="B2959" s="1" t="s">
        <v>2985</v>
      </c>
      <c r="C2959" s="1" t="str">
        <f ca="1">IFERROR(__xludf.DUMMYFUNCTION("REGEXEXTRACT(B2959, ""^([^:]+)"")"),"Furnishing articles")</f>
        <v>Furnishing articles</v>
      </c>
      <c r="D2959" s="1" t="s">
        <v>11</v>
      </c>
      <c r="E2959" s="1" t="s">
        <v>11</v>
      </c>
    </row>
    <row r="2960" spans="1:5" ht="15.75" customHeight="1">
      <c r="A2960" s="1">
        <v>630510</v>
      </c>
      <c r="B2960" s="1" t="s">
        <v>2986</v>
      </c>
      <c r="C2960" s="1" t="str">
        <f ca="1">IFERROR(__xludf.DUMMYFUNCTION("REGEXEXTRACT(B2960, ""^([^:]+)"")"),"Sacks and bags")</f>
        <v>Sacks and bags</v>
      </c>
      <c r="D2960" s="1" t="s">
        <v>11</v>
      </c>
      <c r="E2960" s="1" t="s">
        <v>11</v>
      </c>
    </row>
    <row r="2961" spans="1:5" ht="15.75" customHeight="1">
      <c r="A2961" s="1">
        <v>630520</v>
      </c>
      <c r="B2961" s="1" t="s">
        <v>2987</v>
      </c>
      <c r="C2961" s="1" t="str">
        <f ca="1">IFERROR(__xludf.DUMMYFUNCTION("REGEXEXTRACT(B2961, ""^([^:]+)"")"),"Sacks and bags")</f>
        <v>Sacks and bags</v>
      </c>
      <c r="D2961" s="1" t="s">
        <v>11</v>
      </c>
      <c r="E2961" s="1" t="s">
        <v>11</v>
      </c>
    </row>
    <row r="2962" spans="1:5" ht="15.75" customHeight="1">
      <c r="A2962" s="1">
        <v>630532</v>
      </c>
      <c r="B2962" s="1" t="s">
        <v>2988</v>
      </c>
      <c r="C2962" s="1" t="str">
        <f ca="1">IFERROR(__xludf.DUMMYFUNCTION("REGEXEXTRACT(B2962, ""^([^:]+)"")"),"Sacks and bags")</f>
        <v>Sacks and bags</v>
      </c>
      <c r="D2962" s="1" t="s">
        <v>11</v>
      </c>
      <c r="E2962" s="1" t="s">
        <v>11</v>
      </c>
    </row>
    <row r="2963" spans="1:5" ht="15.75" customHeight="1">
      <c r="A2963" s="1">
        <v>630533</v>
      </c>
      <c r="B2963" s="1" t="s">
        <v>2989</v>
      </c>
      <c r="C2963" s="1" t="str">
        <f ca="1">IFERROR(__xludf.DUMMYFUNCTION("REGEXEXTRACT(B2963, ""^([^:]+)"")"),"Sacks and bags")</f>
        <v>Sacks and bags</v>
      </c>
      <c r="D2963" s="1" t="s">
        <v>11</v>
      </c>
      <c r="E2963" s="1" t="s">
        <v>11</v>
      </c>
    </row>
    <row r="2964" spans="1:5" ht="15.75" customHeight="1">
      <c r="A2964" s="1">
        <v>630539</v>
      </c>
      <c r="B2964" s="1" t="s">
        <v>2990</v>
      </c>
      <c r="C2964" s="1" t="str">
        <f ca="1">IFERROR(__xludf.DUMMYFUNCTION("REGEXEXTRACT(B2964, ""^([^:]+)"")"),"Sacks and bags")</f>
        <v>Sacks and bags</v>
      </c>
      <c r="D2964" s="1" t="s">
        <v>11</v>
      </c>
      <c r="E2964" s="1" t="s">
        <v>11</v>
      </c>
    </row>
    <row r="2965" spans="1:5" ht="15.75" customHeight="1">
      <c r="A2965" s="1">
        <v>630590</v>
      </c>
      <c r="B2965" s="1" t="s">
        <v>2991</v>
      </c>
      <c r="C2965" s="1" t="str">
        <f ca="1">IFERROR(__xludf.DUMMYFUNCTION("REGEXEXTRACT(B2965, ""^([^:]+)"")"),"Sacks and bags")</f>
        <v>Sacks and bags</v>
      </c>
      <c r="D2965" s="1" t="s">
        <v>11</v>
      </c>
      <c r="E2965" s="1" t="s">
        <v>11</v>
      </c>
    </row>
    <row r="2966" spans="1:5" ht="15.75" customHeight="1">
      <c r="A2966" s="1">
        <v>630612</v>
      </c>
      <c r="B2966" s="1" t="s">
        <v>2992</v>
      </c>
      <c r="C2966" s="1" t="str">
        <f ca="1">IFERROR(__xludf.DUMMYFUNCTION("REGEXEXTRACT(B2966, ""^([^:]+)"")"),"Tarpaulins, awnings and sunblinds")</f>
        <v>Tarpaulins, awnings and sunblinds</v>
      </c>
      <c r="D2966" s="1" t="s">
        <v>11</v>
      </c>
      <c r="E2966" s="1" t="s">
        <v>11</v>
      </c>
    </row>
    <row r="2967" spans="1:5" ht="15.75" customHeight="1">
      <c r="A2967" s="1">
        <v>630619</v>
      </c>
      <c r="B2967" s="1" t="s">
        <v>2993</v>
      </c>
      <c r="C2967" s="1" t="str">
        <f ca="1">IFERROR(__xludf.DUMMYFUNCTION("REGEXEXTRACT(B2967, ""^([^:]+)"")"),"Tarpaulins, awnings and sunblinds")</f>
        <v>Tarpaulins, awnings and sunblinds</v>
      </c>
      <c r="D2967" s="1" t="s">
        <v>11</v>
      </c>
      <c r="E2967" s="1" t="s">
        <v>11</v>
      </c>
    </row>
    <row r="2968" spans="1:5" ht="15.75" customHeight="1">
      <c r="A2968" s="1">
        <v>630622</v>
      </c>
      <c r="B2968" s="1" t="s">
        <v>2994</v>
      </c>
      <c r="C2968" s="1" t="str">
        <f ca="1">IFERROR(__xludf.DUMMYFUNCTION("REGEXEXTRACT(B2968, ""^([^:]+)"")"),"Tents")</f>
        <v>Tents</v>
      </c>
      <c r="D2968" s="1" t="s">
        <v>11</v>
      </c>
      <c r="E2968" s="1" t="s">
        <v>11</v>
      </c>
    </row>
    <row r="2969" spans="1:5" ht="15.75" customHeight="1">
      <c r="A2969" s="1">
        <v>630629</v>
      </c>
      <c r="B2969" s="1" t="s">
        <v>2995</v>
      </c>
      <c r="C2969" s="1" t="str">
        <f ca="1">IFERROR(__xludf.DUMMYFUNCTION("REGEXEXTRACT(B2969, ""^([^:]+)"")"),"Tents")</f>
        <v>Tents</v>
      </c>
      <c r="D2969" s="1" t="s">
        <v>11</v>
      </c>
      <c r="E2969" s="1" t="s">
        <v>11</v>
      </c>
    </row>
    <row r="2970" spans="1:5" ht="15.75" customHeight="1">
      <c r="A2970" s="1">
        <v>630630</v>
      </c>
      <c r="B2970" s="1" t="s">
        <v>2996</v>
      </c>
      <c r="C2970" s="1" t="str">
        <f ca="1">IFERROR(__xludf.DUMMYFUNCTION("REGEXEXTRACT(B2970, ""^([^:]+)"")"),"Sails")</f>
        <v>Sails</v>
      </c>
      <c r="D2970" s="1" t="s">
        <v>11</v>
      </c>
      <c r="E2970" s="1" t="s">
        <v>11</v>
      </c>
    </row>
    <row r="2971" spans="1:5" ht="15.75" customHeight="1">
      <c r="A2971" s="1">
        <v>630640</v>
      </c>
      <c r="B2971" s="1" t="s">
        <v>2997</v>
      </c>
      <c r="C2971" s="1" t="str">
        <f ca="1">IFERROR(__xludf.DUMMYFUNCTION("REGEXEXTRACT(B2971, ""^([^:]+)"")"),"Pneumatic mattresses")</f>
        <v>Pneumatic mattresses</v>
      </c>
      <c r="D2971" s="1" t="s">
        <v>11</v>
      </c>
      <c r="E2971" s="1" t="s">
        <v>11</v>
      </c>
    </row>
    <row r="2972" spans="1:5" ht="15.75" customHeight="1">
      <c r="A2972" s="1">
        <v>630691</v>
      </c>
      <c r="B2972" s="1" t="s">
        <v>2998</v>
      </c>
      <c r="C2972" s="1" t="str">
        <f ca="1">IFERROR(__xludf.DUMMYFUNCTION("REGEXEXTRACT(B2972, ""^([^:]+)"")"),"Sailboards, landcraft or camping goods")</f>
        <v>Sailboards, landcraft or camping goods</v>
      </c>
      <c r="D2972" s="1" t="s">
        <v>11</v>
      </c>
      <c r="E2972" s="1" t="s">
        <v>11</v>
      </c>
    </row>
    <row r="2973" spans="1:5" ht="15.75" customHeight="1">
      <c r="A2973" s="1">
        <v>630699</v>
      </c>
      <c r="B2973" s="1" t="s">
        <v>2999</v>
      </c>
      <c r="C2973" s="1" t="str">
        <f ca="1">IFERROR(__xludf.DUMMYFUNCTION("REGEXEXTRACT(B2973, ""^([^:]+)"")"),"Sailboards, landcraft or camping goods")</f>
        <v>Sailboards, landcraft or camping goods</v>
      </c>
      <c r="D2973" s="1" t="s">
        <v>11</v>
      </c>
      <c r="E2973" s="1" t="s">
        <v>11</v>
      </c>
    </row>
    <row r="2974" spans="1:5" ht="15.75" customHeight="1">
      <c r="A2974" s="1">
        <v>630710</v>
      </c>
      <c r="B2974" s="1" t="s">
        <v>3000</v>
      </c>
      <c r="C2974" s="1" t="str">
        <f ca="1">IFERROR(__xludf.DUMMYFUNCTION("REGEXEXTRACT(B2974, ""^([^:]+)"")"),"Cloths")</f>
        <v>Cloths</v>
      </c>
      <c r="D2974" s="1" t="s">
        <v>11</v>
      </c>
      <c r="E2974" s="1" t="s">
        <v>11</v>
      </c>
    </row>
    <row r="2975" spans="1:5" ht="15.75" customHeight="1">
      <c r="A2975" s="1">
        <v>630720</v>
      </c>
      <c r="B2975" s="1" t="s">
        <v>3001</v>
      </c>
      <c r="C2975" s="1" t="str">
        <f ca="1">IFERROR(__xludf.DUMMYFUNCTION("REGEXEXTRACT(B2975, ""^([^:]+)"")"),"Life-jackets and life-belts")</f>
        <v>Life-jackets and life-belts</v>
      </c>
      <c r="D2975" s="1" t="s">
        <v>11</v>
      </c>
      <c r="E2975" s="1" t="s">
        <v>11</v>
      </c>
    </row>
    <row r="2976" spans="1:5" ht="15.75" customHeight="1">
      <c r="A2976" s="1">
        <v>630790</v>
      </c>
      <c r="B2976" s="1" t="s">
        <v>3002</v>
      </c>
      <c r="C2976" s="1" t="str">
        <f ca="1">IFERROR(__xludf.DUMMYFUNCTION("REGEXEXTRACT(B2976, ""^([^:]+)"")"),"Textiles")</f>
        <v>Textiles</v>
      </c>
      <c r="D2976" s="1" t="s">
        <v>11</v>
      </c>
      <c r="E2976" s="1" t="s">
        <v>11</v>
      </c>
    </row>
    <row r="2977" spans="1:5" ht="15.75" customHeight="1">
      <c r="A2977" s="1">
        <v>630800</v>
      </c>
      <c r="B2977" s="1" t="s">
        <v>3003</v>
      </c>
      <c r="C2977" s="1" t="str">
        <f ca="1">IFERROR(__xludf.DUMMYFUNCTION("REGEXEXTRACT(B2977, ""^([^:]+)"")"),"Fabrics, woven and yarn")</f>
        <v>Fabrics, woven and yarn</v>
      </c>
      <c r="D2977" s="1" t="s">
        <v>11</v>
      </c>
      <c r="E2977" s="1" t="s">
        <v>11</v>
      </c>
    </row>
    <row r="2978" spans="1:5" ht="15.75" customHeight="1">
      <c r="A2978" s="1">
        <v>630900</v>
      </c>
      <c r="B2978" s="1" t="s">
        <v>3004</v>
      </c>
      <c r="C2978" s="1" t="str">
        <f ca="1">IFERROR(__xludf.DUMMYFUNCTION("REGEXEXTRACT(B2978, ""^([^:]+)"")"),"Clothing")</f>
        <v>Clothing</v>
      </c>
      <c r="D2978" s="1" t="s">
        <v>11</v>
      </c>
      <c r="E2978" s="1" t="s">
        <v>11</v>
      </c>
    </row>
    <row r="2979" spans="1:5" ht="15.75" customHeight="1">
      <c r="A2979" s="1">
        <v>631010</v>
      </c>
      <c r="B2979" s="1" t="s">
        <v>3005</v>
      </c>
      <c r="C2979" s="1" t="str">
        <f ca="1">IFERROR(__xludf.DUMMYFUNCTION("REGEXEXTRACT(B2979, ""^([^:]+)"")"),"Rags")</f>
        <v>Rags</v>
      </c>
      <c r="D2979" s="1" t="s">
        <v>11</v>
      </c>
      <c r="E2979" s="1" t="s">
        <v>11</v>
      </c>
    </row>
    <row r="2980" spans="1:5" ht="15.75" customHeight="1">
      <c r="A2980" s="1">
        <v>631090</v>
      </c>
      <c r="B2980" s="1" t="s">
        <v>3006</v>
      </c>
      <c r="C2980" s="1" t="str">
        <f ca="1">IFERROR(__xludf.DUMMYFUNCTION("REGEXEXTRACT(B2980, ""^([^:]+)"")"),"Rags")</f>
        <v>Rags</v>
      </c>
      <c r="D2980" s="1" t="s">
        <v>11</v>
      </c>
      <c r="E2980" s="1" t="s">
        <v>11</v>
      </c>
    </row>
    <row r="2981" spans="1:5" ht="15.75" customHeight="1">
      <c r="A2981" s="1">
        <v>640110</v>
      </c>
      <c r="B2981" s="1" t="s">
        <v>3007</v>
      </c>
      <c r="C2981" s="1" t="str">
        <f ca="1">IFERROR(__xludf.DUMMYFUNCTION("REGEXEXTRACT(B2981, ""^([^:]+)"")"),"Footwear")</f>
        <v>Footwear</v>
      </c>
      <c r="D2981" s="1" t="s">
        <v>11</v>
      </c>
      <c r="E2981" s="1" t="s">
        <v>11</v>
      </c>
    </row>
    <row r="2982" spans="1:5" ht="15.75" customHeight="1">
      <c r="A2982" s="1">
        <v>640192</v>
      </c>
      <c r="B2982" s="1" t="s">
        <v>3008</v>
      </c>
      <c r="C2982" s="1" t="str">
        <f ca="1">IFERROR(__xludf.DUMMYFUNCTION("REGEXEXTRACT(B2982, ""^([^:]+)"")"),"Footwear")</f>
        <v>Footwear</v>
      </c>
      <c r="D2982" s="1" t="s">
        <v>11</v>
      </c>
      <c r="E2982" s="1" t="s">
        <v>11</v>
      </c>
    </row>
    <row r="2983" spans="1:5" ht="15.75" customHeight="1">
      <c r="A2983" s="1">
        <v>640199</v>
      </c>
      <c r="B2983" s="1" t="s">
        <v>3009</v>
      </c>
      <c r="C2983" s="1" t="str">
        <f ca="1">IFERROR(__xludf.DUMMYFUNCTION("REGEXEXTRACT(B2983, ""^([^:]+)"")"),"Footwear")</f>
        <v>Footwear</v>
      </c>
      <c r="D2983" s="1" t="s">
        <v>11</v>
      </c>
      <c r="E2983" s="1" t="s">
        <v>11</v>
      </c>
    </row>
    <row r="2984" spans="1:5" ht="15.75" customHeight="1">
      <c r="A2984" s="1">
        <v>640212</v>
      </c>
      <c r="B2984" s="1" t="s">
        <v>3010</v>
      </c>
      <c r="C2984" s="1" t="str">
        <f ca="1">IFERROR(__xludf.DUMMYFUNCTION("REGEXEXTRACT(B2984, ""^([^:]+)"")"),"Sports footwear")</f>
        <v>Sports footwear</v>
      </c>
      <c r="D2984" s="1" t="s">
        <v>11</v>
      </c>
      <c r="E2984" s="1" t="s">
        <v>11</v>
      </c>
    </row>
    <row r="2985" spans="1:5" ht="15.75" customHeight="1">
      <c r="A2985" s="1">
        <v>640219</v>
      </c>
      <c r="B2985" s="1" t="s">
        <v>3011</v>
      </c>
      <c r="C2985" s="1" t="str">
        <f ca="1">IFERROR(__xludf.DUMMYFUNCTION("REGEXEXTRACT(B2985, ""^([^:]+)"")"),"Sports footwear")</f>
        <v>Sports footwear</v>
      </c>
      <c r="D2985" s="1" t="s">
        <v>11</v>
      </c>
      <c r="E2985" s="1" t="s">
        <v>11</v>
      </c>
    </row>
    <row r="2986" spans="1:5" ht="15.75" customHeight="1">
      <c r="A2986" s="1">
        <v>640220</v>
      </c>
      <c r="B2986" s="1" t="s">
        <v>3012</v>
      </c>
      <c r="C2986" s="1" t="str">
        <f ca="1">IFERROR(__xludf.DUMMYFUNCTION("REGEXEXTRACT(B2986, ""^([^:]+)"")"),"Footwear")</f>
        <v>Footwear</v>
      </c>
      <c r="D2986" s="1" t="s">
        <v>11</v>
      </c>
      <c r="E2986" s="1" t="s">
        <v>11</v>
      </c>
    </row>
    <row r="2987" spans="1:5" ht="15.75" customHeight="1">
      <c r="A2987" s="1">
        <v>640291</v>
      </c>
      <c r="B2987" s="1" t="s">
        <v>3013</v>
      </c>
      <c r="C2987" s="1" t="str">
        <f ca="1">IFERROR(__xludf.DUMMYFUNCTION("REGEXEXTRACT(B2987, ""^([^:]+)"")"),"Footwear")</f>
        <v>Footwear</v>
      </c>
      <c r="D2987" s="1" t="s">
        <v>11</v>
      </c>
      <c r="E2987" s="1" t="s">
        <v>11</v>
      </c>
    </row>
    <row r="2988" spans="1:5" ht="15.75" customHeight="1">
      <c r="A2988" s="1">
        <v>640299</v>
      </c>
      <c r="B2988" s="1" t="s">
        <v>3014</v>
      </c>
      <c r="C2988" s="1" t="str">
        <f ca="1">IFERROR(__xludf.DUMMYFUNCTION("REGEXEXTRACT(B2988, ""^([^:]+)"")"),"Footwear")</f>
        <v>Footwear</v>
      </c>
      <c r="D2988" s="1" t="s">
        <v>11</v>
      </c>
      <c r="E2988" s="1" t="s">
        <v>11</v>
      </c>
    </row>
    <row r="2989" spans="1:5" ht="15.75" customHeight="1">
      <c r="A2989" s="1">
        <v>640312</v>
      </c>
      <c r="B2989" s="1" t="s">
        <v>3015</v>
      </c>
      <c r="C2989" s="1" t="str">
        <f ca="1">IFERROR(__xludf.DUMMYFUNCTION("REGEXEXTRACT(B2989, ""^([^:]+)"")"),"Sports footwear")</f>
        <v>Sports footwear</v>
      </c>
      <c r="D2989" s="1" t="s">
        <v>11</v>
      </c>
      <c r="E2989" s="1" t="s">
        <v>11</v>
      </c>
    </row>
    <row r="2990" spans="1:5" ht="15.75" customHeight="1">
      <c r="A2990" s="1">
        <v>640319</v>
      </c>
      <c r="B2990" s="1" t="s">
        <v>3016</v>
      </c>
      <c r="C2990" s="1" t="str">
        <f ca="1">IFERROR(__xludf.DUMMYFUNCTION("REGEXEXTRACT(B2990, ""^([^:]+)"")"),"Sports footwear")</f>
        <v>Sports footwear</v>
      </c>
      <c r="D2990" s="1" t="s">
        <v>11</v>
      </c>
      <c r="E2990" s="1" t="s">
        <v>11</v>
      </c>
    </row>
    <row r="2991" spans="1:5" ht="15.75" customHeight="1">
      <c r="A2991" s="1">
        <v>640320</v>
      </c>
      <c r="B2991" s="1" t="s">
        <v>3017</v>
      </c>
      <c r="C2991" s="1" t="str">
        <f ca="1">IFERROR(__xludf.DUMMYFUNCTION("REGEXEXTRACT(B2991, ""^([^:]+)"")"),"Footwear")</f>
        <v>Footwear</v>
      </c>
      <c r="D2991" s="1" t="s">
        <v>11</v>
      </c>
      <c r="E2991" s="1" t="s">
        <v>11</v>
      </c>
    </row>
    <row r="2992" spans="1:5" ht="15.75" customHeight="1">
      <c r="A2992" s="1">
        <v>640340</v>
      </c>
      <c r="B2992" s="1" t="s">
        <v>3018</v>
      </c>
      <c r="C2992" s="1" t="str">
        <f ca="1">IFERROR(__xludf.DUMMYFUNCTION("REGEXEXTRACT(B2992, ""^([^:]+)"")"),"Footwear")</f>
        <v>Footwear</v>
      </c>
      <c r="D2992" s="1" t="s">
        <v>11</v>
      </c>
      <c r="E2992" s="1" t="s">
        <v>11</v>
      </c>
    </row>
    <row r="2993" spans="1:5" ht="15.75" customHeight="1">
      <c r="A2993" s="1">
        <v>640351</v>
      </c>
      <c r="B2993" s="1" t="s">
        <v>3019</v>
      </c>
      <c r="C2993" s="1" t="str">
        <f ca="1">IFERROR(__xludf.DUMMYFUNCTION("REGEXEXTRACT(B2993, ""^([^:]+)"")"),"Footwear")</f>
        <v>Footwear</v>
      </c>
      <c r="D2993" s="1" t="s">
        <v>11</v>
      </c>
      <c r="E2993" s="1" t="s">
        <v>11</v>
      </c>
    </row>
    <row r="2994" spans="1:5" ht="15.75" customHeight="1">
      <c r="A2994" s="1">
        <v>640359</v>
      </c>
      <c r="B2994" s="1" t="s">
        <v>3020</v>
      </c>
      <c r="C2994" s="1" t="str">
        <f ca="1">IFERROR(__xludf.DUMMYFUNCTION("REGEXEXTRACT(B2994, ""^([^:]+)"")"),"Footwear")</f>
        <v>Footwear</v>
      </c>
      <c r="D2994" s="1" t="s">
        <v>11</v>
      </c>
      <c r="E2994" s="1" t="s">
        <v>11</v>
      </c>
    </row>
    <row r="2995" spans="1:5" ht="15.75" customHeight="1">
      <c r="A2995" s="1">
        <v>640391</v>
      </c>
      <c r="B2995" s="1" t="s">
        <v>3021</v>
      </c>
      <c r="C2995" s="1" t="str">
        <f ca="1">IFERROR(__xludf.DUMMYFUNCTION("REGEXEXTRACT(B2995, ""^([^:]+)"")"),"Footwear")</f>
        <v>Footwear</v>
      </c>
      <c r="D2995" s="1" t="s">
        <v>11</v>
      </c>
      <c r="E2995" s="1" t="s">
        <v>11</v>
      </c>
    </row>
    <row r="2996" spans="1:5" ht="15.75" customHeight="1">
      <c r="A2996" s="1">
        <v>640399</v>
      </c>
      <c r="B2996" s="1" t="s">
        <v>3022</v>
      </c>
      <c r="C2996" s="1" t="str">
        <f ca="1">IFERROR(__xludf.DUMMYFUNCTION("REGEXEXTRACT(B2996, ""^([^:]+)"")"),"Footwear")</f>
        <v>Footwear</v>
      </c>
      <c r="D2996" s="1" t="s">
        <v>11</v>
      </c>
      <c r="E2996" s="1" t="s">
        <v>11</v>
      </c>
    </row>
    <row r="2997" spans="1:5" ht="15.75" customHeight="1">
      <c r="A2997" s="1">
        <v>640411</v>
      </c>
      <c r="B2997" s="1" t="s">
        <v>3023</v>
      </c>
      <c r="C2997" s="1" t="str">
        <f ca="1">IFERROR(__xludf.DUMMYFUNCTION("REGEXEXTRACT(B2997, ""^([^:]+)"")"),"Sports footwear")</f>
        <v>Sports footwear</v>
      </c>
      <c r="D2997" s="1" t="s">
        <v>11</v>
      </c>
      <c r="E2997" s="1" t="s">
        <v>11</v>
      </c>
    </row>
    <row r="2998" spans="1:5" ht="15.75" customHeight="1">
      <c r="A2998" s="1">
        <v>640419</v>
      </c>
      <c r="B2998" s="1" t="s">
        <v>3024</v>
      </c>
      <c r="C2998" s="1" t="str">
        <f ca="1">IFERROR(__xludf.DUMMYFUNCTION("REGEXEXTRACT(B2998, ""^([^:]+)"")"),"Footwear")</f>
        <v>Footwear</v>
      </c>
      <c r="D2998" s="1" t="s">
        <v>11</v>
      </c>
      <c r="E2998" s="1" t="s">
        <v>11</v>
      </c>
    </row>
    <row r="2999" spans="1:5" ht="15.75" customHeight="1">
      <c r="A2999" s="1">
        <v>640420</v>
      </c>
      <c r="B2999" s="1" t="s">
        <v>3025</v>
      </c>
      <c r="C2999" s="1" t="str">
        <f ca="1">IFERROR(__xludf.DUMMYFUNCTION("REGEXEXTRACT(B2999, ""^([^:]+)"")"),"Footwear")</f>
        <v>Footwear</v>
      </c>
      <c r="D2999" s="1" t="s">
        <v>11</v>
      </c>
      <c r="E2999" s="1" t="s">
        <v>11</v>
      </c>
    </row>
    <row r="3000" spans="1:5" ht="15.75" customHeight="1">
      <c r="A3000" s="1">
        <v>640510</v>
      </c>
      <c r="B3000" s="1" t="s">
        <v>3026</v>
      </c>
      <c r="C3000" s="1" t="str">
        <f ca="1">IFERROR(__xludf.DUMMYFUNCTION("REGEXEXTRACT(B3000, ""^([^:]+)"")"),"Footwear")</f>
        <v>Footwear</v>
      </c>
      <c r="D3000" s="1" t="s">
        <v>11</v>
      </c>
      <c r="E3000" s="1" t="s">
        <v>11</v>
      </c>
    </row>
    <row r="3001" spans="1:5" ht="15.75" customHeight="1">
      <c r="A3001" s="1">
        <v>640520</v>
      </c>
      <c r="B3001" s="1" t="s">
        <v>3027</v>
      </c>
      <c r="C3001" s="1" t="str">
        <f ca="1">IFERROR(__xludf.DUMMYFUNCTION("REGEXEXTRACT(B3001, ""^([^:]+)"")"),"Footwear")</f>
        <v>Footwear</v>
      </c>
      <c r="D3001" s="1" t="s">
        <v>11</v>
      </c>
      <c r="E3001" s="1" t="s">
        <v>11</v>
      </c>
    </row>
    <row r="3002" spans="1:5" ht="15.75" customHeight="1">
      <c r="A3002" s="1">
        <v>640590</v>
      </c>
      <c r="B3002" s="1" t="s">
        <v>3028</v>
      </c>
      <c r="C3002" s="1" t="str">
        <f ca="1">IFERROR(__xludf.DUMMYFUNCTION("REGEXEXTRACT(B3002, ""^([^:]+)"")"),"Footwear")</f>
        <v>Footwear</v>
      </c>
      <c r="D3002" s="1" t="s">
        <v>11</v>
      </c>
      <c r="E3002" s="1" t="s">
        <v>11</v>
      </c>
    </row>
    <row r="3003" spans="1:5" ht="15.75" customHeight="1">
      <c r="A3003" s="1">
        <v>640610</v>
      </c>
      <c r="B3003" s="1" t="s">
        <v>3029</v>
      </c>
      <c r="C3003" s="1" t="str">
        <f ca="1">IFERROR(__xludf.DUMMYFUNCTION("REGEXEXTRACT(B3003, ""^([^:]+)"")"),"Footwear")</f>
        <v>Footwear</v>
      </c>
      <c r="D3003" s="1" t="s">
        <v>11</v>
      </c>
      <c r="E3003" s="1" t="s">
        <v>11</v>
      </c>
    </row>
    <row r="3004" spans="1:5" ht="15.75" customHeight="1">
      <c r="A3004" s="1">
        <v>640620</v>
      </c>
      <c r="B3004" s="1" t="s">
        <v>3030</v>
      </c>
      <c r="C3004" s="1" t="str">
        <f ca="1">IFERROR(__xludf.DUMMYFUNCTION("REGEXEXTRACT(B3004, ""^([^:]+)"")"),"Footwear")</f>
        <v>Footwear</v>
      </c>
      <c r="D3004" s="1" t="s">
        <v>11</v>
      </c>
      <c r="E3004" s="1" t="s">
        <v>11</v>
      </c>
    </row>
    <row r="3005" spans="1:5" ht="15.75" customHeight="1">
      <c r="A3005" s="1">
        <v>640691</v>
      </c>
      <c r="B3005" s="1" t="s">
        <v>3031</v>
      </c>
      <c r="C3005" s="1" t="str">
        <f ca="1">IFERROR(__xludf.DUMMYFUNCTION("REGEXEXTRACT(B3005, ""^([^:]+)"")"),"Footwear")</f>
        <v>Footwear</v>
      </c>
      <c r="D3005" s="1" t="s">
        <v>11</v>
      </c>
      <c r="E3005" s="1" t="s">
        <v>11</v>
      </c>
    </row>
    <row r="3006" spans="1:5" ht="15.75" customHeight="1">
      <c r="A3006" s="1">
        <v>640699</v>
      </c>
      <c r="B3006" s="1" t="s">
        <v>3032</v>
      </c>
      <c r="C3006" s="1" t="str">
        <f ca="1">IFERROR(__xludf.DUMMYFUNCTION("REGEXEXTRACT(B3006, ""^([^:]+)"")"),"Footwear")</f>
        <v>Footwear</v>
      </c>
      <c r="D3006" s="1" t="s">
        <v>11</v>
      </c>
      <c r="E3006" s="1" t="s">
        <v>11</v>
      </c>
    </row>
    <row r="3007" spans="1:5" ht="15.75" customHeight="1">
      <c r="A3007" s="1">
        <v>650100</v>
      </c>
      <c r="B3007" s="1" t="s">
        <v>3033</v>
      </c>
      <c r="C3007" s="1" t="str">
        <f ca="1">IFERROR(__xludf.DUMMYFUNCTION("REGEXEXTRACT(B3007, ""^([^:]+)"")"),"Hat-forms, hat bodies and hoods of felt, neither blocked to shape nor with made brims")</f>
        <v>Hat-forms, hat bodies and hoods of felt, neither blocked to shape nor with made brims</v>
      </c>
      <c r="D3007" s="1" t="s">
        <v>11</v>
      </c>
      <c r="E3007" s="1" t="s">
        <v>11</v>
      </c>
    </row>
    <row r="3008" spans="1:5" ht="15.75" customHeight="1">
      <c r="A3008" s="1">
        <v>650200</v>
      </c>
      <c r="B3008" s="1" t="s">
        <v>3034</v>
      </c>
      <c r="C3008" s="1" t="str">
        <f ca="1">IFERROR(__xludf.DUMMYFUNCTION("REGEXEXTRACT(B3008, ""^([^:]+)"")"),"Hat-shapes")</f>
        <v>Hat-shapes</v>
      </c>
      <c r="D3008" s="1" t="s">
        <v>11</v>
      </c>
      <c r="E3008" s="1" t="s">
        <v>11</v>
      </c>
    </row>
    <row r="3009" spans="1:5" ht="15.75" customHeight="1">
      <c r="A3009" s="1">
        <v>650400</v>
      </c>
      <c r="B3009" s="1" t="s">
        <v>3035</v>
      </c>
      <c r="C3009" s="1" t="str">
        <f ca="1">IFERROR(__xludf.DUMMYFUNCTION("REGEXEXTRACT(B3009, ""^([^:]+)"")"),"Hats and other headgear")</f>
        <v>Hats and other headgear</v>
      </c>
      <c r="D3009" s="1" t="s">
        <v>11</v>
      </c>
      <c r="E3009" s="1" t="s">
        <v>11</v>
      </c>
    </row>
    <row r="3010" spans="1:5" ht="15.75" customHeight="1">
      <c r="A3010" s="1">
        <v>650510</v>
      </c>
      <c r="B3010" s="1" t="s">
        <v>3036</v>
      </c>
      <c r="C3010" s="1" t="str">
        <f ca="1">IFERROR(__xludf.DUMMYFUNCTION("REGEXEXTRACT(B3010, ""^([^:]+)"")"),"Hair-nets")</f>
        <v>Hair-nets</v>
      </c>
      <c r="D3010" s="1" t="s">
        <v>11</v>
      </c>
      <c r="E3010" s="1" t="s">
        <v>11</v>
      </c>
    </row>
    <row r="3011" spans="1:5" ht="15.75" customHeight="1">
      <c r="A3011" s="1">
        <v>650590</v>
      </c>
      <c r="B3011" s="1" t="s">
        <v>3037</v>
      </c>
      <c r="C3011" s="1" t="str">
        <f ca="1">IFERROR(__xludf.DUMMYFUNCTION("REGEXEXTRACT(B3011, ""^([^:]+)"")"),"Hats and other headgear")</f>
        <v>Hats and other headgear</v>
      </c>
      <c r="D3011" s="1" t="s">
        <v>11</v>
      </c>
      <c r="E3011" s="1" t="s">
        <v>11</v>
      </c>
    </row>
    <row r="3012" spans="1:5" ht="15.75" customHeight="1">
      <c r="A3012" s="1">
        <v>650610</v>
      </c>
      <c r="B3012" s="1" t="s">
        <v>3038</v>
      </c>
      <c r="C3012" s="1" t="str">
        <f ca="1">IFERROR(__xludf.DUMMYFUNCTION("REGEXEXTRACT(B3012, ""^([^:]+)"")"),"Headgear")</f>
        <v>Headgear</v>
      </c>
      <c r="D3012" s="1" t="s">
        <v>11</v>
      </c>
      <c r="E3012" s="1" t="s">
        <v>11</v>
      </c>
    </row>
    <row r="3013" spans="1:5" ht="15.75" customHeight="1">
      <c r="A3013" s="1">
        <v>650691</v>
      </c>
      <c r="B3013" s="1" t="s">
        <v>3039</v>
      </c>
      <c r="C3013" s="1" t="str">
        <f ca="1">IFERROR(__xludf.DUMMYFUNCTION("REGEXEXTRACT(B3013, ""^([^:]+)"")"),"Headgear")</f>
        <v>Headgear</v>
      </c>
      <c r="D3013" s="1" t="s">
        <v>11</v>
      </c>
      <c r="E3013" s="1" t="s">
        <v>11</v>
      </c>
    </row>
    <row r="3014" spans="1:5" ht="15.75" customHeight="1">
      <c r="A3014" s="1">
        <v>650699</v>
      </c>
      <c r="B3014" s="1" t="s">
        <v>3040</v>
      </c>
      <c r="C3014" s="1" t="str">
        <f ca="1">IFERROR(__xludf.DUMMYFUNCTION("REGEXEXTRACT(B3014, ""^([^:]+)"")"),"Headgear")</f>
        <v>Headgear</v>
      </c>
      <c r="D3014" s="1" t="s">
        <v>11</v>
      </c>
      <c r="E3014" s="1" t="s">
        <v>11</v>
      </c>
    </row>
    <row r="3015" spans="1:5" ht="15.75" customHeight="1">
      <c r="A3015" s="1">
        <v>650700</v>
      </c>
      <c r="B3015" s="1" t="s">
        <v>3041</v>
      </c>
      <c r="C3015" s="1" t="str">
        <f ca="1">IFERROR(__xludf.DUMMYFUNCTION("REGEXEXTRACT(B3015, ""^([^:]+)"")"),"Head-bands, linings, covers, hat foundations, hat frames, peaks and chinstraps")</f>
        <v>Head-bands, linings, covers, hat foundations, hat frames, peaks and chinstraps</v>
      </c>
      <c r="D3015" s="1" t="s">
        <v>11</v>
      </c>
      <c r="E3015" s="1" t="s">
        <v>11</v>
      </c>
    </row>
    <row r="3016" spans="1:5" ht="15.75" customHeight="1">
      <c r="A3016" s="1">
        <v>660110</v>
      </c>
      <c r="B3016" s="1" t="s">
        <v>3042</v>
      </c>
      <c r="C3016" s="1" t="str">
        <f ca="1">IFERROR(__xludf.DUMMYFUNCTION("REGEXEXTRACT(B3016, ""^([^:]+)"")"),"Umbrellas and sun umbrellas")</f>
        <v>Umbrellas and sun umbrellas</v>
      </c>
      <c r="D3016" s="1" t="s">
        <v>11</v>
      </c>
      <c r="E3016" s="1" t="s">
        <v>11</v>
      </c>
    </row>
    <row r="3017" spans="1:5" ht="15.75" customHeight="1">
      <c r="A3017" s="1">
        <v>660191</v>
      </c>
      <c r="B3017" s="1" t="s">
        <v>3043</v>
      </c>
      <c r="C3017" s="1" t="str">
        <f ca="1">IFERROR(__xludf.DUMMYFUNCTION("REGEXEXTRACT(B3017, ""^([^:]+)"")"),"Umbrellas and sun umbrellas")</f>
        <v>Umbrellas and sun umbrellas</v>
      </c>
      <c r="D3017" s="1" t="s">
        <v>11</v>
      </c>
      <c r="E3017" s="1" t="s">
        <v>11</v>
      </c>
    </row>
    <row r="3018" spans="1:5" ht="15.75" customHeight="1">
      <c r="A3018" s="1">
        <v>660199</v>
      </c>
      <c r="B3018" s="1" t="s">
        <v>3044</v>
      </c>
      <c r="C3018" s="1" t="str">
        <f ca="1">IFERROR(__xludf.DUMMYFUNCTION("REGEXEXTRACT(B3018, ""^([^:]+)"")"),"Umbrellas and sun umbrellas")</f>
        <v>Umbrellas and sun umbrellas</v>
      </c>
      <c r="D3018" s="1" t="s">
        <v>11</v>
      </c>
      <c r="E3018" s="1" t="s">
        <v>11</v>
      </c>
    </row>
    <row r="3019" spans="1:5" ht="15.75" customHeight="1">
      <c r="A3019" s="1">
        <v>660200</v>
      </c>
      <c r="B3019" s="1" t="s">
        <v>3045</v>
      </c>
      <c r="C3019" s="1" t="str">
        <f ca="1">IFERROR(__xludf.DUMMYFUNCTION("REGEXEXTRACT(B3019, ""^([^:]+)"")"),"Walking-sticks, seat-sticks, whips, riding-crops and the like")</f>
        <v>Walking-sticks, seat-sticks, whips, riding-crops and the like</v>
      </c>
      <c r="D3019" s="1" t="s">
        <v>11</v>
      </c>
      <c r="E3019" s="1" t="s">
        <v>11</v>
      </c>
    </row>
    <row r="3020" spans="1:5" ht="15.75" customHeight="1">
      <c r="A3020" s="1">
        <v>660320</v>
      </c>
      <c r="B3020" s="1" t="s">
        <v>3046</v>
      </c>
      <c r="C3020" s="1" t="str">
        <f ca="1">IFERROR(__xludf.DUMMYFUNCTION("REGEXEXTRACT(B3020, ""^([^:]+)"")"),"Umbrella frames")</f>
        <v>Umbrella frames</v>
      </c>
      <c r="D3020" s="1" t="s">
        <v>11</v>
      </c>
      <c r="E3020" s="1" t="s">
        <v>11</v>
      </c>
    </row>
    <row r="3021" spans="1:5" ht="15.75" customHeight="1">
      <c r="A3021" s="1">
        <v>660390</v>
      </c>
      <c r="B3021" s="1" t="s">
        <v>3047</v>
      </c>
      <c r="C3021" s="1" t="str">
        <f ca="1">IFERROR(__xludf.DUMMYFUNCTION("REGEXEXTRACT(B3021, ""^([^:]+)"")"),"Trimmings, accessories and parts of articles of heading no. 6601 or 6602")</f>
        <v>Trimmings, accessories and parts of articles of heading no. 6601 or 6602</v>
      </c>
      <c r="D3021" s="1" t="s">
        <v>11</v>
      </c>
      <c r="E3021" s="1" t="s">
        <v>11</v>
      </c>
    </row>
    <row r="3022" spans="1:5" ht="15.75" customHeight="1">
      <c r="A3022" s="1">
        <v>670100</v>
      </c>
      <c r="B3022" s="1" t="s">
        <v>3048</v>
      </c>
      <c r="C3022" s="1" t="str">
        <f ca="1">IFERROR(__xludf.DUMMYFUNCTION("REGEXEXTRACT(B3022, ""^([^:]+)"")"),"Skins and other parts of birds with their feathers or down")</f>
        <v>Skins and other parts of birds with their feathers or down</v>
      </c>
      <c r="D3022" s="1" t="s">
        <v>11</v>
      </c>
      <c r="E3022" s="1" t="s">
        <v>11</v>
      </c>
    </row>
    <row r="3023" spans="1:5" ht="15.75" customHeight="1">
      <c r="A3023" s="1">
        <v>670210</v>
      </c>
      <c r="B3023" s="1" t="s">
        <v>3049</v>
      </c>
      <c r="C3023" s="1" t="str">
        <f ca="1">IFERROR(__xludf.DUMMYFUNCTION("REGEXEXTRACT(B3023, ""^([^:]+)"")"),"Flowers, foliage and fruit, artificial, and parts thereof")</f>
        <v>Flowers, foliage and fruit, artificial, and parts thereof</v>
      </c>
      <c r="D3023" s="1" t="s">
        <v>11</v>
      </c>
      <c r="E3023" s="1" t="s">
        <v>11</v>
      </c>
    </row>
    <row r="3024" spans="1:5" ht="15.75" customHeight="1">
      <c r="A3024" s="1">
        <v>670290</v>
      </c>
      <c r="B3024" s="1" t="s">
        <v>3050</v>
      </c>
      <c r="C3024" s="1" t="str">
        <f ca="1">IFERROR(__xludf.DUMMYFUNCTION("REGEXEXTRACT(B3024, ""^([^:]+)"")"),"Flowers, foliage and fruit, artificial, and parts thereof")</f>
        <v>Flowers, foliage and fruit, artificial, and parts thereof</v>
      </c>
      <c r="D3024" s="1" t="s">
        <v>11</v>
      </c>
      <c r="E3024" s="1" t="s">
        <v>11</v>
      </c>
    </row>
    <row r="3025" spans="1:5" ht="15.75" customHeight="1">
      <c r="A3025" s="1">
        <v>670300</v>
      </c>
      <c r="B3025" s="1" t="s">
        <v>3051</v>
      </c>
      <c r="C3025" s="1" t="str">
        <f ca="1">IFERROR(__xludf.DUMMYFUNCTION("REGEXEXTRACT(B3025, ""^([^:]+)"")"),"Human hair, dressed, thinned, bleached or otherwise worked")</f>
        <v>Human hair, dressed, thinned, bleached or otherwise worked</v>
      </c>
      <c r="D3025" s="1" t="s">
        <v>11</v>
      </c>
      <c r="E3025" s="1" t="s">
        <v>11</v>
      </c>
    </row>
    <row r="3026" spans="1:5" ht="15.75" customHeight="1">
      <c r="A3026" s="1">
        <v>670411</v>
      </c>
      <c r="B3026" s="1" t="s">
        <v>3052</v>
      </c>
      <c r="C3026" s="1" t="str">
        <f ca="1">IFERROR(__xludf.DUMMYFUNCTION("REGEXEXTRACT(B3026, ""^([^:]+)"")"),"Wigs")</f>
        <v>Wigs</v>
      </c>
      <c r="D3026" s="1" t="s">
        <v>11</v>
      </c>
      <c r="E3026" s="1" t="s">
        <v>11</v>
      </c>
    </row>
    <row r="3027" spans="1:5" ht="15.75" customHeight="1">
      <c r="A3027" s="1">
        <v>670419</v>
      </c>
      <c r="B3027" s="1" t="s">
        <v>3053</v>
      </c>
      <c r="C3027" s="1" t="str">
        <f ca="1">IFERROR(__xludf.DUMMYFUNCTION("REGEXEXTRACT(B3027, ""^([^:]+)"")"),"False beards, eyebrows and eyelashes, switches and the like")</f>
        <v>False beards, eyebrows and eyelashes, switches and the like</v>
      </c>
      <c r="D3027" s="1" t="s">
        <v>11</v>
      </c>
      <c r="E3027" s="1" t="s">
        <v>11</v>
      </c>
    </row>
    <row r="3028" spans="1:5" ht="15.75" customHeight="1">
      <c r="A3028" s="1">
        <v>670420</v>
      </c>
      <c r="B3028" s="1" t="s">
        <v>3054</v>
      </c>
      <c r="C3028" s="1" t="str">
        <f ca="1">IFERROR(__xludf.DUMMYFUNCTION("REGEXEXTRACT(B3028, ""^([^:]+)"")"),"Wigs, false beards, eyebrows and eyelashes, switches and the like and other articles n.e.c.")</f>
        <v>Wigs, false beards, eyebrows and eyelashes, switches and the like and other articles n.e.c.</v>
      </c>
      <c r="D3028" s="1" t="s">
        <v>11</v>
      </c>
      <c r="E3028" s="1" t="s">
        <v>11</v>
      </c>
    </row>
    <row r="3029" spans="1:5" ht="15.75" customHeight="1">
      <c r="A3029" s="1">
        <v>670490</v>
      </c>
      <c r="B3029" s="1" t="s">
        <v>3055</v>
      </c>
      <c r="C3029" s="1" t="str">
        <f ca="1">IFERROR(__xludf.DUMMYFUNCTION("REGEXEXTRACT(B3029, ""^([^:]+)"")"),"Wigs, false beards, eyebrows and eyelashes, switches and the like and other articles n.e.c.")</f>
        <v>Wigs, false beards, eyebrows and eyelashes, switches and the like and other articles n.e.c.</v>
      </c>
      <c r="D3029" s="1" t="s">
        <v>11</v>
      </c>
      <c r="E3029" s="1" t="s">
        <v>11</v>
      </c>
    </row>
    <row r="3030" spans="1:5" ht="15.75" customHeight="1">
      <c r="A3030" s="1">
        <v>680100</v>
      </c>
      <c r="B3030" s="1" t="s">
        <v>3056</v>
      </c>
      <c r="C3030" s="1" t="str">
        <f ca="1">IFERROR(__xludf.DUMMYFUNCTION("REGEXEXTRACT(B3030, ""^([^:]+)"")"),"Stone")</f>
        <v>Stone</v>
      </c>
      <c r="D3030" s="1" t="s">
        <v>11</v>
      </c>
      <c r="E3030" s="1" t="s">
        <v>11</v>
      </c>
    </row>
    <row r="3031" spans="1:5" ht="15.75" customHeight="1">
      <c r="A3031" s="1">
        <v>680210</v>
      </c>
      <c r="B3031" s="1" t="s">
        <v>3057</v>
      </c>
      <c r="C3031" s="1" t="str">
        <f ca="1">IFERROR(__xludf.DUMMYFUNCTION("REGEXEXTRACT(B3031, ""^([^:]+)"")"),"Tiles, cubes and similar articles")</f>
        <v>Tiles, cubes and similar articles</v>
      </c>
      <c r="D3031" s="1" t="s">
        <v>11</v>
      </c>
      <c r="E3031" s="1" t="s">
        <v>11</v>
      </c>
    </row>
    <row r="3032" spans="1:5" ht="15.75" customHeight="1">
      <c r="A3032" s="1">
        <v>680221</v>
      </c>
      <c r="B3032" s="1" t="s">
        <v>3058</v>
      </c>
      <c r="C3032" s="1" t="str">
        <f ca="1">IFERROR(__xludf.DUMMYFUNCTION("REGEXEXTRACT(B3032, ""^([^:]+)"")"),"Marble, travertine and alabaster")</f>
        <v>Marble, travertine and alabaster</v>
      </c>
      <c r="D3032" s="1" t="s">
        <v>11</v>
      </c>
      <c r="E3032" s="1" t="s">
        <v>11</v>
      </c>
    </row>
    <row r="3033" spans="1:5" ht="15.75" customHeight="1">
      <c r="A3033" s="1">
        <v>680223</v>
      </c>
      <c r="B3033" s="1" t="s">
        <v>3059</v>
      </c>
      <c r="C3033" s="1" t="str">
        <f ca="1">IFERROR(__xludf.DUMMYFUNCTION("REGEXEXTRACT(B3033, ""^([^:]+)"")"),"Granite")</f>
        <v>Granite</v>
      </c>
      <c r="D3033" s="1" t="s">
        <v>11</v>
      </c>
      <c r="E3033" s="1" t="s">
        <v>11</v>
      </c>
    </row>
    <row r="3034" spans="1:5" ht="15.75" customHeight="1">
      <c r="A3034" s="1">
        <v>680229</v>
      </c>
      <c r="B3034" s="1" t="s">
        <v>3060</v>
      </c>
      <c r="C3034" s="1" t="str">
        <f ca="1">IFERROR(__xludf.DUMMYFUNCTION("REGEXEXTRACT(B3034, ""^([^:]+)"")"),"Stone")</f>
        <v>Stone</v>
      </c>
      <c r="D3034" s="1" t="s">
        <v>11</v>
      </c>
      <c r="E3034" s="1" t="s">
        <v>11</v>
      </c>
    </row>
    <row r="3035" spans="1:5" ht="15.75" customHeight="1">
      <c r="A3035" s="1">
        <v>680291</v>
      </c>
      <c r="B3035" s="1" t="s">
        <v>3061</v>
      </c>
      <c r="C3035" s="1" t="str">
        <f ca="1">IFERROR(__xludf.DUMMYFUNCTION("REGEXEXTRACT(B3035, ""^([^:]+)"")"),"Marble, travertine and alabaster")</f>
        <v>Marble, travertine and alabaster</v>
      </c>
      <c r="D3035" s="1" t="s">
        <v>11</v>
      </c>
      <c r="E3035" s="1" t="s">
        <v>11</v>
      </c>
    </row>
    <row r="3036" spans="1:5" ht="15.75" customHeight="1">
      <c r="A3036" s="1">
        <v>680292</v>
      </c>
      <c r="B3036" s="1" t="s">
        <v>3062</v>
      </c>
      <c r="C3036" s="1" t="str">
        <f ca="1">IFERROR(__xludf.DUMMYFUNCTION("REGEXEXTRACT(B3036, ""^([^:]+)"")"),"Stone")</f>
        <v>Stone</v>
      </c>
      <c r="D3036" s="1" t="s">
        <v>11</v>
      </c>
      <c r="E3036" s="1" t="s">
        <v>11</v>
      </c>
    </row>
    <row r="3037" spans="1:5" ht="15.75" customHeight="1">
      <c r="A3037" s="1">
        <v>680293</v>
      </c>
      <c r="B3037" s="1" t="s">
        <v>3063</v>
      </c>
      <c r="C3037" s="1" t="str">
        <f ca="1">IFERROR(__xludf.DUMMYFUNCTION("REGEXEXTRACT(B3037, ""^([^:]+)"")"),"Granite")</f>
        <v>Granite</v>
      </c>
      <c r="D3037" s="1" t="s">
        <v>11</v>
      </c>
      <c r="E3037" s="1" t="s">
        <v>11</v>
      </c>
    </row>
    <row r="3038" spans="1:5" ht="15.75" customHeight="1">
      <c r="A3038" s="1">
        <v>680299</v>
      </c>
      <c r="B3038" s="1" t="s">
        <v>3064</v>
      </c>
      <c r="C3038" s="1" t="str">
        <f ca="1">IFERROR(__xludf.DUMMYFUNCTION("REGEXEXTRACT(B3038, ""^([^:]+)"")"),"Stone")</f>
        <v>Stone</v>
      </c>
      <c r="D3038" s="1" t="s">
        <v>11</v>
      </c>
      <c r="E3038" s="1" t="s">
        <v>11</v>
      </c>
    </row>
    <row r="3039" spans="1:5" ht="15.75" customHeight="1">
      <c r="A3039" s="1">
        <v>680300</v>
      </c>
      <c r="B3039" s="1" t="s">
        <v>3065</v>
      </c>
      <c r="C3039" s="1" t="str">
        <f ca="1">IFERROR(__xludf.DUMMYFUNCTION("REGEXEXTRACT(B3039, ""^([^:]+)"")"),"Slate, worked")</f>
        <v>Slate, worked</v>
      </c>
      <c r="D3039" s="1" t="s">
        <v>11</v>
      </c>
      <c r="E3039" s="1" t="s">
        <v>11</v>
      </c>
    </row>
    <row r="3040" spans="1:5" ht="15.75" customHeight="1">
      <c r="A3040" s="1">
        <v>680410</v>
      </c>
      <c r="B3040" s="1" t="s">
        <v>3066</v>
      </c>
      <c r="C3040" s="1" t="str">
        <f ca="1">IFERROR(__xludf.DUMMYFUNCTION("REGEXEXTRACT(B3040, ""^([^:]+)"")"),"Millstones and grindstones")</f>
        <v>Millstones and grindstones</v>
      </c>
      <c r="D3040" s="1" t="s">
        <v>11</v>
      </c>
      <c r="E3040" s="1" t="s">
        <v>11</v>
      </c>
    </row>
    <row r="3041" spans="1:5" ht="15.75" customHeight="1">
      <c r="A3041" s="1">
        <v>680421</v>
      </c>
      <c r="B3041" s="1" t="s">
        <v>3067</v>
      </c>
      <c r="C3041" s="1" t="str">
        <f ca="1">IFERROR(__xludf.DUMMYFUNCTION("REGEXEXTRACT(B3041, ""^([^:]+)"")"),"Millstones, grindstones, grinding wheels and the like")</f>
        <v>Millstones, grindstones, grinding wheels and the like</v>
      </c>
      <c r="D3041" s="1" t="s">
        <v>11</v>
      </c>
      <c r="E3041" s="1" t="s">
        <v>11</v>
      </c>
    </row>
    <row r="3042" spans="1:5" ht="15.75" customHeight="1">
      <c r="A3042" s="1">
        <v>680422</v>
      </c>
      <c r="B3042" s="1" t="s">
        <v>3068</v>
      </c>
      <c r="C3042" s="1" t="str">
        <f ca="1">IFERROR(__xludf.DUMMYFUNCTION("REGEXEXTRACT(B3042, ""^([^:]+)"")"),"Millstones, grindstones, grinding wheels and the like")</f>
        <v>Millstones, grindstones, grinding wheels and the like</v>
      </c>
      <c r="D3042" s="1" t="s">
        <v>11</v>
      </c>
      <c r="E3042" s="1" t="s">
        <v>11</v>
      </c>
    </row>
    <row r="3043" spans="1:5" ht="15.75" customHeight="1">
      <c r="A3043" s="1">
        <v>680423</v>
      </c>
      <c r="B3043" s="1" t="s">
        <v>3069</v>
      </c>
      <c r="C3043" s="1" t="str">
        <f ca="1">IFERROR(__xludf.DUMMYFUNCTION("REGEXEXTRACT(B3043, ""^([^:]+)"")"),"Millstones, grindstones, grinding wheels and the like")</f>
        <v>Millstones, grindstones, grinding wheels and the like</v>
      </c>
      <c r="D3043" s="1" t="s">
        <v>11</v>
      </c>
      <c r="E3043" s="1" t="s">
        <v>11</v>
      </c>
    </row>
    <row r="3044" spans="1:5" ht="15.75" customHeight="1">
      <c r="A3044" s="1">
        <v>680430</v>
      </c>
      <c r="B3044" s="1" t="s">
        <v>3070</v>
      </c>
      <c r="C3044" s="1" t="str">
        <f ca="1">IFERROR(__xludf.DUMMYFUNCTION("REGEXEXTRACT(B3044, ""^([^:]+)"")"),"Stones")</f>
        <v>Stones</v>
      </c>
      <c r="D3044" s="1" t="s">
        <v>11</v>
      </c>
      <c r="E3044" s="1" t="s">
        <v>11</v>
      </c>
    </row>
    <row r="3045" spans="1:5" ht="15.75" customHeight="1">
      <c r="A3045" s="1">
        <v>680510</v>
      </c>
      <c r="B3045" s="1" t="s">
        <v>3071</v>
      </c>
      <c r="C3045" s="1" t="str">
        <f ca="1">IFERROR(__xludf.DUMMYFUNCTION("REGEXEXTRACT(B3045, ""^([^:]+)"")"),"Abrasive powder or grain")</f>
        <v>Abrasive powder or grain</v>
      </c>
      <c r="D3045" s="1" t="s">
        <v>11</v>
      </c>
      <c r="E3045" s="1" t="s">
        <v>11</v>
      </c>
    </row>
    <row r="3046" spans="1:5" ht="15.75" customHeight="1">
      <c r="A3046" s="1">
        <v>680520</v>
      </c>
      <c r="B3046" s="1" t="s">
        <v>3072</v>
      </c>
      <c r="C3046" s="1" t="str">
        <f ca="1">IFERROR(__xludf.DUMMYFUNCTION("REGEXEXTRACT(B3046, ""^([^:]+)"")"),"Abrasive powder or grain")</f>
        <v>Abrasive powder or grain</v>
      </c>
      <c r="D3046" s="1" t="s">
        <v>11</v>
      </c>
      <c r="E3046" s="1" t="s">
        <v>11</v>
      </c>
    </row>
    <row r="3047" spans="1:5" ht="15.75" customHeight="1">
      <c r="A3047" s="1">
        <v>680530</v>
      </c>
      <c r="B3047" s="1" t="s">
        <v>3073</v>
      </c>
      <c r="C3047" s="1" t="str">
        <f ca="1">IFERROR(__xludf.DUMMYFUNCTION("REGEXEXTRACT(B3047, ""^([^:]+)"")"),"Abrasive powder or grain")</f>
        <v>Abrasive powder or grain</v>
      </c>
      <c r="D3047" s="1" t="s">
        <v>11</v>
      </c>
      <c r="E3047" s="1" t="s">
        <v>11</v>
      </c>
    </row>
    <row r="3048" spans="1:5" ht="15.75" customHeight="1">
      <c r="A3048" s="1">
        <v>680610</v>
      </c>
      <c r="B3048" s="1" t="s">
        <v>3074</v>
      </c>
      <c r="C3048" s="1" t="str">
        <f ca="1">IFERROR(__xludf.DUMMYFUNCTION("REGEXEXTRACT(B3048, ""^([^:]+)"")"),"Slag wool, rock wool and similar mineral wools (including intermixtures thereof), in bulk, sheets or rolls")</f>
        <v>Slag wool, rock wool and similar mineral wools (including intermixtures thereof), in bulk, sheets or rolls</v>
      </c>
      <c r="D3048" s="1" t="s">
        <v>11</v>
      </c>
      <c r="E3048" s="1" t="s">
        <v>11</v>
      </c>
    </row>
    <row r="3049" spans="1:5" ht="15.75" customHeight="1">
      <c r="A3049" s="1">
        <v>680620</v>
      </c>
      <c r="B3049" s="1" t="s">
        <v>3075</v>
      </c>
      <c r="C3049" s="1" t="str">
        <f ca="1">IFERROR(__xludf.DUMMYFUNCTION("REGEXEXTRACT(B3049, ""^([^:]+)"")"),"Exfoliated vermiculite, expanded clays, foamed slag and similar expanded mineral materials (including intermixtures thereof)")</f>
        <v>Exfoliated vermiculite, expanded clays, foamed slag and similar expanded mineral materials (including intermixtures thereof)</v>
      </c>
      <c r="D3049" s="1" t="s">
        <v>11</v>
      </c>
      <c r="E3049" s="1" t="s">
        <v>11</v>
      </c>
    </row>
    <row r="3050" spans="1:5" ht="15.75" customHeight="1">
      <c r="A3050" s="1">
        <v>680690</v>
      </c>
      <c r="B3050" s="1" t="s">
        <v>3076</v>
      </c>
      <c r="C3050" s="1" t="str">
        <f ca="1">IFERROR(__xludf.DUMMYFUNCTION("REGEXEXTRACT(B3050, ""^([^:]+)"")"),"Minerals")</f>
        <v>Minerals</v>
      </c>
      <c r="D3050" s="1" t="s">
        <v>11</v>
      </c>
      <c r="E3050" s="1" t="s">
        <v>11</v>
      </c>
    </row>
    <row r="3051" spans="1:5" ht="15.75" customHeight="1">
      <c r="A3051" s="1">
        <v>680710</v>
      </c>
      <c r="B3051" s="1" t="s">
        <v>3077</v>
      </c>
      <c r="C3051" s="1" t="str">
        <f ca="1">IFERROR(__xludf.DUMMYFUNCTION("REGEXEXTRACT(B3051, ""^([^:]+)"")"),"Asphalt or similar material")</f>
        <v>Asphalt or similar material</v>
      </c>
      <c r="D3051" s="1" t="s">
        <v>11</v>
      </c>
      <c r="E3051" s="1" t="s">
        <v>11</v>
      </c>
    </row>
    <row r="3052" spans="1:5" ht="15.75" customHeight="1">
      <c r="A3052" s="1">
        <v>680790</v>
      </c>
      <c r="B3052" s="1" t="s">
        <v>3078</v>
      </c>
      <c r="C3052" s="1" t="str">
        <f ca="1">IFERROR(__xludf.DUMMYFUNCTION("REGEXEXTRACT(B3052, ""^([^:]+)"")"),"Asphalt or similar material")</f>
        <v>Asphalt or similar material</v>
      </c>
      <c r="D3052" s="1" t="s">
        <v>11</v>
      </c>
      <c r="E3052" s="1" t="s">
        <v>11</v>
      </c>
    </row>
    <row r="3053" spans="1:5" ht="15.75" customHeight="1">
      <c r="A3053" s="1">
        <v>680800</v>
      </c>
      <c r="B3053" s="1" t="s">
        <v>3079</v>
      </c>
      <c r="C3053" s="1" t="str">
        <f ca="1">IFERROR(__xludf.DUMMYFUNCTION("REGEXEXTRACT(B3053, ""^([^:]+)"")"),"Panels, boards, tiles, blocks and the like")</f>
        <v>Panels, boards, tiles, blocks and the like</v>
      </c>
      <c r="D3053" s="1" t="s">
        <v>11</v>
      </c>
      <c r="E3053" s="1" t="s">
        <v>11</v>
      </c>
    </row>
    <row r="3054" spans="1:5" ht="15.75" customHeight="1">
      <c r="A3054" s="1">
        <v>680911</v>
      </c>
      <c r="B3054" s="1" t="s">
        <v>3080</v>
      </c>
      <c r="C3054" s="1" t="str">
        <f ca="1">IFERROR(__xludf.DUMMYFUNCTION("REGEXEXTRACT(B3054, ""^([^:]+)"")"),"Plaster, or plaster compositions")</f>
        <v>Plaster, or plaster compositions</v>
      </c>
      <c r="D3054" s="1" t="s">
        <v>11</v>
      </c>
      <c r="E3054" s="1" t="s">
        <v>11</v>
      </c>
    </row>
    <row r="3055" spans="1:5" ht="15.75" customHeight="1">
      <c r="A3055" s="1">
        <v>680919</v>
      </c>
      <c r="B3055" s="1" t="s">
        <v>3081</v>
      </c>
      <c r="C3055" s="1" t="str">
        <f ca="1">IFERROR(__xludf.DUMMYFUNCTION("REGEXEXTRACT(B3055, ""^([^:]+)"")"),"Plaster, or plaster compositions")</f>
        <v>Plaster, or plaster compositions</v>
      </c>
      <c r="D3055" s="1" t="s">
        <v>11</v>
      </c>
      <c r="E3055" s="1" t="s">
        <v>11</v>
      </c>
    </row>
    <row r="3056" spans="1:5" ht="15.75" customHeight="1">
      <c r="A3056" s="1">
        <v>680990</v>
      </c>
      <c r="B3056" s="1" t="s">
        <v>3082</v>
      </c>
      <c r="C3056" s="1" t="str">
        <f ca="1">IFERROR(__xludf.DUMMYFUNCTION("REGEXEXTRACT(B3056, ""^([^:]+)"")"),"Plaster articles or articles of compositions based on plaster")</f>
        <v>Plaster articles or articles of compositions based on plaster</v>
      </c>
      <c r="D3056" s="1" t="s">
        <v>11</v>
      </c>
      <c r="E3056" s="1" t="s">
        <v>11</v>
      </c>
    </row>
    <row r="3057" spans="1:5" ht="15.75" customHeight="1">
      <c r="A3057" s="1">
        <v>681011</v>
      </c>
      <c r="B3057" s="1" t="s">
        <v>3083</v>
      </c>
      <c r="C3057" s="1" t="str">
        <f ca="1">IFERROR(__xludf.DUMMYFUNCTION("REGEXEXTRACT(B3057, ""^([^:]+)"")"),"Cement, concrete or artificial stone")</f>
        <v>Cement, concrete or artificial stone</v>
      </c>
      <c r="D3057" s="1" t="s">
        <v>11</v>
      </c>
      <c r="E3057" s="1" t="s">
        <v>11</v>
      </c>
    </row>
    <row r="3058" spans="1:5" ht="15.75" customHeight="1">
      <c r="A3058" s="1">
        <v>681019</v>
      </c>
      <c r="B3058" s="1" t="s">
        <v>3084</v>
      </c>
      <c r="C3058" s="1" t="str">
        <f ca="1">IFERROR(__xludf.DUMMYFUNCTION("REGEXEXTRACT(B3058, ""^([^:]+)"")"),"Cement, concrete or artificial stone")</f>
        <v>Cement, concrete or artificial stone</v>
      </c>
      <c r="D3058" s="1" t="s">
        <v>11</v>
      </c>
      <c r="E3058" s="1" t="s">
        <v>11</v>
      </c>
    </row>
    <row r="3059" spans="1:5" ht="15.75" customHeight="1">
      <c r="A3059" s="1">
        <v>681091</v>
      </c>
      <c r="B3059" s="1" t="s">
        <v>3085</v>
      </c>
      <c r="C3059" s="1" t="str">
        <f ca="1">IFERROR(__xludf.DUMMYFUNCTION("REGEXEXTRACT(B3059, ""^([^:]+)"")"),"Cement, concrete or artificial stone")</f>
        <v>Cement, concrete or artificial stone</v>
      </c>
      <c r="D3059" s="1" t="s">
        <v>11</v>
      </c>
      <c r="E3059" s="1" t="s">
        <v>11</v>
      </c>
    </row>
    <row r="3060" spans="1:5" ht="15.75" customHeight="1">
      <c r="A3060" s="1">
        <v>681099</v>
      </c>
      <c r="B3060" s="1" t="s">
        <v>3086</v>
      </c>
      <c r="C3060" s="1" t="str">
        <f ca="1">IFERROR(__xludf.DUMMYFUNCTION("REGEXEXTRACT(B3060, ""^([^:]+)"")"),"Cement, concrete or artificial stone")</f>
        <v>Cement, concrete or artificial stone</v>
      </c>
      <c r="D3060" s="1" t="s">
        <v>11</v>
      </c>
      <c r="E3060" s="1" t="s">
        <v>11</v>
      </c>
    </row>
    <row r="3061" spans="1:5" ht="15.75" customHeight="1">
      <c r="A3061" s="1">
        <v>681140</v>
      </c>
      <c r="B3061" s="1" t="s">
        <v>3087</v>
      </c>
      <c r="C3061" s="1" t="str">
        <f ca="1">IFERROR(__xludf.DUMMYFUNCTION("REGEXEXTRACT(B3061, ""^([^:]+)"")"),"Asbestos-cement")</f>
        <v>Asbestos-cement</v>
      </c>
      <c r="D3061" s="1" t="s">
        <v>11</v>
      </c>
      <c r="E3061" s="1" t="s">
        <v>11</v>
      </c>
    </row>
    <row r="3062" spans="1:5" ht="15.75" customHeight="1">
      <c r="A3062" s="1">
        <v>681181</v>
      </c>
      <c r="B3062" s="1" t="s">
        <v>3088</v>
      </c>
      <c r="C3062" s="1" t="str">
        <f ca="1">IFERROR(__xludf.DUMMYFUNCTION("REGEXEXTRACT(B3062, ""^([^:]+)"")"),"Cellulose fibre-cement articles or the like")</f>
        <v>Cellulose fibre-cement articles or the like</v>
      </c>
      <c r="D3062" s="1" t="s">
        <v>11</v>
      </c>
      <c r="E3062" s="1" t="s">
        <v>11</v>
      </c>
    </row>
    <row r="3063" spans="1:5" ht="15.75" customHeight="1">
      <c r="A3063" s="1">
        <v>681182</v>
      </c>
      <c r="B3063" s="1" t="s">
        <v>3089</v>
      </c>
      <c r="C3063" s="1" t="str">
        <f ca="1">IFERROR(__xludf.DUMMYFUNCTION("REGEXEXTRACT(B3063, ""^([^:]+)"")"),"Cellulose fibre-cement articles or the like")</f>
        <v>Cellulose fibre-cement articles or the like</v>
      </c>
      <c r="D3063" s="1" t="s">
        <v>11</v>
      </c>
      <c r="E3063" s="1" t="s">
        <v>11</v>
      </c>
    </row>
    <row r="3064" spans="1:5" ht="15.75" customHeight="1">
      <c r="A3064" s="1">
        <v>681183</v>
      </c>
      <c r="B3064" s="1" t="s">
        <v>3090</v>
      </c>
      <c r="C3064" s="1" t="str">
        <f ca="1">IFERROR(__xludf.DUMMYFUNCTION("REGEXEXTRACT(B3064, ""^([^:]+)"")"),"Cellulose fibre-cement articles or the like")</f>
        <v>Cellulose fibre-cement articles or the like</v>
      </c>
      <c r="D3064" s="1" t="s">
        <v>11</v>
      </c>
      <c r="E3064" s="1" t="s">
        <v>11</v>
      </c>
    </row>
    <row r="3065" spans="1:5" ht="15.75" customHeight="1">
      <c r="A3065" s="1">
        <v>681189</v>
      </c>
      <c r="B3065" s="1" t="s">
        <v>3091</v>
      </c>
      <c r="C3065" s="1" t="str">
        <f ca="1">IFERROR(__xludf.DUMMYFUNCTION("REGEXEXTRACT(B3065, ""^([^:]+)"")"),"Cellulose fibre-cement articles or the like")</f>
        <v>Cellulose fibre-cement articles or the like</v>
      </c>
      <c r="D3065" s="1" t="s">
        <v>11</v>
      </c>
      <c r="E3065" s="1" t="s">
        <v>11</v>
      </c>
    </row>
    <row r="3066" spans="1:5" ht="15.75" customHeight="1">
      <c r="A3066" s="1">
        <v>681280</v>
      </c>
      <c r="B3066" s="1" t="s">
        <v>3092</v>
      </c>
      <c r="C3066" s="1" t="str">
        <f ca="1">IFERROR(__xludf.DUMMYFUNCTION("REGEXEXTRACT(B3066, ""^([^:]+)"")"),"Fabricated crocidolite (blue asbestos) fibres, mixtures with a basis of crocidolite (blue asbestos), articles of crocidolite (blue asbestos), whether or not reinforced, not goods of heading 6811 or 6813")</f>
        <v>Fabricated crocidolite (blue asbestos) fibres, mixtures with a basis of crocidolite (blue asbestos), articles of crocidolite (blue asbestos), whether or not reinforced, not goods of heading 6811 or 6813</v>
      </c>
      <c r="D3066" s="1" t="s">
        <v>11</v>
      </c>
      <c r="E3066" s="1" t="s">
        <v>11</v>
      </c>
    </row>
    <row r="3067" spans="1:5" ht="15.75" customHeight="1">
      <c r="A3067" s="1">
        <v>681291</v>
      </c>
      <c r="B3067" s="1" t="s">
        <v>3093</v>
      </c>
      <c r="C3067" s="1" t="str">
        <f ca="1">IFERROR(__xludf.DUMMYFUNCTION("REGEXEXTRACT(B3067, ""^([^:]+)"")"),"Asbestos or mixtures with a basis of asbestos (other than crocidolite)")</f>
        <v>Asbestos or mixtures with a basis of asbestos (other than crocidolite)</v>
      </c>
      <c r="D3067" s="1" t="s">
        <v>11</v>
      </c>
      <c r="E3067" s="1" t="s">
        <v>11</v>
      </c>
    </row>
    <row r="3068" spans="1:5" ht="15.75" customHeight="1">
      <c r="A3068" s="1">
        <v>681292</v>
      </c>
      <c r="B3068" s="1" t="s">
        <v>3094</v>
      </c>
      <c r="C3068" s="1" t="str">
        <f ca="1">IFERROR(__xludf.DUMMYFUNCTION("REGEXEXTRACT(B3068, ""^([^:]+)"")"),"Asbestos or mixtures with a basis of asbestos (other than crocidolite)")</f>
        <v>Asbestos or mixtures with a basis of asbestos (other than crocidolite)</v>
      </c>
      <c r="D3068" s="1" t="s">
        <v>11</v>
      </c>
      <c r="E3068" s="1" t="s">
        <v>11</v>
      </c>
    </row>
    <row r="3069" spans="1:5" ht="15.75" customHeight="1">
      <c r="A3069" s="1">
        <v>681293</v>
      </c>
      <c r="B3069" s="1" t="s">
        <v>3095</v>
      </c>
      <c r="C3069" s="1" t="str">
        <f ca="1">IFERROR(__xludf.DUMMYFUNCTION("REGEXEXTRACT(B3069, ""^([^:]+)"")"),"Asbestos or mixtures with a basis of asbestos (other than crocidolite)")</f>
        <v>Asbestos or mixtures with a basis of asbestos (other than crocidolite)</v>
      </c>
      <c r="D3069" s="1" t="s">
        <v>11</v>
      </c>
      <c r="E3069" s="1" t="s">
        <v>11</v>
      </c>
    </row>
    <row r="3070" spans="1:5" ht="15.75" customHeight="1">
      <c r="A3070" s="1">
        <v>681299</v>
      </c>
      <c r="B3070" s="1" t="s">
        <v>3096</v>
      </c>
      <c r="C3070" s="1" t="str">
        <f ca="1">IFERROR(__xludf.DUMMYFUNCTION("REGEXEXTRACT(B3070, ""^([^:]+)"")"),"Asbestos or mixtures with a basis of asbestos (other than crocidolite)")</f>
        <v>Asbestos or mixtures with a basis of asbestos (other than crocidolite)</v>
      </c>
      <c r="D3070" s="1" t="s">
        <v>11</v>
      </c>
      <c r="E3070" s="1" t="s">
        <v>11</v>
      </c>
    </row>
    <row r="3071" spans="1:5" ht="15.75" customHeight="1">
      <c r="A3071" s="1">
        <v>681320</v>
      </c>
      <c r="B3071" s="1" t="s">
        <v>3097</v>
      </c>
      <c r="C3071" s="1" t="str">
        <f ca="1">IFERROR(__xludf.DUMMYFUNCTION("REGEXEXTRACT(B3071, ""^([^:]+)"")"),"Friction material and articles thereof (e.g. sheets, rolls, strips, segments, discs, washers, pads) not mounted")</f>
        <v>Friction material and articles thereof (e.g. sheets, rolls, strips, segments, discs, washers, pads) not mounted</v>
      </c>
      <c r="D3071" s="1" t="s">
        <v>11</v>
      </c>
      <c r="E3071" s="1" t="s">
        <v>11</v>
      </c>
    </row>
    <row r="3072" spans="1:5" ht="15.75" customHeight="1">
      <c r="A3072" s="1">
        <v>681381</v>
      </c>
      <c r="B3072" s="1" t="s">
        <v>3098</v>
      </c>
      <c r="C3072" s="1" t="str">
        <f ca="1">IFERROR(__xludf.DUMMYFUNCTION("REGEXEXTRACT(B3072, ""^([^:]+)"")"),"Brake linings and pads")</f>
        <v>Brake linings and pads</v>
      </c>
      <c r="D3072" s="1" t="s">
        <v>11</v>
      </c>
      <c r="E3072" s="1" t="s">
        <v>11</v>
      </c>
    </row>
    <row r="3073" spans="1:5" ht="15.75" customHeight="1">
      <c r="A3073" s="1">
        <v>681389</v>
      </c>
      <c r="B3073" s="1" t="s">
        <v>3099</v>
      </c>
      <c r="C3073" s="1" t="str">
        <f ca="1">IFERROR(__xludf.DUMMYFUNCTION("REGEXEXTRACT(B3073, ""^([^:]+)"")"),"Friction material and articles thereof (e.g. sheets, rolls, strips, segments, discs, washers, pads) not mounted")</f>
        <v>Friction material and articles thereof (e.g. sheets, rolls, strips, segments, discs, washers, pads) not mounted</v>
      </c>
      <c r="D3073" s="1" t="s">
        <v>11</v>
      </c>
      <c r="E3073" s="1" t="s">
        <v>11</v>
      </c>
    </row>
    <row r="3074" spans="1:5" ht="15.75" customHeight="1">
      <c r="A3074" s="1">
        <v>681410</v>
      </c>
      <c r="B3074" s="1" t="s">
        <v>3100</v>
      </c>
      <c r="C3074" s="1" t="str">
        <f ca="1">IFERROR(__xludf.DUMMYFUNCTION("REGEXEXTRACT(B3074, ""^([^:]+)"")"),"Mica")</f>
        <v>Mica</v>
      </c>
      <c r="D3074" s="1" t="s">
        <v>11</v>
      </c>
      <c r="E3074" s="1" t="s">
        <v>11</v>
      </c>
    </row>
    <row r="3075" spans="1:5" ht="15.75" customHeight="1">
      <c r="A3075" s="1">
        <v>681490</v>
      </c>
      <c r="B3075" s="1" t="s">
        <v>3101</v>
      </c>
      <c r="C3075" s="1" t="str">
        <f ca="1">IFERROR(__xludf.DUMMYFUNCTION("REGEXEXTRACT(B3075, ""^([^:]+)"")"),"Mica")</f>
        <v>Mica</v>
      </c>
      <c r="D3075" s="1" t="s">
        <v>11</v>
      </c>
      <c r="E3075" s="1" t="s">
        <v>11</v>
      </c>
    </row>
    <row r="3076" spans="1:5" ht="15.75" customHeight="1">
      <c r="A3076" s="1">
        <v>681510</v>
      </c>
      <c r="B3076" s="1" t="s">
        <v>3102</v>
      </c>
      <c r="C3076" s="1" t="str">
        <f ca="1">IFERROR(__xludf.DUMMYFUNCTION("REGEXEXTRACT(B3076, ""^([^:]+)"")"),"Stone articles and other mineral substances, non-electrical articles of graphite or other carbon")</f>
        <v>Stone articles and other mineral substances, non-electrical articles of graphite or other carbon</v>
      </c>
      <c r="D3076" s="1" t="s">
        <v>11</v>
      </c>
      <c r="E3076" s="1" t="s">
        <v>11</v>
      </c>
    </row>
    <row r="3077" spans="1:5" ht="15.75" customHeight="1">
      <c r="A3077" s="1">
        <v>681520</v>
      </c>
      <c r="B3077" s="1" t="s">
        <v>3103</v>
      </c>
      <c r="C3077" s="1" t="str">
        <f ca="1">IFERROR(__xludf.DUMMYFUNCTION("REGEXEXTRACT(B3077, ""^([^:]+)"")"),"Peat")</f>
        <v>Peat</v>
      </c>
      <c r="D3077" s="1" t="s">
        <v>11</v>
      </c>
      <c r="E3077" s="1" t="s">
        <v>11</v>
      </c>
    </row>
    <row r="3078" spans="1:5" ht="15.75" customHeight="1">
      <c r="A3078" s="1">
        <v>681591</v>
      </c>
      <c r="B3078" s="1" t="s">
        <v>3104</v>
      </c>
      <c r="C3078" s="1" t="str">
        <f ca="1">IFERROR(__xludf.DUMMYFUNCTION("REGEXEXTRACT(B3078, ""^([^:]+)"")"),"Stone articles and articles of other mineral substances")</f>
        <v>Stone articles and articles of other mineral substances</v>
      </c>
      <c r="D3078" s="1" t="s">
        <v>11</v>
      </c>
      <c r="E3078" s="1" t="s">
        <v>11</v>
      </c>
    </row>
    <row r="3079" spans="1:5" ht="15.75" customHeight="1">
      <c r="A3079" s="1">
        <v>681599</v>
      </c>
      <c r="B3079" s="1" t="s">
        <v>3105</v>
      </c>
      <c r="C3079" s="1" t="str">
        <f ca="1">IFERROR(__xludf.DUMMYFUNCTION("REGEXEXTRACT(B3079, ""^([^:]+)"")"),"Stone articles and articles of other mineral substances")</f>
        <v>Stone articles and articles of other mineral substances</v>
      </c>
      <c r="D3079" s="1" t="s">
        <v>11</v>
      </c>
      <c r="E3079" s="1" t="s">
        <v>11</v>
      </c>
    </row>
    <row r="3080" spans="1:5" ht="15.75" customHeight="1">
      <c r="A3080" s="1">
        <v>690100</v>
      </c>
      <c r="B3080" s="1" t="s">
        <v>3106</v>
      </c>
      <c r="C3080" s="1" t="str">
        <f ca="1">IFERROR(__xludf.DUMMYFUNCTION("REGEXEXTRACT(B3080, ""^([^:]+)"")"),"Bricks, blocks, tiles and other ceramic goods of siliceous fossil meals (e.g. kieselguhr, tripolite or diatomite) or of similar siliceous earths")</f>
        <v>Bricks, blocks, tiles and other ceramic goods of siliceous fossil meals (e.g. kieselguhr, tripolite or diatomite) or of similar siliceous earths</v>
      </c>
      <c r="D3080" s="1" t="s">
        <v>11</v>
      </c>
      <c r="E3080" s="1" t="s">
        <v>11</v>
      </c>
    </row>
    <row r="3081" spans="1:5" ht="15.75" customHeight="1">
      <c r="A3081" s="1">
        <v>690210</v>
      </c>
      <c r="B3081" s="1" t="s">
        <v>3107</v>
      </c>
      <c r="C3081" s="1" t="str">
        <f ca="1">IFERROR(__xludf.DUMMYFUNCTION("REGEXEXTRACT(B3081, ""^([^:]+)"")"),"Refractory bricks, blocks, tiles and similar refractory ceramic constructional goods")</f>
        <v>Refractory bricks, blocks, tiles and similar refractory ceramic constructional goods</v>
      </c>
      <c r="D3081" s="1" t="s">
        <v>11</v>
      </c>
      <c r="E3081" s="1" t="s">
        <v>11</v>
      </c>
    </row>
    <row r="3082" spans="1:5" ht="15.75" customHeight="1">
      <c r="A3082" s="1">
        <v>690220</v>
      </c>
      <c r="B3082" s="1" t="s">
        <v>3108</v>
      </c>
      <c r="C3082" s="1" t="str">
        <f ca="1">IFERROR(__xludf.DUMMYFUNCTION("REGEXEXTRACT(B3082, ""^([^:]+)"")"),"Refractory bricks, blocks, tiles and similar refractory ceramic constructional goods")</f>
        <v>Refractory bricks, blocks, tiles and similar refractory ceramic constructional goods</v>
      </c>
      <c r="D3082" s="1" t="s">
        <v>11</v>
      </c>
      <c r="E3082" s="1" t="s">
        <v>11</v>
      </c>
    </row>
    <row r="3083" spans="1:5" ht="15.75" customHeight="1">
      <c r="A3083" s="1">
        <v>690290</v>
      </c>
      <c r="B3083" s="1" t="s">
        <v>3109</v>
      </c>
      <c r="C3083" s="1" t="str">
        <f ca="1">IFERROR(__xludf.DUMMYFUNCTION("REGEXEXTRACT(B3083, ""^([^:]+)"")"),"Refractory bricks, blocks, tiles and similar refractory ceramic constructional goods")</f>
        <v>Refractory bricks, blocks, tiles and similar refractory ceramic constructional goods</v>
      </c>
      <c r="D3083" s="1" t="s">
        <v>11</v>
      </c>
      <c r="E3083" s="1" t="s">
        <v>11</v>
      </c>
    </row>
    <row r="3084" spans="1:5" ht="15.75" customHeight="1">
      <c r="A3084" s="1">
        <v>690310</v>
      </c>
      <c r="B3084" s="1" t="s">
        <v>3110</v>
      </c>
      <c r="C3084" s="1" t="str">
        <f ca="1">IFERROR(__xludf.DUMMYFUNCTION("REGEXEXTRACT(B3084, ""^([^:]+)"")"),"Refractory ceramic goods")</f>
        <v>Refractory ceramic goods</v>
      </c>
      <c r="D3084" s="1" t="s">
        <v>11</v>
      </c>
      <c r="E3084" s="1" t="s">
        <v>11</v>
      </c>
    </row>
    <row r="3085" spans="1:5" ht="15.75" customHeight="1">
      <c r="A3085" s="1">
        <v>690320</v>
      </c>
      <c r="B3085" s="1" t="s">
        <v>3111</v>
      </c>
      <c r="C3085" s="1" t="str">
        <f ca="1">IFERROR(__xludf.DUMMYFUNCTION("REGEXEXTRACT(B3085, ""^([^:]+)"")"),"Refractory ceramic goods")</f>
        <v>Refractory ceramic goods</v>
      </c>
      <c r="D3085" s="1" t="s">
        <v>11</v>
      </c>
      <c r="E3085" s="1" t="s">
        <v>11</v>
      </c>
    </row>
    <row r="3086" spans="1:5" ht="15.75" customHeight="1">
      <c r="A3086" s="1">
        <v>690390</v>
      </c>
      <c r="B3086" s="1" t="s">
        <v>3112</v>
      </c>
      <c r="C3086" s="1" t="str">
        <f ca="1">IFERROR(__xludf.DUMMYFUNCTION("REGEXEXTRACT(B3086, ""^([^:]+)"")"),"Refractory ceramic goods")</f>
        <v>Refractory ceramic goods</v>
      </c>
      <c r="D3086" s="1" t="s">
        <v>11</v>
      </c>
      <c r="E3086" s="1" t="s">
        <v>11</v>
      </c>
    </row>
    <row r="3087" spans="1:5" ht="15.75" customHeight="1">
      <c r="A3087" s="1">
        <v>690410</v>
      </c>
      <c r="B3087" s="1" t="s">
        <v>3113</v>
      </c>
      <c r="C3087" s="1" t="str">
        <f ca="1">IFERROR(__xludf.DUMMYFUNCTION("REGEXEXTRACT(B3087, ""^([^:]+)"")"),"Ceramic building bricks")</f>
        <v>Ceramic building bricks</v>
      </c>
      <c r="D3087" s="1" t="s">
        <v>11</v>
      </c>
      <c r="E3087" s="1" t="s">
        <v>11</v>
      </c>
    </row>
    <row r="3088" spans="1:5" ht="15.75" customHeight="1">
      <c r="A3088" s="1">
        <v>690490</v>
      </c>
      <c r="B3088" s="1" t="s">
        <v>3114</v>
      </c>
      <c r="C3088" s="1" t="str">
        <f ca="1">IFERROR(__xludf.DUMMYFUNCTION("REGEXEXTRACT(B3088, ""^([^:]+)"")"),"Ceramic flooring blocks, supports or filler tiles and the like (excluding building bricks)")</f>
        <v>Ceramic flooring blocks, supports or filler tiles and the like (excluding building bricks)</v>
      </c>
      <c r="D3088" s="1" t="s">
        <v>11</v>
      </c>
      <c r="E3088" s="1" t="s">
        <v>11</v>
      </c>
    </row>
    <row r="3089" spans="1:5" ht="15.75" customHeight="1">
      <c r="A3089" s="1">
        <v>690510</v>
      </c>
      <c r="B3089" s="1" t="s">
        <v>3115</v>
      </c>
      <c r="C3089" s="1" t="str">
        <f ca="1">IFERROR(__xludf.DUMMYFUNCTION("REGEXEXTRACT(B3089, ""^([^:]+)"")"),"Ceramic roofing tiles")</f>
        <v>Ceramic roofing tiles</v>
      </c>
      <c r="D3089" s="1" t="s">
        <v>11</v>
      </c>
      <c r="E3089" s="1" t="s">
        <v>11</v>
      </c>
    </row>
    <row r="3090" spans="1:5" ht="15.75" customHeight="1">
      <c r="A3090" s="1">
        <v>690590</v>
      </c>
      <c r="B3090" s="1" t="s">
        <v>3116</v>
      </c>
      <c r="C3090" s="1" t="str">
        <f ca="1">IFERROR(__xludf.DUMMYFUNCTION("REGEXEXTRACT(B3090, ""^([^:]+)"")"),"Ceramic chimney-pots, cowls, chimney liners, architectural ornaments and other constructional goods (excluding roofing tiles)")</f>
        <v>Ceramic chimney-pots, cowls, chimney liners, architectural ornaments and other constructional goods (excluding roofing tiles)</v>
      </c>
      <c r="D3090" s="1" t="s">
        <v>11</v>
      </c>
      <c r="E3090" s="1" t="s">
        <v>11</v>
      </c>
    </row>
    <row r="3091" spans="1:5" ht="15.75" customHeight="1">
      <c r="A3091" s="1">
        <v>690600</v>
      </c>
      <c r="B3091" s="1" t="s">
        <v>3117</v>
      </c>
      <c r="C3091" s="1" t="str">
        <f ca="1">IFERROR(__xludf.DUMMYFUNCTION("REGEXEXTRACT(B3091, ""^([^:]+)"")"),"Ceramic pipes, conduits, guttering and pipe fittings")</f>
        <v>Ceramic pipes, conduits, guttering and pipe fittings</v>
      </c>
      <c r="D3091" s="1" t="s">
        <v>11</v>
      </c>
      <c r="E3091" s="1" t="s">
        <v>11</v>
      </c>
    </row>
    <row r="3092" spans="1:5" ht="15.75" customHeight="1">
      <c r="A3092" s="1">
        <v>690710</v>
      </c>
      <c r="B3092" s="1" t="s">
        <v>3118</v>
      </c>
      <c r="C3092" s="1" t="str">
        <f ca="1">IFERROR(__xludf.DUMMYFUNCTION("REGEXEXTRACT(B3092, ""^([^:]+)"")"),"Ceramic tiles, cubes and similar articles")</f>
        <v>Ceramic tiles, cubes and similar articles</v>
      </c>
      <c r="D3092" s="1" t="s">
        <v>11</v>
      </c>
      <c r="E3092" s="1" t="s">
        <v>11</v>
      </c>
    </row>
    <row r="3093" spans="1:5" ht="15.75" customHeight="1">
      <c r="A3093" s="1">
        <v>690790</v>
      </c>
      <c r="B3093" s="1" t="s">
        <v>3119</v>
      </c>
      <c r="C3093" s="1" t="str">
        <f ca="1">IFERROR(__xludf.DUMMYFUNCTION("REGEXEXTRACT(B3093, ""^([^:]+)"")"),"Ceramic flags and paving")</f>
        <v>Ceramic flags and paving</v>
      </c>
      <c r="D3093" s="1" t="s">
        <v>11</v>
      </c>
      <c r="E3093" s="1" t="s">
        <v>11</v>
      </c>
    </row>
    <row r="3094" spans="1:5" ht="15.75" customHeight="1">
      <c r="A3094" s="1">
        <v>690810</v>
      </c>
      <c r="B3094" s="1" t="s">
        <v>3120</v>
      </c>
      <c r="C3094" s="1" t="str">
        <f ca="1">IFERROR(__xludf.DUMMYFUNCTION("REGEXEXTRACT(B3094, ""^([^:]+)"")"),"Ceramic tiles, cubes and similar articles")</f>
        <v>Ceramic tiles, cubes and similar articles</v>
      </c>
      <c r="D3094" s="1" t="s">
        <v>11</v>
      </c>
      <c r="E3094" s="1" t="s">
        <v>11</v>
      </c>
    </row>
    <row r="3095" spans="1:5" ht="15.75" customHeight="1">
      <c r="A3095" s="1">
        <v>690890</v>
      </c>
      <c r="B3095" s="1" t="s">
        <v>3121</v>
      </c>
      <c r="C3095" s="1" t="str">
        <f ca="1">IFERROR(__xludf.DUMMYFUNCTION("REGEXEXTRACT(B3095, ""^([^:]+)"")"),"Ceramic flags and pavings")</f>
        <v>Ceramic flags and pavings</v>
      </c>
      <c r="D3095" s="1" t="s">
        <v>11</v>
      </c>
      <c r="E3095" s="1" t="s">
        <v>11</v>
      </c>
    </row>
    <row r="3096" spans="1:5" ht="15.75" customHeight="1">
      <c r="A3096" s="1">
        <v>690911</v>
      </c>
      <c r="B3096" s="1" t="s">
        <v>3122</v>
      </c>
      <c r="C3096" s="1" t="str">
        <f ca="1">IFERROR(__xludf.DUMMYFUNCTION("REGEXEXTRACT(B3096, ""^([^:]+)"")"),"Ceramic wares")</f>
        <v>Ceramic wares</v>
      </c>
      <c r="D3096" s="1" t="s">
        <v>11</v>
      </c>
      <c r="E3096" s="1" t="s">
        <v>11</v>
      </c>
    </row>
    <row r="3097" spans="1:5" ht="15.75" customHeight="1">
      <c r="A3097" s="1">
        <v>690912</v>
      </c>
      <c r="B3097" s="1" t="s">
        <v>3123</v>
      </c>
      <c r="C3097" s="1" t="str">
        <f ca="1">IFERROR(__xludf.DUMMYFUNCTION("REGEXEXTRACT(B3097, ""^([^:]+)"")"),"Ceramic wares")</f>
        <v>Ceramic wares</v>
      </c>
      <c r="D3097" s="1" t="s">
        <v>11</v>
      </c>
      <c r="E3097" s="1" t="s">
        <v>11</v>
      </c>
    </row>
    <row r="3098" spans="1:5" ht="15.75" customHeight="1">
      <c r="A3098" s="1">
        <v>690919</v>
      </c>
      <c r="B3098" s="1" t="s">
        <v>3124</v>
      </c>
      <c r="C3098" s="1" t="str">
        <f ca="1">IFERROR(__xludf.DUMMYFUNCTION("REGEXEXTRACT(B3098, ""^([^:]+)"")"),"Ceramic wares")</f>
        <v>Ceramic wares</v>
      </c>
      <c r="D3098" s="1" t="s">
        <v>11</v>
      </c>
      <c r="E3098" s="1" t="s">
        <v>11</v>
      </c>
    </row>
    <row r="3099" spans="1:5" ht="15.75" customHeight="1">
      <c r="A3099" s="1">
        <v>690990</v>
      </c>
      <c r="B3099" s="1" t="s">
        <v>3125</v>
      </c>
      <c r="C3099" s="1" t="str">
        <f ca="1">IFERROR(__xludf.DUMMYFUNCTION("REGEXEXTRACT(B3099, ""^([^:]+)"")"),"Ceramic wares")</f>
        <v>Ceramic wares</v>
      </c>
      <c r="D3099" s="1" t="s">
        <v>11</v>
      </c>
      <c r="E3099" s="1" t="s">
        <v>11</v>
      </c>
    </row>
    <row r="3100" spans="1:5" ht="15.75" customHeight="1">
      <c r="A3100" s="1">
        <v>691010</v>
      </c>
      <c r="B3100" s="1" t="s">
        <v>3126</v>
      </c>
      <c r="C3100" s="1" t="str">
        <f ca="1">IFERROR(__xludf.DUMMYFUNCTION("REGEXEXTRACT(B3100, ""^([^:]+)"")"),"Ceramic sinks, wash basins, wash basin pedestals, baths, bidets, water closet pans, flushing cisterns, urinals and similar sanitary fixtures")</f>
        <v>Ceramic sinks, wash basins, wash basin pedestals, baths, bidets, water closet pans, flushing cisterns, urinals and similar sanitary fixtures</v>
      </c>
      <c r="D3100" s="1" t="s">
        <v>11</v>
      </c>
      <c r="E3100" s="1" t="s">
        <v>11</v>
      </c>
    </row>
    <row r="3101" spans="1:5" ht="15.75" customHeight="1">
      <c r="A3101" s="1">
        <v>691090</v>
      </c>
      <c r="B3101" s="1" t="s">
        <v>3127</v>
      </c>
      <c r="C3101" s="1" t="str">
        <f ca="1">IFERROR(__xludf.DUMMYFUNCTION("REGEXEXTRACT(B3101, ""^([^:]+)"")"),"Ceramic sinks, wash basins, wash basin pedestals, baths, bidets, water closet pans, flushing cisterns, urinals and similar sanitary fixtures")</f>
        <v>Ceramic sinks, wash basins, wash basin pedestals, baths, bidets, water closet pans, flushing cisterns, urinals and similar sanitary fixtures</v>
      </c>
      <c r="D3101" s="1" t="s">
        <v>11</v>
      </c>
      <c r="E3101" s="1" t="s">
        <v>11</v>
      </c>
    </row>
    <row r="3102" spans="1:5" ht="15.75" customHeight="1">
      <c r="A3102" s="1">
        <v>691110</v>
      </c>
      <c r="B3102" s="1" t="s">
        <v>3128</v>
      </c>
      <c r="C3102" s="1" t="str">
        <f ca="1">IFERROR(__xludf.DUMMYFUNCTION("REGEXEXTRACT(B3102, ""^([^:]+)"")"),"Tableware and kitchenware")</f>
        <v>Tableware and kitchenware</v>
      </c>
      <c r="D3102" s="1" t="s">
        <v>11</v>
      </c>
      <c r="E3102" s="1" t="s">
        <v>11</v>
      </c>
    </row>
    <row r="3103" spans="1:5" ht="15.75" customHeight="1">
      <c r="A3103" s="1">
        <v>691190</v>
      </c>
      <c r="B3103" s="1" t="s">
        <v>3129</v>
      </c>
      <c r="C3103" s="1" t="str">
        <f ca="1">IFERROR(__xludf.DUMMYFUNCTION("REGEXEXTRACT(B3103, ""^([^:]+)"")"),"Household and toilet articles")</f>
        <v>Household and toilet articles</v>
      </c>
      <c r="D3103" s="1" t="s">
        <v>11</v>
      </c>
      <c r="E3103" s="1" t="s">
        <v>11</v>
      </c>
    </row>
    <row r="3104" spans="1:5" ht="15.75" customHeight="1">
      <c r="A3104" s="1">
        <v>691200</v>
      </c>
      <c r="B3104" s="1" t="s">
        <v>3130</v>
      </c>
      <c r="C3104" s="1" t="str">
        <f ca="1">IFERROR(__xludf.DUMMYFUNCTION("REGEXEXTRACT(B3104, ""^([^:]+)"")"),"Ceramic tableware, kitchenware, other household articles and toilet articles")</f>
        <v>Ceramic tableware, kitchenware, other household articles and toilet articles</v>
      </c>
      <c r="D3104" s="1" t="s">
        <v>11</v>
      </c>
      <c r="E3104" s="1" t="s">
        <v>11</v>
      </c>
    </row>
    <row r="3105" spans="1:5" ht="15.75" customHeight="1">
      <c r="A3105" s="1">
        <v>691310</v>
      </c>
      <c r="B3105" s="1" t="s">
        <v>3131</v>
      </c>
      <c r="C3105" s="1" t="str">
        <f ca="1">IFERROR(__xludf.DUMMYFUNCTION("REGEXEXTRACT(B3105, ""^([^:]+)"")"),"Ceramic statuettes and other ornamental ceramic articles, of porcelain or china")</f>
        <v>Ceramic statuettes and other ornamental ceramic articles, of porcelain or china</v>
      </c>
      <c r="D3105" s="1" t="s">
        <v>11</v>
      </c>
      <c r="E3105" s="1" t="s">
        <v>11</v>
      </c>
    </row>
    <row r="3106" spans="1:5" ht="15.75" customHeight="1">
      <c r="A3106" s="1">
        <v>691390</v>
      </c>
      <c r="B3106" s="1" t="s">
        <v>3132</v>
      </c>
      <c r="C3106" s="1" t="str">
        <f ca="1">IFERROR(__xludf.DUMMYFUNCTION("REGEXEXTRACT(B3106, ""^([^:]+)"")"),"Ceramic statuettes and other ornamental ceramic articles")</f>
        <v>Ceramic statuettes and other ornamental ceramic articles</v>
      </c>
      <c r="D3106" s="1" t="s">
        <v>11</v>
      </c>
      <c r="E3106" s="1" t="s">
        <v>11</v>
      </c>
    </row>
    <row r="3107" spans="1:5" ht="15.75" customHeight="1">
      <c r="A3107" s="1">
        <v>691410</v>
      </c>
      <c r="B3107" s="1" t="s">
        <v>3133</v>
      </c>
      <c r="C3107" s="1" t="str">
        <f ca="1">IFERROR(__xludf.DUMMYFUNCTION("REGEXEXTRACT(B3107, ""^([^:]+)"")"),"Ceramic articles n.e.c. in chapter 69")</f>
        <v>Ceramic articles n.e.c. in chapter 69</v>
      </c>
      <c r="D3107" s="1" t="s">
        <v>11</v>
      </c>
      <c r="E3107" s="1" t="s">
        <v>11</v>
      </c>
    </row>
    <row r="3108" spans="1:5" ht="15.75" customHeight="1">
      <c r="A3108" s="1">
        <v>691490</v>
      </c>
      <c r="B3108" s="1" t="s">
        <v>3134</v>
      </c>
      <c r="C3108" s="1" t="str">
        <f ca="1">IFERROR(__xludf.DUMMYFUNCTION("REGEXEXTRACT(B3108, ""^([^:]+)"")"),"Ceramic articles n.e.c. in chapter 69")</f>
        <v>Ceramic articles n.e.c. in chapter 69</v>
      </c>
      <c r="D3108" s="1" t="s">
        <v>11</v>
      </c>
      <c r="E3108" s="1" t="s">
        <v>11</v>
      </c>
    </row>
    <row r="3109" spans="1:5" ht="15.75" customHeight="1">
      <c r="A3109" s="1">
        <v>700100</v>
      </c>
      <c r="B3109" s="1" t="s">
        <v>3135</v>
      </c>
      <c r="C3109" s="1" t="str">
        <f ca="1">IFERROR(__xludf.DUMMYFUNCTION("REGEXEXTRACT(B3109, ""^([^:]+)"")"),"Glass")</f>
        <v>Glass</v>
      </c>
      <c r="D3109" s="1" t="s">
        <v>11</v>
      </c>
      <c r="E3109" s="1" t="s">
        <v>11</v>
      </c>
    </row>
    <row r="3110" spans="1:5" ht="15.75" customHeight="1">
      <c r="A3110" s="1">
        <v>700210</v>
      </c>
      <c r="B3110" s="1" t="s">
        <v>3136</v>
      </c>
      <c r="C3110" s="1" t="str">
        <f ca="1">IFERROR(__xludf.DUMMYFUNCTION("REGEXEXTRACT(B3110, ""^([^:]+)"")"),"Glass")</f>
        <v>Glass</v>
      </c>
      <c r="D3110" s="1" t="s">
        <v>11</v>
      </c>
      <c r="E3110" s="1" t="s">
        <v>11</v>
      </c>
    </row>
    <row r="3111" spans="1:5" ht="15.75" customHeight="1">
      <c r="A3111" s="1">
        <v>700220</v>
      </c>
      <c r="B3111" s="1" t="s">
        <v>3137</v>
      </c>
      <c r="C3111" s="1" t="str">
        <f ca="1">IFERROR(__xludf.DUMMYFUNCTION("REGEXEXTRACT(B3111, ""^([^:]+)"")"),"Glass")</f>
        <v>Glass</v>
      </c>
      <c r="D3111" s="1" t="s">
        <v>11</v>
      </c>
      <c r="E3111" s="1" t="s">
        <v>11</v>
      </c>
    </row>
    <row r="3112" spans="1:5" ht="15.75" customHeight="1">
      <c r="A3112" s="1">
        <v>700231</v>
      </c>
      <c r="B3112" s="1" t="s">
        <v>3138</v>
      </c>
      <c r="C3112" s="1" t="str">
        <f ca="1">IFERROR(__xludf.DUMMYFUNCTION("REGEXEXTRACT(B3112, ""^([^:]+)"")"),"Glass")</f>
        <v>Glass</v>
      </c>
      <c r="D3112" s="1" t="s">
        <v>11</v>
      </c>
      <c r="E3112" s="1" t="s">
        <v>11</v>
      </c>
    </row>
    <row r="3113" spans="1:5" ht="15.75" customHeight="1">
      <c r="A3113" s="1">
        <v>700232</v>
      </c>
      <c r="B3113" s="1" t="s">
        <v>3139</v>
      </c>
      <c r="C3113" s="1" t="str">
        <f ca="1">IFERROR(__xludf.DUMMYFUNCTION("REGEXEXTRACT(B3113, ""^([^:]+)"")"),"Glass")</f>
        <v>Glass</v>
      </c>
      <c r="D3113" s="1" t="s">
        <v>11</v>
      </c>
      <c r="E3113" s="1" t="s">
        <v>11</v>
      </c>
    </row>
    <row r="3114" spans="1:5" ht="15.75" customHeight="1">
      <c r="A3114" s="1">
        <v>700239</v>
      </c>
      <c r="B3114" s="1" t="s">
        <v>3140</v>
      </c>
      <c r="C3114" s="1" t="str">
        <f ca="1">IFERROR(__xludf.DUMMYFUNCTION("REGEXEXTRACT(B3114, ""^([^:]+)"")"),"Glass")</f>
        <v>Glass</v>
      </c>
      <c r="D3114" s="1" t="s">
        <v>11</v>
      </c>
      <c r="E3114" s="1" t="s">
        <v>11</v>
      </c>
    </row>
    <row r="3115" spans="1:5" ht="15.75" customHeight="1">
      <c r="A3115" s="1">
        <v>700312</v>
      </c>
      <c r="B3115" s="1" t="s">
        <v>3141</v>
      </c>
      <c r="C3115" s="1" t="str">
        <f ca="1">IFERROR(__xludf.DUMMYFUNCTION("REGEXEXTRACT(B3115, ""^([^:]+)"")"),"Glass")</f>
        <v>Glass</v>
      </c>
      <c r="D3115" s="1" t="s">
        <v>11</v>
      </c>
      <c r="E3115" s="1" t="s">
        <v>11</v>
      </c>
    </row>
    <row r="3116" spans="1:5" ht="15.75" customHeight="1">
      <c r="A3116" s="1">
        <v>700319</v>
      </c>
      <c r="B3116" s="1" t="s">
        <v>3142</v>
      </c>
      <c r="C3116" s="1" t="str">
        <f ca="1">IFERROR(__xludf.DUMMYFUNCTION("REGEXEXTRACT(B3116, ""^([^:]+)"")"),"Glass")</f>
        <v>Glass</v>
      </c>
      <c r="D3116" s="1" t="s">
        <v>11</v>
      </c>
      <c r="E3116" s="1" t="s">
        <v>11</v>
      </c>
    </row>
    <row r="3117" spans="1:5" ht="15.75" customHeight="1">
      <c r="A3117" s="1">
        <v>700320</v>
      </c>
      <c r="B3117" s="1" t="s">
        <v>3143</v>
      </c>
      <c r="C3117" s="1" t="str">
        <f ca="1">IFERROR(__xludf.DUMMYFUNCTION("REGEXEXTRACT(B3117, ""^([^:]+)"")"),"Glass")</f>
        <v>Glass</v>
      </c>
      <c r="D3117" s="1" t="s">
        <v>11</v>
      </c>
      <c r="E3117" s="1" t="s">
        <v>11</v>
      </c>
    </row>
    <row r="3118" spans="1:5" ht="15.75" customHeight="1">
      <c r="A3118" s="1">
        <v>700330</v>
      </c>
      <c r="B3118" s="1" t="s">
        <v>3144</v>
      </c>
      <c r="C3118" s="1" t="str">
        <f ca="1">IFERROR(__xludf.DUMMYFUNCTION("REGEXEXTRACT(B3118, ""^([^:]+)"")"),"Glass")</f>
        <v>Glass</v>
      </c>
      <c r="D3118" s="1" t="s">
        <v>11</v>
      </c>
      <c r="E3118" s="1" t="s">
        <v>11</v>
      </c>
    </row>
    <row r="3119" spans="1:5" ht="15.75" customHeight="1">
      <c r="A3119" s="1">
        <v>700420</v>
      </c>
      <c r="B3119" s="1" t="s">
        <v>3145</v>
      </c>
      <c r="C3119" s="1" t="str">
        <f ca="1">IFERROR(__xludf.DUMMYFUNCTION("REGEXEXTRACT(B3119, ""^([^:]+)"")"),"Glass")</f>
        <v>Glass</v>
      </c>
      <c r="D3119" s="1" t="s">
        <v>11</v>
      </c>
      <c r="E3119" s="1" t="s">
        <v>11</v>
      </c>
    </row>
    <row r="3120" spans="1:5" ht="15.75" customHeight="1">
      <c r="A3120" s="1">
        <v>700490</v>
      </c>
      <c r="B3120" s="1" t="s">
        <v>3146</v>
      </c>
      <c r="C3120" s="1" t="str">
        <f ca="1">IFERROR(__xludf.DUMMYFUNCTION("REGEXEXTRACT(B3120, ""^([^:]+)"")"),"Glass")</f>
        <v>Glass</v>
      </c>
      <c r="D3120" s="1" t="s">
        <v>11</v>
      </c>
      <c r="E3120" s="1" t="s">
        <v>11</v>
      </c>
    </row>
    <row r="3121" spans="1:5" ht="15.75" customHeight="1">
      <c r="A3121" s="1">
        <v>700510</v>
      </c>
      <c r="B3121" s="1" t="s">
        <v>3147</v>
      </c>
      <c r="C3121" s="1" t="str">
        <f ca="1">IFERROR(__xludf.DUMMYFUNCTION("REGEXEXTRACT(B3121, ""^([^:]+)"")"),"Glass")</f>
        <v>Glass</v>
      </c>
      <c r="D3121" s="1" t="s">
        <v>11</v>
      </c>
      <c r="E3121" s="1" t="s">
        <v>11</v>
      </c>
    </row>
    <row r="3122" spans="1:5" ht="15.75" customHeight="1">
      <c r="A3122" s="1">
        <v>700521</v>
      </c>
      <c r="B3122" s="1" t="s">
        <v>3148</v>
      </c>
      <c r="C3122" s="1" t="str">
        <f ca="1">IFERROR(__xludf.DUMMYFUNCTION("REGEXEXTRACT(B3122, ""^([^:]+)"")"),"Glass")</f>
        <v>Glass</v>
      </c>
      <c r="D3122" s="1" t="s">
        <v>11</v>
      </c>
      <c r="E3122" s="1" t="s">
        <v>11</v>
      </c>
    </row>
    <row r="3123" spans="1:5" ht="15.75" customHeight="1">
      <c r="A3123" s="1">
        <v>700529</v>
      </c>
      <c r="B3123" s="1" t="s">
        <v>3149</v>
      </c>
      <c r="C3123" s="1" t="str">
        <f ca="1">IFERROR(__xludf.DUMMYFUNCTION("REGEXEXTRACT(B3123, ""^([^:]+)"")"),"Glass")</f>
        <v>Glass</v>
      </c>
      <c r="D3123" s="1" t="s">
        <v>11</v>
      </c>
      <c r="E3123" s="1" t="s">
        <v>11</v>
      </c>
    </row>
    <row r="3124" spans="1:5" ht="15.75" customHeight="1">
      <c r="A3124" s="1">
        <v>700530</v>
      </c>
      <c r="B3124" s="1" t="s">
        <v>3150</v>
      </c>
      <c r="C3124" s="1" t="str">
        <f ca="1">IFERROR(__xludf.DUMMYFUNCTION("REGEXEXTRACT(B3124, ""^([^:]+)"")"),"Glass")</f>
        <v>Glass</v>
      </c>
      <c r="D3124" s="1" t="s">
        <v>11</v>
      </c>
      <c r="E3124" s="1" t="s">
        <v>11</v>
      </c>
    </row>
    <row r="3125" spans="1:5" ht="15.75" customHeight="1">
      <c r="A3125" s="1">
        <v>700600</v>
      </c>
      <c r="B3125" s="1" t="s">
        <v>3151</v>
      </c>
      <c r="C3125" s="1" t="str">
        <f ca="1">IFERROR(__xludf.DUMMYFUNCTION("REGEXEXTRACT(B3125, ""^([^:]+)"")"),"Glass of heading no. 7003, 7004 or 7005")</f>
        <v>Glass of heading no. 7003, 7004 or 7005</v>
      </c>
      <c r="D3125" s="1" t="s">
        <v>11</v>
      </c>
      <c r="E3125" s="1" t="s">
        <v>11</v>
      </c>
    </row>
    <row r="3126" spans="1:5" ht="15.75" customHeight="1">
      <c r="A3126" s="1">
        <v>700711</v>
      </c>
      <c r="B3126" s="1" t="s">
        <v>3152</v>
      </c>
      <c r="C3126" s="1" t="str">
        <f ca="1">IFERROR(__xludf.DUMMYFUNCTION("REGEXEXTRACT(B3126, ""^([^:]+)"")"),"Glass")</f>
        <v>Glass</v>
      </c>
      <c r="D3126" s="1" t="s">
        <v>11</v>
      </c>
      <c r="E3126" s="1" t="s">
        <v>11</v>
      </c>
    </row>
    <row r="3127" spans="1:5" ht="15.75" customHeight="1">
      <c r="A3127" s="1">
        <v>700719</v>
      </c>
      <c r="B3127" s="1" t="s">
        <v>3153</v>
      </c>
      <c r="C3127" s="1" t="str">
        <f ca="1">IFERROR(__xludf.DUMMYFUNCTION("REGEXEXTRACT(B3127, ""^([^:]+)"")"),"Glass")</f>
        <v>Glass</v>
      </c>
      <c r="D3127" s="1" t="s">
        <v>11</v>
      </c>
      <c r="E3127" s="1" t="s">
        <v>11</v>
      </c>
    </row>
    <row r="3128" spans="1:5" ht="15.75" customHeight="1">
      <c r="A3128" s="1">
        <v>700721</v>
      </c>
      <c r="B3128" s="1" t="s">
        <v>3154</v>
      </c>
      <c r="C3128" s="1" t="str">
        <f ca="1">IFERROR(__xludf.DUMMYFUNCTION("REGEXEXTRACT(B3128, ""^([^:]+)"")"),"Glass")</f>
        <v>Glass</v>
      </c>
      <c r="D3128" s="1" t="s">
        <v>11</v>
      </c>
      <c r="E3128" s="1" t="s">
        <v>11</v>
      </c>
    </row>
    <row r="3129" spans="1:5" ht="15.75" customHeight="1">
      <c r="A3129" s="1">
        <v>700729</v>
      </c>
      <c r="B3129" s="1" t="s">
        <v>3155</v>
      </c>
      <c r="C3129" s="1" t="str">
        <f ca="1">IFERROR(__xludf.DUMMYFUNCTION("REGEXEXTRACT(B3129, ""^([^:]+)"")"),"Glass")</f>
        <v>Glass</v>
      </c>
      <c r="D3129" s="1" t="s">
        <v>11</v>
      </c>
      <c r="E3129" s="1" t="s">
        <v>11</v>
      </c>
    </row>
    <row r="3130" spans="1:5" ht="15.75" customHeight="1">
      <c r="A3130" s="1">
        <v>700800</v>
      </c>
      <c r="B3130" s="1" t="s">
        <v>3156</v>
      </c>
      <c r="C3130" s="1" t="str">
        <f ca="1">IFERROR(__xludf.DUMMYFUNCTION("REGEXEXTRACT(B3130, ""^([^:]+)"")"),"Glass")</f>
        <v>Glass</v>
      </c>
      <c r="D3130" s="1" t="s">
        <v>11</v>
      </c>
      <c r="E3130" s="1" t="s">
        <v>11</v>
      </c>
    </row>
    <row r="3131" spans="1:5" ht="15.75" customHeight="1">
      <c r="A3131" s="1">
        <v>700910</v>
      </c>
      <c r="B3131" s="1" t="s">
        <v>3157</v>
      </c>
      <c r="C3131" s="1" t="str">
        <f ca="1">IFERROR(__xludf.DUMMYFUNCTION("REGEXEXTRACT(B3131, ""^([^:]+)"")"),"Glass")</f>
        <v>Glass</v>
      </c>
      <c r="D3131" s="1" t="s">
        <v>11</v>
      </c>
      <c r="E3131" s="1" t="s">
        <v>11</v>
      </c>
    </row>
    <row r="3132" spans="1:5" ht="15.75" customHeight="1">
      <c r="A3132" s="1">
        <v>700991</v>
      </c>
      <c r="B3132" s="1" t="s">
        <v>3158</v>
      </c>
      <c r="C3132" s="1" t="str">
        <f ca="1">IFERROR(__xludf.DUMMYFUNCTION("REGEXEXTRACT(B3132, ""^([^:]+)"")"),"Glass mirrors")</f>
        <v>Glass mirrors</v>
      </c>
      <c r="D3132" s="1" t="s">
        <v>11</v>
      </c>
      <c r="E3132" s="1" t="s">
        <v>11</v>
      </c>
    </row>
    <row r="3133" spans="1:5" ht="15.75" customHeight="1">
      <c r="A3133" s="1">
        <v>700992</v>
      </c>
      <c r="B3133" s="1" t="s">
        <v>3159</v>
      </c>
      <c r="C3133" s="1" t="str">
        <f ca="1">IFERROR(__xludf.DUMMYFUNCTION("REGEXEXTRACT(B3133, ""^([^:]+)"")"),"Glass mirrors")</f>
        <v>Glass mirrors</v>
      </c>
      <c r="D3133" s="1" t="s">
        <v>11</v>
      </c>
      <c r="E3133" s="1" t="s">
        <v>11</v>
      </c>
    </row>
    <row r="3134" spans="1:5" ht="15.75" customHeight="1">
      <c r="A3134" s="1">
        <v>701010</v>
      </c>
      <c r="B3134" s="1" t="s">
        <v>3160</v>
      </c>
      <c r="C3134" s="1" t="str">
        <f ca="1">IFERROR(__xludf.DUMMYFUNCTION("REGEXEXTRACT(B3134, ""^([^:]+)"")"),"Glass")</f>
        <v>Glass</v>
      </c>
      <c r="D3134" s="1" t="s">
        <v>11</v>
      </c>
      <c r="E3134" s="1" t="s">
        <v>11</v>
      </c>
    </row>
    <row r="3135" spans="1:5" ht="15.75" customHeight="1">
      <c r="A3135" s="1">
        <v>701020</v>
      </c>
      <c r="B3135" s="1" t="s">
        <v>3161</v>
      </c>
      <c r="C3135" s="1" t="str">
        <f ca="1">IFERROR(__xludf.DUMMYFUNCTION("REGEXEXTRACT(B3135, ""^([^:]+)"")"),"Glass")</f>
        <v>Glass</v>
      </c>
      <c r="D3135" s="1" t="s">
        <v>11</v>
      </c>
      <c r="E3135" s="1" t="s">
        <v>11</v>
      </c>
    </row>
    <row r="3136" spans="1:5" ht="15.75" customHeight="1">
      <c r="A3136" s="1">
        <v>701090</v>
      </c>
      <c r="B3136" s="1" t="s">
        <v>3162</v>
      </c>
      <c r="C3136" s="1" t="str">
        <f ca="1">IFERROR(__xludf.DUMMYFUNCTION("REGEXEXTRACT(B3136, ""^([^:]+)"")"),"Glass")</f>
        <v>Glass</v>
      </c>
      <c r="D3136" s="1" t="s">
        <v>11</v>
      </c>
      <c r="E3136" s="1" t="s">
        <v>11</v>
      </c>
    </row>
    <row r="3137" spans="1:5" ht="15.75" customHeight="1">
      <c r="A3137" s="1">
        <v>701110</v>
      </c>
      <c r="B3137" s="1" t="s">
        <v>3163</v>
      </c>
      <c r="C3137" s="1" t="str">
        <f ca="1">IFERROR(__xludf.DUMMYFUNCTION("REGEXEXTRACT(B3137, ""^([^:]+)"")"),"Glass envelopes (including bulbs and tubes)")</f>
        <v>Glass envelopes (including bulbs and tubes)</v>
      </c>
      <c r="D3137" s="1" t="s">
        <v>11</v>
      </c>
      <c r="E3137" s="1" t="s">
        <v>11</v>
      </c>
    </row>
    <row r="3138" spans="1:5" ht="15.75" customHeight="1">
      <c r="A3138" s="1">
        <v>701120</v>
      </c>
      <c r="B3138" s="1" t="s">
        <v>3164</v>
      </c>
      <c r="C3138" s="1" t="str">
        <f ca="1">IFERROR(__xludf.DUMMYFUNCTION("REGEXEXTRACT(B3138, ""^([^:]+)"")"),"Glass envelopes (including bulbs and tubes)")</f>
        <v>Glass envelopes (including bulbs and tubes)</v>
      </c>
      <c r="D3138" s="1" t="s">
        <v>11</v>
      </c>
      <c r="E3138" s="1" t="s">
        <v>11</v>
      </c>
    </row>
    <row r="3139" spans="1:5" ht="15.75" customHeight="1">
      <c r="A3139" s="1">
        <v>701190</v>
      </c>
      <c r="B3139" s="1" t="s">
        <v>3165</v>
      </c>
      <c r="C3139" s="1" t="str">
        <f ca="1">IFERROR(__xludf.DUMMYFUNCTION("REGEXEXTRACT(B3139, ""^([^:]+)"")"),"Glass envelopes (including bulbs and tubes)")</f>
        <v>Glass envelopes (including bulbs and tubes)</v>
      </c>
      <c r="D3139" s="1" t="s">
        <v>11</v>
      </c>
      <c r="E3139" s="1" t="s">
        <v>11</v>
      </c>
    </row>
    <row r="3140" spans="1:5" ht="15.75" customHeight="1">
      <c r="A3140" s="1">
        <v>701310</v>
      </c>
      <c r="B3140" s="1" t="s">
        <v>3166</v>
      </c>
      <c r="C3140" s="1" t="str">
        <f ca="1">IFERROR(__xludf.DUMMYFUNCTION("REGEXEXTRACT(B3140, ""^([^:]+)"")"),"Glassware")</f>
        <v>Glassware</v>
      </c>
      <c r="D3140" s="1" t="s">
        <v>11</v>
      </c>
      <c r="E3140" s="1" t="s">
        <v>11</v>
      </c>
    </row>
    <row r="3141" spans="1:5" ht="15.75" customHeight="1">
      <c r="A3141" s="1">
        <v>701322</v>
      </c>
      <c r="B3141" s="1" t="s">
        <v>3167</v>
      </c>
      <c r="C3141" s="1" t="str">
        <f ca="1">IFERROR(__xludf.DUMMYFUNCTION("REGEXEXTRACT(B3141, ""^([^:]+)"")"),"Stemware drinking glasses, of lead crystal")</f>
        <v>Stemware drinking glasses, of lead crystal</v>
      </c>
      <c r="D3141" s="1" t="s">
        <v>11</v>
      </c>
      <c r="E3141" s="1" t="s">
        <v>11</v>
      </c>
    </row>
    <row r="3142" spans="1:5" ht="15.75" customHeight="1">
      <c r="A3142" s="1">
        <v>701328</v>
      </c>
      <c r="B3142" s="1" t="s">
        <v>3168</v>
      </c>
      <c r="C3142" s="1" t="str">
        <f ca="1">IFERROR(__xludf.DUMMYFUNCTION("REGEXEXTRACT(B3142, ""^([^:]+)"")"),"Stemware drinking glasses, other than of lead crystal or glass-ceramics")</f>
        <v>Stemware drinking glasses, other than of lead crystal or glass-ceramics</v>
      </c>
      <c r="D3142" s="1" t="s">
        <v>11</v>
      </c>
      <c r="E3142" s="1" t="s">
        <v>11</v>
      </c>
    </row>
    <row r="3143" spans="1:5" ht="15.75" customHeight="1">
      <c r="A3143" s="1">
        <v>701333</v>
      </c>
      <c r="B3143" s="1" t="s">
        <v>3169</v>
      </c>
      <c r="C3143" s="1" t="str">
        <f ca="1">IFERROR(__xludf.DUMMYFUNCTION("REGEXEXTRACT(B3143, ""^([^:]+)"")"),"Glassware")</f>
        <v>Glassware</v>
      </c>
      <c r="D3143" s="1" t="s">
        <v>11</v>
      </c>
      <c r="E3143" s="1" t="s">
        <v>11</v>
      </c>
    </row>
    <row r="3144" spans="1:5" ht="15.75" customHeight="1">
      <c r="A3144" s="1">
        <v>701337</v>
      </c>
      <c r="B3144" s="1" t="s">
        <v>3170</v>
      </c>
      <c r="C3144" s="1" t="str">
        <f ca="1">IFERROR(__xludf.DUMMYFUNCTION("REGEXEXTRACT(B3144, ""^([^:]+)"")"),"Glassware")</f>
        <v>Glassware</v>
      </c>
      <c r="D3144" s="1" t="s">
        <v>11</v>
      </c>
      <c r="E3144" s="1" t="s">
        <v>11</v>
      </c>
    </row>
    <row r="3145" spans="1:5" ht="15.75" customHeight="1">
      <c r="A3145" s="1">
        <v>701341</v>
      </c>
      <c r="B3145" s="1" t="s">
        <v>3171</v>
      </c>
      <c r="C3145" s="1" t="str">
        <f ca="1">IFERROR(__xludf.DUMMYFUNCTION("REGEXEXTRACT(B3145, ""^([^:]+)"")"),"Glassware of a kind used for table or kitchen purposes (not drinking glasses), of lead crystal")</f>
        <v>Glassware of a kind used for table or kitchen purposes (not drinking glasses), of lead crystal</v>
      </c>
      <c r="D3145" s="1" t="s">
        <v>11</v>
      </c>
      <c r="E3145" s="1" t="s">
        <v>11</v>
      </c>
    </row>
    <row r="3146" spans="1:5" ht="15.75" customHeight="1">
      <c r="A3146" s="1">
        <v>701342</v>
      </c>
      <c r="B3146" s="1" t="s">
        <v>3172</v>
      </c>
      <c r="C3146" s="1" t="str">
        <f ca="1">IFERROR(__xludf.DUMMYFUNCTION("REGEXEXTRACT(B3146, ""^([^:]+)"")"),"Glassware of a kind used for table or kitchen purposes (not drinking glasses), of glass having a linear coefficient of expansion not exceeding 5 x 10^(-6) per Kelvin within a temperature range of 0-300 degrees C")</f>
        <v>Glassware of a kind used for table or kitchen purposes (not drinking glasses), of glass having a linear coefficient of expansion not exceeding 5 x 10^(-6) per Kelvin within a temperature range of 0-300 degrees C</v>
      </c>
      <c r="D3146" s="1" t="s">
        <v>11</v>
      </c>
      <c r="E3146" s="1" t="s">
        <v>11</v>
      </c>
    </row>
    <row r="3147" spans="1:5" ht="15.75" customHeight="1">
      <c r="A3147" s="1">
        <v>701349</v>
      </c>
      <c r="B3147" s="1" t="s">
        <v>3173</v>
      </c>
      <c r="C3147" s="1" t="str">
        <f ca="1">IFERROR(__xludf.DUMMYFUNCTION("REGEXEXTRACT(B3147, ""^([^:]+)"")"),"Glassware of a kind used for table or kitchen purposes (not drinking glasses or of glass-ceramics), of glass n.e.c. in item no. 7013.4")</f>
        <v>Glassware of a kind used for table or kitchen purposes (not drinking glasses or of glass-ceramics), of glass n.e.c. in item no. 7013.4</v>
      </c>
      <c r="D3147" s="1" t="s">
        <v>11</v>
      </c>
      <c r="E3147" s="1" t="s">
        <v>11</v>
      </c>
    </row>
    <row r="3148" spans="1:5" ht="15.75" customHeight="1">
      <c r="A3148" s="1">
        <v>701391</v>
      </c>
      <c r="B3148" s="1" t="s">
        <v>3174</v>
      </c>
      <c r="C3148" s="1" t="str">
        <f ca="1">IFERROR(__xludf.DUMMYFUNCTION("REGEXEXTRACT(B3148, ""^([^:]+)"")"),"Glassware")</f>
        <v>Glassware</v>
      </c>
      <c r="D3148" s="1" t="s">
        <v>11</v>
      </c>
      <c r="E3148" s="1" t="s">
        <v>11</v>
      </c>
    </row>
    <row r="3149" spans="1:5" ht="15.75" customHeight="1">
      <c r="A3149" s="1">
        <v>701399</v>
      </c>
      <c r="B3149" s="1" t="s">
        <v>3175</v>
      </c>
      <c r="C3149" s="1" t="str">
        <f ca="1">IFERROR(__xludf.DUMMYFUNCTION("REGEXEXTRACT(B3149, ""^([^:]+)"")"),"Glassware")</f>
        <v>Glassware</v>
      </c>
      <c r="D3149" s="1" t="s">
        <v>11</v>
      </c>
      <c r="E3149" s="1" t="s">
        <v>11</v>
      </c>
    </row>
    <row r="3150" spans="1:5" ht="15.75" customHeight="1">
      <c r="A3150" s="1">
        <v>701400</v>
      </c>
      <c r="B3150" s="1" t="s">
        <v>3176</v>
      </c>
      <c r="C3150" s="1" t="str">
        <f ca="1">IFERROR(__xludf.DUMMYFUNCTION("REGEXEXTRACT(B3150, ""^([^:]+)"")"),"Glassware")</f>
        <v>Glassware</v>
      </c>
      <c r="D3150" s="1" t="s">
        <v>11</v>
      </c>
      <c r="E3150" s="1" t="s">
        <v>11</v>
      </c>
    </row>
    <row r="3151" spans="1:5" ht="15.75" customHeight="1">
      <c r="A3151" s="1">
        <v>701510</v>
      </c>
      <c r="B3151" s="1" t="s">
        <v>3177</v>
      </c>
      <c r="C3151" s="1" t="str">
        <f ca="1">IFERROR(__xludf.DUMMYFUNCTION("REGEXEXTRACT(B3151, ""^([^:]+)"")"),"Glasses for corrective spectacles")</f>
        <v>Glasses for corrective spectacles</v>
      </c>
      <c r="D3151" s="1" t="s">
        <v>11</v>
      </c>
      <c r="E3151" s="1" t="s">
        <v>11</v>
      </c>
    </row>
    <row r="3152" spans="1:5" ht="15.75" customHeight="1">
      <c r="A3152" s="1">
        <v>701590</v>
      </c>
      <c r="B3152" s="1" t="s">
        <v>3178</v>
      </c>
      <c r="C3152" s="1" t="str">
        <f ca="1">IFERROR(__xludf.DUMMYFUNCTION("REGEXEXTRACT(B3152, ""^([^:]+)"")"),"Glasses")</f>
        <v>Glasses</v>
      </c>
      <c r="D3152" s="1" t="s">
        <v>11</v>
      </c>
      <c r="E3152" s="1" t="s">
        <v>11</v>
      </c>
    </row>
    <row r="3153" spans="1:5" ht="15.75" customHeight="1">
      <c r="A3153" s="1">
        <v>701610</v>
      </c>
      <c r="B3153" s="1" t="s">
        <v>3179</v>
      </c>
      <c r="C3153" s="1" t="str">
        <f ca="1">IFERROR(__xludf.DUMMYFUNCTION("REGEXEXTRACT(B3153, ""^([^:]+)"")"),"Glass cubes and other glass smallwares")</f>
        <v>Glass cubes and other glass smallwares</v>
      </c>
      <c r="D3153" s="1" t="s">
        <v>11</v>
      </c>
      <c r="E3153" s="1" t="s">
        <v>11</v>
      </c>
    </row>
    <row r="3154" spans="1:5" ht="15.75" customHeight="1">
      <c r="A3154" s="1">
        <v>701690</v>
      </c>
      <c r="B3154" s="1" t="s">
        <v>3180</v>
      </c>
      <c r="C3154" s="1" t="str">
        <f ca="1">IFERROR(__xludf.DUMMYFUNCTION("REGEXEXTRACT(B3154, ""^([^:]+)"")"),"Multicellular or foam glass")</f>
        <v>Multicellular or foam glass</v>
      </c>
      <c r="D3154" s="1" t="s">
        <v>11</v>
      </c>
      <c r="E3154" s="1" t="s">
        <v>11</v>
      </c>
    </row>
    <row r="3155" spans="1:5" ht="15.75" customHeight="1">
      <c r="A3155" s="1">
        <v>701710</v>
      </c>
      <c r="B3155" s="1" t="s">
        <v>3181</v>
      </c>
      <c r="C3155" s="1" t="str">
        <f ca="1">IFERROR(__xludf.DUMMYFUNCTION("REGEXEXTRACT(B3155, ""^([^:]+)"")"),"Glassware")</f>
        <v>Glassware</v>
      </c>
      <c r="D3155" s="1" t="s">
        <v>11</v>
      </c>
      <c r="E3155" s="1" t="s">
        <v>11</v>
      </c>
    </row>
    <row r="3156" spans="1:5" ht="15.75" customHeight="1">
      <c r="A3156" s="1">
        <v>701720</v>
      </c>
      <c r="B3156" s="1" t="s">
        <v>3182</v>
      </c>
      <c r="C3156" s="1" t="str">
        <f ca="1">IFERROR(__xludf.DUMMYFUNCTION("REGEXEXTRACT(B3156, ""^([^:]+)"")"),"Glassware")</f>
        <v>Glassware</v>
      </c>
      <c r="D3156" s="1" t="s">
        <v>11</v>
      </c>
      <c r="E3156" s="1" t="s">
        <v>11</v>
      </c>
    </row>
    <row r="3157" spans="1:5" ht="15.75" customHeight="1">
      <c r="A3157" s="1">
        <v>701790</v>
      </c>
      <c r="B3157" s="1" t="s">
        <v>3183</v>
      </c>
      <c r="C3157" s="1" t="str">
        <f ca="1">IFERROR(__xludf.DUMMYFUNCTION("REGEXEXTRACT(B3157, ""^([^:]+)"")"),"Glassware")</f>
        <v>Glassware</v>
      </c>
      <c r="D3157" s="1" t="s">
        <v>11</v>
      </c>
      <c r="E3157" s="1" t="s">
        <v>11</v>
      </c>
    </row>
    <row r="3158" spans="1:5" ht="15.75" customHeight="1">
      <c r="A3158" s="1">
        <v>701810</v>
      </c>
      <c r="B3158" s="1" t="s">
        <v>3184</v>
      </c>
      <c r="C3158" s="1" t="str">
        <f ca="1">IFERROR(__xludf.DUMMYFUNCTION("REGEXEXTRACT(B3158, ""^([^:]+)"")"),"Glass")</f>
        <v>Glass</v>
      </c>
      <c r="D3158" s="1" t="s">
        <v>11</v>
      </c>
      <c r="E3158" s="1" t="s">
        <v>11</v>
      </c>
    </row>
    <row r="3159" spans="1:5" ht="15.75" customHeight="1">
      <c r="A3159" s="1">
        <v>701820</v>
      </c>
      <c r="B3159" s="1" t="s">
        <v>3185</v>
      </c>
      <c r="C3159" s="1" t="str">
        <f ca="1">IFERROR(__xludf.DUMMYFUNCTION("REGEXEXTRACT(B3159, ""^([^:]+)"")"),"Glass microspheres")</f>
        <v>Glass microspheres</v>
      </c>
      <c r="D3159" s="1" t="s">
        <v>11</v>
      </c>
      <c r="E3159" s="1" t="s">
        <v>11</v>
      </c>
    </row>
    <row r="3160" spans="1:5" ht="15.75" customHeight="1">
      <c r="A3160" s="1">
        <v>701890</v>
      </c>
      <c r="B3160" s="1" t="s">
        <v>3186</v>
      </c>
      <c r="C3160" s="1" t="str">
        <f ca="1">IFERROR(__xludf.DUMMYFUNCTION("REGEXEXTRACT(B3160, ""^([^:]+)"")"),"Glass")</f>
        <v>Glass</v>
      </c>
      <c r="D3160" s="1" t="s">
        <v>11</v>
      </c>
      <c r="E3160" s="1" t="s">
        <v>11</v>
      </c>
    </row>
    <row r="3161" spans="1:5" ht="15.75" customHeight="1">
      <c r="A3161" s="1">
        <v>701911</v>
      </c>
      <c r="B3161" s="1" t="s">
        <v>3187</v>
      </c>
      <c r="C3161" s="1" t="str">
        <f ca="1">IFERROR(__xludf.DUMMYFUNCTION("REGEXEXTRACT(B3161, ""^([^:]+)"")"),"Glass fibres")</f>
        <v>Glass fibres</v>
      </c>
      <c r="D3161" s="1" t="s">
        <v>11</v>
      </c>
      <c r="E3161" s="1" t="s">
        <v>11</v>
      </c>
    </row>
    <row r="3162" spans="1:5" ht="15.75" customHeight="1">
      <c r="A3162" s="1">
        <v>701912</v>
      </c>
      <c r="B3162" s="1" t="s">
        <v>3188</v>
      </c>
      <c r="C3162" s="1" t="str">
        <f ca="1">IFERROR(__xludf.DUMMYFUNCTION("REGEXEXTRACT(B3162, ""^([^:]+)"")"),"Glass fibres")</f>
        <v>Glass fibres</v>
      </c>
      <c r="D3162" s="1" t="s">
        <v>11</v>
      </c>
      <c r="E3162" s="1" t="s">
        <v>11</v>
      </c>
    </row>
    <row r="3163" spans="1:5" ht="15.75" customHeight="1">
      <c r="A3163" s="1">
        <v>701919</v>
      </c>
      <c r="B3163" s="1" t="s">
        <v>3189</v>
      </c>
      <c r="C3163" s="1" t="str">
        <f ca="1">IFERROR(__xludf.DUMMYFUNCTION("REGEXEXTRACT(B3163, ""^([^:]+)"")"),"Glass fibres")</f>
        <v>Glass fibres</v>
      </c>
      <c r="D3163" s="1" t="s">
        <v>11</v>
      </c>
      <c r="E3163" s="1" t="s">
        <v>11</v>
      </c>
    </row>
    <row r="3164" spans="1:5" ht="15.75" customHeight="1">
      <c r="A3164" s="1">
        <v>701931</v>
      </c>
      <c r="B3164" s="1" t="s">
        <v>3190</v>
      </c>
      <c r="C3164" s="1" t="str">
        <f ca="1">IFERROR(__xludf.DUMMYFUNCTION("REGEXEXTRACT(B3164, ""^([^:]+)"")"),"Glass fibres")</f>
        <v>Glass fibres</v>
      </c>
      <c r="D3164" s="1" t="s">
        <v>11</v>
      </c>
      <c r="E3164" s="1" t="s">
        <v>11</v>
      </c>
    </row>
    <row r="3165" spans="1:5" ht="15.75" customHeight="1">
      <c r="A3165" s="1">
        <v>701932</v>
      </c>
      <c r="B3165" s="1" t="s">
        <v>3191</v>
      </c>
      <c r="C3165" s="1" t="str">
        <f ca="1">IFERROR(__xludf.DUMMYFUNCTION("REGEXEXTRACT(B3165, ""^([^:]+)"")"),"Glass fibres")</f>
        <v>Glass fibres</v>
      </c>
      <c r="D3165" s="1" t="s">
        <v>11</v>
      </c>
      <c r="E3165" s="1" t="s">
        <v>11</v>
      </c>
    </row>
    <row r="3166" spans="1:5" ht="15.75" customHeight="1">
      <c r="A3166" s="1">
        <v>701939</v>
      </c>
      <c r="B3166" s="1" t="s">
        <v>3192</v>
      </c>
      <c r="C3166" s="1" t="str">
        <f ca="1">IFERROR(__xludf.DUMMYFUNCTION("REGEXEXTRACT(B3166, ""^([^:]+)"")"),"Glass fibres")</f>
        <v>Glass fibres</v>
      </c>
      <c r="D3166" s="1" t="s">
        <v>11</v>
      </c>
      <c r="E3166" s="1" t="s">
        <v>11</v>
      </c>
    </row>
    <row r="3167" spans="1:5" ht="15.75" customHeight="1">
      <c r="A3167" s="1">
        <v>701940</v>
      </c>
      <c r="B3167" s="1" t="s">
        <v>3193</v>
      </c>
      <c r="C3167" s="1" t="str">
        <f ca="1">IFERROR(__xludf.DUMMYFUNCTION("REGEXEXTRACT(B3167, ""^([^:]+)"")"),"Glass fibres")</f>
        <v>Glass fibres</v>
      </c>
      <c r="D3167" s="1" t="s">
        <v>11</v>
      </c>
      <c r="E3167" s="1" t="s">
        <v>11</v>
      </c>
    </row>
    <row r="3168" spans="1:5" ht="15.75" customHeight="1">
      <c r="A3168" s="1">
        <v>701951</v>
      </c>
      <c r="B3168" s="1" t="s">
        <v>3194</v>
      </c>
      <c r="C3168" s="1" t="str">
        <f ca="1">IFERROR(__xludf.DUMMYFUNCTION("REGEXEXTRACT(B3168, ""^([^:]+)"")"),"Glass fibres")</f>
        <v>Glass fibres</v>
      </c>
      <c r="D3168" s="1" t="s">
        <v>11</v>
      </c>
      <c r="E3168" s="1" t="s">
        <v>11</v>
      </c>
    </row>
    <row r="3169" spans="1:5" ht="15.75" customHeight="1">
      <c r="A3169" s="1">
        <v>701952</v>
      </c>
      <c r="B3169" s="1" t="s">
        <v>3195</v>
      </c>
      <c r="C3169" s="1" t="str">
        <f ca="1">IFERROR(__xludf.DUMMYFUNCTION("REGEXEXTRACT(B3169, ""^([^:]+)"")"),"Glass fibres")</f>
        <v>Glass fibres</v>
      </c>
      <c r="D3169" s="1" t="s">
        <v>11</v>
      </c>
      <c r="E3169" s="1" t="s">
        <v>11</v>
      </c>
    </row>
    <row r="3170" spans="1:5" ht="15.75" customHeight="1">
      <c r="A3170" s="1">
        <v>701959</v>
      </c>
      <c r="B3170" s="1" t="s">
        <v>3196</v>
      </c>
      <c r="C3170" s="1" t="str">
        <f ca="1">IFERROR(__xludf.DUMMYFUNCTION("REGEXEXTRACT(B3170, ""^([^:]+)"")"),"Glass fibres")</f>
        <v>Glass fibres</v>
      </c>
      <c r="D3170" s="1" t="s">
        <v>11</v>
      </c>
      <c r="E3170" s="1" t="s">
        <v>11</v>
      </c>
    </row>
    <row r="3171" spans="1:5" ht="15.75" customHeight="1">
      <c r="A3171" s="1">
        <v>701990</v>
      </c>
      <c r="B3171" s="1" t="s">
        <v>3197</v>
      </c>
      <c r="C3171" s="1" t="str">
        <f ca="1">IFERROR(__xludf.DUMMYFUNCTION("REGEXEXTRACT(B3171, ""^([^:]+)"")"),"Glass fibres")</f>
        <v>Glass fibres</v>
      </c>
      <c r="D3171" s="1" t="s">
        <v>11</v>
      </c>
      <c r="E3171" s="1" t="s">
        <v>11</v>
      </c>
    </row>
    <row r="3172" spans="1:5" ht="15.75" customHeight="1">
      <c r="A3172" s="1">
        <v>702000</v>
      </c>
      <c r="B3172" s="1" t="s">
        <v>3198</v>
      </c>
      <c r="C3172" s="1" t="str">
        <f ca="1">IFERROR(__xludf.DUMMYFUNCTION("REGEXEXTRACT(B3172, ""^([^:]+)"")"),"Glass")</f>
        <v>Glass</v>
      </c>
      <c r="D3172" s="1" t="s">
        <v>11</v>
      </c>
      <c r="E3172" s="1" t="s">
        <v>11</v>
      </c>
    </row>
    <row r="3173" spans="1:5" ht="15.75" customHeight="1">
      <c r="A3173" s="1">
        <v>710110</v>
      </c>
      <c r="B3173" s="1" t="s">
        <v>3199</v>
      </c>
      <c r="C3173" s="1" t="str">
        <f ca="1">IFERROR(__xludf.DUMMYFUNCTION("REGEXEXTRACT(B3173, ""^([^:]+)"")"),"Pearls")</f>
        <v>Pearls</v>
      </c>
      <c r="D3173" s="1" t="s">
        <v>11</v>
      </c>
      <c r="E3173" s="1" t="s">
        <v>11</v>
      </c>
    </row>
    <row r="3174" spans="1:5" ht="15.75" customHeight="1">
      <c r="A3174" s="1">
        <v>710121</v>
      </c>
      <c r="B3174" s="1" t="s">
        <v>3200</v>
      </c>
      <c r="C3174" s="1" t="str">
        <f ca="1">IFERROR(__xludf.DUMMYFUNCTION("REGEXEXTRACT(B3174, ""^([^:]+)"")"),"Pearls")</f>
        <v>Pearls</v>
      </c>
      <c r="D3174" s="1" t="s">
        <v>11</v>
      </c>
      <c r="E3174" s="1" t="s">
        <v>11</v>
      </c>
    </row>
    <row r="3175" spans="1:5" ht="15.75" customHeight="1">
      <c r="A3175" s="1">
        <v>710122</v>
      </c>
      <c r="B3175" s="1" t="s">
        <v>3201</v>
      </c>
      <c r="C3175" s="1" t="str">
        <f ca="1">IFERROR(__xludf.DUMMYFUNCTION("REGEXEXTRACT(B3175, ""^([^:]+)"")"),"Pearls")</f>
        <v>Pearls</v>
      </c>
      <c r="D3175" s="1" t="s">
        <v>11</v>
      </c>
      <c r="E3175" s="1" t="s">
        <v>11</v>
      </c>
    </row>
    <row r="3176" spans="1:5" ht="15.75" customHeight="1">
      <c r="A3176" s="1">
        <v>710210</v>
      </c>
      <c r="B3176" s="1" t="s">
        <v>3202</v>
      </c>
      <c r="C3176" s="1" t="str">
        <f ca="1">IFERROR(__xludf.DUMMYFUNCTION("REGEXEXTRACT(B3176, ""^([^:]+)"")"),"Diamonds")</f>
        <v>Diamonds</v>
      </c>
      <c r="D3176" s="1" t="s">
        <v>11</v>
      </c>
      <c r="E3176" s="1" t="s">
        <v>11</v>
      </c>
    </row>
    <row r="3177" spans="1:5" ht="15.75" customHeight="1">
      <c r="A3177" s="1">
        <v>710221</v>
      </c>
      <c r="B3177" s="1" t="s">
        <v>3203</v>
      </c>
      <c r="C3177" s="1" t="str">
        <f ca="1">IFERROR(__xludf.DUMMYFUNCTION("REGEXEXTRACT(B3177, ""^([^:]+)"")"),"Diamonds")</f>
        <v>Diamonds</v>
      </c>
      <c r="D3177" s="1" t="s">
        <v>11</v>
      </c>
      <c r="E3177" s="1" t="s">
        <v>11</v>
      </c>
    </row>
    <row r="3178" spans="1:5" ht="15.75" customHeight="1">
      <c r="A3178" s="1">
        <v>710229</v>
      </c>
      <c r="B3178" s="1" t="s">
        <v>3204</v>
      </c>
      <c r="C3178" s="1" t="str">
        <f ca="1">IFERROR(__xludf.DUMMYFUNCTION("REGEXEXTRACT(B3178, ""^([^:]+)"")"),"Diamonds")</f>
        <v>Diamonds</v>
      </c>
      <c r="D3178" s="1" t="s">
        <v>11</v>
      </c>
      <c r="E3178" s="1" t="s">
        <v>11</v>
      </c>
    </row>
    <row r="3179" spans="1:5" ht="15.75" customHeight="1">
      <c r="A3179" s="1">
        <v>710231</v>
      </c>
      <c r="B3179" s="1" t="s">
        <v>3205</v>
      </c>
      <c r="C3179" s="1" t="str">
        <f ca="1">IFERROR(__xludf.DUMMYFUNCTION("REGEXEXTRACT(B3179, ""^([^:]+)"")"),"Diamonds")</f>
        <v>Diamonds</v>
      </c>
      <c r="D3179" s="1" t="s">
        <v>11</v>
      </c>
      <c r="E3179" s="1" t="s">
        <v>11</v>
      </c>
    </row>
    <row r="3180" spans="1:5" ht="15.75" customHeight="1">
      <c r="A3180" s="1">
        <v>710239</v>
      </c>
      <c r="B3180" s="1" t="s">
        <v>3206</v>
      </c>
      <c r="C3180" s="1" t="str">
        <f ca="1">IFERROR(__xludf.DUMMYFUNCTION("REGEXEXTRACT(B3180, ""^([^:]+)"")"),"Diamonds")</f>
        <v>Diamonds</v>
      </c>
      <c r="D3180" s="1" t="s">
        <v>11</v>
      </c>
      <c r="E3180" s="1" t="s">
        <v>11</v>
      </c>
    </row>
    <row r="3181" spans="1:5" ht="15.75" customHeight="1">
      <c r="A3181" s="1">
        <v>710310</v>
      </c>
      <c r="B3181" s="1" t="s">
        <v>3207</v>
      </c>
      <c r="C3181" s="1" t="str">
        <f ca="1">IFERROR(__xludf.DUMMYFUNCTION("REGEXEXTRACT(B3181, ""^([^:]+)"")"),"Stones")</f>
        <v>Stones</v>
      </c>
      <c r="D3181" s="1" t="s">
        <v>11</v>
      </c>
      <c r="E3181" s="1" t="s">
        <v>11</v>
      </c>
    </row>
    <row r="3182" spans="1:5" ht="15.75" customHeight="1">
      <c r="A3182" s="1">
        <v>710391</v>
      </c>
      <c r="B3182" s="1" t="s">
        <v>3208</v>
      </c>
      <c r="C3182" s="1" t="str">
        <f ca="1">IFERROR(__xludf.DUMMYFUNCTION("REGEXEXTRACT(B3182, ""^([^:]+)"")"),"Stones")</f>
        <v>Stones</v>
      </c>
      <c r="D3182" s="1" t="s">
        <v>11</v>
      </c>
      <c r="E3182" s="1" t="s">
        <v>11</v>
      </c>
    </row>
    <row r="3183" spans="1:5" ht="15.75" customHeight="1">
      <c r="A3183" s="1">
        <v>710399</v>
      </c>
      <c r="B3183" s="1" t="s">
        <v>3209</v>
      </c>
      <c r="C3183" s="1" t="str">
        <f ca="1">IFERROR(__xludf.DUMMYFUNCTION("REGEXEXTRACT(B3183, ""^([^:]+)"")"),"Stones")</f>
        <v>Stones</v>
      </c>
      <c r="D3183" s="1" t="s">
        <v>11</v>
      </c>
      <c r="E3183" s="1" t="s">
        <v>11</v>
      </c>
    </row>
    <row r="3184" spans="1:5" ht="15.75" customHeight="1">
      <c r="A3184" s="1">
        <v>710410</v>
      </c>
      <c r="B3184" s="1" t="s">
        <v>3210</v>
      </c>
      <c r="C3184" s="1" t="str">
        <f ca="1">IFERROR(__xludf.DUMMYFUNCTION("REGEXEXTRACT(B3184, ""^([^:]+)"")"),"Stones")</f>
        <v>Stones</v>
      </c>
      <c r="D3184" s="1" t="s">
        <v>11</v>
      </c>
      <c r="E3184" s="1" t="s">
        <v>11</v>
      </c>
    </row>
    <row r="3185" spans="1:5" ht="15.75" customHeight="1">
      <c r="A3185" s="1">
        <v>710420</v>
      </c>
      <c r="B3185" s="1" t="s">
        <v>3211</v>
      </c>
      <c r="C3185" s="1" t="str">
        <f ca="1">IFERROR(__xludf.DUMMYFUNCTION("REGEXEXTRACT(B3185, ""^([^:]+)"")"),"Stones")</f>
        <v>Stones</v>
      </c>
      <c r="D3185" s="1" t="s">
        <v>11</v>
      </c>
      <c r="E3185" s="1" t="s">
        <v>11</v>
      </c>
    </row>
    <row r="3186" spans="1:5" ht="15.75" customHeight="1">
      <c r="A3186" s="1">
        <v>710490</v>
      </c>
      <c r="B3186" s="1" t="s">
        <v>3212</v>
      </c>
      <c r="C3186" s="1" t="str">
        <f ca="1">IFERROR(__xludf.DUMMYFUNCTION("REGEXEXTRACT(B3186, ""^([^:]+)"")"),"Stones")</f>
        <v>Stones</v>
      </c>
      <c r="D3186" s="1" t="s">
        <v>11</v>
      </c>
      <c r="E3186" s="1" t="s">
        <v>11</v>
      </c>
    </row>
    <row r="3187" spans="1:5" ht="15.75" customHeight="1">
      <c r="A3187" s="1">
        <v>710510</v>
      </c>
      <c r="B3187" s="1" t="s">
        <v>3213</v>
      </c>
      <c r="C3187" s="1" t="str">
        <f ca="1">IFERROR(__xludf.DUMMYFUNCTION("REGEXEXTRACT(B3187, ""^([^:]+)"")"),"Stones")</f>
        <v>Stones</v>
      </c>
      <c r="D3187" s="1" t="s">
        <v>11</v>
      </c>
      <c r="E3187" s="1" t="s">
        <v>11</v>
      </c>
    </row>
    <row r="3188" spans="1:5" ht="15.75" customHeight="1">
      <c r="A3188" s="1">
        <v>710590</v>
      </c>
      <c r="B3188" s="1" t="s">
        <v>3214</v>
      </c>
      <c r="C3188" s="1" t="str">
        <f ca="1">IFERROR(__xludf.DUMMYFUNCTION("REGEXEXTRACT(B3188, ""^([^:]+)"")"),"Stones")</f>
        <v>Stones</v>
      </c>
      <c r="D3188" s="1" t="s">
        <v>11</v>
      </c>
      <c r="E3188" s="1" t="s">
        <v>11</v>
      </c>
    </row>
    <row r="3189" spans="1:5" ht="15.75" customHeight="1">
      <c r="A3189" s="1">
        <v>710610</v>
      </c>
      <c r="B3189" s="1" t="s">
        <v>3215</v>
      </c>
      <c r="C3189" s="1" t="str">
        <f ca="1">IFERROR(__xludf.DUMMYFUNCTION("REGEXEXTRACT(B3189, ""^([^:]+)"")"),"Metals")</f>
        <v>Metals</v>
      </c>
      <c r="D3189" s="1" t="s">
        <v>11</v>
      </c>
      <c r="E3189" s="1" t="s">
        <v>11</v>
      </c>
    </row>
    <row r="3190" spans="1:5" ht="15.75" customHeight="1">
      <c r="A3190" s="1">
        <v>710691</v>
      </c>
      <c r="B3190" s="1" t="s">
        <v>3216</v>
      </c>
      <c r="C3190" s="1" t="str">
        <f ca="1">IFERROR(__xludf.DUMMYFUNCTION("REGEXEXTRACT(B3190, ""^([^:]+)"")"),"Metals")</f>
        <v>Metals</v>
      </c>
      <c r="D3190" s="1" t="s">
        <v>11</v>
      </c>
      <c r="E3190" s="1" t="s">
        <v>11</v>
      </c>
    </row>
    <row r="3191" spans="1:5" ht="15.75" customHeight="1">
      <c r="A3191" s="1">
        <v>710692</v>
      </c>
      <c r="B3191" s="1" t="s">
        <v>3217</v>
      </c>
      <c r="C3191" s="1" t="str">
        <f ca="1">IFERROR(__xludf.DUMMYFUNCTION("REGEXEXTRACT(B3191, ""^([^:]+)"")"),"Metals")</f>
        <v>Metals</v>
      </c>
      <c r="D3191" s="1" t="s">
        <v>11</v>
      </c>
      <c r="E3191" s="1" t="s">
        <v>11</v>
      </c>
    </row>
    <row r="3192" spans="1:5" ht="15.75" customHeight="1">
      <c r="A3192" s="1">
        <v>710700</v>
      </c>
      <c r="B3192" s="1" t="s">
        <v>3218</v>
      </c>
      <c r="C3192" s="1" t="str">
        <f ca="1">IFERROR(__xludf.DUMMYFUNCTION("REGEXEXTRACT(B3192, ""^([^:]+)"")"),"Base metals clad with silver")</f>
        <v>Base metals clad with silver</v>
      </c>
      <c r="D3192" s="1" t="s">
        <v>11</v>
      </c>
      <c r="E3192" s="1" t="s">
        <v>11</v>
      </c>
    </row>
    <row r="3193" spans="1:5" ht="15.75" customHeight="1">
      <c r="A3193" s="1">
        <v>710811</v>
      </c>
      <c r="B3193" s="1" t="s">
        <v>3219</v>
      </c>
      <c r="C3193" s="1" t="str">
        <f ca="1">IFERROR(__xludf.DUMMYFUNCTION("REGEXEXTRACT(B3193, ""^([^:]+)"")"),"Metals")</f>
        <v>Metals</v>
      </c>
      <c r="D3193" s="1" t="s">
        <v>11</v>
      </c>
      <c r="E3193" s="1" t="s">
        <v>11</v>
      </c>
    </row>
    <row r="3194" spans="1:5" ht="15.75" customHeight="1">
      <c r="A3194" s="1">
        <v>710812</v>
      </c>
      <c r="B3194" s="1" t="s">
        <v>3220</v>
      </c>
      <c r="C3194" s="1" t="str">
        <f ca="1">IFERROR(__xludf.DUMMYFUNCTION("REGEXEXTRACT(B3194, ""^([^:]+)"")"),"Metals")</f>
        <v>Metals</v>
      </c>
      <c r="D3194" s="1" t="s">
        <v>11</v>
      </c>
      <c r="E3194" s="1" t="s">
        <v>11</v>
      </c>
    </row>
    <row r="3195" spans="1:5" ht="15.75" customHeight="1">
      <c r="A3195" s="1">
        <v>710813</v>
      </c>
      <c r="B3195" s="1" t="s">
        <v>3221</v>
      </c>
      <c r="C3195" s="1" t="str">
        <f ca="1">IFERROR(__xludf.DUMMYFUNCTION("REGEXEXTRACT(B3195, ""^([^:]+)"")"),"Metals")</f>
        <v>Metals</v>
      </c>
      <c r="D3195" s="1" t="s">
        <v>11</v>
      </c>
      <c r="E3195" s="1" t="s">
        <v>11</v>
      </c>
    </row>
    <row r="3196" spans="1:5" ht="15.75" customHeight="1">
      <c r="A3196" s="1">
        <v>710820</v>
      </c>
      <c r="B3196" s="1" t="s">
        <v>3222</v>
      </c>
      <c r="C3196" s="1" t="str">
        <f ca="1">IFERROR(__xludf.DUMMYFUNCTION("REGEXEXTRACT(B3196, ""^([^:]+)"")"),"Gold, monetary")</f>
        <v>Gold, monetary</v>
      </c>
      <c r="D3196" s="1" t="s">
        <v>11</v>
      </c>
      <c r="E3196" s="1" t="s">
        <v>11</v>
      </c>
    </row>
    <row r="3197" spans="1:5" ht="15.75" customHeight="1">
      <c r="A3197" s="1">
        <v>710900</v>
      </c>
      <c r="B3197" s="1" t="s">
        <v>3223</v>
      </c>
      <c r="C3197" s="1" t="str">
        <f ca="1">IFERROR(__xludf.DUMMYFUNCTION("REGEXEXTRACT(B3197, ""^([^:]+)"")"),"Base metals or silver")</f>
        <v>Base metals or silver</v>
      </c>
      <c r="D3197" s="1" t="s">
        <v>11</v>
      </c>
      <c r="E3197" s="1" t="s">
        <v>11</v>
      </c>
    </row>
    <row r="3198" spans="1:5" ht="15.75" customHeight="1">
      <c r="A3198" s="1">
        <v>711011</v>
      </c>
      <c r="B3198" s="1" t="s">
        <v>3224</v>
      </c>
      <c r="C3198" s="1" t="str">
        <f ca="1">IFERROR(__xludf.DUMMYFUNCTION("REGEXEXTRACT(B3198, ""^([^:]+)"")"),"Metals")</f>
        <v>Metals</v>
      </c>
      <c r="D3198" s="1" t="s">
        <v>11</v>
      </c>
      <c r="E3198" s="1" t="s">
        <v>11</v>
      </c>
    </row>
    <row r="3199" spans="1:5" ht="15.75" customHeight="1">
      <c r="A3199" s="1">
        <v>711019</v>
      </c>
      <c r="B3199" s="1" t="s">
        <v>3225</v>
      </c>
      <c r="C3199" s="1" t="str">
        <f ca="1">IFERROR(__xludf.DUMMYFUNCTION("REGEXEXTRACT(B3199, ""^([^:]+)"")"),"Metals")</f>
        <v>Metals</v>
      </c>
      <c r="D3199" s="1" t="s">
        <v>11</v>
      </c>
      <c r="E3199" s="1" t="s">
        <v>11</v>
      </c>
    </row>
    <row r="3200" spans="1:5" ht="15.75" customHeight="1">
      <c r="A3200" s="1">
        <v>711021</v>
      </c>
      <c r="B3200" s="1" t="s">
        <v>3226</v>
      </c>
      <c r="C3200" s="1" t="str">
        <f ca="1">IFERROR(__xludf.DUMMYFUNCTION("REGEXEXTRACT(B3200, ""^([^:]+)"")"),"Metals")</f>
        <v>Metals</v>
      </c>
      <c r="D3200" s="1" t="s">
        <v>11</v>
      </c>
      <c r="E3200" s="1" t="s">
        <v>11</v>
      </c>
    </row>
    <row r="3201" spans="1:5" ht="15.75" customHeight="1">
      <c r="A3201" s="1">
        <v>711029</v>
      </c>
      <c r="B3201" s="1" t="s">
        <v>3227</v>
      </c>
      <c r="C3201" s="1" t="str">
        <f ca="1">IFERROR(__xludf.DUMMYFUNCTION("REGEXEXTRACT(B3201, ""^([^:]+)"")"),"Metals")</f>
        <v>Metals</v>
      </c>
      <c r="D3201" s="1" t="s">
        <v>11</v>
      </c>
      <c r="E3201" s="1" t="s">
        <v>11</v>
      </c>
    </row>
    <row r="3202" spans="1:5" ht="15.75" customHeight="1">
      <c r="A3202" s="1">
        <v>711031</v>
      </c>
      <c r="B3202" s="1" t="s">
        <v>3228</v>
      </c>
      <c r="C3202" s="1" t="str">
        <f ca="1">IFERROR(__xludf.DUMMYFUNCTION("REGEXEXTRACT(B3202, ""^([^:]+)"")"),"Metals")</f>
        <v>Metals</v>
      </c>
      <c r="D3202" s="1" t="s">
        <v>11</v>
      </c>
      <c r="E3202" s="1" t="s">
        <v>11</v>
      </c>
    </row>
    <row r="3203" spans="1:5" ht="15.75" customHeight="1">
      <c r="A3203" s="1">
        <v>711039</v>
      </c>
      <c r="B3203" s="1" t="s">
        <v>3229</v>
      </c>
      <c r="C3203" s="1" t="str">
        <f ca="1">IFERROR(__xludf.DUMMYFUNCTION("REGEXEXTRACT(B3203, ""^([^:]+)"")"),"Metals")</f>
        <v>Metals</v>
      </c>
      <c r="D3203" s="1" t="s">
        <v>11</v>
      </c>
      <c r="E3203" s="1" t="s">
        <v>11</v>
      </c>
    </row>
    <row r="3204" spans="1:5" ht="15.75" customHeight="1">
      <c r="A3204" s="1">
        <v>711041</v>
      </c>
      <c r="B3204" s="1" t="s">
        <v>3230</v>
      </c>
      <c r="C3204" s="1" t="str">
        <f ca="1">IFERROR(__xludf.DUMMYFUNCTION("REGEXEXTRACT(B3204, ""^([^:]+)"")"),"Metals")</f>
        <v>Metals</v>
      </c>
      <c r="D3204" s="1" t="s">
        <v>11</v>
      </c>
      <c r="E3204" s="1" t="s">
        <v>11</v>
      </c>
    </row>
    <row r="3205" spans="1:5" ht="15.75" customHeight="1">
      <c r="A3205" s="1">
        <v>711049</v>
      </c>
      <c r="B3205" s="1" t="s">
        <v>3231</v>
      </c>
      <c r="C3205" s="1" t="str">
        <f ca="1">IFERROR(__xludf.DUMMYFUNCTION("REGEXEXTRACT(B3205, ""^([^:]+)"")"),"Metals")</f>
        <v>Metals</v>
      </c>
      <c r="D3205" s="1" t="s">
        <v>11</v>
      </c>
      <c r="E3205" s="1" t="s">
        <v>11</v>
      </c>
    </row>
    <row r="3206" spans="1:5" ht="15.75" customHeight="1">
      <c r="A3206" s="1">
        <v>711100</v>
      </c>
      <c r="B3206" s="1" t="s">
        <v>3232</v>
      </c>
      <c r="C3206" s="1" t="str">
        <f ca="1">IFERROR(__xludf.DUMMYFUNCTION("REGEXEXTRACT(B3206, ""^([^:]+)"")"),"Base metals, silver or gold, clad with platinum")</f>
        <v>Base metals, silver or gold, clad with platinum</v>
      </c>
      <c r="D3206" s="1" t="s">
        <v>11</v>
      </c>
      <c r="E3206" s="1" t="s">
        <v>11</v>
      </c>
    </row>
    <row r="3207" spans="1:5" ht="15.75" customHeight="1">
      <c r="A3207" s="1">
        <v>711230</v>
      </c>
      <c r="B3207" s="1" t="s">
        <v>3233</v>
      </c>
      <c r="C3207" s="1" t="str">
        <f ca="1">IFERROR(__xludf.DUMMYFUNCTION("REGEXEXTRACT(B3207, ""^([^:]+)"")"),"Waste and scrap of precious metal or of metal clad with precious metal")</f>
        <v>Waste and scrap of precious metal or of metal clad with precious metal</v>
      </c>
      <c r="D3207" s="1" t="s">
        <v>11</v>
      </c>
      <c r="E3207" s="1" t="s">
        <v>11</v>
      </c>
    </row>
    <row r="3208" spans="1:5" ht="15.75" customHeight="1">
      <c r="A3208" s="1">
        <v>711291</v>
      </c>
      <c r="B3208" s="1" t="s">
        <v>3234</v>
      </c>
      <c r="C3208" s="1" t="str">
        <f ca="1">IFERROR(__xludf.DUMMYFUNCTION("REGEXEXTRACT(B3208, ""^([^:]+)"")"),"Waste and scrap of precious metals")</f>
        <v>Waste and scrap of precious metals</v>
      </c>
      <c r="D3208" s="1" t="s">
        <v>11</v>
      </c>
      <c r="E3208" s="1" t="s">
        <v>11</v>
      </c>
    </row>
    <row r="3209" spans="1:5" ht="15.75" customHeight="1">
      <c r="A3209" s="1">
        <v>711292</v>
      </c>
      <c r="B3209" s="1" t="s">
        <v>3235</v>
      </c>
      <c r="C3209" s="1" t="str">
        <f ca="1">IFERROR(__xludf.DUMMYFUNCTION("REGEXEXTRACT(B3209, ""^([^:]+)"")"),"Waste and scrap of precious metals")</f>
        <v>Waste and scrap of precious metals</v>
      </c>
      <c r="D3209" s="1" t="s">
        <v>11</v>
      </c>
      <c r="E3209" s="1" t="s">
        <v>11</v>
      </c>
    </row>
    <row r="3210" spans="1:5" ht="15.75" customHeight="1">
      <c r="A3210" s="1">
        <v>711299</v>
      </c>
      <c r="B3210" s="1" t="s">
        <v>3236</v>
      </c>
      <c r="C3210" s="1" t="str">
        <f ca="1">IFERROR(__xludf.DUMMYFUNCTION("REGEXEXTRACT(B3210, ""^([^:]+)"")"),"Waste and scrap of precious metals")</f>
        <v>Waste and scrap of precious metals</v>
      </c>
      <c r="D3210" s="1" t="s">
        <v>11</v>
      </c>
      <c r="E3210" s="1" t="s">
        <v>11</v>
      </c>
    </row>
    <row r="3211" spans="1:5" ht="15.75" customHeight="1">
      <c r="A3211" s="1">
        <v>711311</v>
      </c>
      <c r="B3211" s="1" t="s">
        <v>3237</v>
      </c>
      <c r="C3211" s="1" t="str">
        <f ca="1">IFERROR(__xludf.DUMMYFUNCTION("REGEXEXTRACT(B3211, ""^([^:]+)"")"),"Jewellery")</f>
        <v>Jewellery</v>
      </c>
      <c r="D3211" s="1" t="s">
        <v>11</v>
      </c>
      <c r="E3211" s="1" t="s">
        <v>11</v>
      </c>
    </row>
    <row r="3212" spans="1:5" ht="15.75" customHeight="1">
      <c r="A3212" s="1">
        <v>711319</v>
      </c>
      <c r="B3212" s="1" t="s">
        <v>3238</v>
      </c>
      <c r="C3212" s="1" t="str">
        <f ca="1">IFERROR(__xludf.DUMMYFUNCTION("REGEXEXTRACT(B3212, ""^([^:]+)"")"),"Jewellery")</f>
        <v>Jewellery</v>
      </c>
      <c r="D3212" s="1" t="s">
        <v>11</v>
      </c>
      <c r="E3212" s="1" t="s">
        <v>11</v>
      </c>
    </row>
    <row r="3213" spans="1:5" ht="15.75" customHeight="1">
      <c r="A3213" s="1">
        <v>711320</v>
      </c>
      <c r="B3213" s="1" t="s">
        <v>3239</v>
      </c>
      <c r="C3213" s="1" t="str">
        <f ca="1">IFERROR(__xludf.DUMMYFUNCTION("REGEXEXTRACT(B3213, ""^([^:]+)"")"),"Jewellery")</f>
        <v>Jewellery</v>
      </c>
      <c r="D3213" s="1" t="s">
        <v>11</v>
      </c>
      <c r="E3213" s="1" t="s">
        <v>11</v>
      </c>
    </row>
    <row r="3214" spans="1:5" ht="15.75" customHeight="1">
      <c r="A3214" s="1">
        <v>711411</v>
      </c>
      <c r="B3214" s="1" t="s">
        <v>3240</v>
      </c>
      <c r="C3214" s="1" t="str">
        <f ca="1">IFERROR(__xludf.DUMMYFUNCTION("REGEXEXTRACT(B3214, ""^([^:]+)"")"),"Silversmiths' wares")</f>
        <v>Silversmiths' wares</v>
      </c>
      <c r="D3214" s="1" t="s">
        <v>11</v>
      </c>
      <c r="E3214" s="1" t="s">
        <v>11</v>
      </c>
    </row>
    <row r="3215" spans="1:5" ht="15.75" customHeight="1">
      <c r="A3215" s="1">
        <v>711419</v>
      </c>
      <c r="B3215" s="1" t="s">
        <v>3241</v>
      </c>
      <c r="C3215" s="1" t="str">
        <f ca="1">IFERROR(__xludf.DUMMYFUNCTION("REGEXEXTRACT(B3215, ""^([^:]+)"")"),"Goldsmiths' wares")</f>
        <v>Goldsmiths' wares</v>
      </c>
      <c r="D3215" s="1" t="s">
        <v>11</v>
      </c>
      <c r="E3215" s="1" t="s">
        <v>11</v>
      </c>
    </row>
    <row r="3216" spans="1:5" ht="15.75" customHeight="1">
      <c r="A3216" s="1">
        <v>711420</v>
      </c>
      <c r="B3216" s="1" t="s">
        <v>3242</v>
      </c>
      <c r="C3216" s="1" t="str">
        <f ca="1">IFERROR(__xludf.DUMMYFUNCTION("REGEXEXTRACT(B3216, ""^([^:]+)"")"),"Goldsmiths' and silversmiths' wares")</f>
        <v>Goldsmiths' and silversmiths' wares</v>
      </c>
      <c r="D3216" s="1" t="s">
        <v>11</v>
      </c>
      <c r="E3216" s="1" t="s">
        <v>11</v>
      </c>
    </row>
    <row r="3217" spans="1:5" ht="15.75" customHeight="1">
      <c r="A3217" s="1">
        <v>711510</v>
      </c>
      <c r="B3217" s="1" t="s">
        <v>3243</v>
      </c>
      <c r="C3217" s="1" t="str">
        <f ca="1">IFERROR(__xludf.DUMMYFUNCTION("REGEXEXTRACT(B3217, ""^([^:]+)"")"),"Metal")</f>
        <v>Metal</v>
      </c>
      <c r="D3217" s="1" t="s">
        <v>11</v>
      </c>
      <c r="E3217" s="1" t="s">
        <v>11</v>
      </c>
    </row>
    <row r="3218" spans="1:5" ht="15.75" customHeight="1">
      <c r="A3218" s="1">
        <v>711590</v>
      </c>
      <c r="B3218" s="1" t="s">
        <v>3244</v>
      </c>
      <c r="C3218" s="1" t="str">
        <f ca="1">IFERROR(__xludf.DUMMYFUNCTION("REGEXEXTRACT(B3218, ""^([^:]+)"")"),"Metal")</f>
        <v>Metal</v>
      </c>
      <c r="D3218" s="1" t="s">
        <v>11</v>
      </c>
      <c r="E3218" s="1" t="s">
        <v>11</v>
      </c>
    </row>
    <row r="3219" spans="1:5" ht="15.75" customHeight="1">
      <c r="A3219" s="1">
        <v>711610</v>
      </c>
      <c r="B3219" s="1" t="s">
        <v>3245</v>
      </c>
      <c r="C3219" s="1" t="str">
        <f ca="1">IFERROR(__xludf.DUMMYFUNCTION("REGEXEXTRACT(B3219, ""^([^:]+)"")"),"Pearls")</f>
        <v>Pearls</v>
      </c>
      <c r="D3219" s="1" t="s">
        <v>11</v>
      </c>
      <c r="E3219" s="1" t="s">
        <v>11</v>
      </c>
    </row>
    <row r="3220" spans="1:5" ht="15.75" customHeight="1">
      <c r="A3220" s="1">
        <v>711620</v>
      </c>
      <c r="B3220" s="1" t="s">
        <v>3246</v>
      </c>
      <c r="C3220" s="1" t="str">
        <f ca="1">IFERROR(__xludf.DUMMYFUNCTION("REGEXEXTRACT(B3220, ""^([^:]+)"")"),"Stones")</f>
        <v>Stones</v>
      </c>
      <c r="D3220" s="1" t="s">
        <v>11</v>
      </c>
      <c r="E3220" s="1" t="s">
        <v>11</v>
      </c>
    </row>
    <row r="3221" spans="1:5" ht="15.75" customHeight="1">
      <c r="A3221" s="1">
        <v>711711</v>
      </c>
      <c r="B3221" s="1" t="s">
        <v>3247</v>
      </c>
      <c r="C3221" s="1" t="str">
        <f ca="1">IFERROR(__xludf.DUMMYFUNCTION("REGEXEXTRACT(B3221, ""^([^:]+)"")"),"Jewellery")</f>
        <v>Jewellery</v>
      </c>
      <c r="D3221" s="1" t="s">
        <v>11</v>
      </c>
      <c r="E3221" s="1" t="s">
        <v>11</v>
      </c>
    </row>
    <row r="3222" spans="1:5" ht="15.75" customHeight="1">
      <c r="A3222" s="1">
        <v>711719</v>
      </c>
      <c r="B3222" s="1" t="s">
        <v>3248</v>
      </c>
      <c r="C3222" s="1" t="str">
        <f ca="1">IFERROR(__xludf.DUMMYFUNCTION("REGEXEXTRACT(B3222, ""^([^:]+)"")"),"Jewellery")</f>
        <v>Jewellery</v>
      </c>
      <c r="D3222" s="1" t="s">
        <v>11</v>
      </c>
      <c r="E3222" s="1" t="s">
        <v>11</v>
      </c>
    </row>
    <row r="3223" spans="1:5" ht="15.75" customHeight="1">
      <c r="A3223" s="1">
        <v>711790</v>
      </c>
      <c r="B3223" s="1" t="s">
        <v>3249</v>
      </c>
      <c r="C3223" s="1" t="str">
        <f ca="1">IFERROR(__xludf.DUMMYFUNCTION("REGEXEXTRACT(B3223, ""^([^:]+)"")"),"Jewellery")</f>
        <v>Jewellery</v>
      </c>
      <c r="D3223" s="1" t="s">
        <v>11</v>
      </c>
      <c r="E3223" s="1" t="s">
        <v>11</v>
      </c>
    </row>
    <row r="3224" spans="1:5" ht="15.75" customHeight="1">
      <c r="A3224" s="1">
        <v>711810</v>
      </c>
      <c r="B3224" s="1" t="s">
        <v>3250</v>
      </c>
      <c r="C3224" s="1" t="str">
        <f ca="1">IFERROR(__xludf.DUMMYFUNCTION("REGEXEXTRACT(B3224, ""^([^:]+)"")"),"Coin (other than gold coin), not being legal tender")</f>
        <v>Coin (other than gold coin), not being legal tender</v>
      </c>
      <c r="D3224" s="1" t="s">
        <v>11</v>
      </c>
      <c r="E3224" s="1" t="s">
        <v>11</v>
      </c>
    </row>
    <row r="3225" spans="1:5" ht="15.75" customHeight="1">
      <c r="A3225" s="1">
        <v>711890</v>
      </c>
      <c r="B3225" s="1" t="s">
        <v>3251</v>
      </c>
      <c r="C3225" s="1" t="str">
        <f ca="1">IFERROR(__xludf.DUMMYFUNCTION("REGEXEXTRACT(B3225, ""^([^:]+)"")"),"Coin")</f>
        <v>Coin</v>
      </c>
      <c r="D3225" s="1" t="s">
        <v>11</v>
      </c>
      <c r="E3225" s="1" t="s">
        <v>11</v>
      </c>
    </row>
    <row r="3226" spans="1:5" ht="15.75" customHeight="1">
      <c r="A3226" s="1">
        <v>720110</v>
      </c>
      <c r="B3226" s="1" t="s">
        <v>3252</v>
      </c>
      <c r="C3226" s="1" t="str">
        <f ca="1">IFERROR(__xludf.DUMMYFUNCTION("REGEXEXTRACT(B3226, ""^([^:]+)"")"),"Iron")</f>
        <v>Iron</v>
      </c>
      <c r="D3226" s="1" t="s">
        <v>11</v>
      </c>
      <c r="E3226" s="1" t="s">
        <v>11</v>
      </c>
    </row>
    <row r="3227" spans="1:5" ht="15.75" customHeight="1">
      <c r="A3227" s="1">
        <v>720120</v>
      </c>
      <c r="B3227" s="1" t="s">
        <v>3253</v>
      </c>
      <c r="C3227" s="1" t="str">
        <f ca="1">IFERROR(__xludf.DUMMYFUNCTION("REGEXEXTRACT(B3227, ""^([^:]+)"")"),"Iron")</f>
        <v>Iron</v>
      </c>
      <c r="D3227" s="1" t="s">
        <v>11</v>
      </c>
      <c r="E3227" s="1" t="s">
        <v>11</v>
      </c>
    </row>
    <row r="3228" spans="1:5" ht="15.75" customHeight="1">
      <c r="A3228" s="1">
        <v>720150</v>
      </c>
      <c r="B3228" s="1" t="s">
        <v>3254</v>
      </c>
      <c r="C3228" s="1" t="str">
        <f ca="1">IFERROR(__xludf.DUMMYFUNCTION("REGEXEXTRACT(B3228, ""^([^:]+)"")"),"Iron")</f>
        <v>Iron</v>
      </c>
      <c r="D3228" s="1" t="s">
        <v>11</v>
      </c>
      <c r="E3228" s="1" t="s">
        <v>11</v>
      </c>
    </row>
    <row r="3229" spans="1:5" ht="15.75" customHeight="1">
      <c r="A3229" s="1">
        <v>720211</v>
      </c>
      <c r="B3229" s="1" t="s">
        <v>3255</v>
      </c>
      <c r="C3229" s="1" t="str">
        <f ca="1">IFERROR(__xludf.DUMMYFUNCTION("REGEXEXTRACT(B3229, ""^([^:]+)"")"),"Ferro-alloys")</f>
        <v>Ferro-alloys</v>
      </c>
      <c r="D3229" s="1" t="s">
        <v>11</v>
      </c>
      <c r="E3229" s="1" t="s">
        <v>11</v>
      </c>
    </row>
    <row r="3230" spans="1:5" ht="15.75" customHeight="1">
      <c r="A3230" s="1">
        <v>720219</v>
      </c>
      <c r="B3230" s="1" t="s">
        <v>3256</v>
      </c>
      <c r="C3230" s="1" t="str">
        <f ca="1">IFERROR(__xludf.DUMMYFUNCTION("REGEXEXTRACT(B3230, ""^([^:]+)"")"),"Ferro-alloys")</f>
        <v>Ferro-alloys</v>
      </c>
      <c r="D3230" s="1" t="s">
        <v>11</v>
      </c>
      <c r="E3230" s="1" t="s">
        <v>11</v>
      </c>
    </row>
    <row r="3231" spans="1:5" ht="15.75" customHeight="1">
      <c r="A3231" s="1">
        <v>720221</v>
      </c>
      <c r="B3231" s="1" t="s">
        <v>3257</v>
      </c>
      <c r="C3231" s="1" t="str">
        <f ca="1">IFERROR(__xludf.DUMMYFUNCTION("REGEXEXTRACT(B3231, ""^([^:]+)"")"),"Ferro-alloys")</f>
        <v>Ferro-alloys</v>
      </c>
      <c r="D3231" s="1" t="s">
        <v>11</v>
      </c>
      <c r="E3231" s="1" t="s">
        <v>11</v>
      </c>
    </row>
    <row r="3232" spans="1:5" ht="15.75" customHeight="1">
      <c r="A3232" s="1">
        <v>720229</v>
      </c>
      <c r="B3232" s="1" t="s">
        <v>3258</v>
      </c>
      <c r="C3232" s="1" t="str">
        <f ca="1">IFERROR(__xludf.DUMMYFUNCTION("REGEXEXTRACT(B3232, ""^([^:]+)"")"),"Ferro-alloys")</f>
        <v>Ferro-alloys</v>
      </c>
      <c r="D3232" s="1" t="s">
        <v>11</v>
      </c>
      <c r="E3232" s="1" t="s">
        <v>11</v>
      </c>
    </row>
    <row r="3233" spans="1:5" ht="15.75" customHeight="1">
      <c r="A3233" s="1">
        <v>720230</v>
      </c>
      <c r="B3233" s="1" t="s">
        <v>3259</v>
      </c>
      <c r="C3233" s="1" t="str">
        <f ca="1">IFERROR(__xludf.DUMMYFUNCTION("REGEXEXTRACT(B3233, ""^([^:]+)"")"),"Ferro-alloys")</f>
        <v>Ferro-alloys</v>
      </c>
      <c r="D3233" s="1" t="s">
        <v>11</v>
      </c>
      <c r="E3233" s="1" t="s">
        <v>11</v>
      </c>
    </row>
    <row r="3234" spans="1:5" ht="15.75" customHeight="1">
      <c r="A3234" s="1">
        <v>720241</v>
      </c>
      <c r="B3234" s="1" t="s">
        <v>3260</v>
      </c>
      <c r="C3234" s="1" t="str">
        <f ca="1">IFERROR(__xludf.DUMMYFUNCTION("REGEXEXTRACT(B3234, ""^([^:]+)"")"),"Ferro-alloys")</f>
        <v>Ferro-alloys</v>
      </c>
      <c r="D3234" s="1" t="s">
        <v>11</v>
      </c>
      <c r="E3234" s="1" t="s">
        <v>11</v>
      </c>
    </row>
    <row r="3235" spans="1:5" ht="15.75" customHeight="1">
      <c r="A3235" s="1">
        <v>720249</v>
      </c>
      <c r="B3235" s="1" t="s">
        <v>3261</v>
      </c>
      <c r="C3235" s="1" t="str">
        <f ca="1">IFERROR(__xludf.DUMMYFUNCTION("REGEXEXTRACT(B3235, ""^([^:]+)"")"),"Ferro-alloys")</f>
        <v>Ferro-alloys</v>
      </c>
      <c r="D3235" s="1" t="s">
        <v>11</v>
      </c>
      <c r="E3235" s="1" t="s">
        <v>11</v>
      </c>
    </row>
    <row r="3236" spans="1:5" ht="15.75" customHeight="1">
      <c r="A3236" s="1">
        <v>720250</v>
      </c>
      <c r="B3236" s="1" t="s">
        <v>3262</v>
      </c>
      <c r="C3236" s="1" t="str">
        <f ca="1">IFERROR(__xludf.DUMMYFUNCTION("REGEXEXTRACT(B3236, ""^([^:]+)"")"),"Ferro-alloys")</f>
        <v>Ferro-alloys</v>
      </c>
      <c r="D3236" s="1" t="s">
        <v>11</v>
      </c>
      <c r="E3236" s="1" t="s">
        <v>11</v>
      </c>
    </row>
    <row r="3237" spans="1:5" ht="15.75" customHeight="1">
      <c r="A3237" s="1">
        <v>720260</v>
      </c>
      <c r="B3237" s="1" t="s">
        <v>3263</v>
      </c>
      <c r="C3237" s="1" t="str">
        <f ca="1">IFERROR(__xludf.DUMMYFUNCTION("REGEXEXTRACT(B3237, ""^([^:]+)"")"),"Ferro-alloys")</f>
        <v>Ferro-alloys</v>
      </c>
      <c r="D3237" s="1" t="s">
        <v>11</v>
      </c>
      <c r="E3237" s="1" t="s">
        <v>11</v>
      </c>
    </row>
    <row r="3238" spans="1:5" ht="15.75" customHeight="1">
      <c r="A3238" s="1">
        <v>720270</v>
      </c>
      <c r="B3238" s="1" t="s">
        <v>3264</v>
      </c>
      <c r="C3238" s="1" t="str">
        <f ca="1">IFERROR(__xludf.DUMMYFUNCTION("REGEXEXTRACT(B3238, ""^([^:]+)"")"),"Ferro-alloys")</f>
        <v>Ferro-alloys</v>
      </c>
      <c r="D3238" s="1" t="s">
        <v>11</v>
      </c>
      <c r="E3238" s="1" t="s">
        <v>11</v>
      </c>
    </row>
    <row r="3239" spans="1:5" ht="15.75" customHeight="1">
      <c r="A3239" s="1">
        <v>720280</v>
      </c>
      <c r="B3239" s="1" t="s">
        <v>3265</v>
      </c>
      <c r="C3239" s="1" t="str">
        <f ca="1">IFERROR(__xludf.DUMMYFUNCTION("REGEXEXTRACT(B3239, ""^([^:]+)"")"),"Ferro-alloys")</f>
        <v>Ferro-alloys</v>
      </c>
      <c r="D3239" s="1" t="s">
        <v>11</v>
      </c>
      <c r="E3239" s="1" t="s">
        <v>11</v>
      </c>
    </row>
    <row r="3240" spans="1:5" ht="15.75" customHeight="1">
      <c r="A3240" s="1">
        <v>720291</v>
      </c>
      <c r="B3240" s="1" t="s">
        <v>3266</v>
      </c>
      <c r="C3240" s="1" t="str">
        <f ca="1">IFERROR(__xludf.DUMMYFUNCTION("REGEXEXTRACT(B3240, ""^([^:]+)"")"),"Ferro-alloys")</f>
        <v>Ferro-alloys</v>
      </c>
      <c r="D3240" s="1" t="s">
        <v>11</v>
      </c>
      <c r="E3240" s="1" t="s">
        <v>11</v>
      </c>
    </row>
    <row r="3241" spans="1:5" ht="15.75" customHeight="1">
      <c r="A3241" s="1">
        <v>720292</v>
      </c>
      <c r="B3241" s="1" t="s">
        <v>3267</v>
      </c>
      <c r="C3241" s="1" t="str">
        <f ca="1">IFERROR(__xludf.DUMMYFUNCTION("REGEXEXTRACT(B3241, ""^([^:]+)"")"),"Ferro-alloys")</f>
        <v>Ferro-alloys</v>
      </c>
      <c r="D3241" s="1" t="s">
        <v>11</v>
      </c>
      <c r="E3241" s="1" t="s">
        <v>11</v>
      </c>
    </row>
    <row r="3242" spans="1:5" ht="15.75" customHeight="1">
      <c r="A3242" s="1">
        <v>720293</v>
      </c>
      <c r="B3242" s="1" t="s">
        <v>3268</v>
      </c>
      <c r="C3242" s="1" t="str">
        <f ca="1">IFERROR(__xludf.DUMMYFUNCTION("REGEXEXTRACT(B3242, ""^([^:]+)"")"),"Ferro-alloys")</f>
        <v>Ferro-alloys</v>
      </c>
      <c r="D3242" s="1" t="s">
        <v>11</v>
      </c>
      <c r="E3242" s="1" t="s">
        <v>11</v>
      </c>
    </row>
    <row r="3243" spans="1:5" ht="15.75" customHeight="1">
      <c r="A3243" s="1">
        <v>720299</v>
      </c>
      <c r="B3243" s="1" t="s">
        <v>3269</v>
      </c>
      <c r="C3243" s="1" t="str">
        <f ca="1">IFERROR(__xludf.DUMMYFUNCTION("REGEXEXTRACT(B3243, ""^([^:]+)"")"),"Ferro-alloys")</f>
        <v>Ferro-alloys</v>
      </c>
      <c r="D3243" s="1" t="s">
        <v>11</v>
      </c>
      <c r="E3243" s="1" t="s">
        <v>11</v>
      </c>
    </row>
    <row r="3244" spans="1:5" ht="15.75" customHeight="1">
      <c r="A3244" s="1">
        <v>720310</v>
      </c>
      <c r="B3244" s="1" t="s">
        <v>3270</v>
      </c>
      <c r="C3244" s="1" t="str">
        <f ca="1">IFERROR(__xludf.DUMMYFUNCTION("REGEXEXTRACT(B3244, ""^([^:]+)"")"),"Ferrous products")</f>
        <v>Ferrous products</v>
      </c>
      <c r="D3244" s="1" t="s">
        <v>11</v>
      </c>
      <c r="E3244" s="1" t="s">
        <v>11</v>
      </c>
    </row>
    <row r="3245" spans="1:5" ht="15.75" customHeight="1">
      <c r="A3245" s="1">
        <v>720390</v>
      </c>
      <c r="B3245" s="1" t="s">
        <v>3271</v>
      </c>
      <c r="C3245" s="1" t="str">
        <f ca="1">IFERROR(__xludf.DUMMYFUNCTION("REGEXEXTRACT(B3245, ""^([^:]+)"")"),"Ferrous products")</f>
        <v>Ferrous products</v>
      </c>
      <c r="D3245" s="1" t="s">
        <v>11</v>
      </c>
      <c r="E3245" s="1" t="s">
        <v>11</v>
      </c>
    </row>
    <row r="3246" spans="1:5" ht="15.75" customHeight="1">
      <c r="A3246" s="1">
        <v>720410</v>
      </c>
      <c r="B3246" s="1" t="s">
        <v>3272</v>
      </c>
      <c r="C3246" s="1" t="str">
        <f ca="1">IFERROR(__xludf.DUMMYFUNCTION("REGEXEXTRACT(B3246, ""^([^:]+)"")"),"Ferrous waste and scrap")</f>
        <v>Ferrous waste and scrap</v>
      </c>
      <c r="D3246" s="1" t="s">
        <v>11</v>
      </c>
      <c r="E3246" s="1" t="s">
        <v>11</v>
      </c>
    </row>
    <row r="3247" spans="1:5" ht="15.75" customHeight="1">
      <c r="A3247" s="1">
        <v>720421</v>
      </c>
      <c r="B3247" s="1" t="s">
        <v>3273</v>
      </c>
      <c r="C3247" s="1" t="str">
        <f ca="1">IFERROR(__xludf.DUMMYFUNCTION("REGEXEXTRACT(B3247, ""^([^:]+)"")"),"Ferrous waste and scrap")</f>
        <v>Ferrous waste and scrap</v>
      </c>
      <c r="D3247" s="1" t="s">
        <v>11</v>
      </c>
      <c r="E3247" s="1" t="s">
        <v>11</v>
      </c>
    </row>
    <row r="3248" spans="1:5" ht="15.75" customHeight="1">
      <c r="A3248" s="1">
        <v>720429</v>
      </c>
      <c r="B3248" s="1" t="s">
        <v>3274</v>
      </c>
      <c r="C3248" s="1" t="str">
        <f ca="1">IFERROR(__xludf.DUMMYFUNCTION("REGEXEXTRACT(B3248, ""^([^:]+)"")"),"Ferrous waste and scrap")</f>
        <v>Ferrous waste and scrap</v>
      </c>
      <c r="D3248" s="1" t="s">
        <v>11</v>
      </c>
      <c r="E3248" s="1" t="s">
        <v>11</v>
      </c>
    </row>
    <row r="3249" spans="1:5" ht="15.75" customHeight="1">
      <c r="A3249" s="1">
        <v>720430</v>
      </c>
      <c r="B3249" s="1" t="s">
        <v>3275</v>
      </c>
      <c r="C3249" s="1" t="str">
        <f ca="1">IFERROR(__xludf.DUMMYFUNCTION("REGEXEXTRACT(B3249, ""^([^:]+)"")"),"Ferrous waste and scrap")</f>
        <v>Ferrous waste and scrap</v>
      </c>
      <c r="D3249" s="1" t="s">
        <v>11</v>
      </c>
      <c r="E3249" s="1" t="s">
        <v>11</v>
      </c>
    </row>
    <row r="3250" spans="1:5" ht="15.75" customHeight="1">
      <c r="A3250" s="1">
        <v>720441</v>
      </c>
      <c r="B3250" s="1" t="s">
        <v>3276</v>
      </c>
      <c r="C3250" s="1" t="str">
        <f ca="1">IFERROR(__xludf.DUMMYFUNCTION("REGEXEXTRACT(B3250, ""^([^:]+)"")"),"Ferrous waste and scrap")</f>
        <v>Ferrous waste and scrap</v>
      </c>
      <c r="D3250" s="1" t="s">
        <v>11</v>
      </c>
      <c r="E3250" s="1" t="s">
        <v>11</v>
      </c>
    </row>
    <row r="3251" spans="1:5" ht="15.75" customHeight="1">
      <c r="A3251" s="1">
        <v>720449</v>
      </c>
      <c r="B3251" s="1" t="s">
        <v>3277</v>
      </c>
      <c r="C3251" s="1" t="str">
        <f ca="1">IFERROR(__xludf.DUMMYFUNCTION("REGEXEXTRACT(B3251, ""^([^:]+)"")"),"Ferrous waste and scrap")</f>
        <v>Ferrous waste and scrap</v>
      </c>
      <c r="D3251" s="1" t="s">
        <v>11</v>
      </c>
      <c r="E3251" s="1" t="s">
        <v>11</v>
      </c>
    </row>
    <row r="3252" spans="1:5" ht="15.75" customHeight="1">
      <c r="A3252" s="1">
        <v>720450</v>
      </c>
      <c r="B3252" s="1" t="s">
        <v>3278</v>
      </c>
      <c r="C3252" s="1" t="str">
        <f ca="1">IFERROR(__xludf.DUMMYFUNCTION("REGEXEXTRACT(B3252, ""^([^:]+)"")"),"Ferrous products")</f>
        <v>Ferrous products</v>
      </c>
      <c r="D3252" s="1" t="s">
        <v>11</v>
      </c>
      <c r="E3252" s="1" t="s">
        <v>11</v>
      </c>
    </row>
    <row r="3253" spans="1:5" ht="15.75" customHeight="1">
      <c r="A3253" s="1">
        <v>720510</v>
      </c>
      <c r="B3253" s="1" t="s">
        <v>3279</v>
      </c>
      <c r="C3253" s="1" t="str">
        <f ca="1">IFERROR(__xludf.DUMMYFUNCTION("REGEXEXTRACT(B3253, ""^([^:]+)"")"),"Iron or steel, pig iron, spiegeleisen")</f>
        <v>Iron or steel, pig iron, spiegeleisen</v>
      </c>
      <c r="D3253" s="1" t="s">
        <v>11</v>
      </c>
      <c r="E3253" s="1" t="s">
        <v>11</v>
      </c>
    </row>
    <row r="3254" spans="1:5" ht="15.75" customHeight="1">
      <c r="A3254" s="1">
        <v>720521</v>
      </c>
      <c r="B3254" s="1" t="s">
        <v>3280</v>
      </c>
      <c r="C3254" s="1" t="str">
        <f ca="1">IFERROR(__xludf.DUMMYFUNCTION("REGEXEXTRACT(B3254, ""^([^:]+)"")"),"Alloy steel powders")</f>
        <v>Alloy steel powders</v>
      </c>
      <c r="D3254" s="1" t="s">
        <v>11</v>
      </c>
      <c r="E3254" s="1" t="s">
        <v>11</v>
      </c>
    </row>
    <row r="3255" spans="1:5" ht="15.75" customHeight="1">
      <c r="A3255" s="1">
        <v>720529</v>
      </c>
      <c r="B3255" s="1" t="s">
        <v>3281</v>
      </c>
      <c r="C3255" s="1" t="str">
        <f ca="1">IFERROR(__xludf.DUMMYFUNCTION("REGEXEXTRACT(B3255, ""^([^:]+)"")"),"Iron or steel, pig iron, spiegeleisen")</f>
        <v>Iron or steel, pig iron, spiegeleisen</v>
      </c>
      <c r="D3255" s="1" t="s">
        <v>11</v>
      </c>
      <c r="E3255" s="1" t="s">
        <v>11</v>
      </c>
    </row>
    <row r="3256" spans="1:5" ht="15.75" customHeight="1">
      <c r="A3256" s="1">
        <v>720610</v>
      </c>
      <c r="B3256" s="1" t="s">
        <v>3282</v>
      </c>
      <c r="C3256" s="1" t="str">
        <f ca="1">IFERROR(__xludf.DUMMYFUNCTION("REGEXEXTRACT(B3256, ""^([^:]+)"")"),"Iron or non-alloy steel")</f>
        <v>Iron or non-alloy steel</v>
      </c>
      <c r="D3256" s="1" t="s">
        <v>11</v>
      </c>
      <c r="E3256" s="1" t="s">
        <v>11</v>
      </c>
    </row>
    <row r="3257" spans="1:5" ht="15.75" customHeight="1">
      <c r="A3257" s="1">
        <v>720690</v>
      </c>
      <c r="B3257" s="1" t="s">
        <v>3283</v>
      </c>
      <c r="C3257" s="1" t="str">
        <f ca="1">IFERROR(__xludf.DUMMYFUNCTION("REGEXEXTRACT(B3257, ""^([^:]+)"")"),"Iron or non-alloy steel")</f>
        <v>Iron or non-alloy steel</v>
      </c>
      <c r="D3257" s="1" t="s">
        <v>11</v>
      </c>
      <c r="E3257" s="1" t="s">
        <v>11</v>
      </c>
    </row>
    <row r="3258" spans="1:5" ht="15.75" customHeight="1">
      <c r="A3258" s="1">
        <v>720711</v>
      </c>
      <c r="B3258" s="1" t="s">
        <v>3284</v>
      </c>
      <c r="C3258" s="1" t="str">
        <f ca="1">IFERROR(__xludf.DUMMYFUNCTION("REGEXEXTRACT(B3258, ""^([^:]+)"")"),"Iron or non-alloy steel")</f>
        <v>Iron or non-alloy steel</v>
      </c>
      <c r="D3258" s="1" t="s">
        <v>11</v>
      </c>
      <c r="E3258" s="1" t="s">
        <v>11</v>
      </c>
    </row>
    <row r="3259" spans="1:5" ht="15.75" customHeight="1">
      <c r="A3259" s="1">
        <v>720712</v>
      </c>
      <c r="B3259" s="1" t="s">
        <v>3285</v>
      </c>
      <c r="C3259" s="1" t="str">
        <f ca="1">IFERROR(__xludf.DUMMYFUNCTION("REGEXEXTRACT(B3259, ""^([^:]+)"")"),"Iron or non-alloy steel")</f>
        <v>Iron or non-alloy steel</v>
      </c>
      <c r="D3259" s="1" t="s">
        <v>11</v>
      </c>
      <c r="E3259" s="1" t="s">
        <v>11</v>
      </c>
    </row>
    <row r="3260" spans="1:5" ht="15.75" customHeight="1">
      <c r="A3260" s="1">
        <v>720719</v>
      </c>
      <c r="B3260" s="1" t="s">
        <v>3286</v>
      </c>
      <c r="C3260" s="1" t="str">
        <f ca="1">IFERROR(__xludf.DUMMYFUNCTION("REGEXEXTRACT(B3260, ""^([^:]+)"")"),"Iron or non-alloy steel")</f>
        <v>Iron or non-alloy steel</v>
      </c>
      <c r="D3260" s="1" t="s">
        <v>11</v>
      </c>
      <c r="E3260" s="1" t="s">
        <v>11</v>
      </c>
    </row>
    <row r="3261" spans="1:5" ht="15.75" customHeight="1">
      <c r="A3261" s="1">
        <v>720720</v>
      </c>
      <c r="B3261" s="1" t="s">
        <v>3287</v>
      </c>
      <c r="C3261" s="1" t="str">
        <f ca="1">IFERROR(__xludf.DUMMYFUNCTION("REGEXEXTRACT(B3261, ""^([^:]+)"")"),"Iron or non-alloy steel")</f>
        <v>Iron or non-alloy steel</v>
      </c>
      <c r="D3261" s="1" t="s">
        <v>11</v>
      </c>
      <c r="E3261" s="1" t="s">
        <v>11</v>
      </c>
    </row>
    <row r="3262" spans="1:5" ht="15.75" customHeight="1">
      <c r="A3262" s="1">
        <v>720810</v>
      </c>
      <c r="B3262" s="1" t="s">
        <v>3288</v>
      </c>
      <c r="C3262" s="1" t="str">
        <f ca="1">IFERROR(__xludf.DUMMYFUNCTION("REGEXEXTRACT(B3262, ""^([^:]+)"")"),"Iron or non-alloy steel")</f>
        <v>Iron or non-alloy steel</v>
      </c>
      <c r="D3262" s="1" t="s">
        <v>11</v>
      </c>
      <c r="E3262" s="1" t="s">
        <v>11</v>
      </c>
    </row>
    <row r="3263" spans="1:5" ht="15.75" customHeight="1">
      <c r="A3263" s="1">
        <v>720825</v>
      </c>
      <c r="B3263" s="1" t="s">
        <v>3289</v>
      </c>
      <c r="C3263" s="1" t="str">
        <f ca="1">IFERROR(__xludf.DUMMYFUNCTION("REGEXEXTRACT(B3263, ""^([^:]+)"")"),"Iron or non-alloy steel")</f>
        <v>Iron or non-alloy steel</v>
      </c>
      <c r="D3263" s="1" t="s">
        <v>11</v>
      </c>
      <c r="E3263" s="1" t="s">
        <v>11</v>
      </c>
    </row>
    <row r="3264" spans="1:5" ht="15.75" customHeight="1">
      <c r="A3264" s="1">
        <v>720826</v>
      </c>
      <c r="B3264" s="1" t="s">
        <v>3290</v>
      </c>
      <c r="C3264" s="1" t="str">
        <f ca="1">IFERROR(__xludf.DUMMYFUNCTION("REGEXEXTRACT(B3264, ""^([^:]+)"")"),"Iron or non-alloy steel")</f>
        <v>Iron or non-alloy steel</v>
      </c>
      <c r="D3264" s="1" t="s">
        <v>11</v>
      </c>
      <c r="E3264" s="1" t="s">
        <v>11</v>
      </c>
    </row>
    <row r="3265" spans="1:5" ht="15.75" customHeight="1">
      <c r="A3265" s="1">
        <v>720827</v>
      </c>
      <c r="B3265" s="1" t="s">
        <v>3291</v>
      </c>
      <c r="C3265" s="1" t="str">
        <f ca="1">IFERROR(__xludf.DUMMYFUNCTION("REGEXEXTRACT(B3265, ""^([^:]+)"")"),"Iron or non-alloy steel")</f>
        <v>Iron or non-alloy steel</v>
      </c>
      <c r="D3265" s="1" t="s">
        <v>11</v>
      </c>
      <c r="E3265" s="1" t="s">
        <v>11</v>
      </c>
    </row>
    <row r="3266" spans="1:5" ht="15.75" customHeight="1">
      <c r="A3266" s="1">
        <v>720836</v>
      </c>
      <c r="B3266" s="1" t="s">
        <v>3292</v>
      </c>
      <c r="C3266" s="1" t="str">
        <f ca="1">IFERROR(__xludf.DUMMYFUNCTION("REGEXEXTRACT(B3266, ""^([^:]+)"")"),"Iron or non-alloy steel")</f>
        <v>Iron or non-alloy steel</v>
      </c>
      <c r="D3266" s="1" t="s">
        <v>11</v>
      </c>
      <c r="E3266" s="1" t="s">
        <v>11</v>
      </c>
    </row>
    <row r="3267" spans="1:5" ht="15.75" customHeight="1">
      <c r="A3267" s="1">
        <v>720837</v>
      </c>
      <c r="B3267" s="1" t="s">
        <v>3293</v>
      </c>
      <c r="C3267" s="1" t="str">
        <f ca="1">IFERROR(__xludf.DUMMYFUNCTION("REGEXEXTRACT(B3267, ""^([^:]+)"")"),"Iron or non-alloy steel")</f>
        <v>Iron or non-alloy steel</v>
      </c>
      <c r="D3267" s="1" t="s">
        <v>11</v>
      </c>
      <c r="E3267" s="1" t="s">
        <v>11</v>
      </c>
    </row>
    <row r="3268" spans="1:5" ht="15.75" customHeight="1">
      <c r="A3268" s="1">
        <v>720838</v>
      </c>
      <c r="B3268" s="1" t="s">
        <v>3294</v>
      </c>
      <c r="C3268" s="1" t="str">
        <f ca="1">IFERROR(__xludf.DUMMYFUNCTION("REGEXEXTRACT(B3268, ""^([^:]+)"")"),"Iron or non-alloy steel")</f>
        <v>Iron or non-alloy steel</v>
      </c>
      <c r="D3268" s="1" t="s">
        <v>11</v>
      </c>
      <c r="E3268" s="1" t="s">
        <v>11</v>
      </c>
    </row>
    <row r="3269" spans="1:5" ht="15.75" customHeight="1">
      <c r="A3269" s="1">
        <v>720839</v>
      </c>
      <c r="B3269" s="1" t="s">
        <v>3295</v>
      </c>
      <c r="C3269" s="1" t="str">
        <f ca="1">IFERROR(__xludf.DUMMYFUNCTION("REGEXEXTRACT(B3269, ""^([^:]+)"")"),"Iron or non-alloy steel")</f>
        <v>Iron or non-alloy steel</v>
      </c>
      <c r="D3269" s="1" t="s">
        <v>11</v>
      </c>
      <c r="E3269" s="1" t="s">
        <v>11</v>
      </c>
    </row>
    <row r="3270" spans="1:5" ht="15.75" customHeight="1">
      <c r="A3270" s="1">
        <v>720840</v>
      </c>
      <c r="B3270" s="1" t="s">
        <v>3296</v>
      </c>
      <c r="C3270" s="1" t="str">
        <f ca="1">IFERROR(__xludf.DUMMYFUNCTION("REGEXEXTRACT(B3270, ""^([^:]+)"")"),"Iron or non-alloy steel")</f>
        <v>Iron or non-alloy steel</v>
      </c>
      <c r="D3270" s="1" t="s">
        <v>11</v>
      </c>
      <c r="E3270" s="1" t="s">
        <v>11</v>
      </c>
    </row>
    <row r="3271" spans="1:5" ht="15.75" customHeight="1">
      <c r="A3271" s="1">
        <v>720851</v>
      </c>
      <c r="B3271" s="1" t="s">
        <v>3297</v>
      </c>
      <c r="C3271" s="1" t="str">
        <f ca="1">IFERROR(__xludf.DUMMYFUNCTION("REGEXEXTRACT(B3271, ""^([^:]+)"")"),"Iron or non-alloy steel")</f>
        <v>Iron or non-alloy steel</v>
      </c>
      <c r="D3271" s="1" t="s">
        <v>11</v>
      </c>
      <c r="E3271" s="1" t="s">
        <v>11</v>
      </c>
    </row>
    <row r="3272" spans="1:5" ht="15.75" customHeight="1">
      <c r="A3272" s="1">
        <v>720852</v>
      </c>
      <c r="B3272" s="1" t="s">
        <v>3298</v>
      </c>
      <c r="C3272" s="1" t="str">
        <f ca="1">IFERROR(__xludf.DUMMYFUNCTION("REGEXEXTRACT(B3272, ""^([^:]+)"")"),"Iron or non-alloy steel")</f>
        <v>Iron or non-alloy steel</v>
      </c>
      <c r="D3272" s="1" t="s">
        <v>11</v>
      </c>
      <c r="E3272" s="1" t="s">
        <v>11</v>
      </c>
    </row>
    <row r="3273" spans="1:5" ht="15.75" customHeight="1">
      <c r="A3273" s="1">
        <v>720853</v>
      </c>
      <c r="B3273" s="1" t="s">
        <v>3299</v>
      </c>
      <c r="C3273" s="1" t="str">
        <f ca="1">IFERROR(__xludf.DUMMYFUNCTION("REGEXEXTRACT(B3273, ""^([^:]+)"")"),"Iron or non-alloy steel")</f>
        <v>Iron or non-alloy steel</v>
      </c>
      <c r="D3273" s="1" t="s">
        <v>11</v>
      </c>
      <c r="E3273" s="1" t="s">
        <v>11</v>
      </c>
    </row>
    <row r="3274" spans="1:5" ht="15.75" customHeight="1">
      <c r="A3274" s="1">
        <v>720854</v>
      </c>
      <c r="B3274" s="1" t="s">
        <v>3300</v>
      </c>
      <c r="C3274" s="1" t="str">
        <f ca="1">IFERROR(__xludf.DUMMYFUNCTION("REGEXEXTRACT(B3274, ""^([^:]+)"")"),"Iron or non-alloy steel")</f>
        <v>Iron or non-alloy steel</v>
      </c>
      <c r="D3274" s="1" t="s">
        <v>11</v>
      </c>
      <c r="E3274" s="1" t="s">
        <v>11</v>
      </c>
    </row>
    <row r="3275" spans="1:5" ht="15.75" customHeight="1">
      <c r="A3275" s="1">
        <v>720890</v>
      </c>
      <c r="B3275" s="1" t="s">
        <v>3301</v>
      </c>
      <c r="C3275" s="1" t="str">
        <f ca="1">IFERROR(__xludf.DUMMYFUNCTION("REGEXEXTRACT(B3275, ""^([^:]+)"")"),"Iron or non-alloy steel")</f>
        <v>Iron or non-alloy steel</v>
      </c>
      <c r="D3275" s="1" t="s">
        <v>11</v>
      </c>
      <c r="E3275" s="1" t="s">
        <v>11</v>
      </c>
    </row>
    <row r="3276" spans="1:5" ht="15.75" customHeight="1">
      <c r="A3276" s="1">
        <v>720915</v>
      </c>
      <c r="B3276" s="1" t="s">
        <v>3302</v>
      </c>
      <c r="C3276" s="1" t="str">
        <f ca="1">IFERROR(__xludf.DUMMYFUNCTION("REGEXEXTRACT(B3276, ""^([^:]+)"")"),"Iron or non-alloy steel")</f>
        <v>Iron or non-alloy steel</v>
      </c>
      <c r="D3276" s="1" t="s">
        <v>11</v>
      </c>
      <c r="E3276" s="1" t="s">
        <v>11</v>
      </c>
    </row>
    <row r="3277" spans="1:5" ht="15.75" customHeight="1">
      <c r="A3277" s="1">
        <v>720916</v>
      </c>
      <c r="B3277" s="1" t="s">
        <v>3303</v>
      </c>
      <c r="C3277" s="1" t="str">
        <f ca="1">IFERROR(__xludf.DUMMYFUNCTION("REGEXEXTRACT(B3277, ""^([^:]+)"")"),"Iron or non-alloy steel")</f>
        <v>Iron or non-alloy steel</v>
      </c>
      <c r="D3277" s="1" t="s">
        <v>11</v>
      </c>
      <c r="E3277" s="1" t="s">
        <v>11</v>
      </c>
    </row>
    <row r="3278" spans="1:5" ht="15.75" customHeight="1">
      <c r="A3278" s="1">
        <v>720917</v>
      </c>
      <c r="B3278" s="1" t="s">
        <v>3304</v>
      </c>
      <c r="C3278" s="1" t="str">
        <f ca="1">IFERROR(__xludf.DUMMYFUNCTION("REGEXEXTRACT(B3278, ""^([^:]+)"")"),"Iron or non-alloy steel")</f>
        <v>Iron or non-alloy steel</v>
      </c>
      <c r="D3278" s="1" t="s">
        <v>11</v>
      </c>
      <c r="E3278" s="1" t="s">
        <v>11</v>
      </c>
    </row>
    <row r="3279" spans="1:5" ht="15.75" customHeight="1">
      <c r="A3279" s="1">
        <v>720918</v>
      </c>
      <c r="B3279" s="1" t="s">
        <v>3305</v>
      </c>
      <c r="C3279" s="1" t="str">
        <f ca="1">IFERROR(__xludf.DUMMYFUNCTION("REGEXEXTRACT(B3279, ""^([^:]+)"")"),"Iron or non-alloy steel")</f>
        <v>Iron or non-alloy steel</v>
      </c>
      <c r="D3279" s="1" t="s">
        <v>11</v>
      </c>
      <c r="E3279" s="1" t="s">
        <v>11</v>
      </c>
    </row>
    <row r="3280" spans="1:5" ht="15.75" customHeight="1">
      <c r="A3280" s="1">
        <v>720925</v>
      </c>
      <c r="B3280" s="1" t="s">
        <v>3306</v>
      </c>
      <c r="C3280" s="1" t="str">
        <f ca="1">IFERROR(__xludf.DUMMYFUNCTION("REGEXEXTRACT(B3280, ""^([^:]+)"")"),"Iron or non-alloy steel")</f>
        <v>Iron or non-alloy steel</v>
      </c>
      <c r="D3280" s="1" t="s">
        <v>11</v>
      </c>
      <c r="E3280" s="1" t="s">
        <v>11</v>
      </c>
    </row>
    <row r="3281" spans="1:5" ht="15.75" customHeight="1">
      <c r="A3281" s="1">
        <v>720926</v>
      </c>
      <c r="B3281" s="1" t="s">
        <v>3307</v>
      </c>
      <c r="C3281" s="1" t="str">
        <f ca="1">IFERROR(__xludf.DUMMYFUNCTION("REGEXEXTRACT(B3281, ""^([^:]+)"")"),"Iron or non-alloy steel")</f>
        <v>Iron or non-alloy steel</v>
      </c>
      <c r="D3281" s="1" t="s">
        <v>11</v>
      </c>
      <c r="E3281" s="1" t="s">
        <v>11</v>
      </c>
    </row>
    <row r="3282" spans="1:5" ht="15.75" customHeight="1">
      <c r="A3282" s="1">
        <v>720927</v>
      </c>
      <c r="B3282" s="1" t="s">
        <v>3308</v>
      </c>
      <c r="C3282" s="1" t="str">
        <f ca="1">IFERROR(__xludf.DUMMYFUNCTION("REGEXEXTRACT(B3282, ""^([^:]+)"")"),"Iron or non-alloy steel")</f>
        <v>Iron or non-alloy steel</v>
      </c>
      <c r="D3282" s="1" t="s">
        <v>11</v>
      </c>
      <c r="E3282" s="1" t="s">
        <v>11</v>
      </c>
    </row>
    <row r="3283" spans="1:5" ht="15.75" customHeight="1">
      <c r="A3283" s="1">
        <v>720928</v>
      </c>
      <c r="B3283" s="1" t="s">
        <v>3309</v>
      </c>
      <c r="C3283" s="1" t="str">
        <f ca="1">IFERROR(__xludf.DUMMYFUNCTION("REGEXEXTRACT(B3283, ""^([^:]+)"")"),"Iron or non-alloy steel")</f>
        <v>Iron or non-alloy steel</v>
      </c>
      <c r="D3283" s="1" t="s">
        <v>11</v>
      </c>
      <c r="E3283" s="1" t="s">
        <v>11</v>
      </c>
    </row>
    <row r="3284" spans="1:5" ht="15.75" customHeight="1">
      <c r="A3284" s="1">
        <v>720990</v>
      </c>
      <c r="B3284" s="1" t="s">
        <v>3310</v>
      </c>
      <c r="C3284" s="1" t="str">
        <f ca="1">IFERROR(__xludf.DUMMYFUNCTION("REGEXEXTRACT(B3284, ""^([^:]+)"")"),"Iron or non-alloy steel")</f>
        <v>Iron or non-alloy steel</v>
      </c>
      <c r="D3284" s="1" t="s">
        <v>11</v>
      </c>
      <c r="E3284" s="1" t="s">
        <v>11</v>
      </c>
    </row>
    <row r="3285" spans="1:5" ht="15.75" customHeight="1">
      <c r="A3285" s="1">
        <v>721011</v>
      </c>
      <c r="B3285" s="1" t="s">
        <v>3311</v>
      </c>
      <c r="C3285" s="1" t="str">
        <f ca="1">IFERROR(__xludf.DUMMYFUNCTION("REGEXEXTRACT(B3285, ""^([^:]+)"")"),"Iron or non-alloy steel")</f>
        <v>Iron or non-alloy steel</v>
      </c>
      <c r="D3285" s="1" t="s">
        <v>11</v>
      </c>
      <c r="E3285" s="1" t="s">
        <v>11</v>
      </c>
    </row>
    <row r="3286" spans="1:5" ht="15.75" customHeight="1">
      <c r="A3286" s="1">
        <v>721012</v>
      </c>
      <c r="B3286" s="1" t="s">
        <v>3312</v>
      </c>
      <c r="C3286" s="1" t="str">
        <f ca="1">IFERROR(__xludf.DUMMYFUNCTION("REGEXEXTRACT(B3286, ""^([^:]+)"")"),"Iron or non-alloy steel")</f>
        <v>Iron or non-alloy steel</v>
      </c>
      <c r="D3286" s="1" t="s">
        <v>11</v>
      </c>
      <c r="E3286" s="1" t="s">
        <v>11</v>
      </c>
    </row>
    <row r="3287" spans="1:5" ht="15.75" customHeight="1">
      <c r="A3287" s="1">
        <v>721020</v>
      </c>
      <c r="B3287" s="1" t="s">
        <v>3313</v>
      </c>
      <c r="C3287" s="1" t="str">
        <f ca="1">IFERROR(__xludf.DUMMYFUNCTION("REGEXEXTRACT(B3287, ""^([^:]+)"")"),"Iron or non-alloy steel")</f>
        <v>Iron or non-alloy steel</v>
      </c>
      <c r="D3287" s="1" t="s">
        <v>11</v>
      </c>
      <c r="E3287" s="1" t="s">
        <v>11</v>
      </c>
    </row>
    <row r="3288" spans="1:5" ht="15.75" customHeight="1">
      <c r="A3288" s="1">
        <v>721030</v>
      </c>
      <c r="B3288" s="1" t="s">
        <v>3314</v>
      </c>
      <c r="C3288" s="1" t="str">
        <f ca="1">IFERROR(__xludf.DUMMYFUNCTION("REGEXEXTRACT(B3288, ""^([^:]+)"")"),"Iron or non-alloy steel")</f>
        <v>Iron or non-alloy steel</v>
      </c>
      <c r="D3288" s="1" t="s">
        <v>11</v>
      </c>
      <c r="E3288" s="1" t="s">
        <v>11</v>
      </c>
    </row>
    <row r="3289" spans="1:5" ht="15.75" customHeight="1">
      <c r="A3289" s="1">
        <v>721041</v>
      </c>
      <c r="B3289" s="1" t="s">
        <v>3315</v>
      </c>
      <c r="C3289" s="1" t="str">
        <f ca="1">IFERROR(__xludf.DUMMYFUNCTION("REGEXEXTRACT(B3289, ""^([^:]+)"")"),"Iron or non-alloy steel")</f>
        <v>Iron or non-alloy steel</v>
      </c>
      <c r="D3289" s="1" t="s">
        <v>11</v>
      </c>
      <c r="E3289" s="1" t="s">
        <v>11</v>
      </c>
    </row>
    <row r="3290" spans="1:5" ht="15.75" customHeight="1">
      <c r="A3290" s="1">
        <v>721049</v>
      </c>
      <c r="B3290" s="1" t="s">
        <v>3316</v>
      </c>
      <c r="C3290" s="1" t="str">
        <f ca="1">IFERROR(__xludf.DUMMYFUNCTION("REGEXEXTRACT(B3290, ""^([^:]+)"")"),"Iron or non-alloy steel")</f>
        <v>Iron or non-alloy steel</v>
      </c>
      <c r="D3290" s="1" t="s">
        <v>11</v>
      </c>
      <c r="E3290" s="1" t="s">
        <v>11</v>
      </c>
    </row>
    <row r="3291" spans="1:5" ht="15.75" customHeight="1">
      <c r="A3291" s="1">
        <v>721050</v>
      </c>
      <c r="B3291" s="1" t="s">
        <v>3317</v>
      </c>
      <c r="C3291" s="1" t="str">
        <f ca="1">IFERROR(__xludf.DUMMYFUNCTION("REGEXEXTRACT(B3291, ""^([^:]+)"")"),"Iron or non-alloy steel")</f>
        <v>Iron or non-alloy steel</v>
      </c>
      <c r="D3291" s="1" t="s">
        <v>11</v>
      </c>
      <c r="E3291" s="1" t="s">
        <v>11</v>
      </c>
    </row>
    <row r="3292" spans="1:5" ht="15.75" customHeight="1">
      <c r="A3292" s="1">
        <v>721061</v>
      </c>
      <c r="B3292" s="1" t="s">
        <v>3318</v>
      </c>
      <c r="C3292" s="1" t="str">
        <f ca="1">IFERROR(__xludf.DUMMYFUNCTION("REGEXEXTRACT(B3292, ""^([^:]+)"")"),"Iron or non-alloy steel")</f>
        <v>Iron or non-alloy steel</v>
      </c>
      <c r="D3292" s="1" t="s">
        <v>11</v>
      </c>
      <c r="E3292" s="1" t="s">
        <v>11</v>
      </c>
    </row>
    <row r="3293" spans="1:5" ht="15.75" customHeight="1">
      <c r="A3293" s="1">
        <v>721069</v>
      </c>
      <c r="B3293" s="1" t="s">
        <v>3319</v>
      </c>
      <c r="C3293" s="1" t="str">
        <f ca="1">IFERROR(__xludf.DUMMYFUNCTION("REGEXEXTRACT(B3293, ""^([^:]+)"")"),"Iron or non-alloy steel")</f>
        <v>Iron or non-alloy steel</v>
      </c>
      <c r="D3293" s="1" t="s">
        <v>11</v>
      </c>
      <c r="E3293" s="1" t="s">
        <v>11</v>
      </c>
    </row>
    <row r="3294" spans="1:5" ht="15.75" customHeight="1">
      <c r="A3294" s="1">
        <v>721070</v>
      </c>
      <c r="B3294" s="1" t="s">
        <v>3320</v>
      </c>
      <c r="C3294" s="1" t="str">
        <f ca="1">IFERROR(__xludf.DUMMYFUNCTION("REGEXEXTRACT(B3294, ""^([^:]+)"")"),"Iron or non-alloy steel")</f>
        <v>Iron or non-alloy steel</v>
      </c>
      <c r="D3294" s="1" t="s">
        <v>11</v>
      </c>
      <c r="E3294" s="1" t="s">
        <v>11</v>
      </c>
    </row>
    <row r="3295" spans="1:5" ht="15.75" customHeight="1">
      <c r="A3295" s="1">
        <v>721090</v>
      </c>
      <c r="B3295" s="1" t="s">
        <v>3321</v>
      </c>
      <c r="C3295" s="1" t="str">
        <f ca="1">IFERROR(__xludf.DUMMYFUNCTION("REGEXEXTRACT(B3295, ""^([^:]+)"")"),"Iron or non-alloy steel")</f>
        <v>Iron or non-alloy steel</v>
      </c>
      <c r="D3295" s="1" t="s">
        <v>11</v>
      </c>
      <c r="E3295" s="1" t="s">
        <v>11</v>
      </c>
    </row>
    <row r="3296" spans="1:5" ht="15.75" customHeight="1">
      <c r="A3296" s="1">
        <v>721113</v>
      </c>
      <c r="B3296" s="1" t="s">
        <v>3322</v>
      </c>
      <c r="C3296" s="1" t="str">
        <f ca="1">IFERROR(__xludf.DUMMYFUNCTION("REGEXEXTRACT(B3296, ""^([^:]+)"")"),"Iron or non-alloy steel")</f>
        <v>Iron or non-alloy steel</v>
      </c>
      <c r="D3296" s="1" t="s">
        <v>11</v>
      </c>
      <c r="E3296" s="1" t="s">
        <v>11</v>
      </c>
    </row>
    <row r="3297" spans="1:5" ht="15.75" customHeight="1">
      <c r="A3297" s="1">
        <v>721114</v>
      </c>
      <c r="B3297" s="1" t="s">
        <v>3323</v>
      </c>
      <c r="C3297" s="1" t="str">
        <f ca="1">IFERROR(__xludf.DUMMYFUNCTION("REGEXEXTRACT(B3297, ""^([^:]+)"")"),"Iron or non-alloy steel")</f>
        <v>Iron or non-alloy steel</v>
      </c>
      <c r="D3297" s="1" t="s">
        <v>11</v>
      </c>
      <c r="E3297" s="1" t="s">
        <v>11</v>
      </c>
    </row>
    <row r="3298" spans="1:5" ht="15.75" customHeight="1">
      <c r="A3298" s="1">
        <v>721119</v>
      </c>
      <c r="B3298" s="1" t="s">
        <v>3324</v>
      </c>
      <c r="C3298" s="1" t="str">
        <f ca="1">IFERROR(__xludf.DUMMYFUNCTION("REGEXEXTRACT(B3298, ""^([^:]+)"")"),"Iron or non-alloy steel")</f>
        <v>Iron or non-alloy steel</v>
      </c>
      <c r="D3298" s="1" t="s">
        <v>11</v>
      </c>
      <c r="E3298" s="1" t="s">
        <v>11</v>
      </c>
    </row>
    <row r="3299" spans="1:5" ht="15.75" customHeight="1">
      <c r="A3299" s="1">
        <v>721123</v>
      </c>
      <c r="B3299" s="1" t="s">
        <v>3325</v>
      </c>
      <c r="C3299" s="1" t="str">
        <f ca="1">IFERROR(__xludf.DUMMYFUNCTION("REGEXEXTRACT(B3299, ""^([^:]+)"")"),"Iron or non-alloy steel")</f>
        <v>Iron or non-alloy steel</v>
      </c>
      <c r="D3299" s="1" t="s">
        <v>11</v>
      </c>
      <c r="E3299" s="1" t="s">
        <v>11</v>
      </c>
    </row>
    <row r="3300" spans="1:5" ht="15.75" customHeight="1">
      <c r="A3300" s="1">
        <v>721129</v>
      </c>
      <c r="B3300" s="1" t="s">
        <v>3326</v>
      </c>
      <c r="C3300" s="1" t="str">
        <f ca="1">IFERROR(__xludf.DUMMYFUNCTION("REGEXEXTRACT(B3300, ""^([^:]+)"")"),"Iron or non-alloy steel")</f>
        <v>Iron or non-alloy steel</v>
      </c>
      <c r="D3300" s="1" t="s">
        <v>11</v>
      </c>
      <c r="E3300" s="1" t="s">
        <v>11</v>
      </c>
    </row>
    <row r="3301" spans="1:5" ht="15.75" customHeight="1">
      <c r="A3301" s="1">
        <v>721190</v>
      </c>
      <c r="B3301" s="1" t="s">
        <v>3327</v>
      </c>
      <c r="C3301" s="1" t="str">
        <f ca="1">IFERROR(__xludf.DUMMYFUNCTION("REGEXEXTRACT(B3301, ""^([^:]+)"")"),"Iron or non-alloy steel")</f>
        <v>Iron or non-alloy steel</v>
      </c>
      <c r="D3301" s="1" t="s">
        <v>11</v>
      </c>
      <c r="E3301" s="1" t="s">
        <v>11</v>
      </c>
    </row>
    <row r="3302" spans="1:5" ht="15.75" customHeight="1">
      <c r="A3302" s="1">
        <v>721210</v>
      </c>
      <c r="B3302" s="1" t="s">
        <v>3328</v>
      </c>
      <c r="C3302" s="1" t="str">
        <f ca="1">IFERROR(__xludf.DUMMYFUNCTION("REGEXEXTRACT(B3302, ""^([^:]+)"")"),"Iron or non-alloy steel")</f>
        <v>Iron or non-alloy steel</v>
      </c>
      <c r="D3302" s="1" t="s">
        <v>11</v>
      </c>
      <c r="E3302" s="1" t="s">
        <v>11</v>
      </c>
    </row>
    <row r="3303" spans="1:5" ht="15.75" customHeight="1">
      <c r="A3303" s="1">
        <v>721220</v>
      </c>
      <c r="B3303" s="1" t="s">
        <v>3329</v>
      </c>
      <c r="C3303" s="1" t="str">
        <f ca="1">IFERROR(__xludf.DUMMYFUNCTION("REGEXEXTRACT(B3303, ""^([^:]+)"")"),"Iron or non-alloy steel")</f>
        <v>Iron or non-alloy steel</v>
      </c>
      <c r="D3303" s="1" t="s">
        <v>11</v>
      </c>
      <c r="E3303" s="1" t="s">
        <v>11</v>
      </c>
    </row>
    <row r="3304" spans="1:5" ht="15.75" customHeight="1">
      <c r="A3304" s="1">
        <v>721230</v>
      </c>
      <c r="B3304" s="1" t="s">
        <v>3330</v>
      </c>
      <c r="C3304" s="1" t="str">
        <f ca="1">IFERROR(__xludf.DUMMYFUNCTION("REGEXEXTRACT(B3304, ""^([^:]+)"")"),"Iron or non-alloy steel")</f>
        <v>Iron or non-alloy steel</v>
      </c>
      <c r="D3304" s="1" t="s">
        <v>11</v>
      </c>
      <c r="E3304" s="1" t="s">
        <v>11</v>
      </c>
    </row>
    <row r="3305" spans="1:5" ht="15.75" customHeight="1">
      <c r="A3305" s="1">
        <v>721240</v>
      </c>
      <c r="B3305" s="1" t="s">
        <v>3331</v>
      </c>
      <c r="C3305" s="1" t="str">
        <f ca="1">IFERROR(__xludf.DUMMYFUNCTION("REGEXEXTRACT(B3305, ""^([^:]+)"")"),"Iron or non-alloy steel")</f>
        <v>Iron or non-alloy steel</v>
      </c>
      <c r="D3305" s="1" t="s">
        <v>11</v>
      </c>
      <c r="E3305" s="1" t="s">
        <v>11</v>
      </c>
    </row>
    <row r="3306" spans="1:5" ht="15.75" customHeight="1">
      <c r="A3306" s="1">
        <v>721250</v>
      </c>
      <c r="B3306" s="1" t="s">
        <v>3332</v>
      </c>
      <c r="C3306" s="1" t="str">
        <f ca="1">IFERROR(__xludf.DUMMYFUNCTION("REGEXEXTRACT(B3306, ""^([^:]+)"")"),"Iron or non-alloy steel")</f>
        <v>Iron or non-alloy steel</v>
      </c>
      <c r="D3306" s="1" t="s">
        <v>11</v>
      </c>
      <c r="E3306" s="1" t="s">
        <v>11</v>
      </c>
    </row>
    <row r="3307" spans="1:5" ht="15.75" customHeight="1">
      <c r="A3307" s="1">
        <v>721260</v>
      </c>
      <c r="B3307" s="1" t="s">
        <v>3333</v>
      </c>
      <c r="C3307" s="1" t="str">
        <f ca="1">IFERROR(__xludf.DUMMYFUNCTION("REGEXEXTRACT(B3307, ""^([^:]+)"")"),"Iron or non-alloy steel")</f>
        <v>Iron or non-alloy steel</v>
      </c>
      <c r="D3307" s="1" t="s">
        <v>11</v>
      </c>
      <c r="E3307" s="1" t="s">
        <v>11</v>
      </c>
    </row>
    <row r="3308" spans="1:5" ht="15.75" customHeight="1">
      <c r="A3308" s="1">
        <v>721310</v>
      </c>
      <c r="B3308" s="1" t="s">
        <v>3334</v>
      </c>
      <c r="C3308" s="1" t="str">
        <f ca="1">IFERROR(__xludf.DUMMYFUNCTION("REGEXEXTRACT(B3308, ""^([^:]+)"")"),"Iron or non-alloy steel")</f>
        <v>Iron or non-alloy steel</v>
      </c>
      <c r="D3308" s="1" t="s">
        <v>11</v>
      </c>
      <c r="E3308" s="1" t="s">
        <v>11</v>
      </c>
    </row>
    <row r="3309" spans="1:5" ht="15.75" customHeight="1">
      <c r="A3309" s="1">
        <v>721320</v>
      </c>
      <c r="B3309" s="1" t="s">
        <v>3335</v>
      </c>
      <c r="C3309" s="1" t="str">
        <f ca="1">IFERROR(__xludf.DUMMYFUNCTION("REGEXEXTRACT(B3309, ""^([^:]+)"")"),"Iron or non-alloy steel")</f>
        <v>Iron or non-alloy steel</v>
      </c>
      <c r="D3309" s="1" t="s">
        <v>11</v>
      </c>
      <c r="E3309" s="1" t="s">
        <v>11</v>
      </c>
    </row>
    <row r="3310" spans="1:5" ht="15.75" customHeight="1">
      <c r="A3310" s="1">
        <v>721391</v>
      </c>
      <c r="B3310" s="1" t="s">
        <v>3336</v>
      </c>
      <c r="C3310" s="1" t="str">
        <f ca="1">IFERROR(__xludf.DUMMYFUNCTION("REGEXEXTRACT(B3310, ""^([^:]+)"")"),"Iron or non-alloy steel")</f>
        <v>Iron or non-alloy steel</v>
      </c>
      <c r="D3310" s="1" t="s">
        <v>11</v>
      </c>
      <c r="E3310" s="1" t="s">
        <v>11</v>
      </c>
    </row>
    <row r="3311" spans="1:5" ht="15.75" customHeight="1">
      <c r="A3311" s="1">
        <v>721399</v>
      </c>
      <c r="B3311" s="1" t="s">
        <v>3337</v>
      </c>
      <c r="C3311" s="1" t="str">
        <f ca="1">IFERROR(__xludf.DUMMYFUNCTION("REGEXEXTRACT(B3311, ""^([^:]+)"")"),"Iron or non-alloy steel")</f>
        <v>Iron or non-alloy steel</v>
      </c>
      <c r="D3311" s="1" t="s">
        <v>11</v>
      </c>
      <c r="E3311" s="1" t="s">
        <v>11</v>
      </c>
    </row>
    <row r="3312" spans="1:5" ht="15.75" customHeight="1">
      <c r="A3312" s="1">
        <v>721410</v>
      </c>
      <c r="B3312" s="1" t="s">
        <v>3338</v>
      </c>
      <c r="C3312" s="1" t="str">
        <f ca="1">IFERROR(__xludf.DUMMYFUNCTION("REGEXEXTRACT(B3312, ""^([^:]+)"")"),"Iron or non-alloy steel")</f>
        <v>Iron or non-alloy steel</v>
      </c>
      <c r="D3312" s="1" t="s">
        <v>11</v>
      </c>
      <c r="E3312" s="1" t="s">
        <v>11</v>
      </c>
    </row>
    <row r="3313" spans="1:5" ht="15.75" customHeight="1">
      <c r="A3313" s="1">
        <v>721420</v>
      </c>
      <c r="B3313" s="1" t="s">
        <v>3339</v>
      </c>
      <c r="C3313" s="1" t="str">
        <f ca="1">IFERROR(__xludf.DUMMYFUNCTION("REGEXEXTRACT(B3313, ""^([^:]+)"")"),"Iron or non-alloy steel")</f>
        <v>Iron or non-alloy steel</v>
      </c>
      <c r="D3313" s="1" t="s">
        <v>11</v>
      </c>
      <c r="E3313" s="1" t="s">
        <v>11</v>
      </c>
    </row>
    <row r="3314" spans="1:5" ht="15.75" customHeight="1">
      <c r="A3314" s="1">
        <v>721430</v>
      </c>
      <c r="B3314" s="1" t="s">
        <v>3340</v>
      </c>
      <c r="C3314" s="1" t="str">
        <f ca="1">IFERROR(__xludf.DUMMYFUNCTION("REGEXEXTRACT(B3314, ""^([^:]+)"")"),"Iron or non-alloy steel")</f>
        <v>Iron or non-alloy steel</v>
      </c>
      <c r="D3314" s="1" t="s">
        <v>11</v>
      </c>
      <c r="E3314" s="1" t="s">
        <v>11</v>
      </c>
    </row>
    <row r="3315" spans="1:5" ht="15.75" customHeight="1">
      <c r="A3315" s="1">
        <v>721491</v>
      </c>
      <c r="B3315" s="1" t="s">
        <v>3341</v>
      </c>
      <c r="C3315" s="1" t="str">
        <f ca="1">IFERROR(__xludf.DUMMYFUNCTION("REGEXEXTRACT(B3315, ""^([^:]+)"")"),"Iron or non-alloy steel")</f>
        <v>Iron or non-alloy steel</v>
      </c>
      <c r="D3315" s="1" t="s">
        <v>11</v>
      </c>
      <c r="E3315" s="1" t="s">
        <v>11</v>
      </c>
    </row>
    <row r="3316" spans="1:5" ht="15.75" customHeight="1">
      <c r="A3316" s="1">
        <v>721499</v>
      </c>
      <c r="B3316" s="1" t="s">
        <v>3342</v>
      </c>
      <c r="C3316" s="1" t="str">
        <f ca="1">IFERROR(__xludf.DUMMYFUNCTION("REGEXEXTRACT(B3316, ""^([^:]+)"")"),"Iron or non-alloy steel")</f>
        <v>Iron or non-alloy steel</v>
      </c>
      <c r="D3316" s="1" t="s">
        <v>11</v>
      </c>
      <c r="E3316" s="1" t="s">
        <v>11</v>
      </c>
    </row>
    <row r="3317" spans="1:5" ht="15.75" customHeight="1">
      <c r="A3317" s="1">
        <v>721510</v>
      </c>
      <c r="B3317" s="1" t="s">
        <v>3343</v>
      </c>
      <c r="C3317" s="1" t="str">
        <f ca="1">IFERROR(__xludf.DUMMYFUNCTION("REGEXEXTRACT(B3317, ""^([^:]+)"")"),"Iron or non-alloy steel")</f>
        <v>Iron or non-alloy steel</v>
      </c>
      <c r="D3317" s="1" t="s">
        <v>11</v>
      </c>
      <c r="E3317" s="1" t="s">
        <v>11</v>
      </c>
    </row>
    <row r="3318" spans="1:5" ht="15.75" customHeight="1">
      <c r="A3318" s="1">
        <v>721550</v>
      </c>
      <c r="B3318" s="1" t="s">
        <v>3344</v>
      </c>
      <c r="C3318" s="1" t="str">
        <f ca="1">IFERROR(__xludf.DUMMYFUNCTION("REGEXEXTRACT(B3318, ""^([^:]+)"")"),"Iron or non-alloy steel")</f>
        <v>Iron or non-alloy steel</v>
      </c>
      <c r="D3318" s="1" t="s">
        <v>11</v>
      </c>
      <c r="E3318" s="1" t="s">
        <v>11</v>
      </c>
    </row>
    <row r="3319" spans="1:5" ht="15.75" customHeight="1">
      <c r="A3319" s="1">
        <v>721590</v>
      </c>
      <c r="B3319" s="1" t="s">
        <v>3345</v>
      </c>
      <c r="C3319" s="1" t="str">
        <f ca="1">IFERROR(__xludf.DUMMYFUNCTION("REGEXEXTRACT(B3319, ""^([^:]+)"")"),"Iron or non-alloy steel")</f>
        <v>Iron or non-alloy steel</v>
      </c>
      <c r="D3319" s="1" t="s">
        <v>11</v>
      </c>
      <c r="E3319" s="1" t="s">
        <v>11</v>
      </c>
    </row>
    <row r="3320" spans="1:5" ht="15.75" customHeight="1">
      <c r="A3320" s="1">
        <v>721610</v>
      </c>
      <c r="B3320" s="1" t="s">
        <v>3346</v>
      </c>
      <c r="C3320" s="1" t="str">
        <f ca="1">IFERROR(__xludf.DUMMYFUNCTION("REGEXEXTRACT(B3320, ""^([^:]+)"")"),"Iron or non-alloy steel")</f>
        <v>Iron or non-alloy steel</v>
      </c>
      <c r="D3320" s="1" t="s">
        <v>11</v>
      </c>
      <c r="E3320" s="1" t="s">
        <v>11</v>
      </c>
    </row>
    <row r="3321" spans="1:5" ht="15.75" customHeight="1">
      <c r="A3321" s="1">
        <v>721621</v>
      </c>
      <c r="B3321" s="1" t="s">
        <v>3347</v>
      </c>
      <c r="C3321" s="1" t="str">
        <f ca="1">IFERROR(__xludf.DUMMYFUNCTION("REGEXEXTRACT(B3321, ""^([^:]+)"")"),"Iron or non-alloy steel")</f>
        <v>Iron or non-alloy steel</v>
      </c>
      <c r="D3321" s="1" t="s">
        <v>11</v>
      </c>
      <c r="E3321" s="1" t="s">
        <v>11</v>
      </c>
    </row>
    <row r="3322" spans="1:5" ht="15.75" customHeight="1">
      <c r="A3322" s="1">
        <v>721622</v>
      </c>
      <c r="B3322" s="1" t="s">
        <v>3348</v>
      </c>
      <c r="C3322" s="1" t="str">
        <f ca="1">IFERROR(__xludf.DUMMYFUNCTION("REGEXEXTRACT(B3322, ""^([^:]+)"")"),"Iron or non-alloy steel")</f>
        <v>Iron or non-alloy steel</v>
      </c>
      <c r="D3322" s="1" t="s">
        <v>11</v>
      </c>
      <c r="E3322" s="1" t="s">
        <v>11</v>
      </c>
    </row>
    <row r="3323" spans="1:5" ht="15.75" customHeight="1">
      <c r="A3323" s="1">
        <v>721631</v>
      </c>
      <c r="B3323" s="1" t="s">
        <v>3349</v>
      </c>
      <c r="C3323" s="1" t="str">
        <f ca="1">IFERROR(__xludf.DUMMYFUNCTION("REGEXEXTRACT(B3323, ""^([^:]+)"")"),"Iron or non-alloy steel")</f>
        <v>Iron or non-alloy steel</v>
      </c>
      <c r="D3323" s="1" t="s">
        <v>11</v>
      </c>
      <c r="E3323" s="1" t="s">
        <v>11</v>
      </c>
    </row>
    <row r="3324" spans="1:5" ht="15.75" customHeight="1">
      <c r="A3324" s="1">
        <v>721632</v>
      </c>
      <c r="B3324" s="1" t="s">
        <v>3350</v>
      </c>
      <c r="C3324" s="1" t="str">
        <f ca="1">IFERROR(__xludf.DUMMYFUNCTION("REGEXEXTRACT(B3324, ""^([^:]+)"")"),"Iron or non-alloy steel")</f>
        <v>Iron or non-alloy steel</v>
      </c>
      <c r="D3324" s="1" t="s">
        <v>11</v>
      </c>
      <c r="E3324" s="1" t="s">
        <v>11</v>
      </c>
    </row>
    <row r="3325" spans="1:5" ht="15.75" customHeight="1">
      <c r="A3325" s="1">
        <v>721633</v>
      </c>
      <c r="B3325" s="1" t="s">
        <v>3351</v>
      </c>
      <c r="C3325" s="1" t="str">
        <f ca="1">IFERROR(__xludf.DUMMYFUNCTION("REGEXEXTRACT(B3325, ""^([^:]+)"")"),"Iron or non-alloy steel")</f>
        <v>Iron or non-alloy steel</v>
      </c>
      <c r="D3325" s="1" t="s">
        <v>11</v>
      </c>
      <c r="E3325" s="1" t="s">
        <v>11</v>
      </c>
    </row>
    <row r="3326" spans="1:5" ht="15.75" customHeight="1">
      <c r="A3326" s="1">
        <v>721640</v>
      </c>
      <c r="B3326" s="1" t="s">
        <v>3352</v>
      </c>
      <c r="C3326" s="1" t="str">
        <f ca="1">IFERROR(__xludf.DUMMYFUNCTION("REGEXEXTRACT(B3326, ""^([^:]+)"")"),"Iron or non-alloy steel")</f>
        <v>Iron or non-alloy steel</v>
      </c>
      <c r="D3326" s="1" t="s">
        <v>11</v>
      </c>
      <c r="E3326" s="1" t="s">
        <v>11</v>
      </c>
    </row>
    <row r="3327" spans="1:5" ht="15.75" customHeight="1">
      <c r="A3327" s="1">
        <v>721650</v>
      </c>
      <c r="B3327" s="1" t="s">
        <v>3353</v>
      </c>
      <c r="C3327" s="1" t="str">
        <f ca="1">IFERROR(__xludf.DUMMYFUNCTION("REGEXEXTRACT(B3327, ""^([^:]+)"")"),"Iron or non-alloy steel")</f>
        <v>Iron or non-alloy steel</v>
      </c>
      <c r="D3327" s="1" t="s">
        <v>11</v>
      </c>
      <c r="E3327" s="1" t="s">
        <v>11</v>
      </c>
    </row>
    <row r="3328" spans="1:5" ht="15.75" customHeight="1">
      <c r="A3328" s="1">
        <v>721661</v>
      </c>
      <c r="B3328" s="1" t="s">
        <v>3354</v>
      </c>
      <c r="C3328" s="1" t="str">
        <f ca="1">IFERROR(__xludf.DUMMYFUNCTION("REGEXEXTRACT(B3328, ""^([^:]+)"")"),"Iron or non-alloy steel")</f>
        <v>Iron or non-alloy steel</v>
      </c>
      <c r="D3328" s="1" t="s">
        <v>11</v>
      </c>
      <c r="E3328" s="1" t="s">
        <v>11</v>
      </c>
    </row>
    <row r="3329" spans="1:5" ht="15.75" customHeight="1">
      <c r="A3329" s="1">
        <v>721669</v>
      </c>
      <c r="B3329" s="1" t="s">
        <v>3355</v>
      </c>
      <c r="C3329" s="1" t="str">
        <f ca="1">IFERROR(__xludf.DUMMYFUNCTION("REGEXEXTRACT(B3329, ""^([^:]+)"")"),"Iron or non-alloy steel")</f>
        <v>Iron or non-alloy steel</v>
      </c>
      <c r="D3329" s="1" t="s">
        <v>11</v>
      </c>
      <c r="E3329" s="1" t="s">
        <v>11</v>
      </c>
    </row>
    <row r="3330" spans="1:5" ht="15.75" customHeight="1">
      <c r="A3330" s="1">
        <v>721691</v>
      </c>
      <c r="B3330" s="1" t="s">
        <v>3356</v>
      </c>
      <c r="C3330" s="1" t="str">
        <f ca="1">IFERROR(__xludf.DUMMYFUNCTION("REGEXEXTRACT(B3330, ""^([^:]+)"")"),"Iron or non-alloy steel")</f>
        <v>Iron or non-alloy steel</v>
      </c>
      <c r="D3330" s="1" t="s">
        <v>11</v>
      </c>
      <c r="E3330" s="1" t="s">
        <v>11</v>
      </c>
    </row>
    <row r="3331" spans="1:5" ht="15.75" customHeight="1">
      <c r="A3331" s="1">
        <v>721699</v>
      </c>
      <c r="B3331" s="1" t="s">
        <v>3357</v>
      </c>
      <c r="C3331" s="1" t="str">
        <f ca="1">IFERROR(__xludf.DUMMYFUNCTION("REGEXEXTRACT(B3331, ""^([^:]+)"")"),"Iron or non-alloy steel")</f>
        <v>Iron or non-alloy steel</v>
      </c>
      <c r="D3331" s="1" t="s">
        <v>11</v>
      </c>
      <c r="E3331" s="1" t="s">
        <v>11</v>
      </c>
    </row>
    <row r="3332" spans="1:5" ht="15.75" customHeight="1">
      <c r="A3332" s="1">
        <v>721710</v>
      </c>
      <c r="B3332" s="1" t="s">
        <v>3358</v>
      </c>
      <c r="C3332" s="1" t="str">
        <f ca="1">IFERROR(__xludf.DUMMYFUNCTION("REGEXEXTRACT(B3332, ""^([^:]+)"")"),"Iron or non-alloy steel")</f>
        <v>Iron or non-alloy steel</v>
      </c>
      <c r="D3332" s="1" t="s">
        <v>11</v>
      </c>
      <c r="E3332" s="1" t="s">
        <v>11</v>
      </c>
    </row>
    <row r="3333" spans="1:5" ht="15.75" customHeight="1">
      <c r="A3333" s="1">
        <v>721720</v>
      </c>
      <c r="B3333" s="1" t="s">
        <v>3359</v>
      </c>
      <c r="C3333" s="1" t="str">
        <f ca="1">IFERROR(__xludf.DUMMYFUNCTION("REGEXEXTRACT(B3333, ""^([^:]+)"")"),"Iron or non-alloy steel")</f>
        <v>Iron or non-alloy steel</v>
      </c>
      <c r="D3333" s="1" t="s">
        <v>11</v>
      </c>
      <c r="E3333" s="1" t="s">
        <v>11</v>
      </c>
    </row>
    <row r="3334" spans="1:5" ht="15.75" customHeight="1">
      <c r="A3334" s="1">
        <v>721730</v>
      </c>
      <c r="B3334" s="1" t="s">
        <v>3360</v>
      </c>
      <c r="C3334" s="1" t="str">
        <f ca="1">IFERROR(__xludf.DUMMYFUNCTION("REGEXEXTRACT(B3334, ""^([^:]+)"")"),"Iron or non-alloy steel")</f>
        <v>Iron or non-alloy steel</v>
      </c>
      <c r="D3334" s="1" t="s">
        <v>11</v>
      </c>
      <c r="E3334" s="1" t="s">
        <v>11</v>
      </c>
    </row>
    <row r="3335" spans="1:5" ht="15.75" customHeight="1">
      <c r="A3335" s="1">
        <v>721790</v>
      </c>
      <c r="B3335" s="1" t="s">
        <v>3361</v>
      </c>
      <c r="C3335" s="1" t="str">
        <f ca="1">IFERROR(__xludf.DUMMYFUNCTION("REGEXEXTRACT(B3335, ""^([^:]+)"")"),"Iron or non-alloy steel")</f>
        <v>Iron or non-alloy steel</v>
      </c>
      <c r="D3335" s="1" t="s">
        <v>11</v>
      </c>
      <c r="E3335" s="1" t="s">
        <v>11</v>
      </c>
    </row>
    <row r="3336" spans="1:5" ht="15.75" customHeight="1">
      <c r="A3336" s="1">
        <v>721810</v>
      </c>
      <c r="B3336" s="1" t="s">
        <v>3362</v>
      </c>
      <c r="C3336" s="1" t="str">
        <f ca="1">IFERROR(__xludf.DUMMYFUNCTION("REGEXEXTRACT(B3336, ""^([^:]+)"")"),"Steel, stainless")</f>
        <v>Steel, stainless</v>
      </c>
      <c r="D3336" s="1" t="s">
        <v>11</v>
      </c>
      <c r="E3336" s="1" t="s">
        <v>11</v>
      </c>
    </row>
    <row r="3337" spans="1:5" ht="15.75" customHeight="1">
      <c r="A3337" s="1">
        <v>721891</v>
      </c>
      <c r="B3337" s="1" t="s">
        <v>3363</v>
      </c>
      <c r="C3337" s="1" t="str">
        <f ca="1">IFERROR(__xludf.DUMMYFUNCTION("REGEXEXTRACT(B3337, ""^([^:]+)"")"),"Steel, stainless")</f>
        <v>Steel, stainless</v>
      </c>
      <c r="D3337" s="1" t="s">
        <v>11</v>
      </c>
      <c r="E3337" s="1" t="s">
        <v>11</v>
      </c>
    </row>
    <row r="3338" spans="1:5" ht="15.75" customHeight="1">
      <c r="A3338" s="1">
        <v>721899</v>
      </c>
      <c r="B3338" s="1" t="s">
        <v>3364</v>
      </c>
      <c r="C3338" s="1" t="str">
        <f ca="1">IFERROR(__xludf.DUMMYFUNCTION("REGEXEXTRACT(B3338, ""^([^:]+)"")"),"Steel, stainless")</f>
        <v>Steel, stainless</v>
      </c>
      <c r="D3338" s="1" t="s">
        <v>11</v>
      </c>
      <c r="E3338" s="1" t="s">
        <v>11</v>
      </c>
    </row>
    <row r="3339" spans="1:5" ht="15.75" customHeight="1">
      <c r="A3339" s="1">
        <v>721911</v>
      </c>
      <c r="B3339" s="1" t="s">
        <v>3365</v>
      </c>
      <c r="C3339" s="1" t="str">
        <f ca="1">IFERROR(__xludf.DUMMYFUNCTION("REGEXEXTRACT(B3339, ""^([^:]+)"")"),"Steel, stainless")</f>
        <v>Steel, stainless</v>
      </c>
      <c r="D3339" s="1" t="s">
        <v>11</v>
      </c>
      <c r="E3339" s="1" t="s">
        <v>11</v>
      </c>
    </row>
    <row r="3340" spans="1:5" ht="15.75" customHeight="1">
      <c r="A3340" s="1">
        <v>721912</v>
      </c>
      <c r="B3340" s="1" t="s">
        <v>3366</v>
      </c>
      <c r="C3340" s="1" t="str">
        <f ca="1">IFERROR(__xludf.DUMMYFUNCTION("REGEXEXTRACT(B3340, ""^([^:]+)"")"),"Steel, stainless")</f>
        <v>Steel, stainless</v>
      </c>
      <c r="D3340" s="1" t="s">
        <v>11</v>
      </c>
      <c r="E3340" s="1" t="s">
        <v>11</v>
      </c>
    </row>
    <row r="3341" spans="1:5" ht="15.75" customHeight="1">
      <c r="A3341" s="1">
        <v>721913</v>
      </c>
      <c r="B3341" s="1" t="s">
        <v>3367</v>
      </c>
      <c r="C3341" s="1" t="str">
        <f ca="1">IFERROR(__xludf.DUMMYFUNCTION("REGEXEXTRACT(B3341, ""^([^:]+)"")"),"Steel, stainless")</f>
        <v>Steel, stainless</v>
      </c>
      <c r="D3341" s="1" t="s">
        <v>11</v>
      </c>
      <c r="E3341" s="1" t="s">
        <v>11</v>
      </c>
    </row>
    <row r="3342" spans="1:5" ht="15.75" customHeight="1">
      <c r="A3342" s="1">
        <v>721914</v>
      </c>
      <c r="B3342" s="1" t="s">
        <v>3368</v>
      </c>
      <c r="C3342" s="1" t="str">
        <f ca="1">IFERROR(__xludf.DUMMYFUNCTION("REGEXEXTRACT(B3342, ""^([^:]+)"")"),"Steel, stainless")</f>
        <v>Steel, stainless</v>
      </c>
      <c r="D3342" s="1" t="s">
        <v>11</v>
      </c>
      <c r="E3342" s="1" t="s">
        <v>11</v>
      </c>
    </row>
    <row r="3343" spans="1:5" ht="15.75" customHeight="1">
      <c r="A3343" s="1">
        <v>721921</v>
      </c>
      <c r="B3343" s="1" t="s">
        <v>3369</v>
      </c>
      <c r="C3343" s="1" t="str">
        <f ca="1">IFERROR(__xludf.DUMMYFUNCTION("REGEXEXTRACT(B3343, ""^([^:]+)"")"),"Steel, stainless")</f>
        <v>Steel, stainless</v>
      </c>
      <c r="D3343" s="1" t="s">
        <v>11</v>
      </c>
      <c r="E3343" s="1" t="s">
        <v>11</v>
      </c>
    </row>
    <row r="3344" spans="1:5" ht="15.75" customHeight="1">
      <c r="A3344" s="1">
        <v>721922</v>
      </c>
      <c r="B3344" s="1" t="s">
        <v>3370</v>
      </c>
      <c r="C3344" s="1" t="str">
        <f ca="1">IFERROR(__xludf.DUMMYFUNCTION("REGEXEXTRACT(B3344, ""^([^:]+)"")"),"Steel, stainless")</f>
        <v>Steel, stainless</v>
      </c>
      <c r="D3344" s="1" t="s">
        <v>11</v>
      </c>
      <c r="E3344" s="1" t="s">
        <v>11</v>
      </c>
    </row>
    <row r="3345" spans="1:5" ht="15.75" customHeight="1">
      <c r="A3345" s="1">
        <v>721923</v>
      </c>
      <c r="B3345" s="1" t="s">
        <v>3371</v>
      </c>
      <c r="C3345" s="1" t="str">
        <f ca="1">IFERROR(__xludf.DUMMYFUNCTION("REGEXEXTRACT(B3345, ""^([^:]+)"")"),"Steel, stainless")</f>
        <v>Steel, stainless</v>
      </c>
      <c r="D3345" s="1" t="s">
        <v>11</v>
      </c>
      <c r="E3345" s="1" t="s">
        <v>11</v>
      </c>
    </row>
    <row r="3346" spans="1:5" ht="15.75" customHeight="1">
      <c r="A3346" s="1">
        <v>721924</v>
      </c>
      <c r="B3346" s="1" t="s">
        <v>3372</v>
      </c>
      <c r="C3346" s="1" t="str">
        <f ca="1">IFERROR(__xludf.DUMMYFUNCTION("REGEXEXTRACT(B3346, ""^([^:]+)"")"),"Steel, stainless")</f>
        <v>Steel, stainless</v>
      </c>
      <c r="D3346" s="1" t="s">
        <v>11</v>
      </c>
      <c r="E3346" s="1" t="s">
        <v>11</v>
      </c>
    </row>
    <row r="3347" spans="1:5" ht="15.75" customHeight="1">
      <c r="A3347" s="1">
        <v>721931</v>
      </c>
      <c r="B3347" s="1" t="s">
        <v>3373</v>
      </c>
      <c r="C3347" s="1" t="str">
        <f ca="1">IFERROR(__xludf.DUMMYFUNCTION("REGEXEXTRACT(B3347, ""^([^:]+)"")"),"Steel, stainless")</f>
        <v>Steel, stainless</v>
      </c>
      <c r="D3347" s="1" t="s">
        <v>11</v>
      </c>
      <c r="E3347" s="1" t="s">
        <v>11</v>
      </c>
    </row>
    <row r="3348" spans="1:5" ht="15.75" customHeight="1">
      <c r="A3348" s="1">
        <v>721932</v>
      </c>
      <c r="B3348" s="1" t="s">
        <v>3374</v>
      </c>
      <c r="C3348" s="1" t="str">
        <f ca="1">IFERROR(__xludf.DUMMYFUNCTION("REGEXEXTRACT(B3348, ""^([^:]+)"")"),"Steel, stainless")</f>
        <v>Steel, stainless</v>
      </c>
      <c r="D3348" s="1" t="s">
        <v>11</v>
      </c>
      <c r="E3348" s="1" t="s">
        <v>11</v>
      </c>
    </row>
    <row r="3349" spans="1:5" ht="15.75" customHeight="1">
      <c r="A3349" s="1">
        <v>721933</v>
      </c>
      <c r="B3349" s="1" t="s">
        <v>3375</v>
      </c>
      <c r="C3349" s="1" t="str">
        <f ca="1">IFERROR(__xludf.DUMMYFUNCTION("REGEXEXTRACT(B3349, ""^([^:]+)"")"),"Steel, stainless")</f>
        <v>Steel, stainless</v>
      </c>
      <c r="D3349" s="1" t="s">
        <v>11</v>
      </c>
      <c r="E3349" s="1" t="s">
        <v>11</v>
      </c>
    </row>
    <row r="3350" spans="1:5" ht="15.75" customHeight="1">
      <c r="A3350" s="1">
        <v>721934</v>
      </c>
      <c r="B3350" s="1" t="s">
        <v>3376</v>
      </c>
      <c r="C3350" s="1" t="str">
        <f ca="1">IFERROR(__xludf.DUMMYFUNCTION("REGEXEXTRACT(B3350, ""^([^:]+)"")"),"Steel, stainless")</f>
        <v>Steel, stainless</v>
      </c>
      <c r="D3350" s="1" t="s">
        <v>11</v>
      </c>
      <c r="E3350" s="1" t="s">
        <v>11</v>
      </c>
    </row>
    <row r="3351" spans="1:5" ht="15.75" customHeight="1">
      <c r="A3351" s="1">
        <v>721935</v>
      </c>
      <c r="B3351" s="1" t="s">
        <v>3377</v>
      </c>
      <c r="C3351" s="1" t="str">
        <f ca="1">IFERROR(__xludf.DUMMYFUNCTION("REGEXEXTRACT(B3351, ""^([^:]+)"")"),"Steel, stainless")</f>
        <v>Steel, stainless</v>
      </c>
      <c r="D3351" s="1" t="s">
        <v>11</v>
      </c>
      <c r="E3351" s="1" t="s">
        <v>11</v>
      </c>
    </row>
    <row r="3352" spans="1:5" ht="15.75" customHeight="1">
      <c r="A3352" s="1">
        <v>721990</v>
      </c>
      <c r="B3352" s="1" t="s">
        <v>3378</v>
      </c>
      <c r="C3352" s="1" t="str">
        <f ca="1">IFERROR(__xludf.DUMMYFUNCTION("REGEXEXTRACT(B3352, ""^([^:]+)"")"),"Steel, stainless")</f>
        <v>Steel, stainless</v>
      </c>
      <c r="D3352" s="1" t="s">
        <v>11</v>
      </c>
      <c r="E3352" s="1" t="s">
        <v>11</v>
      </c>
    </row>
    <row r="3353" spans="1:5" ht="15.75" customHeight="1">
      <c r="A3353" s="1">
        <v>722011</v>
      </c>
      <c r="B3353" s="1" t="s">
        <v>3379</v>
      </c>
      <c r="C3353" s="1" t="str">
        <f ca="1">IFERROR(__xludf.DUMMYFUNCTION("REGEXEXTRACT(B3353, ""^([^:]+)"")"),"Steel, stainless")</f>
        <v>Steel, stainless</v>
      </c>
      <c r="D3353" s="1" t="s">
        <v>11</v>
      </c>
      <c r="E3353" s="1" t="s">
        <v>11</v>
      </c>
    </row>
    <row r="3354" spans="1:5" ht="15.75" customHeight="1">
      <c r="A3354" s="1">
        <v>722012</v>
      </c>
      <c r="B3354" s="1" t="s">
        <v>3380</v>
      </c>
      <c r="C3354" s="1" t="str">
        <f ca="1">IFERROR(__xludf.DUMMYFUNCTION("REGEXEXTRACT(B3354, ""^([^:]+)"")"),"Steel, stainless")</f>
        <v>Steel, stainless</v>
      </c>
      <c r="D3354" s="1" t="s">
        <v>11</v>
      </c>
      <c r="E3354" s="1" t="s">
        <v>11</v>
      </c>
    </row>
    <row r="3355" spans="1:5" ht="15.75" customHeight="1">
      <c r="A3355" s="1">
        <v>722020</v>
      </c>
      <c r="B3355" s="1" t="s">
        <v>3381</v>
      </c>
      <c r="C3355" s="1" t="str">
        <f ca="1">IFERROR(__xludf.DUMMYFUNCTION("REGEXEXTRACT(B3355, ""^([^:]+)"")"),"Steel, stainless")</f>
        <v>Steel, stainless</v>
      </c>
      <c r="D3355" s="1" t="s">
        <v>11</v>
      </c>
      <c r="E3355" s="1" t="s">
        <v>11</v>
      </c>
    </row>
    <row r="3356" spans="1:5" ht="15.75" customHeight="1">
      <c r="A3356" s="1">
        <v>722090</v>
      </c>
      <c r="B3356" s="1" t="s">
        <v>3382</v>
      </c>
      <c r="C3356" s="1" t="str">
        <f ca="1">IFERROR(__xludf.DUMMYFUNCTION("REGEXEXTRACT(B3356, ""^([^:]+)"")"),"Steel, stainless")</f>
        <v>Steel, stainless</v>
      </c>
      <c r="D3356" s="1" t="s">
        <v>11</v>
      </c>
      <c r="E3356" s="1" t="s">
        <v>11</v>
      </c>
    </row>
    <row r="3357" spans="1:5" ht="15.75" customHeight="1">
      <c r="A3357" s="1">
        <v>722100</v>
      </c>
      <c r="B3357" s="1" t="s">
        <v>3383</v>
      </c>
      <c r="C3357" s="1" t="str">
        <f ca="1">IFERROR(__xludf.DUMMYFUNCTION("REGEXEXTRACT(B3357, ""^([^:]+)"")"),"Steel, stainless")</f>
        <v>Steel, stainless</v>
      </c>
      <c r="D3357" s="1" t="s">
        <v>11</v>
      </c>
      <c r="E3357" s="1" t="s">
        <v>11</v>
      </c>
    </row>
    <row r="3358" spans="1:5" ht="15.75" customHeight="1">
      <c r="A3358" s="1">
        <v>722211</v>
      </c>
      <c r="B3358" s="1" t="s">
        <v>3384</v>
      </c>
      <c r="C3358" s="1" t="str">
        <f ca="1">IFERROR(__xludf.DUMMYFUNCTION("REGEXEXTRACT(B3358, ""^([^:]+)"")"),"Steel, stainless")</f>
        <v>Steel, stainless</v>
      </c>
      <c r="D3358" s="1" t="s">
        <v>11</v>
      </c>
      <c r="E3358" s="1" t="s">
        <v>11</v>
      </c>
    </row>
    <row r="3359" spans="1:5" ht="15.75" customHeight="1">
      <c r="A3359" s="1">
        <v>722219</v>
      </c>
      <c r="B3359" s="1" t="s">
        <v>3385</v>
      </c>
      <c r="C3359" s="1" t="str">
        <f ca="1">IFERROR(__xludf.DUMMYFUNCTION("REGEXEXTRACT(B3359, ""^([^:]+)"")"),"Steel, stainless")</f>
        <v>Steel, stainless</v>
      </c>
      <c r="D3359" s="1" t="s">
        <v>11</v>
      </c>
      <c r="E3359" s="1" t="s">
        <v>11</v>
      </c>
    </row>
    <row r="3360" spans="1:5" ht="15.75" customHeight="1">
      <c r="A3360" s="1">
        <v>722220</v>
      </c>
      <c r="B3360" s="1" t="s">
        <v>3386</v>
      </c>
      <c r="C3360" s="1" t="str">
        <f ca="1">IFERROR(__xludf.DUMMYFUNCTION("REGEXEXTRACT(B3360, ""^([^:]+)"")"),"Steel, stainless")</f>
        <v>Steel, stainless</v>
      </c>
      <c r="D3360" s="1" t="s">
        <v>11</v>
      </c>
      <c r="E3360" s="1" t="s">
        <v>11</v>
      </c>
    </row>
    <row r="3361" spans="1:5" ht="15.75" customHeight="1">
      <c r="A3361" s="1">
        <v>722230</v>
      </c>
      <c r="B3361" s="1" t="s">
        <v>3387</v>
      </c>
      <c r="C3361" s="1" t="str">
        <f ca="1">IFERROR(__xludf.DUMMYFUNCTION("REGEXEXTRACT(B3361, ""^([^:]+)"")"),"Steel, stainless")</f>
        <v>Steel, stainless</v>
      </c>
      <c r="D3361" s="1" t="s">
        <v>11</v>
      </c>
      <c r="E3361" s="1" t="s">
        <v>11</v>
      </c>
    </row>
    <row r="3362" spans="1:5" ht="15.75" customHeight="1">
      <c r="A3362" s="1">
        <v>722240</v>
      </c>
      <c r="B3362" s="1" t="s">
        <v>3388</v>
      </c>
      <c r="C3362" s="1" t="str">
        <f ca="1">IFERROR(__xludf.DUMMYFUNCTION("REGEXEXTRACT(B3362, ""^([^:]+)"")"),"Steel, stainless")</f>
        <v>Steel, stainless</v>
      </c>
      <c r="D3362" s="1" t="s">
        <v>11</v>
      </c>
      <c r="E3362" s="1" t="s">
        <v>11</v>
      </c>
    </row>
    <row r="3363" spans="1:5" ht="15.75" customHeight="1">
      <c r="A3363" s="1">
        <v>722300</v>
      </c>
      <c r="B3363" s="1" t="s">
        <v>3389</v>
      </c>
      <c r="C3363" s="1" t="str">
        <f ca="1">IFERROR(__xludf.DUMMYFUNCTION("REGEXEXTRACT(B3363, ""^([^:]+)"")"),"Steel, stainless")</f>
        <v>Steel, stainless</v>
      </c>
      <c r="D3363" s="1" t="s">
        <v>11</v>
      </c>
      <c r="E3363" s="1" t="s">
        <v>11</v>
      </c>
    </row>
    <row r="3364" spans="1:5" ht="15.75" customHeight="1">
      <c r="A3364" s="1">
        <v>722410</v>
      </c>
      <c r="B3364" s="1" t="s">
        <v>3390</v>
      </c>
      <c r="C3364" s="1" t="str">
        <f ca="1">IFERROR(__xludf.DUMMYFUNCTION("REGEXEXTRACT(B3364, ""^([^:]+)"")"),"Steel, alloy")</f>
        <v>Steel, alloy</v>
      </c>
      <c r="D3364" s="1" t="s">
        <v>11</v>
      </c>
      <c r="E3364" s="1" t="s">
        <v>11</v>
      </c>
    </row>
    <row r="3365" spans="1:5" ht="15.75" customHeight="1">
      <c r="A3365" s="1">
        <v>722490</v>
      </c>
      <c r="B3365" s="1" t="s">
        <v>3391</v>
      </c>
      <c r="C3365" s="1" t="str">
        <f ca="1">IFERROR(__xludf.DUMMYFUNCTION("REGEXEXTRACT(B3365, ""^([^:]+)"")"),"Steel, alloy")</f>
        <v>Steel, alloy</v>
      </c>
      <c r="D3365" s="1" t="s">
        <v>11</v>
      </c>
      <c r="E3365" s="1" t="s">
        <v>11</v>
      </c>
    </row>
    <row r="3366" spans="1:5" ht="15.75" customHeight="1">
      <c r="A3366" s="1">
        <v>722511</v>
      </c>
      <c r="B3366" s="1" t="s">
        <v>3392</v>
      </c>
      <c r="C3366" s="1" t="str">
        <f ca="1">IFERROR(__xludf.DUMMYFUNCTION("REGEXEXTRACT(B3366, ""^([^:]+)"")"),"Steel, alloy")</f>
        <v>Steel, alloy</v>
      </c>
      <c r="D3366" s="1" t="s">
        <v>11</v>
      </c>
      <c r="E3366" s="1" t="s">
        <v>11</v>
      </c>
    </row>
    <row r="3367" spans="1:5" ht="15.75" customHeight="1">
      <c r="A3367" s="1">
        <v>722519</v>
      </c>
      <c r="B3367" s="1" t="s">
        <v>3393</v>
      </c>
      <c r="C3367" s="1" t="str">
        <f ca="1">IFERROR(__xludf.DUMMYFUNCTION("REGEXEXTRACT(B3367, ""^([^:]+)"")"),"Steel, alloy")</f>
        <v>Steel, alloy</v>
      </c>
      <c r="D3367" s="1" t="s">
        <v>11</v>
      </c>
      <c r="E3367" s="1" t="s">
        <v>11</v>
      </c>
    </row>
    <row r="3368" spans="1:5" ht="15.75" customHeight="1">
      <c r="A3368" s="1">
        <v>722530</v>
      </c>
      <c r="B3368" s="1" t="s">
        <v>3394</v>
      </c>
      <c r="C3368" s="1" t="str">
        <f ca="1">IFERROR(__xludf.DUMMYFUNCTION("REGEXEXTRACT(B3368, ""^([^:]+)"")"),"Steel, alloy")</f>
        <v>Steel, alloy</v>
      </c>
      <c r="D3368" s="1" t="s">
        <v>11</v>
      </c>
      <c r="E3368" s="1" t="s">
        <v>11</v>
      </c>
    </row>
    <row r="3369" spans="1:5" ht="15.75" customHeight="1">
      <c r="A3369" s="1">
        <v>722540</v>
      </c>
      <c r="B3369" s="1" t="s">
        <v>3395</v>
      </c>
      <c r="C3369" s="1" t="str">
        <f ca="1">IFERROR(__xludf.DUMMYFUNCTION("REGEXEXTRACT(B3369, ""^([^:]+)"")"),"Steel, alloy")</f>
        <v>Steel, alloy</v>
      </c>
      <c r="D3369" s="1" t="s">
        <v>11</v>
      </c>
      <c r="E3369" s="1" t="s">
        <v>11</v>
      </c>
    </row>
    <row r="3370" spans="1:5" ht="15.75" customHeight="1">
      <c r="A3370" s="1">
        <v>722550</v>
      </c>
      <c r="B3370" s="1" t="s">
        <v>3396</v>
      </c>
      <c r="C3370" s="1" t="str">
        <f ca="1">IFERROR(__xludf.DUMMYFUNCTION("REGEXEXTRACT(B3370, ""^([^:]+)"")"),"Steel, alloy")</f>
        <v>Steel, alloy</v>
      </c>
      <c r="D3370" s="1" t="s">
        <v>11</v>
      </c>
      <c r="E3370" s="1" t="s">
        <v>11</v>
      </c>
    </row>
    <row r="3371" spans="1:5" ht="15.75" customHeight="1">
      <c r="A3371" s="1">
        <v>722591</v>
      </c>
      <c r="B3371" s="1" t="s">
        <v>3397</v>
      </c>
      <c r="C3371" s="1" t="str">
        <f ca="1">IFERROR(__xludf.DUMMYFUNCTION("REGEXEXTRACT(B3371, ""^([^:]+)"")"),"Steel, alloy")</f>
        <v>Steel, alloy</v>
      </c>
      <c r="D3371" s="1" t="s">
        <v>11</v>
      </c>
      <c r="E3371" s="1" t="s">
        <v>11</v>
      </c>
    </row>
    <row r="3372" spans="1:5" ht="15.75" customHeight="1">
      <c r="A3372" s="1">
        <v>722592</v>
      </c>
      <c r="B3372" s="1" t="s">
        <v>3398</v>
      </c>
      <c r="C3372" s="1" t="str">
        <f ca="1">IFERROR(__xludf.DUMMYFUNCTION("REGEXEXTRACT(B3372, ""^([^:]+)"")"),"Steel, alloy")</f>
        <v>Steel, alloy</v>
      </c>
      <c r="D3372" s="1" t="s">
        <v>11</v>
      </c>
      <c r="E3372" s="1" t="s">
        <v>11</v>
      </c>
    </row>
    <row r="3373" spans="1:5" ht="15.75" customHeight="1">
      <c r="A3373" s="1">
        <v>722599</v>
      </c>
      <c r="B3373" s="1" t="s">
        <v>3399</v>
      </c>
      <c r="C3373" s="1" t="str">
        <f ca="1">IFERROR(__xludf.DUMMYFUNCTION("REGEXEXTRACT(B3373, ""^([^:]+)"")"),"Steel, alloy")</f>
        <v>Steel, alloy</v>
      </c>
      <c r="D3373" s="1" t="s">
        <v>11</v>
      </c>
      <c r="E3373" s="1" t="s">
        <v>11</v>
      </c>
    </row>
    <row r="3374" spans="1:5" ht="15.75" customHeight="1">
      <c r="A3374" s="1">
        <v>722611</v>
      </c>
      <c r="B3374" s="1" t="s">
        <v>3400</v>
      </c>
      <c r="C3374" s="1" t="str">
        <f ca="1">IFERROR(__xludf.DUMMYFUNCTION("REGEXEXTRACT(B3374, ""^([^:]+)"")"),"Steel, alloy")</f>
        <v>Steel, alloy</v>
      </c>
      <c r="D3374" s="1" t="s">
        <v>11</v>
      </c>
      <c r="E3374" s="1" t="s">
        <v>11</v>
      </c>
    </row>
    <row r="3375" spans="1:5" ht="15.75" customHeight="1">
      <c r="A3375" s="1">
        <v>722619</v>
      </c>
      <c r="B3375" s="1" t="s">
        <v>3401</v>
      </c>
      <c r="C3375" s="1" t="str">
        <f ca="1">IFERROR(__xludf.DUMMYFUNCTION("REGEXEXTRACT(B3375, ""^([^:]+)"")"),"Steel, alloy")</f>
        <v>Steel, alloy</v>
      </c>
      <c r="D3375" s="1" t="s">
        <v>11</v>
      </c>
      <c r="E3375" s="1" t="s">
        <v>11</v>
      </c>
    </row>
    <row r="3376" spans="1:5" ht="15.75" customHeight="1">
      <c r="A3376" s="1">
        <v>722620</v>
      </c>
      <c r="B3376" s="1" t="s">
        <v>3402</v>
      </c>
      <c r="C3376" s="1" t="str">
        <f ca="1">IFERROR(__xludf.DUMMYFUNCTION("REGEXEXTRACT(B3376, ""^([^:]+)"")"),"Steel, alloy")</f>
        <v>Steel, alloy</v>
      </c>
      <c r="D3376" s="1" t="s">
        <v>11</v>
      </c>
      <c r="E3376" s="1" t="s">
        <v>11</v>
      </c>
    </row>
    <row r="3377" spans="1:5" ht="15.75" customHeight="1">
      <c r="A3377" s="1">
        <v>722691</v>
      </c>
      <c r="B3377" s="1" t="s">
        <v>3403</v>
      </c>
      <c r="C3377" s="1" t="str">
        <f ca="1">IFERROR(__xludf.DUMMYFUNCTION("REGEXEXTRACT(B3377, ""^([^:]+)"")"),"Steel, alloy")</f>
        <v>Steel, alloy</v>
      </c>
      <c r="D3377" s="1" t="s">
        <v>11</v>
      </c>
      <c r="E3377" s="1" t="s">
        <v>11</v>
      </c>
    </row>
    <row r="3378" spans="1:5" ht="15.75" customHeight="1">
      <c r="A3378" s="1">
        <v>722692</v>
      </c>
      <c r="B3378" s="1" t="s">
        <v>3404</v>
      </c>
      <c r="C3378" s="1" t="str">
        <f ca="1">IFERROR(__xludf.DUMMYFUNCTION("REGEXEXTRACT(B3378, ""^([^:]+)"")"),"Steel, alloy")</f>
        <v>Steel, alloy</v>
      </c>
      <c r="D3378" s="1" t="s">
        <v>11</v>
      </c>
      <c r="E3378" s="1" t="s">
        <v>11</v>
      </c>
    </row>
    <row r="3379" spans="1:5" ht="15.75" customHeight="1">
      <c r="A3379" s="1">
        <v>722699</v>
      </c>
      <c r="B3379" s="1" t="s">
        <v>3405</v>
      </c>
      <c r="C3379" s="1" t="str">
        <f ca="1">IFERROR(__xludf.DUMMYFUNCTION("REGEXEXTRACT(B3379, ""^([^:]+)"")"),"Steel, alloy")</f>
        <v>Steel, alloy</v>
      </c>
      <c r="D3379" s="1" t="s">
        <v>11</v>
      </c>
      <c r="E3379" s="1" t="s">
        <v>11</v>
      </c>
    </row>
    <row r="3380" spans="1:5" ht="15.75" customHeight="1">
      <c r="A3380" s="1">
        <v>722710</v>
      </c>
      <c r="B3380" s="1" t="s">
        <v>3406</v>
      </c>
      <c r="C3380" s="1" t="str">
        <f ca="1">IFERROR(__xludf.DUMMYFUNCTION("REGEXEXTRACT(B3380, ""^([^:]+)"")"),"Steel, alloy")</f>
        <v>Steel, alloy</v>
      </c>
      <c r="D3380" s="1" t="s">
        <v>11</v>
      </c>
      <c r="E3380" s="1" t="s">
        <v>11</v>
      </c>
    </row>
    <row r="3381" spans="1:5" ht="15.75" customHeight="1">
      <c r="A3381" s="1">
        <v>722720</v>
      </c>
      <c r="B3381" s="1" t="s">
        <v>3407</v>
      </c>
      <c r="C3381" s="1" t="str">
        <f ca="1">IFERROR(__xludf.DUMMYFUNCTION("REGEXEXTRACT(B3381, ""^([^:]+)"")"),"Steel, alloy")</f>
        <v>Steel, alloy</v>
      </c>
      <c r="D3381" s="1" t="s">
        <v>11</v>
      </c>
      <c r="E3381" s="1" t="s">
        <v>11</v>
      </c>
    </row>
    <row r="3382" spans="1:5" ht="15.75" customHeight="1">
      <c r="A3382" s="1">
        <v>722790</v>
      </c>
      <c r="B3382" s="1" t="s">
        <v>3408</v>
      </c>
      <c r="C3382" s="1" t="str">
        <f ca="1">IFERROR(__xludf.DUMMYFUNCTION("REGEXEXTRACT(B3382, ""^([^:]+)"")"),"Steel, alloy")</f>
        <v>Steel, alloy</v>
      </c>
      <c r="D3382" s="1" t="s">
        <v>11</v>
      </c>
      <c r="E3382" s="1" t="s">
        <v>11</v>
      </c>
    </row>
    <row r="3383" spans="1:5" ht="15.75" customHeight="1">
      <c r="A3383" s="1">
        <v>722810</v>
      </c>
      <c r="B3383" s="1" t="s">
        <v>3409</v>
      </c>
      <c r="C3383" s="1" t="str">
        <f ca="1">IFERROR(__xludf.DUMMYFUNCTION("REGEXEXTRACT(B3383, ""^([^:]+)"")"),"Steel, alloy")</f>
        <v>Steel, alloy</v>
      </c>
      <c r="D3383" s="1" t="s">
        <v>11</v>
      </c>
      <c r="E3383" s="1" t="s">
        <v>11</v>
      </c>
    </row>
    <row r="3384" spans="1:5" ht="15.75" customHeight="1">
      <c r="A3384" s="1">
        <v>722820</v>
      </c>
      <c r="B3384" s="1" t="s">
        <v>3410</v>
      </c>
      <c r="C3384" s="1" t="str">
        <f ca="1">IFERROR(__xludf.DUMMYFUNCTION("REGEXEXTRACT(B3384, ""^([^:]+)"")"),"Steel, alloy")</f>
        <v>Steel, alloy</v>
      </c>
      <c r="D3384" s="1" t="s">
        <v>11</v>
      </c>
      <c r="E3384" s="1" t="s">
        <v>11</v>
      </c>
    </row>
    <row r="3385" spans="1:5" ht="15.75" customHeight="1">
      <c r="A3385" s="1">
        <v>722830</v>
      </c>
      <c r="B3385" s="1" t="s">
        <v>3411</v>
      </c>
      <c r="C3385" s="1" t="str">
        <f ca="1">IFERROR(__xludf.DUMMYFUNCTION("REGEXEXTRACT(B3385, ""^([^:]+)"")"),"Steel, alloy")</f>
        <v>Steel, alloy</v>
      </c>
      <c r="D3385" s="1" t="s">
        <v>11</v>
      </c>
      <c r="E3385" s="1" t="s">
        <v>11</v>
      </c>
    </row>
    <row r="3386" spans="1:5" ht="15.75" customHeight="1">
      <c r="A3386" s="1">
        <v>722840</v>
      </c>
      <c r="B3386" s="1" t="s">
        <v>3412</v>
      </c>
      <c r="C3386" s="1" t="str">
        <f ca="1">IFERROR(__xludf.DUMMYFUNCTION("REGEXEXTRACT(B3386, ""^([^:]+)"")"),"Steel, alloy")</f>
        <v>Steel, alloy</v>
      </c>
      <c r="D3386" s="1" t="s">
        <v>11</v>
      </c>
      <c r="E3386" s="1" t="s">
        <v>11</v>
      </c>
    </row>
    <row r="3387" spans="1:5" ht="15.75" customHeight="1">
      <c r="A3387" s="1">
        <v>722850</v>
      </c>
      <c r="B3387" s="1" t="s">
        <v>3413</v>
      </c>
      <c r="C3387" s="1" t="str">
        <f ca="1">IFERROR(__xludf.DUMMYFUNCTION("REGEXEXTRACT(B3387, ""^([^:]+)"")"),"Steel, alloy")</f>
        <v>Steel, alloy</v>
      </c>
      <c r="D3387" s="1" t="s">
        <v>11</v>
      </c>
      <c r="E3387" s="1" t="s">
        <v>11</v>
      </c>
    </row>
    <row r="3388" spans="1:5" ht="15.75" customHeight="1">
      <c r="A3388" s="1">
        <v>722860</v>
      </c>
      <c r="B3388" s="1" t="s">
        <v>3414</v>
      </c>
      <c r="C3388" s="1" t="str">
        <f ca="1">IFERROR(__xludf.DUMMYFUNCTION("REGEXEXTRACT(B3388, ""^([^:]+)"")"),"Steel, alloy")</f>
        <v>Steel, alloy</v>
      </c>
      <c r="D3388" s="1" t="s">
        <v>11</v>
      </c>
      <c r="E3388" s="1" t="s">
        <v>11</v>
      </c>
    </row>
    <row r="3389" spans="1:5" ht="15.75" customHeight="1">
      <c r="A3389" s="1">
        <v>722870</v>
      </c>
      <c r="B3389" s="1" t="s">
        <v>3415</v>
      </c>
      <c r="C3389" s="1" t="str">
        <f ca="1">IFERROR(__xludf.DUMMYFUNCTION("REGEXEXTRACT(B3389, ""^([^:]+)"")"),"Steel, alloy")</f>
        <v>Steel, alloy</v>
      </c>
      <c r="D3389" s="1" t="s">
        <v>11</v>
      </c>
      <c r="E3389" s="1" t="s">
        <v>11</v>
      </c>
    </row>
    <row r="3390" spans="1:5" ht="15.75" customHeight="1">
      <c r="A3390" s="1">
        <v>722880</v>
      </c>
      <c r="B3390" s="1" t="s">
        <v>3416</v>
      </c>
      <c r="C3390" s="1" t="str">
        <f ca="1">IFERROR(__xludf.DUMMYFUNCTION("REGEXEXTRACT(B3390, ""^([^:]+)"")"),"Steel, alloy or non-alloy")</f>
        <v>Steel, alloy or non-alloy</v>
      </c>
      <c r="D3390" s="1" t="s">
        <v>11</v>
      </c>
      <c r="E3390" s="1" t="s">
        <v>11</v>
      </c>
    </row>
    <row r="3391" spans="1:5" ht="15.75" customHeight="1">
      <c r="A3391" s="1">
        <v>722920</v>
      </c>
      <c r="B3391" s="1" t="s">
        <v>3417</v>
      </c>
      <c r="C3391" s="1" t="str">
        <f ca="1">IFERROR(__xludf.DUMMYFUNCTION("REGEXEXTRACT(B3391, ""^([^:]+)"")"),"Steel, alloy")</f>
        <v>Steel, alloy</v>
      </c>
      <c r="D3391" s="1" t="s">
        <v>11</v>
      </c>
      <c r="E3391" s="1" t="s">
        <v>11</v>
      </c>
    </row>
    <row r="3392" spans="1:5" ht="15.75" customHeight="1">
      <c r="A3392" s="1">
        <v>722990</v>
      </c>
      <c r="B3392" s="1" t="s">
        <v>3418</v>
      </c>
      <c r="C3392" s="1" t="str">
        <f ca="1">IFERROR(__xludf.DUMMYFUNCTION("REGEXEXTRACT(B3392, ""^([^:]+)"")"),"Steel, alloy")</f>
        <v>Steel, alloy</v>
      </c>
      <c r="D3392" s="1" t="s">
        <v>11</v>
      </c>
      <c r="E3392" s="1" t="s">
        <v>11</v>
      </c>
    </row>
    <row r="3393" spans="1:5" ht="15.75" customHeight="1">
      <c r="A3393" s="1">
        <v>730110</v>
      </c>
      <c r="B3393" s="1" t="s">
        <v>3419</v>
      </c>
      <c r="C3393" s="1" t="str">
        <f ca="1">IFERROR(__xludf.DUMMYFUNCTION("REGEXEXTRACT(B3393, ""^([^:]+)"")"),"Iron or steel")</f>
        <v>Iron or steel</v>
      </c>
      <c r="D3393" s="1" t="s">
        <v>11</v>
      </c>
      <c r="E3393" s="1" t="s">
        <v>11</v>
      </c>
    </row>
    <row r="3394" spans="1:5" ht="15.75" customHeight="1">
      <c r="A3394" s="1">
        <v>730120</v>
      </c>
      <c r="B3394" s="1" t="s">
        <v>3420</v>
      </c>
      <c r="C3394" s="1" t="str">
        <f ca="1">IFERROR(__xludf.DUMMYFUNCTION("REGEXEXTRACT(B3394, ""^([^:]+)"")"),"Iron or steel")</f>
        <v>Iron or steel</v>
      </c>
      <c r="D3394" s="1" t="s">
        <v>11</v>
      </c>
      <c r="E3394" s="1" t="s">
        <v>11</v>
      </c>
    </row>
    <row r="3395" spans="1:5" ht="15.75" customHeight="1">
      <c r="A3395" s="1">
        <v>730210</v>
      </c>
      <c r="B3395" s="1" t="s">
        <v>3421</v>
      </c>
      <c r="C3395" s="1" t="str">
        <f ca="1">IFERROR(__xludf.DUMMYFUNCTION("REGEXEXTRACT(B3395, ""^([^:]+)"")"),"Iron or steel, railway or tramway track construction material")</f>
        <v>Iron or steel, railway or tramway track construction material</v>
      </c>
      <c r="D3395" s="1" t="s">
        <v>11</v>
      </c>
      <c r="E3395" s="1" t="s">
        <v>11</v>
      </c>
    </row>
    <row r="3396" spans="1:5" ht="15.75" customHeight="1">
      <c r="A3396" s="1">
        <v>730230</v>
      </c>
      <c r="B3396" s="1" t="s">
        <v>3422</v>
      </c>
      <c r="C3396" s="1" t="str">
        <f ca="1">IFERROR(__xludf.DUMMYFUNCTION("REGEXEXTRACT(B3396, ""^([^:]+)"")"),"Iron or steel, railway or tramway track construction material")</f>
        <v>Iron or steel, railway or tramway track construction material</v>
      </c>
      <c r="D3396" s="1" t="s">
        <v>11</v>
      </c>
      <c r="E3396" s="1" t="s">
        <v>11</v>
      </c>
    </row>
    <row r="3397" spans="1:5" ht="15.75" customHeight="1">
      <c r="A3397" s="1">
        <v>730240</v>
      </c>
      <c r="B3397" s="1" t="s">
        <v>3423</v>
      </c>
      <c r="C3397" s="1" t="str">
        <f ca="1">IFERROR(__xludf.DUMMYFUNCTION("REGEXEXTRACT(B3397, ""^([^:]+)"")"),"Iron or steel, railway or tramway track construction material")</f>
        <v>Iron or steel, railway or tramway track construction material</v>
      </c>
      <c r="D3397" s="1" t="s">
        <v>11</v>
      </c>
      <c r="E3397" s="1" t="s">
        <v>11</v>
      </c>
    </row>
    <row r="3398" spans="1:5" ht="15.75" customHeight="1">
      <c r="A3398" s="1">
        <v>730290</v>
      </c>
      <c r="B3398" s="1" t="s">
        <v>3424</v>
      </c>
      <c r="C3398" s="1" t="str">
        <f ca="1">IFERROR(__xludf.DUMMYFUNCTION("REGEXEXTRACT(B3398, ""^([^:]+)"")"),"Iron or steel, railway or tramway track construction material")</f>
        <v>Iron or steel, railway or tramway track construction material</v>
      </c>
      <c r="D3398" s="1" t="s">
        <v>11</v>
      </c>
      <c r="E3398" s="1" t="s">
        <v>11</v>
      </c>
    </row>
    <row r="3399" spans="1:5" ht="15.75" customHeight="1">
      <c r="A3399" s="1">
        <v>730300</v>
      </c>
      <c r="B3399" s="1" t="s">
        <v>3425</v>
      </c>
      <c r="C3399" s="1" t="str">
        <f ca="1">IFERROR(__xludf.DUMMYFUNCTION("REGEXEXTRACT(B3399, ""^([^:]+)"")"),"Cast iron")</f>
        <v>Cast iron</v>
      </c>
      <c r="D3399" s="1" t="s">
        <v>11</v>
      </c>
      <c r="E3399" s="1" t="s">
        <v>11</v>
      </c>
    </row>
    <row r="3400" spans="1:5" ht="15.75" customHeight="1">
      <c r="A3400" s="1">
        <v>730411</v>
      </c>
      <c r="B3400" s="1" t="s">
        <v>3426</v>
      </c>
      <c r="C3400" s="1" t="str">
        <f ca="1">IFERROR(__xludf.DUMMYFUNCTION("REGEXEXTRACT(B3400, ""^([^:]+)"")"),"Iron or steel (excluding cast iron)")</f>
        <v>Iron or steel (excluding cast iron)</v>
      </c>
      <c r="D3400" s="1" t="s">
        <v>11</v>
      </c>
      <c r="E3400" s="1" t="s">
        <v>11</v>
      </c>
    </row>
    <row r="3401" spans="1:5" ht="15.75" customHeight="1">
      <c r="A3401" s="1">
        <v>730419</v>
      </c>
      <c r="B3401" s="1" t="s">
        <v>3427</v>
      </c>
      <c r="C3401" s="1" t="str">
        <f ca="1">IFERROR(__xludf.DUMMYFUNCTION("REGEXEXTRACT(B3401, ""^([^:]+)"")"),"Iron or steel (excluding cast iron or stainless steel)")</f>
        <v>Iron or steel (excluding cast iron or stainless steel)</v>
      </c>
      <c r="D3401" s="1" t="s">
        <v>11</v>
      </c>
      <c r="E3401" s="1" t="s">
        <v>11</v>
      </c>
    </row>
    <row r="3402" spans="1:5" ht="15.75" customHeight="1">
      <c r="A3402" s="1">
        <v>730422</v>
      </c>
      <c r="B3402" s="1" t="s">
        <v>3428</v>
      </c>
      <c r="C3402" s="1" t="str">
        <f ca="1">IFERROR(__xludf.DUMMYFUNCTION("REGEXEXTRACT(B3402, ""^([^:]+)"")"),"Steel, stainless")</f>
        <v>Steel, stainless</v>
      </c>
      <c r="D3402" s="1" t="s">
        <v>11</v>
      </c>
      <c r="E3402" s="1" t="s">
        <v>11</v>
      </c>
    </row>
    <row r="3403" spans="1:5" ht="15.75" customHeight="1">
      <c r="A3403" s="1">
        <v>730423</v>
      </c>
      <c r="B3403" s="1" t="s">
        <v>3429</v>
      </c>
      <c r="C3403" s="1" t="str">
        <f ca="1">IFERROR(__xludf.DUMMYFUNCTION("REGEXEXTRACT(B3403, ""^([^:]+)"")"),"Iron or steel (excluding cast iron or stainless steel)")</f>
        <v>Iron or steel (excluding cast iron or stainless steel)</v>
      </c>
      <c r="D3403" s="1" t="s">
        <v>11</v>
      </c>
      <c r="E3403" s="1" t="s">
        <v>11</v>
      </c>
    </row>
    <row r="3404" spans="1:5" ht="15.75" customHeight="1">
      <c r="A3404" s="1">
        <v>730424</v>
      </c>
      <c r="B3404" s="1" t="s">
        <v>3430</v>
      </c>
      <c r="C3404" s="1" t="str">
        <f ca="1">IFERROR(__xludf.DUMMYFUNCTION("REGEXEXTRACT(B3404, ""^([^:]+)"")"),"Steel, stainless")</f>
        <v>Steel, stainless</v>
      </c>
      <c r="D3404" s="1" t="s">
        <v>11</v>
      </c>
      <c r="E3404" s="1" t="s">
        <v>11</v>
      </c>
    </row>
    <row r="3405" spans="1:5" ht="15.75" customHeight="1">
      <c r="A3405" s="1">
        <v>730429</v>
      </c>
      <c r="B3405" s="1" t="s">
        <v>3431</v>
      </c>
      <c r="C3405" s="1" t="str">
        <f ca="1">IFERROR(__xludf.DUMMYFUNCTION("REGEXEXTRACT(B3405, ""^([^:]+)"")"),"Iron or steel (excluding cast iron or stainless steel)")</f>
        <v>Iron or steel (excluding cast iron or stainless steel)</v>
      </c>
      <c r="D3405" s="1" t="s">
        <v>11</v>
      </c>
      <c r="E3405" s="1" t="s">
        <v>11</v>
      </c>
    </row>
    <row r="3406" spans="1:5" ht="15.75" customHeight="1">
      <c r="A3406" s="1">
        <v>730431</v>
      </c>
      <c r="B3406" s="1" t="s">
        <v>3432</v>
      </c>
      <c r="C3406" s="1" t="str">
        <f ca="1">IFERROR(__xludf.DUMMYFUNCTION("REGEXEXTRACT(B3406, ""^([^:]+)"")"),"Iron or non-alloy steel (excluding cast iron)")</f>
        <v>Iron or non-alloy steel (excluding cast iron)</v>
      </c>
      <c r="D3406" s="1" t="s">
        <v>11</v>
      </c>
      <c r="E3406" s="1" t="s">
        <v>11</v>
      </c>
    </row>
    <row r="3407" spans="1:5" ht="15.75" customHeight="1">
      <c r="A3407" s="1">
        <v>730439</v>
      </c>
      <c r="B3407" s="1" t="s">
        <v>3433</v>
      </c>
      <c r="C3407" s="1" t="str">
        <f ca="1">IFERROR(__xludf.DUMMYFUNCTION("REGEXEXTRACT(B3407, ""^([^:]+)"")"),"Iron or non-alloy steel (excluding cast iron)")</f>
        <v>Iron or non-alloy steel (excluding cast iron)</v>
      </c>
      <c r="D3407" s="1" t="s">
        <v>11</v>
      </c>
      <c r="E3407" s="1" t="s">
        <v>11</v>
      </c>
    </row>
    <row r="3408" spans="1:5" ht="15.75" customHeight="1">
      <c r="A3408" s="1">
        <v>730441</v>
      </c>
      <c r="B3408" s="1" t="s">
        <v>3434</v>
      </c>
      <c r="C3408" s="1" t="str">
        <f ca="1">IFERROR(__xludf.DUMMYFUNCTION("REGEXEXTRACT(B3408, ""^([^:]+)"")"),"Steel, stainless")</f>
        <v>Steel, stainless</v>
      </c>
      <c r="D3408" s="1" t="s">
        <v>11</v>
      </c>
      <c r="E3408" s="1" t="s">
        <v>11</v>
      </c>
    </row>
    <row r="3409" spans="1:5" ht="15.75" customHeight="1">
      <c r="A3409" s="1">
        <v>730449</v>
      </c>
      <c r="B3409" s="1" t="s">
        <v>3435</v>
      </c>
      <c r="C3409" s="1" t="str">
        <f ca="1">IFERROR(__xludf.DUMMYFUNCTION("REGEXEXTRACT(B3409, ""^([^:]+)"")"),"Steel, stainless")</f>
        <v>Steel, stainless</v>
      </c>
      <c r="D3409" s="1" t="s">
        <v>11</v>
      </c>
      <c r="E3409" s="1" t="s">
        <v>11</v>
      </c>
    </row>
    <row r="3410" spans="1:5" ht="15.75" customHeight="1">
      <c r="A3410" s="1">
        <v>730451</v>
      </c>
      <c r="B3410" s="1" t="s">
        <v>3436</v>
      </c>
      <c r="C3410" s="1" t="str">
        <f ca="1">IFERROR(__xludf.DUMMYFUNCTION("REGEXEXTRACT(B3410, ""^([^:]+)"")"),"Steel, alloy (not stainless steel)")</f>
        <v>Steel, alloy (not stainless steel)</v>
      </c>
      <c r="D3410" s="1" t="s">
        <v>11</v>
      </c>
      <c r="E3410" s="1" t="s">
        <v>11</v>
      </c>
    </row>
    <row r="3411" spans="1:5" ht="15.75" customHeight="1">
      <c r="A3411" s="1">
        <v>730459</v>
      </c>
      <c r="B3411" s="1" t="s">
        <v>3437</v>
      </c>
      <c r="C3411" s="1" t="str">
        <f ca="1">IFERROR(__xludf.DUMMYFUNCTION("REGEXEXTRACT(B3411, ""^([^:]+)"")"),"Steel, alloy (not stainless steel)")</f>
        <v>Steel, alloy (not stainless steel)</v>
      </c>
      <c r="D3411" s="1" t="s">
        <v>11</v>
      </c>
      <c r="E3411" s="1" t="s">
        <v>11</v>
      </c>
    </row>
    <row r="3412" spans="1:5" ht="15.75" customHeight="1">
      <c r="A3412" s="1">
        <v>730490</v>
      </c>
      <c r="B3412" s="1" t="s">
        <v>3438</v>
      </c>
      <c r="C3412" s="1" t="str">
        <f ca="1">IFERROR(__xludf.DUMMYFUNCTION("REGEXEXTRACT(B3412, ""^([^:]+)"")"),"Iron or steel (excluding cast iron)")</f>
        <v>Iron or steel (excluding cast iron)</v>
      </c>
      <c r="D3412" s="1" t="s">
        <v>11</v>
      </c>
      <c r="E3412" s="1" t="s">
        <v>11</v>
      </c>
    </row>
    <row r="3413" spans="1:5" ht="15.75" customHeight="1">
      <c r="A3413" s="1">
        <v>730511</v>
      </c>
      <c r="B3413" s="1" t="s">
        <v>3439</v>
      </c>
      <c r="C3413" s="1" t="str">
        <f ca="1">IFERROR(__xludf.DUMMYFUNCTION("REGEXEXTRACT(B3413, ""^([^:]+)"")"),"Iron or steel (excluding cast iron)")</f>
        <v>Iron or steel (excluding cast iron)</v>
      </c>
      <c r="D3413" s="1" t="s">
        <v>11</v>
      </c>
      <c r="E3413" s="1" t="s">
        <v>11</v>
      </c>
    </row>
    <row r="3414" spans="1:5" ht="15.75" customHeight="1">
      <c r="A3414" s="1">
        <v>730512</v>
      </c>
      <c r="B3414" s="1" t="s">
        <v>3440</v>
      </c>
      <c r="C3414" s="1" t="str">
        <f ca="1">IFERROR(__xludf.DUMMYFUNCTION("REGEXEXTRACT(B3414, ""^([^:]+)"")"),"Iron or steel (excluding cast iron)")</f>
        <v>Iron or steel (excluding cast iron)</v>
      </c>
      <c r="D3414" s="1" t="s">
        <v>11</v>
      </c>
      <c r="E3414" s="1" t="s">
        <v>11</v>
      </c>
    </row>
    <row r="3415" spans="1:5" ht="15.75" customHeight="1">
      <c r="A3415" s="1">
        <v>730519</v>
      </c>
      <c r="B3415" s="1" t="s">
        <v>3441</v>
      </c>
      <c r="C3415" s="1" t="str">
        <f ca="1">IFERROR(__xludf.DUMMYFUNCTION("REGEXEXTRACT(B3415, ""^([^:]+)"")"),"Iron or steel (excluding cast iron)")</f>
        <v>Iron or steel (excluding cast iron)</v>
      </c>
      <c r="D3415" s="1" t="s">
        <v>11</v>
      </c>
      <c r="E3415" s="1" t="s">
        <v>11</v>
      </c>
    </row>
    <row r="3416" spans="1:5" ht="15.75" customHeight="1">
      <c r="A3416" s="1">
        <v>730520</v>
      </c>
      <c r="B3416" s="1" t="s">
        <v>3442</v>
      </c>
      <c r="C3416" s="1" t="str">
        <f ca="1">IFERROR(__xludf.DUMMYFUNCTION("REGEXEXTRACT(B3416, ""^([^:]+)"")"),"Iron or steel (excluding cast iron)")</f>
        <v>Iron or steel (excluding cast iron)</v>
      </c>
      <c r="D3416" s="1" t="s">
        <v>11</v>
      </c>
      <c r="E3416" s="1" t="s">
        <v>11</v>
      </c>
    </row>
    <row r="3417" spans="1:5" ht="15.75" customHeight="1">
      <c r="A3417" s="1">
        <v>730531</v>
      </c>
      <c r="B3417" s="1" t="s">
        <v>3443</v>
      </c>
      <c r="C3417" s="1" t="str">
        <f ca="1">IFERROR(__xludf.DUMMYFUNCTION("REGEXEXTRACT(B3417, ""^([^:]+)"")"),"Iron or steel (excluding cast iron)")</f>
        <v>Iron or steel (excluding cast iron)</v>
      </c>
      <c r="D3417" s="1" t="s">
        <v>11</v>
      </c>
      <c r="E3417" s="1" t="s">
        <v>11</v>
      </c>
    </row>
    <row r="3418" spans="1:5" ht="15.75" customHeight="1">
      <c r="A3418" s="1">
        <v>730539</v>
      </c>
      <c r="B3418" s="1" t="s">
        <v>3444</v>
      </c>
      <c r="C3418" s="1" t="str">
        <f ca="1">IFERROR(__xludf.DUMMYFUNCTION("REGEXEXTRACT(B3418, ""^([^:]+)"")"),"Iron or steel (excluding cast iron)")</f>
        <v>Iron or steel (excluding cast iron)</v>
      </c>
      <c r="D3418" s="1" t="s">
        <v>11</v>
      </c>
      <c r="E3418" s="1" t="s">
        <v>11</v>
      </c>
    </row>
    <row r="3419" spans="1:5" ht="15.75" customHeight="1">
      <c r="A3419" s="1">
        <v>730590</v>
      </c>
      <c r="B3419" s="1" t="s">
        <v>3445</v>
      </c>
      <c r="C3419" s="1" t="str">
        <f ca="1">IFERROR(__xludf.DUMMYFUNCTION("REGEXEXTRACT(B3419, ""^([^:]+)"")"),"Iron or steel (excluding cast iron)")</f>
        <v>Iron or steel (excluding cast iron)</v>
      </c>
      <c r="D3419" s="1" t="s">
        <v>11</v>
      </c>
      <c r="E3419" s="1" t="s">
        <v>11</v>
      </c>
    </row>
    <row r="3420" spans="1:5" ht="15.75" customHeight="1">
      <c r="A3420" s="1">
        <v>730611</v>
      </c>
      <c r="B3420" s="1" t="s">
        <v>3446</v>
      </c>
      <c r="C3420" s="1" t="str">
        <f ca="1">IFERROR(__xludf.DUMMYFUNCTION("REGEXEXTRACT(B3420, ""^([^:]+)"")"),"Steel")</f>
        <v>Steel</v>
      </c>
      <c r="D3420" s="1" t="s">
        <v>11</v>
      </c>
      <c r="E3420" s="1" t="s">
        <v>11</v>
      </c>
    </row>
    <row r="3421" spans="1:5" ht="15.75" customHeight="1">
      <c r="A3421" s="1">
        <v>730619</v>
      </c>
      <c r="B3421" s="1" t="s">
        <v>3447</v>
      </c>
      <c r="C3421" s="1" t="str">
        <f ca="1">IFERROR(__xludf.DUMMYFUNCTION("REGEXEXTRACT(B3421, ""^([^:]+)"")"),"Iron or steel (excluding cast iron)")</f>
        <v>Iron or steel (excluding cast iron)</v>
      </c>
      <c r="D3421" s="1" t="s">
        <v>11</v>
      </c>
      <c r="E3421" s="1" t="s">
        <v>11</v>
      </c>
    </row>
    <row r="3422" spans="1:5" ht="15.75" customHeight="1">
      <c r="A3422" s="1">
        <v>730621</v>
      </c>
      <c r="B3422" s="1" t="s">
        <v>3448</v>
      </c>
      <c r="C3422" s="1" t="str">
        <f ca="1">IFERROR(__xludf.DUMMYFUNCTION("REGEXEXTRACT(B3422, ""^([^:]+)"")"),"Steel, stainless")</f>
        <v>Steel, stainless</v>
      </c>
      <c r="D3422" s="1" t="s">
        <v>11</v>
      </c>
      <c r="E3422" s="1" t="s">
        <v>11</v>
      </c>
    </row>
    <row r="3423" spans="1:5" ht="15.75" customHeight="1">
      <c r="A3423" s="1">
        <v>730629</v>
      </c>
      <c r="B3423" s="1" t="s">
        <v>3449</v>
      </c>
      <c r="C3423" s="1" t="str">
        <f ca="1">IFERROR(__xludf.DUMMYFUNCTION("REGEXEXTRACT(B3423, ""^([^:]+)"")"),"Iron or steel (excluding cast iron)")</f>
        <v>Iron or steel (excluding cast iron)</v>
      </c>
      <c r="D3423" s="1" t="s">
        <v>11</v>
      </c>
      <c r="E3423" s="1" t="s">
        <v>11</v>
      </c>
    </row>
    <row r="3424" spans="1:5" ht="15.75" customHeight="1">
      <c r="A3424" s="1">
        <v>730630</v>
      </c>
      <c r="B3424" s="1" t="s">
        <v>3450</v>
      </c>
      <c r="C3424" s="1" t="str">
        <f ca="1">IFERROR(__xludf.DUMMYFUNCTION("REGEXEXTRACT(B3424, ""^([^:]+)"")"),"Iron or non-alloy steel (excluding cast iron)")</f>
        <v>Iron or non-alloy steel (excluding cast iron)</v>
      </c>
      <c r="D3424" s="1" t="s">
        <v>11</v>
      </c>
      <c r="E3424" s="1" t="s">
        <v>11</v>
      </c>
    </row>
    <row r="3425" spans="1:5" ht="15.75" customHeight="1">
      <c r="A3425" s="1">
        <v>730640</v>
      </c>
      <c r="B3425" s="1" t="s">
        <v>3451</v>
      </c>
      <c r="C3425" s="1" t="str">
        <f ca="1">IFERROR(__xludf.DUMMYFUNCTION("REGEXEXTRACT(B3425, ""^([^:]+)"")"),"Steel, stainless")</f>
        <v>Steel, stainless</v>
      </c>
      <c r="D3425" s="1" t="s">
        <v>11</v>
      </c>
      <c r="E3425" s="1" t="s">
        <v>11</v>
      </c>
    </row>
    <row r="3426" spans="1:5" ht="15.75" customHeight="1">
      <c r="A3426" s="1">
        <v>730650</v>
      </c>
      <c r="B3426" s="1" t="s">
        <v>3452</v>
      </c>
      <c r="C3426" s="1" t="str">
        <f ca="1">IFERROR(__xludf.DUMMYFUNCTION("REGEXEXTRACT(B3426, ""^([^:]+)"")"),"Steel, alloy")</f>
        <v>Steel, alloy</v>
      </c>
      <c r="D3426" s="1" t="s">
        <v>11</v>
      </c>
      <c r="E3426" s="1" t="s">
        <v>11</v>
      </c>
    </row>
    <row r="3427" spans="1:5" ht="15.75" customHeight="1">
      <c r="A3427" s="1">
        <v>730661</v>
      </c>
      <c r="B3427" s="1" t="s">
        <v>3453</v>
      </c>
      <c r="C3427" s="1" t="str">
        <f ca="1">IFERROR(__xludf.DUMMYFUNCTION("REGEXEXTRACT(B3427, ""^([^:]+)"")"),"Iron or steel (excluding cast iron)")</f>
        <v>Iron or steel (excluding cast iron)</v>
      </c>
      <c r="D3427" s="1" t="s">
        <v>11</v>
      </c>
      <c r="E3427" s="1" t="s">
        <v>11</v>
      </c>
    </row>
    <row r="3428" spans="1:5" ht="15.75" customHeight="1">
      <c r="A3428" s="1">
        <v>730669</v>
      </c>
      <c r="B3428" s="1" t="s">
        <v>3454</v>
      </c>
      <c r="C3428" s="1" t="str">
        <f ca="1">IFERROR(__xludf.DUMMYFUNCTION("REGEXEXTRACT(B3428, ""^([^:]+)"")"),"Iron or steel (excluding cast iron)")</f>
        <v>Iron or steel (excluding cast iron)</v>
      </c>
      <c r="D3428" s="1" t="s">
        <v>11</v>
      </c>
      <c r="E3428" s="1" t="s">
        <v>11</v>
      </c>
    </row>
    <row r="3429" spans="1:5" ht="15.75" customHeight="1">
      <c r="A3429" s="1">
        <v>730690</v>
      </c>
      <c r="B3429" s="1" t="s">
        <v>3455</v>
      </c>
      <c r="C3429" s="1" t="str">
        <f ca="1">IFERROR(__xludf.DUMMYFUNCTION("REGEXEXTRACT(B3429, ""^([^:]+)"")"),"Iron or steel (excluding cast iron)")</f>
        <v>Iron or steel (excluding cast iron)</v>
      </c>
      <c r="D3429" s="1" t="s">
        <v>11</v>
      </c>
      <c r="E3429" s="1" t="s">
        <v>11</v>
      </c>
    </row>
    <row r="3430" spans="1:5" ht="15.75" customHeight="1">
      <c r="A3430" s="1">
        <v>730711</v>
      </c>
      <c r="B3430" s="1" t="s">
        <v>3456</v>
      </c>
      <c r="C3430" s="1" t="str">
        <f ca="1">IFERROR(__xludf.DUMMYFUNCTION("REGEXEXTRACT(B3430, ""^([^:]+)"")"),"Cast iron")</f>
        <v>Cast iron</v>
      </c>
      <c r="D3430" s="1" t="s">
        <v>11</v>
      </c>
      <c r="E3430" s="1" t="s">
        <v>11</v>
      </c>
    </row>
    <row r="3431" spans="1:5" ht="15.75" customHeight="1">
      <c r="A3431" s="1">
        <v>730719</v>
      </c>
      <c r="B3431" s="1" t="s">
        <v>3457</v>
      </c>
      <c r="C3431" s="1" t="str">
        <f ca="1">IFERROR(__xludf.DUMMYFUNCTION("REGEXEXTRACT(B3431, ""^([^:]+)"")"),"Iron or steel")</f>
        <v>Iron or steel</v>
      </c>
      <c r="D3431" s="1" t="s">
        <v>11</v>
      </c>
      <c r="E3431" s="1" t="s">
        <v>11</v>
      </c>
    </row>
    <row r="3432" spans="1:5" ht="15.75" customHeight="1">
      <c r="A3432" s="1">
        <v>730721</v>
      </c>
      <c r="B3432" s="1" t="s">
        <v>3458</v>
      </c>
      <c r="C3432" s="1" t="str">
        <f ca="1">IFERROR(__xludf.DUMMYFUNCTION("REGEXEXTRACT(B3432, ""^([^:]+)"")"),"Steel, stainless")</f>
        <v>Steel, stainless</v>
      </c>
      <c r="D3432" s="1" t="s">
        <v>11</v>
      </c>
      <c r="E3432" s="1" t="s">
        <v>11</v>
      </c>
    </row>
    <row r="3433" spans="1:5" ht="15.75" customHeight="1">
      <c r="A3433" s="1">
        <v>730722</v>
      </c>
      <c r="B3433" s="1" t="s">
        <v>3459</v>
      </c>
      <c r="C3433" s="1" t="str">
        <f ca="1">IFERROR(__xludf.DUMMYFUNCTION("REGEXEXTRACT(B3433, ""^([^:]+)"")"),"Steel, stainless")</f>
        <v>Steel, stainless</v>
      </c>
      <c r="D3433" s="1" t="s">
        <v>11</v>
      </c>
      <c r="E3433" s="1" t="s">
        <v>11</v>
      </c>
    </row>
    <row r="3434" spans="1:5" ht="15.75" customHeight="1">
      <c r="A3434" s="1">
        <v>730723</v>
      </c>
      <c r="B3434" s="1" t="s">
        <v>3460</v>
      </c>
      <c r="C3434" s="1" t="str">
        <f ca="1">IFERROR(__xludf.DUMMYFUNCTION("REGEXEXTRACT(B3434, ""^([^:]+)"")"),"Steel, stainless")</f>
        <v>Steel, stainless</v>
      </c>
      <c r="D3434" s="1" t="s">
        <v>11</v>
      </c>
      <c r="E3434" s="1" t="s">
        <v>11</v>
      </c>
    </row>
    <row r="3435" spans="1:5" ht="15.75" customHeight="1">
      <c r="A3435" s="1">
        <v>730729</v>
      </c>
      <c r="B3435" s="1" t="s">
        <v>3461</v>
      </c>
      <c r="C3435" s="1" t="str">
        <f ca="1">IFERROR(__xludf.DUMMYFUNCTION("REGEXEXTRACT(B3435, ""^([^:]+)"")"),"Steel, stainless")</f>
        <v>Steel, stainless</v>
      </c>
      <c r="D3435" s="1" t="s">
        <v>11</v>
      </c>
      <c r="E3435" s="1" t="s">
        <v>11</v>
      </c>
    </row>
    <row r="3436" spans="1:5" ht="15.75" customHeight="1">
      <c r="A3436" s="1">
        <v>730791</v>
      </c>
      <c r="B3436" s="1" t="s">
        <v>3462</v>
      </c>
      <c r="C3436" s="1" t="str">
        <f ca="1">IFERROR(__xludf.DUMMYFUNCTION("REGEXEXTRACT(B3436, ""^([^:]+)"")"),"Iron or steel")</f>
        <v>Iron or steel</v>
      </c>
      <c r="D3436" s="1" t="s">
        <v>11</v>
      </c>
      <c r="E3436" s="1" t="s">
        <v>11</v>
      </c>
    </row>
    <row r="3437" spans="1:5" ht="15.75" customHeight="1">
      <c r="A3437" s="1">
        <v>730792</v>
      </c>
      <c r="B3437" s="1" t="s">
        <v>3463</v>
      </c>
      <c r="C3437" s="1" t="str">
        <f ca="1">IFERROR(__xludf.DUMMYFUNCTION("REGEXEXTRACT(B3437, ""^([^:]+)"")"),"Iron or steel")</f>
        <v>Iron or steel</v>
      </c>
      <c r="D3437" s="1" t="s">
        <v>11</v>
      </c>
      <c r="E3437" s="1" t="s">
        <v>11</v>
      </c>
    </row>
    <row r="3438" spans="1:5" ht="15.75" customHeight="1">
      <c r="A3438" s="1">
        <v>730793</v>
      </c>
      <c r="B3438" s="1" t="s">
        <v>3464</v>
      </c>
      <c r="C3438" s="1" t="str">
        <f ca="1">IFERROR(__xludf.DUMMYFUNCTION("REGEXEXTRACT(B3438, ""^([^:]+)"")"),"Iron or steel")</f>
        <v>Iron or steel</v>
      </c>
      <c r="D3438" s="1" t="s">
        <v>11</v>
      </c>
      <c r="E3438" s="1" t="s">
        <v>11</v>
      </c>
    </row>
    <row r="3439" spans="1:5" ht="15.75" customHeight="1">
      <c r="A3439" s="1">
        <v>730799</v>
      </c>
      <c r="B3439" s="1" t="s">
        <v>3465</v>
      </c>
      <c r="C3439" s="1" t="str">
        <f ca="1">IFERROR(__xludf.DUMMYFUNCTION("REGEXEXTRACT(B3439, ""^([^:]+)"")"),"Iron or steel")</f>
        <v>Iron or steel</v>
      </c>
      <c r="D3439" s="1" t="s">
        <v>11</v>
      </c>
      <c r="E3439" s="1" t="s">
        <v>11</v>
      </c>
    </row>
    <row r="3440" spans="1:5" ht="15.75" customHeight="1">
      <c r="A3440" s="1">
        <v>730810</v>
      </c>
      <c r="B3440" s="1" t="s">
        <v>3466</v>
      </c>
      <c r="C3440" s="1" t="str">
        <f ca="1">IFERROR(__xludf.DUMMYFUNCTION("REGEXEXTRACT(B3440, ""^([^:]+)"")"),"Iron or steel")</f>
        <v>Iron or steel</v>
      </c>
      <c r="D3440" s="1" t="s">
        <v>11</v>
      </c>
      <c r="E3440" s="1" t="s">
        <v>11</v>
      </c>
    </row>
    <row r="3441" spans="1:5" ht="15.75" customHeight="1">
      <c r="A3441" s="1">
        <v>730820</v>
      </c>
      <c r="B3441" s="1" t="s">
        <v>3467</v>
      </c>
      <c r="C3441" s="1" t="str">
        <f ca="1">IFERROR(__xludf.DUMMYFUNCTION("REGEXEXTRACT(B3441, ""^([^:]+)"")"),"Iron or steel")</f>
        <v>Iron or steel</v>
      </c>
      <c r="D3441" s="1" t="s">
        <v>11</v>
      </c>
      <c r="E3441" s="1" t="s">
        <v>11</v>
      </c>
    </row>
    <row r="3442" spans="1:5" ht="15.75" customHeight="1">
      <c r="A3442" s="1">
        <v>730830</v>
      </c>
      <c r="B3442" s="1" t="s">
        <v>3468</v>
      </c>
      <c r="C3442" s="1" t="str">
        <f ca="1">IFERROR(__xludf.DUMMYFUNCTION("REGEXEXTRACT(B3442, ""^([^:]+)"")"),"Iron or steel")</f>
        <v>Iron or steel</v>
      </c>
      <c r="D3442" s="1" t="s">
        <v>11</v>
      </c>
      <c r="E3442" s="1" t="s">
        <v>11</v>
      </c>
    </row>
    <row r="3443" spans="1:5" ht="15.75" customHeight="1">
      <c r="A3443" s="1">
        <v>730840</v>
      </c>
      <c r="B3443" s="1" t="s">
        <v>3469</v>
      </c>
      <c r="C3443" s="1" t="str">
        <f ca="1">IFERROR(__xludf.DUMMYFUNCTION("REGEXEXTRACT(B3443, ""^([^:]+)"")"),"Iron or steel")</f>
        <v>Iron or steel</v>
      </c>
      <c r="D3443" s="1" t="s">
        <v>11</v>
      </c>
      <c r="E3443" s="1" t="s">
        <v>11</v>
      </c>
    </row>
    <row r="3444" spans="1:5" ht="15.75" customHeight="1">
      <c r="A3444" s="1">
        <v>730890</v>
      </c>
      <c r="B3444" s="1" t="s">
        <v>3470</v>
      </c>
      <c r="C3444" s="1" t="str">
        <f ca="1">IFERROR(__xludf.DUMMYFUNCTION("REGEXEXTRACT(B3444, ""^([^:]+)"")"),"Iron or steel")</f>
        <v>Iron or steel</v>
      </c>
      <c r="D3444" s="1" t="s">
        <v>11</v>
      </c>
      <c r="E3444" s="1" t="s">
        <v>11</v>
      </c>
    </row>
    <row r="3445" spans="1:5" ht="15.75" customHeight="1">
      <c r="A3445" s="1">
        <v>730900</v>
      </c>
      <c r="B3445" s="1" t="s">
        <v>3471</v>
      </c>
      <c r="C3445" s="1" t="str">
        <f ca="1">IFERROR(__xludf.DUMMYFUNCTION("REGEXEXTRACT(B3445, ""^([^:]+)"")"),"Reservoirs, tanks, vats and similar containers")</f>
        <v>Reservoirs, tanks, vats and similar containers</v>
      </c>
      <c r="D3445" s="1" t="s">
        <v>11</v>
      </c>
      <c r="E3445" s="1" t="s">
        <v>11</v>
      </c>
    </row>
    <row r="3446" spans="1:5" ht="15.75" customHeight="1">
      <c r="A3446" s="1">
        <v>731010</v>
      </c>
      <c r="B3446" s="1" t="s">
        <v>3472</v>
      </c>
      <c r="C3446" s="1" t="str">
        <f ca="1">IFERROR(__xludf.DUMMYFUNCTION("REGEXEXTRACT(B3446, ""^([^:]+)"")"),"Tanks, casks, drums, cans, boxes and similar containers, for any material (excluding compressed or liquefied gas), 50l or more capacity but not exceeding 300l")</f>
        <v>Tanks, casks, drums, cans, boxes and similar containers, for any material (excluding compressed or liquefied gas), 50l or more capacity but not exceeding 300l</v>
      </c>
      <c r="D3446" s="1" t="s">
        <v>11</v>
      </c>
      <c r="E3446" s="1" t="s">
        <v>11</v>
      </c>
    </row>
    <row r="3447" spans="1:5" ht="15.75" customHeight="1">
      <c r="A3447" s="1">
        <v>731021</v>
      </c>
      <c r="B3447" s="1" t="s">
        <v>3473</v>
      </c>
      <c r="C3447" s="1" t="str">
        <f ca="1">IFERROR(__xludf.DUMMYFUNCTION("REGEXEXTRACT(B3447, ""^([^:]+)"")"),"Cans")</f>
        <v>Cans</v>
      </c>
      <c r="D3447" s="1" t="s">
        <v>11</v>
      </c>
      <c r="E3447" s="1" t="s">
        <v>11</v>
      </c>
    </row>
    <row r="3448" spans="1:5" ht="15.75" customHeight="1">
      <c r="A3448" s="1">
        <v>731029</v>
      </c>
      <c r="B3448" s="1" t="s">
        <v>3474</v>
      </c>
      <c r="C3448" s="1" t="str">
        <f ca="1">IFERROR(__xludf.DUMMYFUNCTION("REGEXEXTRACT(B3448, ""^([^:]+)"")"),"Tanks, casks, drums, boxes and similar containers for any material (excluding compressed or liquefied gas) less than 50l capacity, n.e.c. in item no. 7310.2, of iron or steel")</f>
        <v>Tanks, casks, drums, boxes and similar containers for any material (excluding compressed or liquefied gas) less than 50l capacity, n.e.c. in item no. 7310.2, of iron or steel</v>
      </c>
      <c r="D3448" s="1" t="s">
        <v>11</v>
      </c>
      <c r="E3448" s="1" t="s">
        <v>11</v>
      </c>
    </row>
    <row r="3449" spans="1:5" ht="15.75" customHeight="1">
      <c r="A3449" s="1">
        <v>731100</v>
      </c>
      <c r="B3449" s="1" t="s">
        <v>3475</v>
      </c>
      <c r="C3449" s="1" t="str">
        <f ca="1">IFERROR(__xludf.DUMMYFUNCTION("REGEXEXTRACT(B3449, ""^([^:]+)"")"),"Containers for compressed or liquefied gas, of iron or steel")</f>
        <v>Containers for compressed or liquefied gas, of iron or steel</v>
      </c>
      <c r="D3449" s="1" t="s">
        <v>11</v>
      </c>
      <c r="E3449" s="1" t="s">
        <v>11</v>
      </c>
    </row>
    <row r="3450" spans="1:5" ht="15.75" customHeight="1">
      <c r="A3450" s="1">
        <v>731210</v>
      </c>
      <c r="B3450" s="1" t="s">
        <v>3476</v>
      </c>
      <c r="C3450" s="1" t="str">
        <f ca="1">IFERROR(__xludf.DUMMYFUNCTION("REGEXEXTRACT(B3450, ""^([^:]+)"")"),"Iron or steel")</f>
        <v>Iron or steel</v>
      </c>
      <c r="D3450" s="1" t="s">
        <v>11</v>
      </c>
      <c r="E3450" s="1" t="s">
        <v>11</v>
      </c>
    </row>
    <row r="3451" spans="1:5" ht="15.75" customHeight="1">
      <c r="A3451" s="1">
        <v>731290</v>
      </c>
      <c r="B3451" s="1" t="s">
        <v>3477</v>
      </c>
      <c r="C3451" s="1" t="str">
        <f ca="1">IFERROR(__xludf.DUMMYFUNCTION("REGEXEXTRACT(B3451, ""^([^:]+)"")"),"Iron or steel")</f>
        <v>Iron or steel</v>
      </c>
      <c r="D3451" s="1" t="s">
        <v>11</v>
      </c>
      <c r="E3451" s="1" t="s">
        <v>11</v>
      </c>
    </row>
    <row r="3452" spans="1:5" ht="15.75" customHeight="1">
      <c r="A3452" s="1">
        <v>731300</v>
      </c>
      <c r="B3452" s="1" t="s">
        <v>3478</v>
      </c>
      <c r="C3452" s="1" t="str">
        <f ca="1">IFERROR(__xludf.DUMMYFUNCTION("REGEXEXTRACT(B3452, ""^([^:]+)"")"),"Iron of steel")</f>
        <v>Iron of steel</v>
      </c>
      <c r="D3452" s="1" t="s">
        <v>11</v>
      </c>
      <c r="E3452" s="1" t="s">
        <v>11</v>
      </c>
    </row>
    <row r="3453" spans="1:5" ht="15.75" customHeight="1">
      <c r="A3453" s="1">
        <v>731412</v>
      </c>
      <c r="B3453" s="1" t="s">
        <v>3479</v>
      </c>
      <c r="C3453" s="1" t="str">
        <f ca="1">IFERROR(__xludf.DUMMYFUNCTION("REGEXEXTRACT(B3453, ""^([^:]+)"")"),"Iron or steel")</f>
        <v>Iron or steel</v>
      </c>
      <c r="D3453" s="1" t="s">
        <v>11</v>
      </c>
      <c r="E3453" s="1" t="s">
        <v>11</v>
      </c>
    </row>
    <row r="3454" spans="1:5" ht="15.75" customHeight="1">
      <c r="A3454" s="1">
        <v>731414</v>
      </c>
      <c r="B3454" s="1" t="s">
        <v>3480</v>
      </c>
      <c r="C3454" s="1" t="str">
        <f ca="1">IFERROR(__xludf.DUMMYFUNCTION("REGEXEXTRACT(B3454, ""^([^:]+)"")"),"Iron or steel")</f>
        <v>Iron or steel</v>
      </c>
      <c r="D3454" s="1" t="s">
        <v>11</v>
      </c>
      <c r="E3454" s="1" t="s">
        <v>11</v>
      </c>
    </row>
    <row r="3455" spans="1:5" ht="15.75" customHeight="1">
      <c r="A3455" s="1">
        <v>731419</v>
      </c>
      <c r="B3455" s="1" t="s">
        <v>3481</v>
      </c>
      <c r="C3455" s="1" t="str">
        <f ca="1">IFERROR(__xludf.DUMMYFUNCTION("REGEXEXTRACT(B3455, ""^([^:]+)"")"),"Iron or steel")</f>
        <v>Iron or steel</v>
      </c>
      <c r="D3455" s="1" t="s">
        <v>11</v>
      </c>
      <c r="E3455" s="1" t="s">
        <v>11</v>
      </c>
    </row>
    <row r="3456" spans="1:5" ht="15.75" customHeight="1">
      <c r="A3456" s="1">
        <v>731420</v>
      </c>
      <c r="B3456" s="1" t="s">
        <v>3482</v>
      </c>
      <c r="C3456" s="1" t="str">
        <f ca="1">IFERROR(__xludf.DUMMYFUNCTION("REGEXEXTRACT(B3456, ""^([^:]+)"")"),"Iron or steel wire")</f>
        <v>Iron or steel wire</v>
      </c>
      <c r="D3456" s="1" t="s">
        <v>11</v>
      </c>
      <c r="E3456" s="1" t="s">
        <v>11</v>
      </c>
    </row>
    <row r="3457" spans="1:5" ht="15.75" customHeight="1">
      <c r="A3457" s="1">
        <v>731431</v>
      </c>
      <c r="B3457" s="1" t="s">
        <v>3483</v>
      </c>
      <c r="C3457" s="1" t="str">
        <f ca="1">IFERROR(__xludf.DUMMYFUNCTION("REGEXEXTRACT(B3457, ""^([^:]+)"")"),"Iron or steel wire")</f>
        <v>Iron or steel wire</v>
      </c>
      <c r="D3457" s="1" t="s">
        <v>11</v>
      </c>
      <c r="E3457" s="1" t="s">
        <v>11</v>
      </c>
    </row>
    <row r="3458" spans="1:5" ht="15.75" customHeight="1">
      <c r="A3458" s="1">
        <v>731439</v>
      </c>
      <c r="B3458" s="1" t="s">
        <v>3484</v>
      </c>
      <c r="C3458" s="1" t="str">
        <f ca="1">IFERROR(__xludf.DUMMYFUNCTION("REGEXEXTRACT(B3458, ""^([^:]+)"")"),"Iron or steel wire")</f>
        <v>Iron or steel wire</v>
      </c>
      <c r="D3458" s="1" t="s">
        <v>11</v>
      </c>
      <c r="E3458" s="1" t="s">
        <v>11</v>
      </c>
    </row>
    <row r="3459" spans="1:5" ht="15.75" customHeight="1">
      <c r="A3459" s="1">
        <v>731441</v>
      </c>
      <c r="B3459" s="1" t="s">
        <v>3485</v>
      </c>
      <c r="C3459" s="1" t="str">
        <f ca="1">IFERROR(__xludf.DUMMYFUNCTION("REGEXEXTRACT(B3459, ""^([^:]+)"")"),"Iron or steel wire")</f>
        <v>Iron or steel wire</v>
      </c>
      <c r="D3459" s="1" t="s">
        <v>11</v>
      </c>
      <c r="E3459" s="1" t="s">
        <v>11</v>
      </c>
    </row>
    <row r="3460" spans="1:5" ht="15.75" customHeight="1">
      <c r="A3460" s="1">
        <v>731442</v>
      </c>
      <c r="B3460" s="1" t="s">
        <v>3486</v>
      </c>
      <c r="C3460" s="1" t="str">
        <f ca="1">IFERROR(__xludf.DUMMYFUNCTION("REGEXEXTRACT(B3460, ""^([^:]+)"")"),"Iron or steel wire")</f>
        <v>Iron or steel wire</v>
      </c>
      <c r="D3460" s="1" t="s">
        <v>11</v>
      </c>
      <c r="E3460" s="1" t="s">
        <v>11</v>
      </c>
    </row>
    <row r="3461" spans="1:5" ht="15.75" customHeight="1">
      <c r="A3461" s="1">
        <v>731449</v>
      </c>
      <c r="B3461" s="1" t="s">
        <v>3487</v>
      </c>
      <c r="C3461" s="1" t="str">
        <f ca="1">IFERROR(__xludf.DUMMYFUNCTION("REGEXEXTRACT(B3461, ""^([^:]+)"")"),"Iron or steel wire")</f>
        <v>Iron or steel wire</v>
      </c>
      <c r="D3461" s="1" t="s">
        <v>11</v>
      </c>
      <c r="E3461" s="1" t="s">
        <v>11</v>
      </c>
    </row>
    <row r="3462" spans="1:5" ht="15.75" customHeight="1">
      <c r="A3462" s="1">
        <v>731450</v>
      </c>
      <c r="B3462" s="1" t="s">
        <v>3488</v>
      </c>
      <c r="C3462" s="1" t="str">
        <f ca="1">IFERROR(__xludf.DUMMYFUNCTION("REGEXEXTRACT(B3462, ""^([^:]+)"")"),"Iron or steel")</f>
        <v>Iron or steel</v>
      </c>
      <c r="D3462" s="1" t="s">
        <v>11</v>
      </c>
      <c r="E3462" s="1" t="s">
        <v>11</v>
      </c>
    </row>
    <row r="3463" spans="1:5" ht="15.75" customHeight="1">
      <c r="A3463" s="1">
        <v>731511</v>
      </c>
      <c r="B3463" s="1" t="s">
        <v>3489</v>
      </c>
      <c r="C3463" s="1" t="str">
        <f ca="1">IFERROR(__xludf.DUMMYFUNCTION("REGEXEXTRACT(B3463, ""^([^:]+)"")"),"Chain")</f>
        <v>Chain</v>
      </c>
      <c r="D3463" s="1" t="s">
        <v>11</v>
      </c>
      <c r="E3463" s="1" t="s">
        <v>11</v>
      </c>
    </row>
    <row r="3464" spans="1:5" ht="15.75" customHeight="1">
      <c r="A3464" s="1">
        <v>731512</v>
      </c>
      <c r="B3464" s="1" t="s">
        <v>3490</v>
      </c>
      <c r="C3464" s="1" t="str">
        <f ca="1">IFERROR(__xludf.DUMMYFUNCTION("REGEXEXTRACT(B3464, ""^([^:]+)"")"),"Chain")</f>
        <v>Chain</v>
      </c>
      <c r="D3464" s="1" t="s">
        <v>11</v>
      </c>
      <c r="E3464" s="1" t="s">
        <v>11</v>
      </c>
    </row>
    <row r="3465" spans="1:5" ht="15.75" customHeight="1">
      <c r="A3465" s="1">
        <v>731519</v>
      </c>
      <c r="B3465" s="1" t="s">
        <v>3491</v>
      </c>
      <c r="C3465" s="1" t="str">
        <f ca="1">IFERROR(__xludf.DUMMYFUNCTION("REGEXEXTRACT(B3465, ""^([^:]+)"")"),"Chain")</f>
        <v>Chain</v>
      </c>
      <c r="D3465" s="1" t="s">
        <v>11</v>
      </c>
      <c r="E3465" s="1" t="s">
        <v>11</v>
      </c>
    </row>
    <row r="3466" spans="1:5" ht="15.75" customHeight="1">
      <c r="A3466" s="1">
        <v>731520</v>
      </c>
      <c r="B3466" s="1" t="s">
        <v>3492</v>
      </c>
      <c r="C3466" s="1" t="str">
        <f ca="1">IFERROR(__xludf.DUMMYFUNCTION("REGEXEXTRACT(B3466, ""^([^:]+)"")"),"Chain")</f>
        <v>Chain</v>
      </c>
      <c r="D3466" s="1" t="s">
        <v>11</v>
      </c>
      <c r="E3466" s="1" t="s">
        <v>11</v>
      </c>
    </row>
    <row r="3467" spans="1:5" ht="15.75" customHeight="1">
      <c r="A3467" s="1">
        <v>731581</v>
      </c>
      <c r="B3467" s="1" t="s">
        <v>3493</v>
      </c>
      <c r="C3467" s="1" t="str">
        <f ca="1">IFERROR(__xludf.DUMMYFUNCTION("REGEXEXTRACT(B3467, ""^([^:]+)"")"),"Chain")</f>
        <v>Chain</v>
      </c>
      <c r="D3467" s="1" t="s">
        <v>11</v>
      </c>
      <c r="E3467" s="1" t="s">
        <v>11</v>
      </c>
    </row>
    <row r="3468" spans="1:5" ht="15.75" customHeight="1">
      <c r="A3468" s="1">
        <v>731582</v>
      </c>
      <c r="B3468" s="1" t="s">
        <v>3494</v>
      </c>
      <c r="C3468" s="1" t="str">
        <f ca="1">IFERROR(__xludf.DUMMYFUNCTION("REGEXEXTRACT(B3468, ""^([^:]+)"")"),"Chain")</f>
        <v>Chain</v>
      </c>
      <c r="D3468" s="1" t="s">
        <v>11</v>
      </c>
      <c r="E3468" s="1" t="s">
        <v>11</v>
      </c>
    </row>
    <row r="3469" spans="1:5" ht="15.75" customHeight="1">
      <c r="A3469" s="1">
        <v>731589</v>
      </c>
      <c r="B3469" s="1" t="s">
        <v>3495</v>
      </c>
      <c r="C3469" s="1" t="str">
        <f ca="1">IFERROR(__xludf.DUMMYFUNCTION("REGEXEXTRACT(B3469, ""^([^:]+)"")"),"Chain")</f>
        <v>Chain</v>
      </c>
      <c r="D3469" s="1" t="s">
        <v>11</v>
      </c>
      <c r="E3469" s="1" t="s">
        <v>11</v>
      </c>
    </row>
    <row r="3470" spans="1:5" ht="15.75" customHeight="1">
      <c r="A3470" s="1">
        <v>731590</v>
      </c>
      <c r="B3470" s="1" t="s">
        <v>3496</v>
      </c>
      <c r="C3470" s="1" t="str">
        <f ca="1">IFERROR(__xludf.DUMMYFUNCTION("REGEXEXTRACT(B3470, ""^([^:]+)"")"),"Chain")</f>
        <v>Chain</v>
      </c>
      <c r="D3470" s="1" t="s">
        <v>11</v>
      </c>
      <c r="E3470" s="1" t="s">
        <v>11</v>
      </c>
    </row>
    <row r="3471" spans="1:5" ht="15.75" customHeight="1">
      <c r="A3471" s="1">
        <v>731600</v>
      </c>
      <c r="B3471" s="1" t="s">
        <v>3497</v>
      </c>
      <c r="C3471" s="1" t="str">
        <f ca="1">IFERROR(__xludf.DUMMYFUNCTION("REGEXEXTRACT(B3471, ""^([^:]+)"")"),"Iron or steel")</f>
        <v>Iron or steel</v>
      </c>
      <c r="D3471" s="1" t="s">
        <v>11</v>
      </c>
      <c r="E3471" s="1" t="s">
        <v>11</v>
      </c>
    </row>
    <row r="3472" spans="1:5" ht="15.75" customHeight="1">
      <c r="A3472" s="1">
        <v>731700</v>
      </c>
      <c r="B3472" s="1" t="s">
        <v>3498</v>
      </c>
      <c r="C3472" s="1" t="str">
        <f ca="1">IFERROR(__xludf.DUMMYFUNCTION("REGEXEXTRACT(B3472, ""^([^:]+)"")"),"Iron or steel")</f>
        <v>Iron or steel</v>
      </c>
      <c r="D3472" s="1" t="s">
        <v>11</v>
      </c>
      <c r="E3472" s="1" t="s">
        <v>11</v>
      </c>
    </row>
    <row r="3473" spans="1:5" ht="15.75" customHeight="1">
      <c r="A3473" s="1">
        <v>731811</v>
      </c>
      <c r="B3473" s="1" t="s">
        <v>3499</v>
      </c>
      <c r="C3473" s="1" t="str">
        <f ca="1">IFERROR(__xludf.DUMMYFUNCTION("REGEXEXTRACT(B3473, ""^([^:]+)"")"),"Iron or steel")</f>
        <v>Iron or steel</v>
      </c>
      <c r="D3473" s="1" t="s">
        <v>11</v>
      </c>
      <c r="E3473" s="1" t="s">
        <v>11</v>
      </c>
    </row>
    <row r="3474" spans="1:5" ht="15.75" customHeight="1">
      <c r="A3474" s="1">
        <v>731812</v>
      </c>
      <c r="B3474" s="1" t="s">
        <v>3500</v>
      </c>
      <c r="C3474" s="1" t="str">
        <f ca="1">IFERROR(__xludf.DUMMYFUNCTION("REGEXEXTRACT(B3474, ""^([^:]+)"")"),"Iron or steel")</f>
        <v>Iron or steel</v>
      </c>
      <c r="D3474" s="1" t="s">
        <v>11</v>
      </c>
      <c r="E3474" s="1" t="s">
        <v>11</v>
      </c>
    </row>
    <row r="3475" spans="1:5" ht="15.75" customHeight="1">
      <c r="A3475" s="1">
        <v>731813</v>
      </c>
      <c r="B3475" s="1" t="s">
        <v>3501</v>
      </c>
      <c r="C3475" s="1" t="str">
        <f ca="1">IFERROR(__xludf.DUMMYFUNCTION("REGEXEXTRACT(B3475, ""^([^:]+)"")"),"Iron or steel")</f>
        <v>Iron or steel</v>
      </c>
      <c r="D3475" s="1" t="s">
        <v>11</v>
      </c>
      <c r="E3475" s="1" t="s">
        <v>11</v>
      </c>
    </row>
    <row r="3476" spans="1:5" ht="15.75" customHeight="1">
      <c r="A3476" s="1">
        <v>731814</v>
      </c>
      <c r="B3476" s="1" t="s">
        <v>3502</v>
      </c>
      <c r="C3476" s="1" t="str">
        <f ca="1">IFERROR(__xludf.DUMMYFUNCTION("REGEXEXTRACT(B3476, ""^([^:]+)"")"),"Iron or steel")</f>
        <v>Iron or steel</v>
      </c>
      <c r="D3476" s="1" t="s">
        <v>11</v>
      </c>
      <c r="E3476" s="1" t="s">
        <v>11</v>
      </c>
    </row>
    <row r="3477" spans="1:5" ht="15.75" customHeight="1">
      <c r="A3477" s="1">
        <v>731815</v>
      </c>
      <c r="B3477" s="1" t="s">
        <v>3503</v>
      </c>
      <c r="C3477" s="1" t="str">
        <f ca="1">IFERROR(__xludf.DUMMYFUNCTION("REGEXEXTRACT(B3477, ""^([^:]+)"")"),"Iron or steel")</f>
        <v>Iron or steel</v>
      </c>
      <c r="D3477" s="1" t="s">
        <v>11</v>
      </c>
      <c r="E3477" s="1" t="s">
        <v>11</v>
      </c>
    </row>
    <row r="3478" spans="1:5" ht="15.75" customHeight="1">
      <c r="A3478" s="1">
        <v>731816</v>
      </c>
      <c r="B3478" s="1" t="s">
        <v>3504</v>
      </c>
      <c r="C3478" s="1" t="str">
        <f ca="1">IFERROR(__xludf.DUMMYFUNCTION("REGEXEXTRACT(B3478, ""^([^:]+)"")"),"Iron or steel")</f>
        <v>Iron or steel</v>
      </c>
      <c r="D3478" s="1" t="s">
        <v>11</v>
      </c>
      <c r="E3478" s="1" t="s">
        <v>11</v>
      </c>
    </row>
    <row r="3479" spans="1:5" ht="15.75" customHeight="1">
      <c r="A3479" s="1">
        <v>731819</v>
      </c>
      <c r="B3479" s="1" t="s">
        <v>3505</v>
      </c>
      <c r="C3479" s="1" t="str">
        <f ca="1">IFERROR(__xludf.DUMMYFUNCTION("REGEXEXTRACT(B3479, ""^([^:]+)"")"),"Iron or steel")</f>
        <v>Iron or steel</v>
      </c>
      <c r="D3479" s="1" t="s">
        <v>11</v>
      </c>
      <c r="E3479" s="1" t="s">
        <v>11</v>
      </c>
    </row>
    <row r="3480" spans="1:5" ht="15.75" customHeight="1">
      <c r="A3480" s="1">
        <v>731821</v>
      </c>
      <c r="B3480" s="1" t="s">
        <v>3506</v>
      </c>
      <c r="C3480" s="1" t="str">
        <f ca="1">IFERROR(__xludf.DUMMYFUNCTION("REGEXEXTRACT(B3480, ""^([^:]+)"")"),"Iron or steel")</f>
        <v>Iron or steel</v>
      </c>
      <c r="D3480" s="1" t="s">
        <v>11</v>
      </c>
      <c r="E3480" s="1" t="s">
        <v>11</v>
      </c>
    </row>
    <row r="3481" spans="1:5" ht="15.75" customHeight="1">
      <c r="A3481" s="1">
        <v>731822</v>
      </c>
      <c r="B3481" s="1" t="s">
        <v>3507</v>
      </c>
      <c r="C3481" s="1" t="str">
        <f ca="1">IFERROR(__xludf.DUMMYFUNCTION("REGEXEXTRACT(B3481, ""^([^:]+)"")"),"Iron or steel")</f>
        <v>Iron or steel</v>
      </c>
      <c r="D3481" s="1" t="s">
        <v>11</v>
      </c>
      <c r="E3481" s="1" t="s">
        <v>11</v>
      </c>
    </row>
    <row r="3482" spans="1:5" ht="15.75" customHeight="1">
      <c r="A3482" s="1">
        <v>731823</v>
      </c>
      <c r="B3482" s="1" t="s">
        <v>3508</v>
      </c>
      <c r="C3482" s="1" t="str">
        <f ca="1">IFERROR(__xludf.DUMMYFUNCTION("REGEXEXTRACT(B3482, ""^([^:]+)"")"),"Iron or steel")</f>
        <v>Iron or steel</v>
      </c>
      <c r="D3482" s="1" t="s">
        <v>11</v>
      </c>
      <c r="E3482" s="1" t="s">
        <v>11</v>
      </c>
    </row>
    <row r="3483" spans="1:5" ht="15.75" customHeight="1">
      <c r="A3483" s="1">
        <v>731824</v>
      </c>
      <c r="B3483" s="1" t="s">
        <v>3509</v>
      </c>
      <c r="C3483" s="1" t="str">
        <f ca="1">IFERROR(__xludf.DUMMYFUNCTION("REGEXEXTRACT(B3483, ""^([^:]+)"")"),"Iron or steel")</f>
        <v>Iron or steel</v>
      </c>
      <c r="D3483" s="1" t="s">
        <v>11</v>
      </c>
      <c r="E3483" s="1" t="s">
        <v>11</v>
      </c>
    </row>
    <row r="3484" spans="1:5" ht="15.75" customHeight="1">
      <c r="A3484" s="1">
        <v>731829</v>
      </c>
      <c r="B3484" s="1" t="s">
        <v>3510</v>
      </c>
      <c r="C3484" s="1" t="str">
        <f ca="1">IFERROR(__xludf.DUMMYFUNCTION("REGEXEXTRACT(B3484, ""^([^:]+)"")"),"Iron or steel")</f>
        <v>Iron or steel</v>
      </c>
      <c r="D3484" s="1" t="s">
        <v>11</v>
      </c>
      <c r="E3484" s="1" t="s">
        <v>11</v>
      </c>
    </row>
    <row r="3485" spans="1:5" ht="15.75" customHeight="1">
      <c r="A3485" s="1">
        <v>731920</v>
      </c>
      <c r="B3485" s="1" t="s">
        <v>3511</v>
      </c>
      <c r="C3485" s="1" t="str">
        <f ca="1">IFERROR(__xludf.DUMMYFUNCTION("REGEXEXTRACT(B3485, ""^([^:]+)"")"),"Safety pins, of iron or steel")</f>
        <v>Safety pins, of iron or steel</v>
      </c>
      <c r="D3485" s="1" t="s">
        <v>11</v>
      </c>
      <c r="E3485" s="1" t="s">
        <v>11</v>
      </c>
    </row>
    <row r="3486" spans="1:5" ht="15.75" customHeight="1">
      <c r="A3486" s="1">
        <v>731930</v>
      </c>
      <c r="B3486" s="1" t="s">
        <v>3512</v>
      </c>
      <c r="C3486" s="1" t="str">
        <f ca="1">IFERROR(__xludf.DUMMYFUNCTION("REGEXEXTRACT(B3486, ""^([^:]+)"")"),"Pins (other than safety pins), of iron or steel, not elsewhere specified or included")</f>
        <v>Pins (other than safety pins), of iron or steel, not elsewhere specified or included</v>
      </c>
      <c r="D3486" s="1" t="s">
        <v>11</v>
      </c>
      <c r="E3486" s="1" t="s">
        <v>11</v>
      </c>
    </row>
    <row r="3487" spans="1:5" ht="15.75" customHeight="1">
      <c r="A3487" s="1">
        <v>731990</v>
      </c>
      <c r="B3487" s="1" t="s">
        <v>3513</v>
      </c>
      <c r="C3487" s="1" t="str">
        <f ca="1">IFERROR(__xludf.DUMMYFUNCTION("REGEXEXTRACT(B3487, ""^([^:]+)"")"),"Sewing and knitting needles, bodkins, crochet hooks, embroidery stilettos and similar articles, for use in the hand, of iron or steel")</f>
        <v>Sewing and knitting needles, bodkins, crochet hooks, embroidery stilettos and similar articles, for use in the hand, of iron or steel</v>
      </c>
      <c r="D3487" s="1" t="s">
        <v>11</v>
      </c>
      <c r="E3487" s="1" t="s">
        <v>11</v>
      </c>
    </row>
    <row r="3488" spans="1:5" ht="15.75" customHeight="1">
      <c r="A3488" s="1">
        <v>732010</v>
      </c>
      <c r="B3488" s="1" t="s">
        <v>3514</v>
      </c>
      <c r="C3488" s="1" t="str">
        <f ca="1">IFERROR(__xludf.DUMMYFUNCTION("REGEXEXTRACT(B3488, ""^([^:]+)"")"),"Iron or steel")</f>
        <v>Iron or steel</v>
      </c>
      <c r="D3488" s="1" t="s">
        <v>11</v>
      </c>
      <c r="E3488" s="1" t="s">
        <v>11</v>
      </c>
    </row>
    <row r="3489" spans="1:5" ht="15.75" customHeight="1">
      <c r="A3489" s="1">
        <v>732020</v>
      </c>
      <c r="B3489" s="1" t="s">
        <v>3515</v>
      </c>
      <c r="C3489" s="1" t="str">
        <f ca="1">IFERROR(__xludf.DUMMYFUNCTION("REGEXEXTRACT(B3489, ""^([^:]+)"")"),"Iron or steel")</f>
        <v>Iron or steel</v>
      </c>
      <c r="D3489" s="1" t="s">
        <v>11</v>
      </c>
      <c r="E3489" s="1" t="s">
        <v>11</v>
      </c>
    </row>
    <row r="3490" spans="1:5" ht="15.75" customHeight="1">
      <c r="A3490" s="1">
        <v>732090</v>
      </c>
      <c r="B3490" s="1" t="s">
        <v>3516</v>
      </c>
      <c r="C3490" s="1" t="str">
        <f ca="1">IFERROR(__xludf.DUMMYFUNCTION("REGEXEXTRACT(B3490, ""^([^:]+)"")"),"Iron or steel")</f>
        <v>Iron or steel</v>
      </c>
      <c r="D3490" s="1" t="s">
        <v>11</v>
      </c>
      <c r="E3490" s="1" t="s">
        <v>11</v>
      </c>
    </row>
    <row r="3491" spans="1:5" ht="15.75" customHeight="1">
      <c r="A3491" s="1">
        <v>732111</v>
      </c>
      <c r="B3491" s="1" t="s">
        <v>3517</v>
      </c>
      <c r="C3491" s="1" t="str">
        <f ca="1">IFERROR(__xludf.DUMMYFUNCTION("REGEXEXTRACT(B3491, ""^([^:]+)"")"),"Cooking appliances and plate warmers")</f>
        <v>Cooking appliances and plate warmers</v>
      </c>
      <c r="D3491" s="1" t="s">
        <v>11</v>
      </c>
      <c r="E3491" s="1" t="s">
        <v>11</v>
      </c>
    </row>
    <row r="3492" spans="1:5" ht="15.75" customHeight="1">
      <c r="A3492" s="1">
        <v>732112</v>
      </c>
      <c r="B3492" s="1" t="s">
        <v>3518</v>
      </c>
      <c r="C3492" s="1" t="str">
        <f ca="1">IFERROR(__xludf.DUMMYFUNCTION("REGEXEXTRACT(B3492, ""^([^:]+)"")"),"Cooking appliances and plate warmers")</f>
        <v>Cooking appliances and plate warmers</v>
      </c>
      <c r="D3492" s="1" t="s">
        <v>11</v>
      </c>
      <c r="E3492" s="1" t="s">
        <v>11</v>
      </c>
    </row>
    <row r="3493" spans="1:5" ht="15.75" customHeight="1">
      <c r="A3493" s="1">
        <v>732119</v>
      </c>
      <c r="B3493" s="1" t="s">
        <v>3519</v>
      </c>
      <c r="C3493" s="1" t="str">
        <f ca="1">IFERROR(__xludf.DUMMYFUNCTION("REGEXEXTRACT(B3493, ""^([^:]+)"")"),"Cooking appliances and plate warmers")</f>
        <v>Cooking appliances and plate warmers</v>
      </c>
      <c r="D3493" s="1" t="s">
        <v>11</v>
      </c>
      <c r="E3493" s="1" t="s">
        <v>11</v>
      </c>
    </row>
    <row r="3494" spans="1:5" ht="15.75" customHeight="1">
      <c r="A3494" s="1">
        <v>732181</v>
      </c>
      <c r="B3494" s="1" t="s">
        <v>3520</v>
      </c>
      <c r="C3494" s="1" t="str">
        <f ca="1">IFERROR(__xludf.DUMMYFUNCTION("REGEXEXTRACT(B3494, ""^([^:]+)"")"),"Domestic appliances")</f>
        <v>Domestic appliances</v>
      </c>
      <c r="D3494" s="1" t="s">
        <v>11</v>
      </c>
      <c r="E3494" s="1" t="s">
        <v>11</v>
      </c>
    </row>
    <row r="3495" spans="1:5" ht="15.75" customHeight="1">
      <c r="A3495" s="1">
        <v>732182</v>
      </c>
      <c r="B3495" s="1" t="s">
        <v>3521</v>
      </c>
      <c r="C3495" s="1" t="str">
        <f ca="1">IFERROR(__xludf.DUMMYFUNCTION("REGEXEXTRACT(B3495, ""^([^:]+)"")"),"Domestic appliances")</f>
        <v>Domestic appliances</v>
      </c>
      <c r="D3495" s="1" t="s">
        <v>11</v>
      </c>
      <c r="E3495" s="1" t="s">
        <v>11</v>
      </c>
    </row>
    <row r="3496" spans="1:5" ht="15.75" customHeight="1">
      <c r="A3496" s="1">
        <v>732189</v>
      </c>
      <c r="B3496" s="1" t="s">
        <v>3522</v>
      </c>
      <c r="C3496" s="1" t="str">
        <f ca="1">IFERROR(__xludf.DUMMYFUNCTION("REGEXEXTRACT(B3496, ""^([^:]+)"")"),"Domestic appliances")</f>
        <v>Domestic appliances</v>
      </c>
      <c r="D3496" s="1" t="s">
        <v>11</v>
      </c>
      <c r="E3496" s="1" t="s">
        <v>11</v>
      </c>
    </row>
    <row r="3497" spans="1:5" ht="15.75" customHeight="1">
      <c r="A3497" s="1">
        <v>732190</v>
      </c>
      <c r="B3497" s="1" t="s">
        <v>3523</v>
      </c>
      <c r="C3497" s="1" t="str">
        <f ca="1">IFERROR(__xludf.DUMMYFUNCTION("REGEXEXTRACT(B3497, ""^([^:]+)"")"),"Domestic appliances")</f>
        <v>Domestic appliances</v>
      </c>
      <c r="D3497" s="1" t="s">
        <v>11</v>
      </c>
      <c r="E3497" s="1" t="s">
        <v>11</v>
      </c>
    </row>
    <row r="3498" spans="1:5" ht="15.75" customHeight="1">
      <c r="A3498" s="1">
        <v>732211</v>
      </c>
      <c r="B3498" s="1" t="s">
        <v>3524</v>
      </c>
      <c r="C3498" s="1" t="str">
        <f ca="1">IFERROR(__xludf.DUMMYFUNCTION("REGEXEXTRACT(B3498, ""^([^:]+)"")"),"Radiators and parts thereof")</f>
        <v>Radiators and parts thereof</v>
      </c>
      <c r="D3498" s="1" t="s">
        <v>11</v>
      </c>
      <c r="E3498" s="1" t="s">
        <v>11</v>
      </c>
    </row>
    <row r="3499" spans="1:5" ht="15.75" customHeight="1">
      <c r="A3499" s="1">
        <v>732219</v>
      </c>
      <c r="B3499" s="1" t="s">
        <v>3525</v>
      </c>
      <c r="C3499" s="1" t="str">
        <f ca="1">IFERROR(__xludf.DUMMYFUNCTION("REGEXEXTRACT(B3499, ""^([^:]+)"")"),"Radiators and parts thereof")</f>
        <v>Radiators and parts thereof</v>
      </c>
      <c r="D3499" s="1" t="s">
        <v>11</v>
      </c>
      <c r="E3499" s="1" t="s">
        <v>11</v>
      </c>
    </row>
    <row r="3500" spans="1:5" ht="15.75" customHeight="1">
      <c r="A3500" s="1">
        <v>732290</v>
      </c>
      <c r="B3500" s="1" t="s">
        <v>3526</v>
      </c>
      <c r="C3500" s="1" t="str">
        <f ca="1">IFERROR(__xludf.DUMMYFUNCTION("REGEXEXTRACT(B3500, ""^([^:]+)"")"),"Air heaters and hot air distributors, (not electrically heated), incorporating a motor-driven fan or blower and parts thereof, of iron or steel")</f>
        <v>Air heaters and hot air distributors, (not electrically heated), incorporating a motor-driven fan or blower and parts thereof, of iron or steel</v>
      </c>
      <c r="D3500" s="1" t="s">
        <v>11</v>
      </c>
      <c r="E3500" s="1" t="s">
        <v>11</v>
      </c>
    </row>
    <row r="3501" spans="1:5" ht="15.75" customHeight="1">
      <c r="A3501" s="1">
        <v>732310</v>
      </c>
      <c r="B3501" s="1" t="s">
        <v>3527</v>
      </c>
      <c r="C3501" s="1" t="str">
        <f ca="1">IFERROR(__xludf.DUMMYFUNCTION("REGEXEXTRACT(B3501, ""^([^:]+)"")"),"Iron or steel")</f>
        <v>Iron or steel</v>
      </c>
      <c r="D3501" s="1" t="s">
        <v>11</v>
      </c>
      <c r="E3501" s="1" t="s">
        <v>11</v>
      </c>
    </row>
    <row r="3502" spans="1:5" ht="15.75" customHeight="1">
      <c r="A3502" s="1">
        <v>732391</v>
      </c>
      <c r="B3502" s="1" t="s">
        <v>3528</v>
      </c>
      <c r="C3502" s="1" t="str">
        <f ca="1">IFERROR(__xludf.DUMMYFUNCTION("REGEXEXTRACT(B3502, ""^([^:]+)"")"),"Cast iron")</f>
        <v>Cast iron</v>
      </c>
      <c r="D3502" s="1" t="s">
        <v>11</v>
      </c>
      <c r="E3502" s="1" t="s">
        <v>11</v>
      </c>
    </row>
    <row r="3503" spans="1:5" ht="15.75" customHeight="1">
      <c r="A3503" s="1">
        <v>732392</v>
      </c>
      <c r="B3503" s="1" t="s">
        <v>3529</v>
      </c>
      <c r="C3503" s="1" t="str">
        <f ca="1">IFERROR(__xludf.DUMMYFUNCTION("REGEXEXTRACT(B3503, ""^([^:]+)"")"),"Cast iron")</f>
        <v>Cast iron</v>
      </c>
      <c r="D3503" s="1" t="s">
        <v>11</v>
      </c>
      <c r="E3503" s="1" t="s">
        <v>11</v>
      </c>
    </row>
    <row r="3504" spans="1:5" ht="15.75" customHeight="1">
      <c r="A3504" s="1">
        <v>732393</v>
      </c>
      <c r="B3504" s="1" t="s">
        <v>3530</v>
      </c>
      <c r="C3504" s="1" t="str">
        <f ca="1">IFERROR(__xludf.DUMMYFUNCTION("REGEXEXTRACT(B3504, ""^([^:]+)"")"),"Steel, stainless")</f>
        <v>Steel, stainless</v>
      </c>
      <c r="D3504" s="1" t="s">
        <v>11</v>
      </c>
      <c r="E3504" s="1" t="s">
        <v>11</v>
      </c>
    </row>
    <row r="3505" spans="1:5" ht="15.75" customHeight="1">
      <c r="A3505" s="1">
        <v>732394</v>
      </c>
      <c r="B3505" s="1" t="s">
        <v>3531</v>
      </c>
      <c r="C3505" s="1" t="str">
        <f ca="1">IFERROR(__xludf.DUMMYFUNCTION("REGEXEXTRACT(B3505, ""^([^:]+)"")"),"Iron (excluding cast) or steel")</f>
        <v>Iron (excluding cast) or steel</v>
      </c>
      <c r="D3505" s="1" t="s">
        <v>11</v>
      </c>
      <c r="E3505" s="1" t="s">
        <v>11</v>
      </c>
    </row>
    <row r="3506" spans="1:5" ht="15.75" customHeight="1">
      <c r="A3506" s="1">
        <v>732399</v>
      </c>
      <c r="B3506" s="1" t="s">
        <v>3532</v>
      </c>
      <c r="C3506" s="1" t="str">
        <f ca="1">IFERROR(__xludf.DUMMYFUNCTION("REGEXEXTRACT(B3506, ""^([^:]+)"")"),"Iron or steel")</f>
        <v>Iron or steel</v>
      </c>
      <c r="D3506" s="1" t="s">
        <v>11</v>
      </c>
      <c r="E3506" s="1" t="s">
        <v>11</v>
      </c>
    </row>
    <row r="3507" spans="1:5" ht="15.75" customHeight="1">
      <c r="A3507" s="1">
        <v>732410</v>
      </c>
      <c r="B3507" s="1" t="s">
        <v>3533</v>
      </c>
      <c r="C3507" s="1" t="str">
        <f ca="1">IFERROR(__xludf.DUMMYFUNCTION("REGEXEXTRACT(B3507, ""^([^:]+)"")"),"Steel")</f>
        <v>Steel</v>
      </c>
      <c r="D3507" s="1" t="s">
        <v>11</v>
      </c>
      <c r="E3507" s="1" t="s">
        <v>11</v>
      </c>
    </row>
    <row r="3508" spans="1:5" ht="15.75" customHeight="1">
      <c r="A3508" s="1">
        <v>732421</v>
      </c>
      <c r="B3508" s="1" t="s">
        <v>3534</v>
      </c>
      <c r="C3508" s="1" t="str">
        <f ca="1">IFERROR(__xludf.DUMMYFUNCTION("REGEXEXTRACT(B3508, ""^([^:]+)"")"),"Cast iron, baths, whether or not enamelled")</f>
        <v>Cast iron, baths, whether or not enamelled</v>
      </c>
      <c r="D3508" s="1" t="s">
        <v>11</v>
      </c>
      <c r="E3508" s="1" t="s">
        <v>11</v>
      </c>
    </row>
    <row r="3509" spans="1:5" ht="15.75" customHeight="1">
      <c r="A3509" s="1">
        <v>732429</v>
      </c>
      <c r="B3509" s="1" t="s">
        <v>3535</v>
      </c>
      <c r="C3509" s="1" t="str">
        <f ca="1">IFERROR(__xludf.DUMMYFUNCTION("REGEXEXTRACT(B3509, ""^([^:]+)"")"),"Iron (other than cast) or steel")</f>
        <v>Iron (other than cast) or steel</v>
      </c>
      <c r="D3509" s="1" t="s">
        <v>11</v>
      </c>
      <c r="E3509" s="1" t="s">
        <v>11</v>
      </c>
    </row>
    <row r="3510" spans="1:5" ht="15.75" customHeight="1">
      <c r="A3510" s="1">
        <v>732490</v>
      </c>
      <c r="B3510" s="1" t="s">
        <v>3536</v>
      </c>
      <c r="C3510" s="1" t="str">
        <f ca="1">IFERROR(__xludf.DUMMYFUNCTION("REGEXEXTRACT(B3510, ""^([^:]+)"")"),"Iron or steel")</f>
        <v>Iron or steel</v>
      </c>
      <c r="D3510" s="1" t="s">
        <v>11</v>
      </c>
      <c r="E3510" s="1" t="s">
        <v>11</v>
      </c>
    </row>
    <row r="3511" spans="1:5" ht="15.75" customHeight="1">
      <c r="A3511" s="1">
        <v>732510</v>
      </c>
      <c r="B3511" s="1" t="s">
        <v>3537</v>
      </c>
      <c r="C3511" s="1" t="str">
        <f ca="1">IFERROR(__xludf.DUMMYFUNCTION("REGEXEXTRACT(B3511, ""^([^:]+)"")"),"Iron")</f>
        <v>Iron</v>
      </c>
      <c r="D3511" s="1" t="s">
        <v>11</v>
      </c>
      <c r="E3511" s="1" t="s">
        <v>11</v>
      </c>
    </row>
    <row r="3512" spans="1:5" ht="15.75" customHeight="1">
      <c r="A3512" s="1">
        <v>732591</v>
      </c>
      <c r="B3512" s="1" t="s">
        <v>3538</v>
      </c>
      <c r="C3512" s="1" t="str">
        <f ca="1">IFERROR(__xludf.DUMMYFUNCTION("REGEXEXTRACT(B3512, ""^([^:]+)"")"),"Iron")</f>
        <v>Iron</v>
      </c>
      <c r="D3512" s="1" t="s">
        <v>11</v>
      </c>
      <c r="E3512" s="1" t="s">
        <v>11</v>
      </c>
    </row>
    <row r="3513" spans="1:5" ht="15.75" customHeight="1">
      <c r="A3513" s="1">
        <v>732599</v>
      </c>
      <c r="B3513" s="1" t="s">
        <v>3539</v>
      </c>
      <c r="C3513" s="1" t="str">
        <f ca="1">IFERROR(__xludf.DUMMYFUNCTION("REGEXEXTRACT(B3513, ""^([^:]+)"")"),"Iron or steel")</f>
        <v>Iron or steel</v>
      </c>
      <c r="D3513" s="1" t="s">
        <v>11</v>
      </c>
      <c r="E3513" s="1" t="s">
        <v>11</v>
      </c>
    </row>
    <row r="3514" spans="1:5" ht="15.75" customHeight="1">
      <c r="A3514" s="1">
        <v>732611</v>
      </c>
      <c r="B3514" s="1" t="s">
        <v>3540</v>
      </c>
      <c r="C3514" s="1" t="str">
        <f ca="1">IFERROR(__xludf.DUMMYFUNCTION("REGEXEXTRACT(B3514, ""^([^:]+)"")"),"Iron or steel")</f>
        <v>Iron or steel</v>
      </c>
      <c r="D3514" s="1" t="s">
        <v>11</v>
      </c>
      <c r="E3514" s="1" t="s">
        <v>11</v>
      </c>
    </row>
    <row r="3515" spans="1:5" ht="15.75" customHeight="1">
      <c r="A3515" s="1">
        <v>732619</v>
      </c>
      <c r="B3515" s="1" t="s">
        <v>3541</v>
      </c>
      <c r="C3515" s="1" t="str">
        <f ca="1">IFERROR(__xludf.DUMMYFUNCTION("REGEXEXTRACT(B3515, ""^([^:]+)"")"),"Iron or steel")</f>
        <v>Iron or steel</v>
      </c>
      <c r="D3515" s="1" t="s">
        <v>11</v>
      </c>
      <c r="E3515" s="1" t="s">
        <v>11</v>
      </c>
    </row>
    <row r="3516" spans="1:5" ht="15.75" customHeight="1">
      <c r="A3516" s="1">
        <v>732620</v>
      </c>
      <c r="B3516" s="1" t="s">
        <v>3542</v>
      </c>
      <c r="C3516" s="1" t="str">
        <f ca="1">IFERROR(__xludf.DUMMYFUNCTION("REGEXEXTRACT(B3516, ""^([^:]+)"")"),"Iron or steel")</f>
        <v>Iron or steel</v>
      </c>
      <c r="D3516" s="1" t="s">
        <v>11</v>
      </c>
      <c r="E3516" s="1" t="s">
        <v>11</v>
      </c>
    </row>
    <row r="3517" spans="1:5" ht="15.75" customHeight="1">
      <c r="A3517" s="1">
        <v>732690</v>
      </c>
      <c r="B3517" s="1" t="s">
        <v>3543</v>
      </c>
      <c r="C3517" s="1" t="str">
        <f ca="1">IFERROR(__xludf.DUMMYFUNCTION("REGEXEXTRACT(B3517, ""^([^:]+)"")"),"Iron or steel")</f>
        <v>Iron or steel</v>
      </c>
      <c r="D3517" s="1" t="s">
        <v>11</v>
      </c>
      <c r="E3517" s="1" t="s">
        <v>11</v>
      </c>
    </row>
    <row r="3518" spans="1:5" ht="15.75" customHeight="1">
      <c r="A3518" s="1">
        <v>740100</v>
      </c>
      <c r="B3518" s="1" t="s">
        <v>3544</v>
      </c>
      <c r="C3518" s="1" t="str">
        <f ca="1">IFERROR(__xludf.DUMMYFUNCTION("REGEXEXTRACT(B3518, ""^([^:]+)"")"),"Copper mattes")</f>
        <v>Copper mattes</v>
      </c>
      <c r="D3518" s="1" t="s">
        <v>11</v>
      </c>
      <c r="E3518" s="1" t="s">
        <v>11</v>
      </c>
    </row>
    <row r="3519" spans="1:5" ht="15.75" customHeight="1">
      <c r="A3519" s="1">
        <v>740200</v>
      </c>
      <c r="B3519" s="1" t="s">
        <v>3545</v>
      </c>
      <c r="C3519" s="1" t="str">
        <f ca="1">IFERROR(__xludf.DUMMYFUNCTION("REGEXEXTRACT(B3519, ""^([^:]+)"")"),"Copper")</f>
        <v>Copper</v>
      </c>
      <c r="D3519" s="1" t="s">
        <v>11</v>
      </c>
      <c r="E3519" s="1" t="s">
        <v>11</v>
      </c>
    </row>
    <row r="3520" spans="1:5" ht="15.75" customHeight="1">
      <c r="A3520" s="1">
        <v>740311</v>
      </c>
      <c r="B3520" s="1" t="s">
        <v>3546</v>
      </c>
      <c r="C3520" s="1" t="str">
        <f ca="1">IFERROR(__xludf.DUMMYFUNCTION("REGEXEXTRACT(B3520, ""^([^:]+)"")"),"Copper")</f>
        <v>Copper</v>
      </c>
      <c r="D3520" s="1" t="s">
        <v>11</v>
      </c>
      <c r="E3520" s="1" t="s">
        <v>11</v>
      </c>
    </row>
    <row r="3521" spans="1:5" ht="15.75" customHeight="1">
      <c r="A3521" s="1">
        <v>740312</v>
      </c>
      <c r="B3521" s="1" t="s">
        <v>3547</v>
      </c>
      <c r="C3521" s="1" t="str">
        <f ca="1">IFERROR(__xludf.DUMMYFUNCTION("REGEXEXTRACT(B3521, ""^([^:]+)"")"),"Copper")</f>
        <v>Copper</v>
      </c>
      <c r="D3521" s="1" t="s">
        <v>11</v>
      </c>
      <c r="E3521" s="1" t="s">
        <v>11</v>
      </c>
    </row>
    <row r="3522" spans="1:5" ht="15.75" customHeight="1">
      <c r="A3522" s="1">
        <v>740313</v>
      </c>
      <c r="B3522" s="1" t="s">
        <v>3548</v>
      </c>
      <c r="C3522" s="1" t="str">
        <f ca="1">IFERROR(__xludf.DUMMYFUNCTION("REGEXEXTRACT(B3522, ""^([^:]+)"")"),"Copper")</f>
        <v>Copper</v>
      </c>
      <c r="D3522" s="1" t="s">
        <v>11</v>
      </c>
      <c r="E3522" s="1" t="s">
        <v>11</v>
      </c>
    </row>
    <row r="3523" spans="1:5" ht="15.75" customHeight="1">
      <c r="A3523" s="1">
        <v>740319</v>
      </c>
      <c r="B3523" s="1" t="s">
        <v>3549</v>
      </c>
      <c r="C3523" s="1" t="str">
        <f ca="1">IFERROR(__xludf.DUMMYFUNCTION("REGEXEXTRACT(B3523, ""^([^:]+)"")"),"Copper")</f>
        <v>Copper</v>
      </c>
      <c r="D3523" s="1" t="s">
        <v>11</v>
      </c>
      <c r="E3523" s="1" t="s">
        <v>11</v>
      </c>
    </row>
    <row r="3524" spans="1:5" ht="15.75" customHeight="1">
      <c r="A3524" s="1">
        <v>740321</v>
      </c>
      <c r="B3524" s="1" t="s">
        <v>3550</v>
      </c>
      <c r="C3524" s="1" t="str">
        <f ca="1">IFERROR(__xludf.DUMMYFUNCTION("REGEXEXTRACT(B3524, ""^([^:]+)"")"),"Copper")</f>
        <v>Copper</v>
      </c>
      <c r="D3524" s="1" t="s">
        <v>11</v>
      </c>
      <c r="E3524" s="1" t="s">
        <v>11</v>
      </c>
    </row>
    <row r="3525" spans="1:5" ht="15.75" customHeight="1">
      <c r="A3525" s="1">
        <v>740322</v>
      </c>
      <c r="B3525" s="1" t="s">
        <v>3551</v>
      </c>
      <c r="C3525" s="1" t="str">
        <f ca="1">IFERROR(__xludf.DUMMYFUNCTION("REGEXEXTRACT(B3525, ""^([^:]+)"")"),"Copper")</f>
        <v>Copper</v>
      </c>
      <c r="D3525" s="1" t="s">
        <v>11</v>
      </c>
      <c r="E3525" s="1" t="s">
        <v>11</v>
      </c>
    </row>
    <row r="3526" spans="1:5" ht="15.75" customHeight="1">
      <c r="A3526" s="1">
        <v>740329</v>
      </c>
      <c r="B3526" s="1" t="s">
        <v>3552</v>
      </c>
      <c r="C3526" s="1" t="str">
        <f ca="1">IFERROR(__xludf.DUMMYFUNCTION("REGEXEXTRACT(B3526, ""^([^:]+)"")"),"Copper")</f>
        <v>Copper</v>
      </c>
      <c r="D3526" s="1" t="s">
        <v>11</v>
      </c>
      <c r="E3526" s="1" t="s">
        <v>11</v>
      </c>
    </row>
    <row r="3527" spans="1:5" ht="15.75" customHeight="1">
      <c r="A3527" s="1">
        <v>740400</v>
      </c>
      <c r="B3527" s="1" t="s">
        <v>3553</v>
      </c>
      <c r="C3527" s="1" t="str">
        <f ca="1">IFERROR(__xludf.DUMMYFUNCTION("REGEXEXTRACT(B3527, ""^([^:]+)"")"),"Copper")</f>
        <v>Copper</v>
      </c>
      <c r="D3527" s="1" t="s">
        <v>11</v>
      </c>
      <c r="E3527" s="1" t="s">
        <v>11</v>
      </c>
    </row>
    <row r="3528" spans="1:5" ht="15.75" customHeight="1">
      <c r="A3528" s="1">
        <v>740500</v>
      </c>
      <c r="B3528" s="1" t="s">
        <v>3554</v>
      </c>
      <c r="C3528" s="1" t="str">
        <f ca="1">IFERROR(__xludf.DUMMYFUNCTION("REGEXEXTRACT(B3528, ""^([^:]+)"")"),"Copper")</f>
        <v>Copper</v>
      </c>
      <c r="D3528" s="1" t="s">
        <v>11</v>
      </c>
      <c r="E3528" s="1" t="s">
        <v>11</v>
      </c>
    </row>
    <row r="3529" spans="1:5" ht="15.75" customHeight="1">
      <c r="A3529" s="1">
        <v>740610</v>
      </c>
      <c r="B3529" s="1" t="s">
        <v>3555</v>
      </c>
      <c r="C3529" s="1" t="str">
        <f ca="1">IFERROR(__xludf.DUMMYFUNCTION("REGEXEXTRACT(B3529, ""^([^:]+)"")"),"Copper")</f>
        <v>Copper</v>
      </c>
      <c r="D3529" s="1" t="s">
        <v>11</v>
      </c>
      <c r="E3529" s="1" t="s">
        <v>11</v>
      </c>
    </row>
    <row r="3530" spans="1:5" ht="15.75" customHeight="1">
      <c r="A3530" s="1">
        <v>740620</v>
      </c>
      <c r="B3530" s="1" t="s">
        <v>3556</v>
      </c>
      <c r="C3530" s="1" t="str">
        <f ca="1">IFERROR(__xludf.DUMMYFUNCTION("REGEXEXTRACT(B3530, ""^([^:]+)"")"),"Copper")</f>
        <v>Copper</v>
      </c>
      <c r="D3530" s="1" t="s">
        <v>11</v>
      </c>
      <c r="E3530" s="1" t="s">
        <v>11</v>
      </c>
    </row>
    <row r="3531" spans="1:5" ht="15.75" customHeight="1">
      <c r="A3531" s="1">
        <v>740710</v>
      </c>
      <c r="B3531" s="1" t="s">
        <v>3557</v>
      </c>
      <c r="C3531" s="1" t="str">
        <f ca="1">IFERROR(__xludf.DUMMYFUNCTION("REGEXEXTRACT(B3531, ""^([^:]+)"")"),"Copper")</f>
        <v>Copper</v>
      </c>
      <c r="D3531" s="1" t="s">
        <v>11</v>
      </c>
      <c r="E3531" s="1" t="s">
        <v>11</v>
      </c>
    </row>
    <row r="3532" spans="1:5" ht="15.75" customHeight="1">
      <c r="A3532" s="1">
        <v>740721</v>
      </c>
      <c r="B3532" s="1" t="s">
        <v>3558</v>
      </c>
      <c r="C3532" s="1" t="str">
        <f ca="1">IFERROR(__xludf.DUMMYFUNCTION("REGEXEXTRACT(B3532, ""^([^:]+)"")"),"Copper")</f>
        <v>Copper</v>
      </c>
      <c r="D3532" s="1" t="s">
        <v>11</v>
      </c>
      <c r="E3532" s="1" t="s">
        <v>11</v>
      </c>
    </row>
    <row r="3533" spans="1:5" ht="15.75" customHeight="1">
      <c r="A3533" s="1">
        <v>740729</v>
      </c>
      <c r="B3533" s="1" t="s">
        <v>3559</v>
      </c>
      <c r="C3533" s="1" t="str">
        <f ca="1">IFERROR(__xludf.DUMMYFUNCTION("REGEXEXTRACT(B3533, ""^([^:]+)"")"),"Copper")</f>
        <v>Copper</v>
      </c>
      <c r="D3533" s="1" t="s">
        <v>11</v>
      </c>
      <c r="E3533" s="1" t="s">
        <v>11</v>
      </c>
    </row>
    <row r="3534" spans="1:5" ht="15.75" customHeight="1">
      <c r="A3534" s="1">
        <v>740811</v>
      </c>
      <c r="B3534" s="1" t="s">
        <v>3560</v>
      </c>
      <c r="C3534" s="1" t="str">
        <f ca="1">IFERROR(__xludf.DUMMYFUNCTION("REGEXEXTRACT(B3534, ""^([^:]+)"")"),"Copper")</f>
        <v>Copper</v>
      </c>
      <c r="D3534" s="1" t="s">
        <v>11</v>
      </c>
      <c r="E3534" s="1" t="s">
        <v>11</v>
      </c>
    </row>
    <row r="3535" spans="1:5" ht="15.75" customHeight="1">
      <c r="A3535" s="1">
        <v>740819</v>
      </c>
      <c r="B3535" s="1" t="s">
        <v>3561</v>
      </c>
      <c r="C3535" s="1" t="str">
        <f ca="1">IFERROR(__xludf.DUMMYFUNCTION("REGEXEXTRACT(B3535, ""^([^:]+)"")"),"Copper")</f>
        <v>Copper</v>
      </c>
      <c r="D3535" s="1" t="s">
        <v>11</v>
      </c>
      <c r="E3535" s="1" t="s">
        <v>11</v>
      </c>
    </row>
    <row r="3536" spans="1:5" ht="15.75" customHeight="1">
      <c r="A3536" s="1">
        <v>740821</v>
      </c>
      <c r="B3536" s="1" t="s">
        <v>3562</v>
      </c>
      <c r="C3536" s="1" t="str">
        <f ca="1">IFERROR(__xludf.DUMMYFUNCTION("REGEXEXTRACT(B3536, ""^([^:]+)"")"),"Copper")</f>
        <v>Copper</v>
      </c>
      <c r="D3536" s="1" t="s">
        <v>11</v>
      </c>
      <c r="E3536" s="1" t="s">
        <v>11</v>
      </c>
    </row>
    <row r="3537" spans="1:5" ht="15.75" customHeight="1">
      <c r="A3537" s="1">
        <v>740822</v>
      </c>
      <c r="B3537" s="1" t="s">
        <v>3563</v>
      </c>
      <c r="C3537" s="1" t="str">
        <f ca="1">IFERROR(__xludf.DUMMYFUNCTION("REGEXEXTRACT(B3537, ""^([^:]+)"")"),"Copper")</f>
        <v>Copper</v>
      </c>
      <c r="D3537" s="1" t="s">
        <v>11</v>
      </c>
      <c r="E3537" s="1" t="s">
        <v>11</v>
      </c>
    </row>
    <row r="3538" spans="1:5" ht="15.75" customHeight="1">
      <c r="A3538" s="1">
        <v>740829</v>
      </c>
      <c r="B3538" s="1" t="s">
        <v>3564</v>
      </c>
      <c r="C3538" s="1" t="str">
        <f ca="1">IFERROR(__xludf.DUMMYFUNCTION("REGEXEXTRACT(B3538, ""^([^:]+)"")"),"Copper")</f>
        <v>Copper</v>
      </c>
      <c r="D3538" s="1" t="s">
        <v>11</v>
      </c>
      <c r="E3538" s="1" t="s">
        <v>11</v>
      </c>
    </row>
    <row r="3539" spans="1:5" ht="15.75" customHeight="1">
      <c r="A3539" s="1">
        <v>740911</v>
      </c>
      <c r="B3539" s="1" t="s">
        <v>3565</v>
      </c>
      <c r="C3539" s="1" t="str">
        <f ca="1">IFERROR(__xludf.DUMMYFUNCTION("REGEXEXTRACT(B3539, ""^([^:]+)"")"),"Copper")</f>
        <v>Copper</v>
      </c>
      <c r="D3539" s="1" t="s">
        <v>11</v>
      </c>
      <c r="E3539" s="1" t="s">
        <v>11</v>
      </c>
    </row>
    <row r="3540" spans="1:5" ht="15.75" customHeight="1">
      <c r="A3540" s="1">
        <v>740919</v>
      </c>
      <c r="B3540" s="1" t="s">
        <v>3566</v>
      </c>
      <c r="C3540" s="1" t="str">
        <f ca="1">IFERROR(__xludf.DUMMYFUNCTION("REGEXEXTRACT(B3540, ""^([^:]+)"")"),"Copper")</f>
        <v>Copper</v>
      </c>
      <c r="D3540" s="1" t="s">
        <v>11</v>
      </c>
      <c r="E3540" s="1" t="s">
        <v>11</v>
      </c>
    </row>
    <row r="3541" spans="1:5" ht="15.75" customHeight="1">
      <c r="A3541" s="1">
        <v>740921</v>
      </c>
      <c r="B3541" s="1" t="s">
        <v>3567</v>
      </c>
      <c r="C3541" s="1" t="str">
        <f ca="1">IFERROR(__xludf.DUMMYFUNCTION("REGEXEXTRACT(B3541, ""^([^:]+)"")"),"Copper")</f>
        <v>Copper</v>
      </c>
      <c r="D3541" s="1" t="s">
        <v>11</v>
      </c>
      <c r="E3541" s="1" t="s">
        <v>11</v>
      </c>
    </row>
    <row r="3542" spans="1:5" ht="15.75" customHeight="1">
      <c r="A3542" s="1">
        <v>740929</v>
      </c>
      <c r="B3542" s="1" t="s">
        <v>3568</v>
      </c>
      <c r="C3542" s="1" t="str">
        <f ca="1">IFERROR(__xludf.DUMMYFUNCTION("REGEXEXTRACT(B3542, ""^([^:]+)"")"),"Copper")</f>
        <v>Copper</v>
      </c>
      <c r="D3542" s="1" t="s">
        <v>11</v>
      </c>
      <c r="E3542" s="1" t="s">
        <v>11</v>
      </c>
    </row>
    <row r="3543" spans="1:5" ht="15.75" customHeight="1">
      <c r="A3543" s="1">
        <v>740931</v>
      </c>
      <c r="B3543" s="1" t="s">
        <v>3569</v>
      </c>
      <c r="C3543" s="1" t="str">
        <f ca="1">IFERROR(__xludf.DUMMYFUNCTION("REGEXEXTRACT(B3543, ""^([^:]+)"")"),"Copper")</f>
        <v>Copper</v>
      </c>
      <c r="D3543" s="1" t="s">
        <v>11</v>
      </c>
      <c r="E3543" s="1" t="s">
        <v>11</v>
      </c>
    </row>
    <row r="3544" spans="1:5" ht="15.75" customHeight="1">
      <c r="A3544" s="1">
        <v>740939</v>
      </c>
      <c r="B3544" s="1" t="s">
        <v>3570</v>
      </c>
      <c r="C3544" s="1" t="str">
        <f ca="1">IFERROR(__xludf.DUMMYFUNCTION("REGEXEXTRACT(B3544, ""^([^:]+)"")"),"Copper")</f>
        <v>Copper</v>
      </c>
      <c r="D3544" s="1" t="s">
        <v>11</v>
      </c>
      <c r="E3544" s="1" t="s">
        <v>11</v>
      </c>
    </row>
    <row r="3545" spans="1:5" ht="15.75" customHeight="1">
      <c r="A3545" s="1">
        <v>740940</v>
      </c>
      <c r="B3545" s="1" t="s">
        <v>3571</v>
      </c>
      <c r="C3545" s="1" t="str">
        <f ca="1">IFERROR(__xludf.DUMMYFUNCTION("REGEXEXTRACT(B3545, ""^([^:]+)"")"),"Copper")</f>
        <v>Copper</v>
      </c>
      <c r="D3545" s="1" t="s">
        <v>11</v>
      </c>
      <c r="E3545" s="1" t="s">
        <v>11</v>
      </c>
    </row>
    <row r="3546" spans="1:5" ht="15.75" customHeight="1">
      <c r="A3546" s="1">
        <v>740990</v>
      </c>
      <c r="B3546" s="1" t="s">
        <v>3572</v>
      </c>
      <c r="C3546" s="1" t="str">
        <f ca="1">IFERROR(__xludf.DUMMYFUNCTION("REGEXEXTRACT(B3546, ""^([^:]+)"")"),"Copper")</f>
        <v>Copper</v>
      </c>
      <c r="D3546" s="1" t="s">
        <v>11</v>
      </c>
      <c r="E3546" s="1" t="s">
        <v>11</v>
      </c>
    </row>
    <row r="3547" spans="1:5" ht="15.75" customHeight="1">
      <c r="A3547" s="1">
        <v>741011</v>
      </c>
      <c r="B3547" s="1" t="s">
        <v>3573</v>
      </c>
      <c r="C3547" s="1" t="str">
        <f ca="1">IFERROR(__xludf.DUMMYFUNCTION("REGEXEXTRACT(B3547, ""^([^:]+)"")"),"Copper")</f>
        <v>Copper</v>
      </c>
      <c r="D3547" s="1" t="s">
        <v>11</v>
      </c>
      <c r="E3547" s="1" t="s">
        <v>11</v>
      </c>
    </row>
    <row r="3548" spans="1:5" ht="15.75" customHeight="1">
      <c r="A3548" s="1">
        <v>741012</v>
      </c>
      <c r="B3548" s="1" t="s">
        <v>3574</v>
      </c>
      <c r="C3548" s="1" t="str">
        <f ca="1">IFERROR(__xludf.DUMMYFUNCTION("REGEXEXTRACT(B3548, ""^([^:]+)"")"),"Copper")</f>
        <v>Copper</v>
      </c>
      <c r="D3548" s="1" t="s">
        <v>11</v>
      </c>
      <c r="E3548" s="1" t="s">
        <v>11</v>
      </c>
    </row>
    <row r="3549" spans="1:5" ht="15.75" customHeight="1">
      <c r="A3549" s="1">
        <v>741021</v>
      </c>
      <c r="B3549" s="1" t="s">
        <v>3575</v>
      </c>
      <c r="C3549" s="1" t="str">
        <f ca="1">IFERROR(__xludf.DUMMYFUNCTION("REGEXEXTRACT(B3549, ""^([^:]+)"")"),"Copper")</f>
        <v>Copper</v>
      </c>
      <c r="D3549" s="1" t="s">
        <v>11</v>
      </c>
      <c r="E3549" s="1" t="s">
        <v>11</v>
      </c>
    </row>
    <row r="3550" spans="1:5" ht="15.75" customHeight="1">
      <c r="A3550" s="1">
        <v>741022</v>
      </c>
      <c r="B3550" s="1" t="s">
        <v>3576</v>
      </c>
      <c r="C3550" s="1" t="str">
        <f ca="1">IFERROR(__xludf.DUMMYFUNCTION("REGEXEXTRACT(B3550, ""^([^:]+)"")"),"Copper")</f>
        <v>Copper</v>
      </c>
      <c r="D3550" s="1" t="s">
        <v>11</v>
      </c>
      <c r="E3550" s="1" t="s">
        <v>11</v>
      </c>
    </row>
    <row r="3551" spans="1:5" ht="15.75" customHeight="1">
      <c r="A3551" s="1">
        <v>741110</v>
      </c>
      <c r="B3551" s="1" t="s">
        <v>3577</v>
      </c>
      <c r="C3551" s="1" t="str">
        <f ca="1">IFERROR(__xludf.DUMMYFUNCTION("REGEXEXTRACT(B3551, ""^([^:]+)"")"),"Copper")</f>
        <v>Copper</v>
      </c>
      <c r="D3551" s="1" t="s">
        <v>11</v>
      </c>
      <c r="E3551" s="1" t="s">
        <v>11</v>
      </c>
    </row>
    <row r="3552" spans="1:5" ht="15.75" customHeight="1">
      <c r="A3552" s="1">
        <v>741121</v>
      </c>
      <c r="B3552" s="1" t="s">
        <v>3578</v>
      </c>
      <c r="C3552" s="1" t="str">
        <f ca="1">IFERROR(__xludf.DUMMYFUNCTION("REGEXEXTRACT(B3552, ""^([^:]+)"")"),"Copper")</f>
        <v>Copper</v>
      </c>
      <c r="D3552" s="1" t="s">
        <v>11</v>
      </c>
      <c r="E3552" s="1" t="s">
        <v>11</v>
      </c>
    </row>
    <row r="3553" spans="1:5" ht="15.75" customHeight="1">
      <c r="A3553" s="1">
        <v>741122</v>
      </c>
      <c r="B3553" s="1" t="s">
        <v>3579</v>
      </c>
      <c r="C3553" s="1" t="str">
        <f ca="1">IFERROR(__xludf.DUMMYFUNCTION("REGEXEXTRACT(B3553, ""^([^:]+)"")"),"Copper")</f>
        <v>Copper</v>
      </c>
      <c r="D3553" s="1" t="s">
        <v>11</v>
      </c>
      <c r="E3553" s="1" t="s">
        <v>11</v>
      </c>
    </row>
    <row r="3554" spans="1:5" ht="15.75" customHeight="1">
      <c r="A3554" s="1">
        <v>741129</v>
      </c>
      <c r="B3554" s="1" t="s">
        <v>3580</v>
      </c>
      <c r="C3554" s="1" t="str">
        <f ca="1">IFERROR(__xludf.DUMMYFUNCTION("REGEXEXTRACT(B3554, ""^([^:]+)"")"),"Copper")</f>
        <v>Copper</v>
      </c>
      <c r="D3554" s="1" t="s">
        <v>11</v>
      </c>
      <c r="E3554" s="1" t="s">
        <v>11</v>
      </c>
    </row>
    <row r="3555" spans="1:5" ht="15.75" customHeight="1">
      <c r="A3555" s="1">
        <v>741210</v>
      </c>
      <c r="B3555" s="1" t="s">
        <v>3581</v>
      </c>
      <c r="C3555" s="1" t="str">
        <f ca="1">IFERROR(__xludf.DUMMYFUNCTION("REGEXEXTRACT(B3555, ""^([^:]+)"")"),"Copper")</f>
        <v>Copper</v>
      </c>
      <c r="D3555" s="1" t="s">
        <v>11</v>
      </c>
      <c r="E3555" s="1" t="s">
        <v>11</v>
      </c>
    </row>
    <row r="3556" spans="1:5" ht="15.75" customHeight="1">
      <c r="A3556" s="1">
        <v>741220</v>
      </c>
      <c r="B3556" s="1" t="s">
        <v>3582</v>
      </c>
      <c r="C3556" s="1" t="str">
        <f ca="1">IFERROR(__xludf.DUMMYFUNCTION("REGEXEXTRACT(B3556, ""^([^:]+)"")"),"Copper")</f>
        <v>Copper</v>
      </c>
      <c r="D3556" s="1" t="s">
        <v>11</v>
      </c>
      <c r="E3556" s="1" t="s">
        <v>11</v>
      </c>
    </row>
    <row r="3557" spans="1:5" ht="15.75" customHeight="1">
      <c r="A3557" s="1">
        <v>741300</v>
      </c>
      <c r="B3557" s="1" t="s">
        <v>3583</v>
      </c>
      <c r="C3557" s="1" t="str">
        <f ca="1">IFERROR(__xludf.DUMMYFUNCTION("REGEXEXTRACT(B3557, ""^([^:]+)"")"),"Copper")</f>
        <v>Copper</v>
      </c>
      <c r="D3557" s="1" t="s">
        <v>11</v>
      </c>
      <c r="E3557" s="1" t="s">
        <v>11</v>
      </c>
    </row>
    <row r="3558" spans="1:5" ht="15.75" customHeight="1">
      <c r="A3558" s="1">
        <v>741510</v>
      </c>
      <c r="B3558" s="1" t="s">
        <v>3584</v>
      </c>
      <c r="C3558" s="1" t="str">
        <f ca="1">IFERROR(__xludf.DUMMYFUNCTION("REGEXEXTRACT(B3558, ""^([^:]+)"")"),"Copper")</f>
        <v>Copper</v>
      </c>
      <c r="D3558" s="1" t="s">
        <v>11</v>
      </c>
      <c r="E3558" s="1" t="s">
        <v>11</v>
      </c>
    </row>
    <row r="3559" spans="1:5" ht="15.75" customHeight="1">
      <c r="A3559" s="1">
        <v>741521</v>
      </c>
      <c r="B3559" s="1" t="s">
        <v>3585</v>
      </c>
      <c r="C3559" s="1" t="str">
        <f ca="1">IFERROR(__xludf.DUMMYFUNCTION("REGEXEXTRACT(B3559, ""^([^:]+)"")"),"Copper")</f>
        <v>Copper</v>
      </c>
      <c r="D3559" s="1" t="s">
        <v>11</v>
      </c>
      <c r="E3559" s="1" t="s">
        <v>11</v>
      </c>
    </row>
    <row r="3560" spans="1:5" ht="15.75" customHeight="1">
      <c r="A3560" s="1">
        <v>741529</v>
      </c>
      <c r="B3560" s="1" t="s">
        <v>3586</v>
      </c>
      <c r="C3560" s="1" t="str">
        <f ca="1">IFERROR(__xludf.DUMMYFUNCTION("REGEXEXTRACT(B3560, ""^([^:]+)"")"),"Copper")</f>
        <v>Copper</v>
      </c>
      <c r="D3560" s="1" t="s">
        <v>11</v>
      </c>
      <c r="E3560" s="1" t="s">
        <v>11</v>
      </c>
    </row>
    <row r="3561" spans="1:5" ht="15.75" customHeight="1">
      <c r="A3561" s="1">
        <v>741533</v>
      </c>
      <c r="B3561" s="1" t="s">
        <v>3587</v>
      </c>
      <c r="C3561" s="1" t="str">
        <f ca="1">IFERROR(__xludf.DUMMYFUNCTION("REGEXEXTRACT(B3561, ""^([^:]+)"")"),"Copper")</f>
        <v>Copper</v>
      </c>
      <c r="D3561" s="1" t="s">
        <v>11</v>
      </c>
      <c r="E3561" s="1" t="s">
        <v>11</v>
      </c>
    </row>
    <row r="3562" spans="1:5" ht="15.75" customHeight="1">
      <c r="A3562" s="1">
        <v>741539</v>
      </c>
      <c r="B3562" s="1" t="s">
        <v>3588</v>
      </c>
      <c r="C3562" s="1" t="str">
        <f ca="1">IFERROR(__xludf.DUMMYFUNCTION("REGEXEXTRACT(B3562, ""^([^:]+)"")"),"Copper")</f>
        <v>Copper</v>
      </c>
      <c r="D3562" s="1" t="s">
        <v>11</v>
      </c>
      <c r="E3562" s="1" t="s">
        <v>11</v>
      </c>
    </row>
    <row r="3563" spans="1:5" ht="15.75" customHeight="1">
      <c r="A3563" s="1">
        <v>741811</v>
      </c>
      <c r="B3563" s="1" t="s">
        <v>3589</v>
      </c>
      <c r="C3563" s="1" t="str">
        <f ca="1">IFERROR(__xludf.DUMMYFUNCTION("REGEXEXTRACT(B3563, ""^([^:]+)"")"),"Copper")</f>
        <v>Copper</v>
      </c>
      <c r="D3563" s="1" t="s">
        <v>11</v>
      </c>
      <c r="E3563" s="1" t="s">
        <v>11</v>
      </c>
    </row>
    <row r="3564" spans="1:5" ht="15.75" customHeight="1">
      <c r="A3564" s="1">
        <v>741819</v>
      </c>
      <c r="B3564" s="1" t="s">
        <v>3590</v>
      </c>
      <c r="C3564" s="1" t="str">
        <f ca="1">IFERROR(__xludf.DUMMYFUNCTION("REGEXEXTRACT(B3564, ""^([^:]+)"")"),"Copper")</f>
        <v>Copper</v>
      </c>
      <c r="D3564" s="1" t="s">
        <v>11</v>
      </c>
      <c r="E3564" s="1" t="s">
        <v>11</v>
      </c>
    </row>
    <row r="3565" spans="1:5" ht="15.75" customHeight="1">
      <c r="A3565" s="1">
        <v>741820</v>
      </c>
      <c r="B3565" s="1" t="s">
        <v>3591</v>
      </c>
      <c r="C3565" s="1" t="str">
        <f ca="1">IFERROR(__xludf.DUMMYFUNCTION("REGEXEXTRACT(B3565, ""^([^:]+)"")"),"Copper")</f>
        <v>Copper</v>
      </c>
      <c r="D3565" s="1" t="s">
        <v>11</v>
      </c>
      <c r="E3565" s="1" t="s">
        <v>11</v>
      </c>
    </row>
    <row r="3566" spans="1:5" ht="15.75" customHeight="1">
      <c r="A3566" s="1">
        <v>741910</v>
      </c>
      <c r="B3566" s="1" t="s">
        <v>3592</v>
      </c>
      <c r="C3566" s="1" t="str">
        <f ca="1">IFERROR(__xludf.DUMMYFUNCTION("REGEXEXTRACT(B3566, ""^([^:]+)"")"),"Copper")</f>
        <v>Copper</v>
      </c>
      <c r="D3566" s="1" t="s">
        <v>11</v>
      </c>
      <c r="E3566" s="1" t="s">
        <v>11</v>
      </c>
    </row>
    <row r="3567" spans="1:5" ht="15.75" customHeight="1">
      <c r="A3567" s="1">
        <v>741991</v>
      </c>
      <c r="B3567" s="1" t="s">
        <v>3593</v>
      </c>
      <c r="C3567" s="1" t="str">
        <f ca="1">IFERROR(__xludf.DUMMYFUNCTION("REGEXEXTRACT(B3567, ""^([^:]+)"")"),"Copper")</f>
        <v>Copper</v>
      </c>
      <c r="D3567" s="1" t="s">
        <v>11</v>
      </c>
      <c r="E3567" s="1" t="s">
        <v>11</v>
      </c>
    </row>
    <row r="3568" spans="1:5" ht="15.75" customHeight="1">
      <c r="A3568" s="1">
        <v>741999</v>
      </c>
      <c r="B3568" s="1" t="s">
        <v>3594</v>
      </c>
      <c r="C3568" s="1" t="str">
        <f ca="1">IFERROR(__xludf.DUMMYFUNCTION("REGEXEXTRACT(B3568, ""^([^:]+)"")"),"Copper")</f>
        <v>Copper</v>
      </c>
      <c r="D3568" s="1" t="s">
        <v>11</v>
      </c>
      <c r="E3568" s="1" t="s">
        <v>11</v>
      </c>
    </row>
    <row r="3569" spans="1:5" ht="15.75" customHeight="1">
      <c r="A3569" s="1">
        <v>750110</v>
      </c>
      <c r="B3569" s="1" t="s">
        <v>3595</v>
      </c>
      <c r="C3569" s="1" t="str">
        <f ca="1">IFERROR(__xludf.DUMMYFUNCTION("REGEXEXTRACT(B3569, ""^([^:]+)"")"),"Nickel")</f>
        <v>Nickel</v>
      </c>
      <c r="D3569" s="1" t="s">
        <v>11</v>
      </c>
      <c r="E3569" s="1" t="s">
        <v>11</v>
      </c>
    </row>
    <row r="3570" spans="1:5" ht="15.75" customHeight="1">
      <c r="A3570" s="1">
        <v>750120</v>
      </c>
      <c r="B3570" s="1" t="s">
        <v>3596</v>
      </c>
      <c r="C3570" s="1" t="str">
        <f ca="1">IFERROR(__xludf.DUMMYFUNCTION("REGEXEXTRACT(B3570, ""^([^:]+)"")"),"Nickel")</f>
        <v>Nickel</v>
      </c>
      <c r="D3570" s="1" t="s">
        <v>11</v>
      </c>
      <c r="E3570" s="1" t="s">
        <v>11</v>
      </c>
    </row>
    <row r="3571" spans="1:5" ht="15.75" customHeight="1">
      <c r="A3571" s="1">
        <v>750210</v>
      </c>
      <c r="B3571" s="1" t="s">
        <v>3597</v>
      </c>
      <c r="C3571" s="1" t="str">
        <f ca="1">IFERROR(__xludf.DUMMYFUNCTION("REGEXEXTRACT(B3571, ""^([^:]+)"")"),"Nickel")</f>
        <v>Nickel</v>
      </c>
      <c r="D3571" s="1" t="s">
        <v>11</v>
      </c>
      <c r="E3571" s="1" t="s">
        <v>11</v>
      </c>
    </row>
    <row r="3572" spans="1:5" ht="15.75" customHeight="1">
      <c r="A3572" s="1">
        <v>750220</v>
      </c>
      <c r="B3572" s="1" t="s">
        <v>3598</v>
      </c>
      <c r="C3572" s="1" t="str">
        <f ca="1">IFERROR(__xludf.DUMMYFUNCTION("REGEXEXTRACT(B3572, ""^([^:]+)"")"),"Nickel")</f>
        <v>Nickel</v>
      </c>
      <c r="D3572" s="1" t="s">
        <v>11</v>
      </c>
      <c r="E3572" s="1" t="s">
        <v>11</v>
      </c>
    </row>
    <row r="3573" spans="1:5" ht="15.75" customHeight="1">
      <c r="A3573" s="1">
        <v>750300</v>
      </c>
      <c r="B3573" s="1" t="s">
        <v>3599</v>
      </c>
      <c r="C3573" s="1" t="str">
        <f ca="1">IFERROR(__xludf.DUMMYFUNCTION("REGEXEXTRACT(B3573, ""^([^:]+)"")"),"Nickel")</f>
        <v>Nickel</v>
      </c>
      <c r="D3573" s="1" t="s">
        <v>11</v>
      </c>
      <c r="E3573" s="1" t="s">
        <v>11</v>
      </c>
    </row>
    <row r="3574" spans="1:5" ht="15.75" customHeight="1">
      <c r="A3574" s="1">
        <v>750400</v>
      </c>
      <c r="B3574" s="1" t="s">
        <v>3600</v>
      </c>
      <c r="C3574" s="1" t="str">
        <f ca="1">IFERROR(__xludf.DUMMYFUNCTION("REGEXEXTRACT(B3574, ""^([^:]+)"")"),"Nickel")</f>
        <v>Nickel</v>
      </c>
      <c r="D3574" s="1" t="s">
        <v>11</v>
      </c>
      <c r="E3574" s="1" t="s">
        <v>11</v>
      </c>
    </row>
    <row r="3575" spans="1:5" ht="15.75" customHeight="1">
      <c r="A3575" s="1">
        <v>750511</v>
      </c>
      <c r="B3575" s="1" t="s">
        <v>3601</v>
      </c>
      <c r="C3575" s="1" t="str">
        <f ca="1">IFERROR(__xludf.DUMMYFUNCTION("REGEXEXTRACT(B3575, ""^([^:]+)"")"),"Nickel")</f>
        <v>Nickel</v>
      </c>
      <c r="D3575" s="1" t="s">
        <v>11</v>
      </c>
      <c r="E3575" s="1" t="s">
        <v>11</v>
      </c>
    </row>
    <row r="3576" spans="1:5" ht="15.75" customHeight="1">
      <c r="A3576" s="1">
        <v>750512</v>
      </c>
      <c r="B3576" s="1" t="s">
        <v>3602</v>
      </c>
      <c r="C3576" s="1" t="str">
        <f ca="1">IFERROR(__xludf.DUMMYFUNCTION("REGEXEXTRACT(B3576, ""^([^:]+)"")"),"Nickel")</f>
        <v>Nickel</v>
      </c>
      <c r="D3576" s="1" t="s">
        <v>11</v>
      </c>
      <c r="E3576" s="1" t="s">
        <v>11</v>
      </c>
    </row>
    <row r="3577" spans="1:5" ht="15.75" customHeight="1">
      <c r="A3577" s="1">
        <v>750521</v>
      </c>
      <c r="B3577" s="1" t="s">
        <v>3603</v>
      </c>
      <c r="C3577" s="1" t="str">
        <f ca="1">IFERROR(__xludf.DUMMYFUNCTION("REGEXEXTRACT(B3577, ""^([^:]+)"")"),"Nickel")</f>
        <v>Nickel</v>
      </c>
      <c r="D3577" s="1" t="s">
        <v>11</v>
      </c>
      <c r="E3577" s="1" t="s">
        <v>11</v>
      </c>
    </row>
    <row r="3578" spans="1:5" ht="15.75" customHeight="1">
      <c r="A3578" s="1">
        <v>750522</v>
      </c>
      <c r="B3578" s="1" t="s">
        <v>3604</v>
      </c>
      <c r="C3578" s="1" t="str">
        <f ca="1">IFERROR(__xludf.DUMMYFUNCTION("REGEXEXTRACT(B3578, ""^([^:]+)"")"),"Nickel")</f>
        <v>Nickel</v>
      </c>
      <c r="D3578" s="1" t="s">
        <v>11</v>
      </c>
      <c r="E3578" s="1" t="s">
        <v>11</v>
      </c>
    </row>
    <row r="3579" spans="1:5" ht="15.75" customHeight="1">
      <c r="A3579" s="1">
        <v>750610</v>
      </c>
      <c r="B3579" s="1" t="s">
        <v>3605</v>
      </c>
      <c r="C3579" s="1" t="str">
        <f ca="1">IFERROR(__xludf.DUMMYFUNCTION("REGEXEXTRACT(B3579, ""^([^:]+)"")"),"Nickel")</f>
        <v>Nickel</v>
      </c>
      <c r="D3579" s="1" t="s">
        <v>11</v>
      </c>
      <c r="E3579" s="1" t="s">
        <v>11</v>
      </c>
    </row>
    <row r="3580" spans="1:5" ht="15.75" customHeight="1">
      <c r="A3580" s="1">
        <v>750620</v>
      </c>
      <c r="B3580" s="1" t="s">
        <v>3606</v>
      </c>
      <c r="C3580" s="1" t="str">
        <f ca="1">IFERROR(__xludf.DUMMYFUNCTION("REGEXEXTRACT(B3580, ""^([^:]+)"")"),"Nickel")</f>
        <v>Nickel</v>
      </c>
      <c r="D3580" s="1" t="s">
        <v>11</v>
      </c>
      <c r="E3580" s="1" t="s">
        <v>11</v>
      </c>
    </row>
    <row r="3581" spans="1:5" ht="15.75" customHeight="1">
      <c r="A3581" s="1">
        <v>750711</v>
      </c>
      <c r="B3581" s="1" t="s">
        <v>3607</v>
      </c>
      <c r="C3581" s="1" t="str">
        <f ca="1">IFERROR(__xludf.DUMMYFUNCTION("REGEXEXTRACT(B3581, ""^([^:]+)"")"),"Nickel")</f>
        <v>Nickel</v>
      </c>
      <c r="D3581" s="1" t="s">
        <v>11</v>
      </c>
      <c r="E3581" s="1" t="s">
        <v>11</v>
      </c>
    </row>
    <row r="3582" spans="1:5" ht="15.75" customHeight="1">
      <c r="A3582" s="1">
        <v>750712</v>
      </c>
      <c r="B3582" s="1" t="s">
        <v>3608</v>
      </c>
      <c r="C3582" s="1" t="str">
        <f ca="1">IFERROR(__xludf.DUMMYFUNCTION("REGEXEXTRACT(B3582, ""^([^:]+)"")"),"Nickel")</f>
        <v>Nickel</v>
      </c>
      <c r="D3582" s="1" t="s">
        <v>11</v>
      </c>
      <c r="E3582" s="1" t="s">
        <v>11</v>
      </c>
    </row>
    <row r="3583" spans="1:5" ht="15.75" customHeight="1">
      <c r="A3583" s="1">
        <v>750720</v>
      </c>
      <c r="B3583" s="1" t="s">
        <v>3609</v>
      </c>
      <c r="C3583" s="1" t="str">
        <f ca="1">IFERROR(__xludf.DUMMYFUNCTION("REGEXEXTRACT(B3583, ""^([^:]+)"")"),"Nickel")</f>
        <v>Nickel</v>
      </c>
      <c r="D3583" s="1" t="s">
        <v>11</v>
      </c>
      <c r="E3583" s="1" t="s">
        <v>11</v>
      </c>
    </row>
    <row r="3584" spans="1:5" ht="15.75" customHeight="1">
      <c r="A3584" s="1">
        <v>750810</v>
      </c>
      <c r="B3584" s="1" t="s">
        <v>3610</v>
      </c>
      <c r="C3584" s="1" t="str">
        <f ca="1">IFERROR(__xludf.DUMMYFUNCTION("REGEXEXTRACT(B3584, ""^([^:]+)"")"),"Nickel")</f>
        <v>Nickel</v>
      </c>
      <c r="D3584" s="1" t="s">
        <v>11</v>
      </c>
      <c r="E3584" s="1" t="s">
        <v>11</v>
      </c>
    </row>
    <row r="3585" spans="1:5" ht="15.75" customHeight="1">
      <c r="A3585" s="1">
        <v>750890</v>
      </c>
      <c r="B3585" s="1" t="s">
        <v>3611</v>
      </c>
      <c r="C3585" s="1" t="str">
        <f ca="1">IFERROR(__xludf.DUMMYFUNCTION("REGEXEXTRACT(B3585, ""^([^:]+)"")"),"Nickel")</f>
        <v>Nickel</v>
      </c>
      <c r="D3585" s="1" t="s">
        <v>11</v>
      </c>
      <c r="E3585" s="1" t="s">
        <v>11</v>
      </c>
    </row>
    <row r="3586" spans="1:5" ht="15.75" customHeight="1">
      <c r="A3586" s="1">
        <v>760110</v>
      </c>
      <c r="B3586" s="1" t="s">
        <v>3612</v>
      </c>
      <c r="C3586" s="1" t="str">
        <f ca="1">IFERROR(__xludf.DUMMYFUNCTION("REGEXEXTRACT(B3586, ""^([^:]+)"")"),"Aluminium")</f>
        <v>Aluminium</v>
      </c>
      <c r="D3586" s="1" t="s">
        <v>11</v>
      </c>
      <c r="E3586" s="1" t="s">
        <v>11</v>
      </c>
    </row>
    <row r="3587" spans="1:5" ht="15.75" customHeight="1">
      <c r="A3587" s="1">
        <v>760120</v>
      </c>
      <c r="B3587" s="1" t="s">
        <v>3613</v>
      </c>
      <c r="C3587" s="1" t="str">
        <f ca="1">IFERROR(__xludf.DUMMYFUNCTION("REGEXEXTRACT(B3587, ""^([^:]+)"")"),"Aluminium")</f>
        <v>Aluminium</v>
      </c>
      <c r="D3587" s="1" t="s">
        <v>11</v>
      </c>
      <c r="E3587" s="1" t="s">
        <v>11</v>
      </c>
    </row>
    <row r="3588" spans="1:5" ht="15.75" customHeight="1">
      <c r="A3588" s="1">
        <v>760200</v>
      </c>
      <c r="B3588" s="1" t="s">
        <v>3614</v>
      </c>
      <c r="C3588" s="1" t="str">
        <f ca="1">IFERROR(__xludf.DUMMYFUNCTION("REGEXEXTRACT(B3588, ""^([^:]+)"")"),"Aluminium")</f>
        <v>Aluminium</v>
      </c>
      <c r="D3588" s="1" t="s">
        <v>11</v>
      </c>
      <c r="E3588" s="1" t="s">
        <v>11</v>
      </c>
    </row>
    <row r="3589" spans="1:5" ht="15.75" customHeight="1">
      <c r="A3589" s="1">
        <v>760310</v>
      </c>
      <c r="B3589" s="1" t="s">
        <v>3615</v>
      </c>
      <c r="C3589" s="1" t="str">
        <f ca="1">IFERROR(__xludf.DUMMYFUNCTION("REGEXEXTRACT(B3589, ""^([^:]+)"")"),"Aluminium")</f>
        <v>Aluminium</v>
      </c>
      <c r="D3589" s="1" t="s">
        <v>11</v>
      </c>
      <c r="E3589" s="1" t="s">
        <v>11</v>
      </c>
    </row>
    <row r="3590" spans="1:5" ht="15.75" customHeight="1">
      <c r="A3590" s="1">
        <v>760320</v>
      </c>
      <c r="B3590" s="1" t="s">
        <v>3616</v>
      </c>
      <c r="C3590" s="1" t="str">
        <f ca="1">IFERROR(__xludf.DUMMYFUNCTION("REGEXEXTRACT(B3590, ""^([^:]+)"")"),"Aluminium")</f>
        <v>Aluminium</v>
      </c>
      <c r="D3590" s="1" t="s">
        <v>11</v>
      </c>
      <c r="E3590" s="1" t="s">
        <v>11</v>
      </c>
    </row>
    <row r="3591" spans="1:5" ht="15.75" customHeight="1">
      <c r="A3591" s="1">
        <v>760410</v>
      </c>
      <c r="B3591" s="1" t="s">
        <v>3617</v>
      </c>
      <c r="C3591" s="1" t="str">
        <f ca="1">IFERROR(__xludf.DUMMYFUNCTION("REGEXEXTRACT(B3591, ""^([^:]+)"")"),"Aluminium")</f>
        <v>Aluminium</v>
      </c>
      <c r="D3591" s="1" t="s">
        <v>11</v>
      </c>
      <c r="E3591" s="1" t="s">
        <v>11</v>
      </c>
    </row>
    <row r="3592" spans="1:5" ht="15.75" customHeight="1">
      <c r="A3592" s="1">
        <v>760421</v>
      </c>
      <c r="B3592" s="1" t="s">
        <v>3618</v>
      </c>
      <c r="C3592" s="1" t="str">
        <f ca="1">IFERROR(__xludf.DUMMYFUNCTION("REGEXEXTRACT(B3592, ""^([^:]+)"")"),"Aluminium")</f>
        <v>Aluminium</v>
      </c>
      <c r="D3592" s="1" t="s">
        <v>11</v>
      </c>
      <c r="E3592" s="1" t="s">
        <v>11</v>
      </c>
    </row>
    <row r="3593" spans="1:5" ht="15.75" customHeight="1">
      <c r="A3593" s="1">
        <v>760429</v>
      </c>
      <c r="B3593" s="1" t="s">
        <v>3619</v>
      </c>
      <c r="C3593" s="1" t="str">
        <f ca="1">IFERROR(__xludf.DUMMYFUNCTION("REGEXEXTRACT(B3593, ""^([^:]+)"")"),"Aluminium")</f>
        <v>Aluminium</v>
      </c>
      <c r="D3593" s="1" t="s">
        <v>11</v>
      </c>
      <c r="E3593" s="1" t="s">
        <v>11</v>
      </c>
    </row>
    <row r="3594" spans="1:5" ht="15.75" customHeight="1">
      <c r="A3594" s="1">
        <v>760511</v>
      </c>
      <c r="B3594" s="1" t="s">
        <v>3620</v>
      </c>
      <c r="C3594" s="1" t="str">
        <f ca="1">IFERROR(__xludf.DUMMYFUNCTION("REGEXEXTRACT(B3594, ""^([^:]+)"")"),"Aluminium")</f>
        <v>Aluminium</v>
      </c>
      <c r="D3594" s="1" t="s">
        <v>11</v>
      </c>
      <c r="E3594" s="1" t="s">
        <v>11</v>
      </c>
    </row>
    <row r="3595" spans="1:5" ht="15.75" customHeight="1">
      <c r="A3595" s="1">
        <v>760519</v>
      </c>
      <c r="B3595" s="1" t="s">
        <v>3621</v>
      </c>
      <c r="C3595" s="1" t="str">
        <f ca="1">IFERROR(__xludf.DUMMYFUNCTION("REGEXEXTRACT(B3595, ""^([^:]+)"")"),"Aluminium")</f>
        <v>Aluminium</v>
      </c>
      <c r="D3595" s="1" t="s">
        <v>11</v>
      </c>
      <c r="E3595" s="1" t="s">
        <v>11</v>
      </c>
    </row>
    <row r="3596" spans="1:5" ht="15.75" customHeight="1">
      <c r="A3596" s="1">
        <v>760521</v>
      </c>
      <c r="B3596" s="1" t="s">
        <v>3622</v>
      </c>
      <c r="C3596" s="1" t="str">
        <f ca="1">IFERROR(__xludf.DUMMYFUNCTION("REGEXEXTRACT(B3596, ""^([^:]+)"")"),"Aluminium")</f>
        <v>Aluminium</v>
      </c>
      <c r="D3596" s="1" t="s">
        <v>11</v>
      </c>
      <c r="E3596" s="1" t="s">
        <v>11</v>
      </c>
    </row>
    <row r="3597" spans="1:5" ht="15.75" customHeight="1">
      <c r="A3597" s="1">
        <v>760529</v>
      </c>
      <c r="B3597" s="1" t="s">
        <v>3623</v>
      </c>
      <c r="C3597" s="1" t="str">
        <f ca="1">IFERROR(__xludf.DUMMYFUNCTION("REGEXEXTRACT(B3597, ""^([^:]+)"")"),"Aluminium")</f>
        <v>Aluminium</v>
      </c>
      <c r="D3597" s="1" t="s">
        <v>11</v>
      </c>
      <c r="E3597" s="1" t="s">
        <v>11</v>
      </c>
    </row>
    <row r="3598" spans="1:5" ht="15.75" customHeight="1">
      <c r="A3598" s="1">
        <v>760611</v>
      </c>
      <c r="B3598" s="1" t="s">
        <v>3624</v>
      </c>
      <c r="C3598" s="1" t="str">
        <f ca="1">IFERROR(__xludf.DUMMYFUNCTION("REGEXEXTRACT(B3598, ""^([^:]+)"")"),"Aluminium")</f>
        <v>Aluminium</v>
      </c>
      <c r="D3598" s="1" t="s">
        <v>11</v>
      </c>
      <c r="E3598" s="1" t="s">
        <v>11</v>
      </c>
    </row>
    <row r="3599" spans="1:5" ht="15.75" customHeight="1">
      <c r="A3599" s="1">
        <v>760612</v>
      </c>
      <c r="B3599" s="1" t="s">
        <v>3625</v>
      </c>
      <c r="C3599" s="1" t="str">
        <f ca="1">IFERROR(__xludf.DUMMYFUNCTION("REGEXEXTRACT(B3599, ""^([^:]+)"")"),"Aluminium")</f>
        <v>Aluminium</v>
      </c>
      <c r="D3599" s="1" t="s">
        <v>11</v>
      </c>
      <c r="E3599" s="1" t="s">
        <v>11</v>
      </c>
    </row>
    <row r="3600" spans="1:5" ht="15.75" customHeight="1">
      <c r="A3600" s="1">
        <v>760691</v>
      </c>
      <c r="B3600" s="1" t="s">
        <v>3626</v>
      </c>
      <c r="C3600" s="1" t="str">
        <f ca="1">IFERROR(__xludf.DUMMYFUNCTION("REGEXEXTRACT(B3600, ""^([^:]+)"")"),"Aluminium")</f>
        <v>Aluminium</v>
      </c>
      <c r="D3600" s="1" t="s">
        <v>11</v>
      </c>
      <c r="E3600" s="1" t="s">
        <v>11</v>
      </c>
    </row>
    <row r="3601" spans="1:5" ht="15.75" customHeight="1">
      <c r="A3601" s="1">
        <v>760692</v>
      </c>
      <c r="B3601" s="1" t="s">
        <v>3627</v>
      </c>
      <c r="C3601" s="1" t="str">
        <f ca="1">IFERROR(__xludf.DUMMYFUNCTION("REGEXEXTRACT(B3601, ""^([^:]+)"")"),"Aluminium")</f>
        <v>Aluminium</v>
      </c>
      <c r="D3601" s="1" t="s">
        <v>11</v>
      </c>
      <c r="E3601" s="1" t="s">
        <v>11</v>
      </c>
    </row>
    <row r="3602" spans="1:5" ht="15.75" customHeight="1">
      <c r="A3602" s="1">
        <v>760711</v>
      </c>
      <c r="B3602" s="1" t="s">
        <v>3628</v>
      </c>
      <c r="C3602" s="1" t="str">
        <f ca="1">IFERROR(__xludf.DUMMYFUNCTION("REGEXEXTRACT(B3602, ""^([^:]+)"")"),"Aluminium")</f>
        <v>Aluminium</v>
      </c>
      <c r="D3602" s="1" t="s">
        <v>11</v>
      </c>
      <c r="E3602" s="1" t="s">
        <v>11</v>
      </c>
    </row>
    <row r="3603" spans="1:5" ht="15.75" customHeight="1">
      <c r="A3603" s="1">
        <v>760719</v>
      </c>
      <c r="B3603" s="1" t="s">
        <v>3629</v>
      </c>
      <c r="C3603" s="1" t="str">
        <f ca="1">IFERROR(__xludf.DUMMYFUNCTION("REGEXEXTRACT(B3603, ""^([^:]+)"")"),"Aluminium")</f>
        <v>Aluminium</v>
      </c>
      <c r="D3603" s="1" t="s">
        <v>11</v>
      </c>
      <c r="E3603" s="1" t="s">
        <v>11</v>
      </c>
    </row>
    <row r="3604" spans="1:5" ht="15.75" customHeight="1">
      <c r="A3604" s="1">
        <v>760720</v>
      </c>
      <c r="B3604" s="1" t="s">
        <v>3630</v>
      </c>
      <c r="C3604" s="1" t="str">
        <f ca="1">IFERROR(__xludf.DUMMYFUNCTION("REGEXEXTRACT(B3604, ""^([^:]+)"")"),"Aluminium")</f>
        <v>Aluminium</v>
      </c>
      <c r="D3604" s="1" t="s">
        <v>11</v>
      </c>
      <c r="E3604" s="1" t="s">
        <v>11</v>
      </c>
    </row>
    <row r="3605" spans="1:5" ht="15.75" customHeight="1">
      <c r="A3605" s="1">
        <v>760810</v>
      </c>
      <c r="B3605" s="1" t="s">
        <v>3631</v>
      </c>
      <c r="C3605" s="1" t="str">
        <f ca="1">IFERROR(__xludf.DUMMYFUNCTION("REGEXEXTRACT(B3605, ""^([^:]+)"")"),"Aluminium")</f>
        <v>Aluminium</v>
      </c>
      <c r="D3605" s="1" t="s">
        <v>11</v>
      </c>
      <c r="E3605" s="1" t="s">
        <v>11</v>
      </c>
    </row>
    <row r="3606" spans="1:5" ht="15.75" customHeight="1">
      <c r="A3606" s="1">
        <v>760820</v>
      </c>
      <c r="B3606" s="1" t="s">
        <v>3632</v>
      </c>
      <c r="C3606" s="1" t="str">
        <f ca="1">IFERROR(__xludf.DUMMYFUNCTION("REGEXEXTRACT(B3606, ""^([^:]+)"")"),"Aluminium")</f>
        <v>Aluminium</v>
      </c>
      <c r="D3606" s="1" t="s">
        <v>11</v>
      </c>
      <c r="E3606" s="1" t="s">
        <v>11</v>
      </c>
    </row>
    <row r="3607" spans="1:5" ht="15.75" customHeight="1">
      <c r="A3607" s="1">
        <v>760900</v>
      </c>
      <c r="B3607" s="1" t="s">
        <v>3633</v>
      </c>
      <c r="C3607" s="1" t="str">
        <f ca="1">IFERROR(__xludf.DUMMYFUNCTION("REGEXEXTRACT(B3607, ""^([^:]+)"")"),"Aluminium")</f>
        <v>Aluminium</v>
      </c>
      <c r="D3607" s="1" t="s">
        <v>11</v>
      </c>
      <c r="E3607" s="1" t="s">
        <v>11</v>
      </c>
    </row>
    <row r="3608" spans="1:5" ht="15.75" customHeight="1">
      <c r="A3608" s="1">
        <v>761010</v>
      </c>
      <c r="B3608" s="1" t="s">
        <v>3634</v>
      </c>
      <c r="C3608" s="1" t="str">
        <f ca="1">IFERROR(__xludf.DUMMYFUNCTION("REGEXEXTRACT(B3608, ""^([^:]+)"")"),"Aluminium")</f>
        <v>Aluminium</v>
      </c>
      <c r="D3608" s="1" t="s">
        <v>11</v>
      </c>
      <c r="E3608" s="1" t="s">
        <v>11</v>
      </c>
    </row>
    <row r="3609" spans="1:5" ht="15.75" customHeight="1">
      <c r="A3609" s="1">
        <v>761090</v>
      </c>
      <c r="B3609" s="1" t="s">
        <v>3635</v>
      </c>
      <c r="C3609" s="1" t="str">
        <f ca="1">IFERROR(__xludf.DUMMYFUNCTION("REGEXEXTRACT(B3609, ""^([^:]+)"")"),"Aluminium")</f>
        <v>Aluminium</v>
      </c>
      <c r="D3609" s="1" t="s">
        <v>11</v>
      </c>
      <c r="E3609" s="1" t="s">
        <v>11</v>
      </c>
    </row>
    <row r="3610" spans="1:5" ht="15.75" customHeight="1">
      <c r="A3610" s="1">
        <v>761100</v>
      </c>
      <c r="B3610" s="1" t="s">
        <v>3636</v>
      </c>
      <c r="C3610" s="1" t="str">
        <f ca="1">IFERROR(__xludf.DUMMYFUNCTION("REGEXEXTRACT(B3610, ""^([^:]+)"")"),"Aluminium")</f>
        <v>Aluminium</v>
      </c>
      <c r="D3610" s="1" t="s">
        <v>11</v>
      </c>
      <c r="E3610" s="1" t="s">
        <v>11</v>
      </c>
    </row>
    <row r="3611" spans="1:5" ht="15.75" customHeight="1">
      <c r="A3611" s="1">
        <v>761210</v>
      </c>
      <c r="B3611" s="1" t="s">
        <v>3637</v>
      </c>
      <c r="C3611" s="1" t="str">
        <f ca="1">IFERROR(__xludf.DUMMYFUNCTION("REGEXEXTRACT(B3611, ""^([^:]+)"")"),"Aluminium")</f>
        <v>Aluminium</v>
      </c>
      <c r="D3611" s="1" t="s">
        <v>11</v>
      </c>
      <c r="E3611" s="1" t="s">
        <v>11</v>
      </c>
    </row>
    <row r="3612" spans="1:5" ht="15.75" customHeight="1">
      <c r="A3612" s="1">
        <v>761290</v>
      </c>
      <c r="B3612" s="1" t="s">
        <v>3638</v>
      </c>
      <c r="C3612" s="1" t="str">
        <f ca="1">IFERROR(__xludf.DUMMYFUNCTION("REGEXEXTRACT(B3612, ""^([^:]+)"")"),"Aluminium")</f>
        <v>Aluminium</v>
      </c>
      <c r="D3612" s="1" t="s">
        <v>11</v>
      </c>
      <c r="E3612" s="1" t="s">
        <v>11</v>
      </c>
    </row>
    <row r="3613" spans="1:5" ht="15.75" customHeight="1">
      <c r="A3613" s="1">
        <v>761300</v>
      </c>
      <c r="B3613" s="1" t="s">
        <v>3639</v>
      </c>
      <c r="C3613" s="1" t="str">
        <f ca="1">IFERROR(__xludf.DUMMYFUNCTION("REGEXEXTRACT(B3613, ""^([^:]+)"")"),"Aluminium")</f>
        <v>Aluminium</v>
      </c>
      <c r="D3613" s="1" t="s">
        <v>11</v>
      </c>
      <c r="E3613" s="1" t="s">
        <v>11</v>
      </c>
    </row>
    <row r="3614" spans="1:5" ht="15.75" customHeight="1">
      <c r="A3614" s="1">
        <v>761410</v>
      </c>
      <c r="B3614" s="1" t="s">
        <v>3640</v>
      </c>
      <c r="C3614" s="1" t="str">
        <f ca="1">IFERROR(__xludf.DUMMYFUNCTION("REGEXEXTRACT(B3614, ""^([^:]+)"")"),"Aluminium")</f>
        <v>Aluminium</v>
      </c>
      <c r="D3614" s="1" t="s">
        <v>11</v>
      </c>
      <c r="E3614" s="1" t="s">
        <v>11</v>
      </c>
    </row>
    <row r="3615" spans="1:5" ht="15.75" customHeight="1">
      <c r="A3615" s="1">
        <v>761490</v>
      </c>
      <c r="B3615" s="1" t="s">
        <v>3641</v>
      </c>
      <c r="C3615" s="1" t="str">
        <f ca="1">IFERROR(__xludf.DUMMYFUNCTION("REGEXEXTRACT(B3615, ""^([^:]+)"")"),"Aluminium")</f>
        <v>Aluminium</v>
      </c>
      <c r="D3615" s="1" t="s">
        <v>11</v>
      </c>
      <c r="E3615" s="1" t="s">
        <v>11</v>
      </c>
    </row>
    <row r="3616" spans="1:5" ht="15.75" customHeight="1">
      <c r="A3616" s="1">
        <v>761511</v>
      </c>
      <c r="B3616" s="1" t="s">
        <v>3642</v>
      </c>
      <c r="C3616" s="1" t="str">
        <f ca="1">IFERROR(__xludf.DUMMYFUNCTION("REGEXEXTRACT(B3616, ""^([^:]+)"")"),"Aluminium")</f>
        <v>Aluminium</v>
      </c>
      <c r="D3616" s="1" t="s">
        <v>11</v>
      </c>
      <c r="E3616" s="1" t="s">
        <v>11</v>
      </c>
    </row>
    <row r="3617" spans="1:5" ht="15.75" customHeight="1">
      <c r="A3617" s="1">
        <v>761519</v>
      </c>
      <c r="B3617" s="1" t="s">
        <v>3643</v>
      </c>
      <c r="C3617" s="1" t="str">
        <f ca="1">IFERROR(__xludf.DUMMYFUNCTION("REGEXEXTRACT(B3617, ""^([^:]+)"")"),"Aluminium")</f>
        <v>Aluminium</v>
      </c>
      <c r="D3617" s="1" t="s">
        <v>11</v>
      </c>
      <c r="E3617" s="1" t="s">
        <v>11</v>
      </c>
    </row>
    <row r="3618" spans="1:5" ht="15.75" customHeight="1">
      <c r="A3618" s="1">
        <v>761520</v>
      </c>
      <c r="B3618" s="1" t="s">
        <v>3644</v>
      </c>
      <c r="C3618" s="1" t="str">
        <f ca="1">IFERROR(__xludf.DUMMYFUNCTION("REGEXEXTRACT(B3618, ""^([^:]+)"")"),"Aluminium")</f>
        <v>Aluminium</v>
      </c>
      <c r="D3618" s="1" t="s">
        <v>11</v>
      </c>
      <c r="E3618" s="1" t="s">
        <v>11</v>
      </c>
    </row>
    <row r="3619" spans="1:5" ht="15.75" customHeight="1">
      <c r="A3619" s="1">
        <v>761610</v>
      </c>
      <c r="B3619" s="1" t="s">
        <v>3645</v>
      </c>
      <c r="C3619" s="1" t="str">
        <f ca="1">IFERROR(__xludf.DUMMYFUNCTION("REGEXEXTRACT(B3619, ""^([^:]+)"")"),"Aluminium")</f>
        <v>Aluminium</v>
      </c>
      <c r="D3619" s="1" t="s">
        <v>11</v>
      </c>
      <c r="E3619" s="1" t="s">
        <v>11</v>
      </c>
    </row>
    <row r="3620" spans="1:5" ht="15.75" customHeight="1">
      <c r="A3620" s="1">
        <v>761691</v>
      </c>
      <c r="B3620" s="1" t="s">
        <v>3646</v>
      </c>
      <c r="C3620" s="1" t="str">
        <f ca="1">IFERROR(__xludf.DUMMYFUNCTION("REGEXEXTRACT(B3620, ""^([^:]+)"")"),"Aluminium")</f>
        <v>Aluminium</v>
      </c>
      <c r="D3620" s="1" t="s">
        <v>11</v>
      </c>
      <c r="E3620" s="1" t="s">
        <v>11</v>
      </c>
    </row>
    <row r="3621" spans="1:5" ht="15.75" customHeight="1">
      <c r="A3621" s="1">
        <v>761699</v>
      </c>
      <c r="B3621" s="1" t="s">
        <v>3647</v>
      </c>
      <c r="C3621" s="1" t="str">
        <f ca="1">IFERROR(__xludf.DUMMYFUNCTION("REGEXEXTRACT(B3621, ""^([^:]+)"")"),"Aluminium")</f>
        <v>Aluminium</v>
      </c>
      <c r="D3621" s="1" t="s">
        <v>11</v>
      </c>
      <c r="E3621" s="1" t="s">
        <v>11</v>
      </c>
    </row>
    <row r="3622" spans="1:5" ht="15.75" customHeight="1">
      <c r="A3622" s="1">
        <v>780110</v>
      </c>
      <c r="B3622" s="1" t="s">
        <v>3648</v>
      </c>
      <c r="C3622" s="1" t="str">
        <f ca="1">IFERROR(__xludf.DUMMYFUNCTION("REGEXEXTRACT(B3622, ""^([^:]+)"")"),"Lead")</f>
        <v>Lead</v>
      </c>
      <c r="D3622" s="1" t="s">
        <v>11</v>
      </c>
      <c r="E3622" s="1" t="s">
        <v>11</v>
      </c>
    </row>
    <row r="3623" spans="1:5" ht="15.75" customHeight="1">
      <c r="A3623" s="1">
        <v>780191</v>
      </c>
      <c r="B3623" s="1" t="s">
        <v>3649</v>
      </c>
      <c r="C3623" s="1" t="str">
        <f ca="1">IFERROR(__xludf.DUMMYFUNCTION("REGEXEXTRACT(B3623, ""^([^:]+)"")"),"Lead")</f>
        <v>Lead</v>
      </c>
      <c r="D3623" s="1" t="s">
        <v>11</v>
      </c>
      <c r="E3623" s="1" t="s">
        <v>11</v>
      </c>
    </row>
    <row r="3624" spans="1:5" ht="15.75" customHeight="1">
      <c r="A3624" s="1">
        <v>780199</v>
      </c>
      <c r="B3624" s="1" t="s">
        <v>3650</v>
      </c>
      <c r="C3624" s="1" t="str">
        <f ca="1">IFERROR(__xludf.DUMMYFUNCTION("REGEXEXTRACT(B3624, ""^([^:]+)"")"),"Lead")</f>
        <v>Lead</v>
      </c>
      <c r="D3624" s="1" t="s">
        <v>11</v>
      </c>
      <c r="E3624" s="1" t="s">
        <v>11</v>
      </c>
    </row>
    <row r="3625" spans="1:5" ht="15.75" customHeight="1">
      <c r="A3625" s="1">
        <v>780200</v>
      </c>
      <c r="B3625" s="1" t="s">
        <v>3651</v>
      </c>
      <c r="C3625" s="1" t="str">
        <f ca="1">IFERROR(__xludf.DUMMYFUNCTION("REGEXEXTRACT(B3625, ""^([^:]+)"")"),"Lead")</f>
        <v>Lead</v>
      </c>
      <c r="D3625" s="1" t="s">
        <v>11</v>
      </c>
      <c r="E3625" s="1" t="s">
        <v>11</v>
      </c>
    </row>
    <row r="3626" spans="1:5" ht="15.75" customHeight="1">
      <c r="A3626" s="1">
        <v>780411</v>
      </c>
      <c r="B3626" s="1" t="s">
        <v>3652</v>
      </c>
      <c r="C3626" s="1" t="str">
        <f ca="1">IFERROR(__xludf.DUMMYFUNCTION("REGEXEXTRACT(B3626, ""^([^:]+)"")"),"Lead")</f>
        <v>Lead</v>
      </c>
      <c r="D3626" s="1" t="s">
        <v>11</v>
      </c>
      <c r="E3626" s="1" t="s">
        <v>11</v>
      </c>
    </row>
    <row r="3627" spans="1:5" ht="15.75" customHeight="1">
      <c r="A3627" s="1">
        <v>780419</v>
      </c>
      <c r="B3627" s="1" t="s">
        <v>3653</v>
      </c>
      <c r="C3627" s="1" t="str">
        <f ca="1">IFERROR(__xludf.DUMMYFUNCTION("REGEXEXTRACT(B3627, ""^([^:]+)"")"),"Lead")</f>
        <v>Lead</v>
      </c>
      <c r="D3627" s="1" t="s">
        <v>11</v>
      </c>
      <c r="E3627" s="1" t="s">
        <v>11</v>
      </c>
    </row>
    <row r="3628" spans="1:5" ht="15.75" customHeight="1">
      <c r="A3628" s="1">
        <v>780420</v>
      </c>
      <c r="B3628" s="1" t="s">
        <v>3654</v>
      </c>
      <c r="C3628" s="1" t="str">
        <f ca="1">IFERROR(__xludf.DUMMYFUNCTION("REGEXEXTRACT(B3628, ""^([^:]+)"")"),"Lead")</f>
        <v>Lead</v>
      </c>
      <c r="D3628" s="1" t="s">
        <v>11</v>
      </c>
      <c r="E3628" s="1" t="s">
        <v>11</v>
      </c>
    </row>
    <row r="3629" spans="1:5" ht="15.75" customHeight="1">
      <c r="A3629" s="1">
        <v>780600</v>
      </c>
      <c r="B3629" s="1" t="s">
        <v>3655</v>
      </c>
      <c r="C3629" s="1" t="str">
        <f ca="1">IFERROR(__xludf.DUMMYFUNCTION("REGEXEXTRACT(B3629, ""^([^:]+)"")"),"Lead")</f>
        <v>Lead</v>
      </c>
      <c r="D3629" s="1" t="s">
        <v>11</v>
      </c>
      <c r="E3629" s="1" t="s">
        <v>11</v>
      </c>
    </row>
    <row r="3630" spans="1:5" ht="15.75" customHeight="1">
      <c r="A3630" s="1">
        <v>790111</v>
      </c>
      <c r="B3630" s="1" t="s">
        <v>3656</v>
      </c>
      <c r="C3630" s="1" t="str">
        <f ca="1">IFERROR(__xludf.DUMMYFUNCTION("REGEXEXTRACT(B3630, ""^([^:]+)"")"),"Zinc")</f>
        <v>Zinc</v>
      </c>
      <c r="D3630" s="1" t="s">
        <v>11</v>
      </c>
      <c r="E3630" s="1" t="s">
        <v>11</v>
      </c>
    </row>
    <row r="3631" spans="1:5" ht="15.75" customHeight="1">
      <c r="A3631" s="1">
        <v>790112</v>
      </c>
      <c r="B3631" s="1" t="s">
        <v>3657</v>
      </c>
      <c r="C3631" s="1" t="str">
        <f ca="1">IFERROR(__xludf.DUMMYFUNCTION("REGEXEXTRACT(B3631, ""^([^:]+)"")"),"Zinc")</f>
        <v>Zinc</v>
      </c>
      <c r="D3631" s="1" t="s">
        <v>11</v>
      </c>
      <c r="E3631" s="1" t="s">
        <v>11</v>
      </c>
    </row>
    <row r="3632" spans="1:5" ht="15.75" customHeight="1">
      <c r="A3632" s="1">
        <v>790120</v>
      </c>
      <c r="B3632" s="1" t="s">
        <v>3658</v>
      </c>
      <c r="C3632" s="1" t="str">
        <f ca="1">IFERROR(__xludf.DUMMYFUNCTION("REGEXEXTRACT(B3632, ""^([^:]+)"")"),"Zinc")</f>
        <v>Zinc</v>
      </c>
      <c r="D3632" s="1" t="s">
        <v>11</v>
      </c>
      <c r="E3632" s="1" t="s">
        <v>11</v>
      </c>
    </row>
    <row r="3633" spans="1:5" ht="15.75" customHeight="1">
      <c r="A3633" s="1">
        <v>790200</v>
      </c>
      <c r="B3633" s="1" t="s">
        <v>3659</v>
      </c>
      <c r="C3633" s="1" t="str">
        <f ca="1">IFERROR(__xludf.DUMMYFUNCTION("REGEXEXTRACT(B3633, ""^([^:]+)"")"),"Zinc")</f>
        <v>Zinc</v>
      </c>
      <c r="D3633" s="1" t="s">
        <v>11</v>
      </c>
      <c r="E3633" s="1" t="s">
        <v>11</v>
      </c>
    </row>
    <row r="3634" spans="1:5" ht="15.75" customHeight="1">
      <c r="A3634" s="1">
        <v>790310</v>
      </c>
      <c r="B3634" s="1" t="s">
        <v>3660</v>
      </c>
      <c r="C3634" s="1" t="str">
        <f ca="1">IFERROR(__xludf.DUMMYFUNCTION("REGEXEXTRACT(B3634, ""^([^:]+)"")"),"Zinc dust")</f>
        <v>Zinc dust</v>
      </c>
      <c r="D3634" s="1" t="s">
        <v>11</v>
      </c>
      <c r="E3634" s="1" t="s">
        <v>11</v>
      </c>
    </row>
    <row r="3635" spans="1:5" ht="15.75" customHeight="1">
      <c r="A3635" s="1">
        <v>790390</v>
      </c>
      <c r="B3635" s="1" t="s">
        <v>3661</v>
      </c>
      <c r="C3635" s="1" t="str">
        <f ca="1">IFERROR(__xludf.DUMMYFUNCTION("REGEXEXTRACT(B3635, ""^([^:]+)"")"),"Zinc")</f>
        <v>Zinc</v>
      </c>
      <c r="D3635" s="1" t="s">
        <v>11</v>
      </c>
      <c r="E3635" s="1" t="s">
        <v>11</v>
      </c>
    </row>
    <row r="3636" spans="1:5" ht="15.75" customHeight="1">
      <c r="A3636" s="1">
        <v>790400</v>
      </c>
      <c r="B3636" s="1" t="s">
        <v>3662</v>
      </c>
      <c r="C3636" s="1" t="str">
        <f ca="1">IFERROR(__xludf.DUMMYFUNCTION("REGEXEXTRACT(B3636, ""^([^:]+)"")"),"Zinc")</f>
        <v>Zinc</v>
      </c>
      <c r="D3636" s="1" t="s">
        <v>11</v>
      </c>
      <c r="E3636" s="1" t="s">
        <v>11</v>
      </c>
    </row>
    <row r="3637" spans="1:5" ht="15.75" customHeight="1">
      <c r="A3637" s="1">
        <v>790500</v>
      </c>
      <c r="B3637" s="1" t="s">
        <v>3663</v>
      </c>
      <c r="C3637" s="1" t="str">
        <f ca="1">IFERROR(__xludf.DUMMYFUNCTION("REGEXEXTRACT(B3637, ""^([^:]+)"")"),"Zinc")</f>
        <v>Zinc</v>
      </c>
      <c r="D3637" s="1" t="s">
        <v>11</v>
      </c>
      <c r="E3637" s="1" t="s">
        <v>11</v>
      </c>
    </row>
    <row r="3638" spans="1:5" ht="15.75" customHeight="1">
      <c r="A3638" s="1">
        <v>790700</v>
      </c>
      <c r="B3638" s="1" t="s">
        <v>3664</v>
      </c>
      <c r="C3638" s="1" t="str">
        <f ca="1">IFERROR(__xludf.DUMMYFUNCTION("REGEXEXTRACT(B3638, ""^([^:]+)"")"),"Zinc")</f>
        <v>Zinc</v>
      </c>
      <c r="D3638" s="1" t="s">
        <v>11</v>
      </c>
      <c r="E3638" s="1" t="s">
        <v>11</v>
      </c>
    </row>
    <row r="3639" spans="1:5" ht="15.75" customHeight="1">
      <c r="A3639" s="1">
        <v>800110</v>
      </c>
      <c r="B3639" s="1" t="s">
        <v>3665</v>
      </c>
      <c r="C3639" s="1" t="str">
        <f ca="1">IFERROR(__xludf.DUMMYFUNCTION("REGEXEXTRACT(B3639, ""^([^:]+)"")"),"Tin")</f>
        <v>Tin</v>
      </c>
      <c r="D3639" s="1" t="s">
        <v>11</v>
      </c>
      <c r="E3639" s="1" t="s">
        <v>11</v>
      </c>
    </row>
    <row r="3640" spans="1:5" ht="15.75" customHeight="1">
      <c r="A3640" s="1">
        <v>800120</v>
      </c>
      <c r="B3640" s="1" t="s">
        <v>3666</v>
      </c>
      <c r="C3640" s="1" t="str">
        <f ca="1">IFERROR(__xludf.DUMMYFUNCTION("REGEXEXTRACT(B3640, ""^([^:]+)"")"),"Tin")</f>
        <v>Tin</v>
      </c>
      <c r="D3640" s="1" t="s">
        <v>11</v>
      </c>
      <c r="E3640" s="1" t="s">
        <v>11</v>
      </c>
    </row>
    <row r="3641" spans="1:5" ht="15.75" customHeight="1">
      <c r="A3641" s="1">
        <v>800200</v>
      </c>
      <c r="B3641" s="1" t="s">
        <v>3667</v>
      </c>
      <c r="C3641" s="1" t="str">
        <f ca="1">IFERROR(__xludf.DUMMYFUNCTION("REGEXEXTRACT(B3641, ""^([^:]+)"")"),"Tin")</f>
        <v>Tin</v>
      </c>
      <c r="D3641" s="1" t="s">
        <v>11</v>
      </c>
      <c r="E3641" s="1" t="s">
        <v>11</v>
      </c>
    </row>
    <row r="3642" spans="1:5" ht="15.75" customHeight="1">
      <c r="A3642" s="1">
        <v>800300</v>
      </c>
      <c r="B3642" s="1" t="s">
        <v>3668</v>
      </c>
      <c r="C3642" s="1" t="str">
        <f ca="1">IFERROR(__xludf.DUMMYFUNCTION("REGEXEXTRACT(B3642, ""^([^:]+)"")"),"Tin")</f>
        <v>Tin</v>
      </c>
      <c r="D3642" s="1" t="s">
        <v>11</v>
      </c>
      <c r="E3642" s="1" t="s">
        <v>11</v>
      </c>
    </row>
    <row r="3643" spans="1:5" ht="15.75" customHeight="1">
      <c r="A3643" s="1">
        <v>800700</v>
      </c>
      <c r="B3643" s="1" t="s">
        <v>3669</v>
      </c>
      <c r="C3643" s="1" t="str">
        <f ca="1">IFERROR(__xludf.DUMMYFUNCTION("REGEXEXTRACT(B3643, ""^([^:]+)"")"),"Tin")</f>
        <v>Tin</v>
      </c>
      <c r="D3643" s="1" t="s">
        <v>11</v>
      </c>
      <c r="E3643" s="1" t="s">
        <v>11</v>
      </c>
    </row>
    <row r="3644" spans="1:5" ht="15.75" customHeight="1">
      <c r="A3644" s="1">
        <v>810110</v>
      </c>
      <c r="B3644" s="1" t="s">
        <v>3670</v>
      </c>
      <c r="C3644" s="1" t="str">
        <f ca="1">IFERROR(__xludf.DUMMYFUNCTION("REGEXEXTRACT(B3644, ""^([^:]+)"")"),"Tungsten (wolfram)")</f>
        <v>Tungsten (wolfram)</v>
      </c>
      <c r="D3644" s="1" t="s">
        <v>11</v>
      </c>
      <c r="E3644" s="1" t="s">
        <v>11</v>
      </c>
    </row>
    <row r="3645" spans="1:5" ht="15.75" customHeight="1">
      <c r="A3645" s="1">
        <v>810194</v>
      </c>
      <c r="B3645" s="1" t="s">
        <v>3671</v>
      </c>
      <c r="C3645" s="1" t="str">
        <f ca="1">IFERROR(__xludf.DUMMYFUNCTION("REGEXEXTRACT(B3645, ""^([^:]+)"")"),"Tungsten (wolfram)")</f>
        <v>Tungsten (wolfram)</v>
      </c>
      <c r="D3645" s="1" t="s">
        <v>11</v>
      </c>
      <c r="E3645" s="1" t="s">
        <v>11</v>
      </c>
    </row>
    <row r="3646" spans="1:5" ht="15.75" customHeight="1">
      <c r="A3646" s="1">
        <v>810196</v>
      </c>
      <c r="B3646" s="1" t="s">
        <v>3672</v>
      </c>
      <c r="C3646" s="1" t="str">
        <f ca="1">IFERROR(__xludf.DUMMYFUNCTION("REGEXEXTRACT(B3646, ""^([^:]+)"")"),"Tungsten (wolfram)")</f>
        <v>Tungsten (wolfram)</v>
      </c>
      <c r="D3646" s="1" t="s">
        <v>11</v>
      </c>
      <c r="E3646" s="1" t="s">
        <v>11</v>
      </c>
    </row>
    <row r="3647" spans="1:5" ht="15.75" customHeight="1">
      <c r="A3647" s="1">
        <v>810197</v>
      </c>
      <c r="B3647" s="1" t="s">
        <v>3673</v>
      </c>
      <c r="C3647" s="1" t="str">
        <f ca="1">IFERROR(__xludf.DUMMYFUNCTION("REGEXEXTRACT(B3647, ""^([^:]+)"")"),"Tungsten (wolfram)")</f>
        <v>Tungsten (wolfram)</v>
      </c>
      <c r="D3647" s="1" t="s">
        <v>11</v>
      </c>
      <c r="E3647" s="1" t="s">
        <v>11</v>
      </c>
    </row>
    <row r="3648" spans="1:5" ht="15.75" customHeight="1">
      <c r="A3648" s="1">
        <v>810199</v>
      </c>
      <c r="B3648" s="1" t="s">
        <v>3674</v>
      </c>
      <c r="C3648" s="1" t="str">
        <f ca="1">IFERROR(__xludf.DUMMYFUNCTION("REGEXEXTRACT(B3648, ""^([^:]+)"")"),"Tungsten (wolfram)")</f>
        <v>Tungsten (wolfram)</v>
      </c>
      <c r="D3648" s="1" t="s">
        <v>11</v>
      </c>
      <c r="E3648" s="1" t="s">
        <v>11</v>
      </c>
    </row>
    <row r="3649" spans="1:5" ht="15.75" customHeight="1">
      <c r="A3649" s="1">
        <v>810210</v>
      </c>
      <c r="B3649" s="1" t="s">
        <v>3675</v>
      </c>
      <c r="C3649" s="1" t="str">
        <f ca="1">IFERROR(__xludf.DUMMYFUNCTION("REGEXEXTRACT(B3649, ""^([^:]+)"")"),"Molybdenum")</f>
        <v>Molybdenum</v>
      </c>
      <c r="D3649" s="1" t="s">
        <v>11</v>
      </c>
      <c r="E3649" s="1" t="s">
        <v>11</v>
      </c>
    </row>
    <row r="3650" spans="1:5" ht="15.75" customHeight="1">
      <c r="A3650" s="1">
        <v>810294</v>
      </c>
      <c r="B3650" s="1" t="s">
        <v>3676</v>
      </c>
      <c r="C3650" s="1" t="str">
        <f ca="1">IFERROR(__xludf.DUMMYFUNCTION("REGEXEXTRACT(B3650, ""^([^:]+)"")"),"Molybdenum")</f>
        <v>Molybdenum</v>
      </c>
      <c r="D3650" s="1" t="s">
        <v>11</v>
      </c>
      <c r="E3650" s="1" t="s">
        <v>11</v>
      </c>
    </row>
    <row r="3651" spans="1:5" ht="15.75" customHeight="1">
      <c r="A3651" s="1">
        <v>810295</v>
      </c>
      <c r="B3651" s="1" t="s">
        <v>3677</v>
      </c>
      <c r="C3651" s="1" t="str">
        <f ca="1">IFERROR(__xludf.DUMMYFUNCTION("REGEXEXTRACT(B3651, ""^([^:]+)"")"),"Molybdenum")</f>
        <v>Molybdenum</v>
      </c>
      <c r="D3651" s="1" t="s">
        <v>11</v>
      </c>
      <c r="E3651" s="1" t="s">
        <v>11</v>
      </c>
    </row>
    <row r="3652" spans="1:5" ht="15.75" customHeight="1">
      <c r="A3652" s="1">
        <v>810296</v>
      </c>
      <c r="B3652" s="1" t="s">
        <v>3678</v>
      </c>
      <c r="C3652" s="1" t="str">
        <f ca="1">IFERROR(__xludf.DUMMYFUNCTION("REGEXEXTRACT(B3652, ""^([^:]+)"")"),"Molybdenum")</f>
        <v>Molybdenum</v>
      </c>
      <c r="D3652" s="1" t="s">
        <v>11</v>
      </c>
      <c r="E3652" s="1" t="s">
        <v>11</v>
      </c>
    </row>
    <row r="3653" spans="1:5" ht="15.75" customHeight="1">
      <c r="A3653" s="1">
        <v>810297</v>
      </c>
      <c r="B3653" s="1" t="s">
        <v>3679</v>
      </c>
      <c r="C3653" s="1" t="str">
        <f ca="1">IFERROR(__xludf.DUMMYFUNCTION("REGEXEXTRACT(B3653, ""^([^:]+)"")"),"Molybdenum")</f>
        <v>Molybdenum</v>
      </c>
      <c r="D3653" s="1" t="s">
        <v>11</v>
      </c>
      <c r="E3653" s="1" t="s">
        <v>11</v>
      </c>
    </row>
    <row r="3654" spans="1:5" ht="15.75" customHeight="1">
      <c r="A3654" s="1">
        <v>810299</v>
      </c>
      <c r="B3654" s="1" t="s">
        <v>3680</v>
      </c>
      <c r="C3654" s="1" t="str">
        <f ca="1">IFERROR(__xludf.DUMMYFUNCTION("REGEXEXTRACT(B3654, ""^([^:]+)"")"),"Molybdenum")</f>
        <v>Molybdenum</v>
      </c>
      <c r="D3654" s="1" t="s">
        <v>11</v>
      </c>
      <c r="E3654" s="1" t="s">
        <v>11</v>
      </c>
    </row>
    <row r="3655" spans="1:5" ht="15.75" customHeight="1">
      <c r="A3655" s="1">
        <v>810320</v>
      </c>
      <c r="B3655" s="1" t="s">
        <v>3681</v>
      </c>
      <c r="C3655" s="1" t="str">
        <f ca="1">IFERROR(__xludf.DUMMYFUNCTION("REGEXEXTRACT(B3655, ""^([^:]+)"")"),"Tantalum")</f>
        <v>Tantalum</v>
      </c>
      <c r="D3655" s="1" t="s">
        <v>11</v>
      </c>
      <c r="E3655" s="1" t="s">
        <v>11</v>
      </c>
    </row>
    <row r="3656" spans="1:5" ht="15.75" customHeight="1">
      <c r="A3656" s="1">
        <v>810330</v>
      </c>
      <c r="B3656" s="1" t="s">
        <v>3682</v>
      </c>
      <c r="C3656" s="1" t="str">
        <f ca="1">IFERROR(__xludf.DUMMYFUNCTION("REGEXEXTRACT(B3656, ""^([^:]+)"")"),"Tantalum")</f>
        <v>Tantalum</v>
      </c>
      <c r="D3656" s="1" t="s">
        <v>11</v>
      </c>
      <c r="E3656" s="1" t="s">
        <v>11</v>
      </c>
    </row>
    <row r="3657" spans="1:5" ht="15.75" customHeight="1">
      <c r="A3657" s="1">
        <v>810390</v>
      </c>
      <c r="B3657" s="1" t="s">
        <v>3683</v>
      </c>
      <c r="C3657" s="1" t="str">
        <f ca="1">IFERROR(__xludf.DUMMYFUNCTION("REGEXEXTRACT(B3657, ""^([^:]+)"")"),"Tantalum")</f>
        <v>Tantalum</v>
      </c>
      <c r="D3657" s="1" t="s">
        <v>11</v>
      </c>
      <c r="E3657" s="1" t="s">
        <v>11</v>
      </c>
    </row>
    <row r="3658" spans="1:5" ht="15.75" customHeight="1">
      <c r="A3658" s="1">
        <v>810411</v>
      </c>
      <c r="B3658" s="1" t="s">
        <v>3684</v>
      </c>
      <c r="C3658" s="1" t="str">
        <f ca="1">IFERROR(__xludf.DUMMYFUNCTION("REGEXEXTRACT(B3658, ""^([^:]+)"")"),"Magnesium")</f>
        <v>Magnesium</v>
      </c>
      <c r="D3658" s="1" t="s">
        <v>11</v>
      </c>
      <c r="E3658" s="1" t="s">
        <v>11</v>
      </c>
    </row>
    <row r="3659" spans="1:5" ht="15.75" customHeight="1">
      <c r="A3659" s="1">
        <v>810419</v>
      </c>
      <c r="B3659" s="1" t="s">
        <v>3685</v>
      </c>
      <c r="C3659" s="1" t="str">
        <f ca="1">IFERROR(__xludf.DUMMYFUNCTION("REGEXEXTRACT(B3659, ""^([^:]+)"")"),"Magnesium")</f>
        <v>Magnesium</v>
      </c>
      <c r="D3659" s="1" t="s">
        <v>11</v>
      </c>
      <c r="E3659" s="1" t="s">
        <v>11</v>
      </c>
    </row>
    <row r="3660" spans="1:5" ht="15.75" customHeight="1">
      <c r="A3660" s="1">
        <v>810420</v>
      </c>
      <c r="B3660" s="1" t="s">
        <v>3686</v>
      </c>
      <c r="C3660" s="1" t="str">
        <f ca="1">IFERROR(__xludf.DUMMYFUNCTION("REGEXEXTRACT(B3660, ""^([^:]+)"")"),"Magnesium")</f>
        <v>Magnesium</v>
      </c>
      <c r="D3660" s="1" t="s">
        <v>11</v>
      </c>
      <c r="E3660" s="1" t="s">
        <v>11</v>
      </c>
    </row>
    <row r="3661" spans="1:5" ht="15.75" customHeight="1">
      <c r="A3661" s="1">
        <v>810430</v>
      </c>
      <c r="B3661" s="1" t="s">
        <v>3687</v>
      </c>
      <c r="C3661" s="1" t="str">
        <f ca="1">IFERROR(__xludf.DUMMYFUNCTION("REGEXEXTRACT(B3661, ""^([^:]+)"")"),"Magnesium")</f>
        <v>Magnesium</v>
      </c>
      <c r="D3661" s="1" t="s">
        <v>11</v>
      </c>
      <c r="E3661" s="1" t="s">
        <v>11</v>
      </c>
    </row>
    <row r="3662" spans="1:5" ht="15.75" customHeight="1">
      <c r="A3662" s="1">
        <v>810490</v>
      </c>
      <c r="B3662" s="1" t="s">
        <v>3688</v>
      </c>
      <c r="C3662" s="1" t="str">
        <f ca="1">IFERROR(__xludf.DUMMYFUNCTION("REGEXEXTRACT(B3662, ""^([^:]+)"")"),"Magnesium")</f>
        <v>Magnesium</v>
      </c>
      <c r="D3662" s="1" t="s">
        <v>11</v>
      </c>
      <c r="E3662" s="1" t="s">
        <v>11</v>
      </c>
    </row>
    <row r="3663" spans="1:5" ht="15.75" customHeight="1">
      <c r="A3663" s="1">
        <v>810520</v>
      </c>
      <c r="B3663" s="1" t="s">
        <v>3689</v>
      </c>
      <c r="C3663" s="1" t="str">
        <f ca="1">IFERROR(__xludf.DUMMYFUNCTION("REGEXEXTRACT(B3663, ""^([^:]+)"")"),"Cobalt")</f>
        <v>Cobalt</v>
      </c>
      <c r="D3663" s="1" t="s">
        <v>11</v>
      </c>
      <c r="E3663" s="1" t="s">
        <v>11</v>
      </c>
    </row>
    <row r="3664" spans="1:5" ht="15.75" customHeight="1">
      <c r="A3664" s="1">
        <v>810530</v>
      </c>
      <c r="B3664" s="1" t="s">
        <v>3690</v>
      </c>
      <c r="C3664" s="1" t="str">
        <f ca="1">IFERROR(__xludf.DUMMYFUNCTION("REGEXEXTRACT(B3664, ""^([^:]+)"")"),"Cobalt")</f>
        <v>Cobalt</v>
      </c>
      <c r="D3664" s="1" t="s">
        <v>11</v>
      </c>
      <c r="E3664" s="1" t="s">
        <v>11</v>
      </c>
    </row>
    <row r="3665" spans="1:5" ht="15.75" customHeight="1">
      <c r="A3665" s="1">
        <v>810590</v>
      </c>
      <c r="B3665" s="1" t="s">
        <v>3691</v>
      </c>
      <c r="C3665" s="1" t="str">
        <f ca="1">IFERROR(__xludf.DUMMYFUNCTION("REGEXEXTRACT(B3665, ""^([^:]+)"")"),"Cobalt")</f>
        <v>Cobalt</v>
      </c>
      <c r="D3665" s="1" t="s">
        <v>11</v>
      </c>
      <c r="E3665" s="1" t="s">
        <v>11</v>
      </c>
    </row>
    <row r="3666" spans="1:5" ht="15.75" customHeight="1">
      <c r="A3666" s="1">
        <v>810600</v>
      </c>
      <c r="B3666" s="1" t="s">
        <v>3692</v>
      </c>
      <c r="C3666" s="1" t="str">
        <f ca="1">IFERROR(__xludf.DUMMYFUNCTION("REGEXEXTRACT(B3666, ""^([^:]+)"")"),"Bismuth")</f>
        <v>Bismuth</v>
      </c>
      <c r="D3666" s="1" t="s">
        <v>11</v>
      </c>
      <c r="E3666" s="1" t="s">
        <v>11</v>
      </c>
    </row>
    <row r="3667" spans="1:5" ht="15.75" customHeight="1">
      <c r="A3667" s="1">
        <v>810720</v>
      </c>
      <c r="B3667" s="1" t="s">
        <v>3693</v>
      </c>
      <c r="C3667" s="1" t="str">
        <f ca="1">IFERROR(__xludf.DUMMYFUNCTION("REGEXEXTRACT(B3667, ""^([^:]+)"")"),"Cadmium")</f>
        <v>Cadmium</v>
      </c>
      <c r="D3667" s="1" t="s">
        <v>11</v>
      </c>
      <c r="E3667" s="1" t="s">
        <v>11</v>
      </c>
    </row>
    <row r="3668" spans="1:5" ht="15.75" customHeight="1">
      <c r="A3668" s="1">
        <v>810730</v>
      </c>
      <c r="B3668" s="1" t="s">
        <v>3694</v>
      </c>
      <c r="C3668" s="1" t="str">
        <f ca="1">IFERROR(__xludf.DUMMYFUNCTION("REGEXEXTRACT(B3668, ""^([^:]+)"")"),"Cadmium")</f>
        <v>Cadmium</v>
      </c>
      <c r="D3668" s="1" t="s">
        <v>11</v>
      </c>
      <c r="E3668" s="1" t="s">
        <v>11</v>
      </c>
    </row>
    <row r="3669" spans="1:5" ht="15.75" customHeight="1">
      <c r="A3669" s="1">
        <v>810790</v>
      </c>
      <c r="B3669" s="1" t="s">
        <v>3695</v>
      </c>
      <c r="C3669" s="1" t="str">
        <f ca="1">IFERROR(__xludf.DUMMYFUNCTION("REGEXEXTRACT(B3669, ""^([^:]+)"")"),"Cadmium")</f>
        <v>Cadmium</v>
      </c>
      <c r="D3669" s="1" t="s">
        <v>11</v>
      </c>
      <c r="E3669" s="1" t="s">
        <v>11</v>
      </c>
    </row>
    <row r="3670" spans="1:5" ht="15.75" customHeight="1">
      <c r="A3670" s="1">
        <v>810820</v>
      </c>
      <c r="B3670" s="1" t="s">
        <v>3696</v>
      </c>
      <c r="C3670" s="1" t="str">
        <f ca="1">IFERROR(__xludf.DUMMYFUNCTION("REGEXEXTRACT(B3670, ""^([^:]+)"")"),"Titanium")</f>
        <v>Titanium</v>
      </c>
      <c r="D3670" s="1" t="s">
        <v>11</v>
      </c>
      <c r="E3670" s="1" t="s">
        <v>11</v>
      </c>
    </row>
    <row r="3671" spans="1:5" ht="15.75" customHeight="1">
      <c r="A3671" s="1">
        <v>810830</v>
      </c>
      <c r="B3671" s="1" t="s">
        <v>3697</v>
      </c>
      <c r="C3671" s="1" t="str">
        <f ca="1">IFERROR(__xludf.DUMMYFUNCTION("REGEXEXTRACT(B3671, ""^([^:]+)"")"),"Titanium")</f>
        <v>Titanium</v>
      </c>
      <c r="D3671" s="1" t="s">
        <v>11</v>
      </c>
      <c r="E3671" s="1" t="s">
        <v>11</v>
      </c>
    </row>
    <row r="3672" spans="1:5" ht="15.75" customHeight="1">
      <c r="A3672" s="1">
        <v>810890</v>
      </c>
      <c r="B3672" s="1" t="s">
        <v>3698</v>
      </c>
      <c r="C3672" s="1" t="str">
        <f ca="1">IFERROR(__xludf.DUMMYFUNCTION("REGEXEXTRACT(B3672, ""^([^:]+)"")"),"Titanium")</f>
        <v>Titanium</v>
      </c>
      <c r="D3672" s="1" t="s">
        <v>11</v>
      </c>
      <c r="E3672" s="1" t="s">
        <v>11</v>
      </c>
    </row>
    <row r="3673" spans="1:5" ht="15.75" customHeight="1">
      <c r="A3673" s="1">
        <v>810920</v>
      </c>
      <c r="B3673" s="1" t="s">
        <v>3699</v>
      </c>
      <c r="C3673" s="1" t="str">
        <f ca="1">IFERROR(__xludf.DUMMYFUNCTION("REGEXEXTRACT(B3673, ""^([^:]+)"")"),"Zirconium")</f>
        <v>Zirconium</v>
      </c>
      <c r="D3673" s="1" t="s">
        <v>11</v>
      </c>
      <c r="E3673" s="1" t="s">
        <v>11</v>
      </c>
    </row>
    <row r="3674" spans="1:5" ht="15.75" customHeight="1">
      <c r="A3674" s="1">
        <v>810930</v>
      </c>
      <c r="B3674" s="1" t="s">
        <v>3700</v>
      </c>
      <c r="C3674" s="1" t="str">
        <f ca="1">IFERROR(__xludf.DUMMYFUNCTION("REGEXEXTRACT(B3674, ""^([^:]+)"")"),"Zirconium")</f>
        <v>Zirconium</v>
      </c>
      <c r="D3674" s="1" t="s">
        <v>11</v>
      </c>
      <c r="E3674" s="1" t="s">
        <v>11</v>
      </c>
    </row>
    <row r="3675" spans="1:5" ht="15.75" customHeight="1">
      <c r="A3675" s="1">
        <v>810990</v>
      </c>
      <c r="B3675" s="1" t="s">
        <v>3701</v>
      </c>
      <c r="C3675" s="1" t="str">
        <f ca="1">IFERROR(__xludf.DUMMYFUNCTION("REGEXEXTRACT(B3675, ""^([^:]+)"")"),"Zirconium")</f>
        <v>Zirconium</v>
      </c>
      <c r="D3675" s="1" t="s">
        <v>11</v>
      </c>
      <c r="E3675" s="1" t="s">
        <v>11</v>
      </c>
    </row>
    <row r="3676" spans="1:5" ht="15.75" customHeight="1">
      <c r="A3676" s="1">
        <v>811010</v>
      </c>
      <c r="B3676" s="1" t="s">
        <v>3702</v>
      </c>
      <c r="C3676" s="1" t="str">
        <f ca="1">IFERROR(__xludf.DUMMYFUNCTION("REGEXEXTRACT(B3676, ""^([^:]+)"")"),"Antimony and articles thereof")</f>
        <v>Antimony and articles thereof</v>
      </c>
      <c r="D3676" s="1" t="s">
        <v>11</v>
      </c>
      <c r="E3676" s="1" t="s">
        <v>11</v>
      </c>
    </row>
    <row r="3677" spans="1:5" ht="15.75" customHeight="1">
      <c r="A3677" s="1">
        <v>811020</v>
      </c>
      <c r="B3677" s="1" t="s">
        <v>3703</v>
      </c>
      <c r="C3677" s="1" t="str">
        <f ca="1">IFERROR(__xludf.DUMMYFUNCTION("REGEXEXTRACT(B3677, ""^([^:]+)"")"),"Antimony")</f>
        <v>Antimony</v>
      </c>
      <c r="D3677" s="1" t="s">
        <v>11</v>
      </c>
      <c r="E3677" s="1" t="s">
        <v>11</v>
      </c>
    </row>
    <row r="3678" spans="1:5" ht="15.75" customHeight="1">
      <c r="A3678" s="1">
        <v>811090</v>
      </c>
      <c r="B3678" s="1" t="s">
        <v>3704</v>
      </c>
      <c r="C3678" s="1" t="str">
        <f ca="1">IFERROR(__xludf.DUMMYFUNCTION("REGEXEXTRACT(B3678, ""^([^:]+)"")"),"Antimony and articles thereof")</f>
        <v>Antimony and articles thereof</v>
      </c>
      <c r="D3678" s="1" t="s">
        <v>11</v>
      </c>
      <c r="E3678" s="1" t="s">
        <v>11</v>
      </c>
    </row>
    <row r="3679" spans="1:5" ht="15.75" customHeight="1">
      <c r="A3679" s="1">
        <v>811100</v>
      </c>
      <c r="B3679" s="1" t="s">
        <v>3705</v>
      </c>
      <c r="C3679" s="1" t="str">
        <f ca="1">IFERROR(__xludf.DUMMYFUNCTION("REGEXEXTRACT(B3679, ""^([^:]+)"")"),"Manganese")</f>
        <v>Manganese</v>
      </c>
      <c r="D3679" s="1" t="s">
        <v>11</v>
      </c>
      <c r="E3679" s="1" t="s">
        <v>11</v>
      </c>
    </row>
    <row r="3680" spans="1:5" ht="15.75" customHeight="1">
      <c r="A3680" s="1">
        <v>811212</v>
      </c>
      <c r="B3680" s="1" t="s">
        <v>3706</v>
      </c>
      <c r="C3680" s="1" t="str">
        <f ca="1">IFERROR(__xludf.DUMMYFUNCTION("REGEXEXTRACT(B3680, ""^([^:]+)"")"),"Beryllium and articles thereof")</f>
        <v>Beryllium and articles thereof</v>
      </c>
      <c r="D3680" s="1" t="s">
        <v>11</v>
      </c>
      <c r="E3680" s="1" t="s">
        <v>11</v>
      </c>
    </row>
    <row r="3681" spans="1:5" ht="15.75" customHeight="1">
      <c r="A3681" s="1">
        <v>811213</v>
      </c>
      <c r="B3681" s="1" t="s">
        <v>3707</v>
      </c>
      <c r="C3681" s="1" t="str">
        <f ca="1">IFERROR(__xludf.DUMMYFUNCTION("REGEXEXTRACT(B3681, ""^([^:]+)"")"),"Beryllium")</f>
        <v>Beryllium</v>
      </c>
      <c r="D3681" s="1" t="s">
        <v>11</v>
      </c>
      <c r="E3681" s="1" t="s">
        <v>11</v>
      </c>
    </row>
    <row r="3682" spans="1:5" ht="15.75" customHeight="1">
      <c r="A3682" s="1">
        <v>811219</v>
      </c>
      <c r="B3682" s="1" t="s">
        <v>3708</v>
      </c>
      <c r="C3682" s="1" t="str">
        <f ca="1">IFERROR(__xludf.DUMMYFUNCTION("REGEXEXTRACT(B3682, ""^([^:]+)"")"),"Beryllium and articles thereof")</f>
        <v>Beryllium and articles thereof</v>
      </c>
      <c r="D3682" s="1" t="s">
        <v>11</v>
      </c>
      <c r="E3682" s="1" t="s">
        <v>11</v>
      </c>
    </row>
    <row r="3683" spans="1:5" ht="15.75" customHeight="1">
      <c r="A3683" s="1">
        <v>811221</v>
      </c>
      <c r="B3683" s="1" t="s">
        <v>3709</v>
      </c>
      <c r="C3683" s="1" t="str">
        <f ca="1">IFERROR(__xludf.DUMMYFUNCTION("REGEXEXTRACT(B3683, ""^([^:]+)"")"),"Chromium and articles thereof")</f>
        <v>Chromium and articles thereof</v>
      </c>
      <c r="D3683" s="1" t="s">
        <v>11</v>
      </c>
      <c r="E3683" s="1" t="s">
        <v>11</v>
      </c>
    </row>
    <row r="3684" spans="1:5" ht="15.75" customHeight="1">
      <c r="A3684" s="1">
        <v>811222</v>
      </c>
      <c r="B3684" s="1" t="s">
        <v>3710</v>
      </c>
      <c r="C3684" s="1" t="str">
        <f ca="1">IFERROR(__xludf.DUMMYFUNCTION("REGEXEXTRACT(B3684, ""^([^:]+)"")"),"Chromium")</f>
        <v>Chromium</v>
      </c>
      <c r="D3684" s="1" t="s">
        <v>11</v>
      </c>
      <c r="E3684" s="1" t="s">
        <v>11</v>
      </c>
    </row>
    <row r="3685" spans="1:5" ht="15.75" customHeight="1">
      <c r="A3685" s="1">
        <v>811229</v>
      </c>
      <c r="B3685" s="1" t="s">
        <v>3711</v>
      </c>
      <c r="C3685" s="1" t="str">
        <f ca="1">IFERROR(__xludf.DUMMYFUNCTION("REGEXEXTRACT(B3685, ""^([^:]+)"")"),"Chromium and articles thereof")</f>
        <v>Chromium and articles thereof</v>
      </c>
      <c r="D3685" s="1" t="s">
        <v>11</v>
      </c>
      <c r="E3685" s="1" t="s">
        <v>11</v>
      </c>
    </row>
    <row r="3686" spans="1:5" ht="15.75" customHeight="1">
      <c r="A3686" s="1">
        <v>811251</v>
      </c>
      <c r="B3686" s="1" t="s">
        <v>3712</v>
      </c>
      <c r="C3686" s="1" t="str">
        <f ca="1">IFERROR(__xludf.DUMMYFUNCTION("REGEXEXTRACT(B3686, ""^([^:]+)"")"),"Thallium and articles thereof")</f>
        <v>Thallium and articles thereof</v>
      </c>
      <c r="D3686" s="1" t="s">
        <v>11</v>
      </c>
      <c r="E3686" s="1" t="s">
        <v>11</v>
      </c>
    </row>
    <row r="3687" spans="1:5" ht="15.75" customHeight="1">
      <c r="A3687" s="1">
        <v>811252</v>
      </c>
      <c r="B3687" s="1" t="s">
        <v>3713</v>
      </c>
      <c r="C3687" s="1" t="str">
        <f ca="1">IFERROR(__xludf.DUMMYFUNCTION("REGEXEXTRACT(B3687, ""^([^:]+)"")"),"Thallium")</f>
        <v>Thallium</v>
      </c>
      <c r="D3687" s="1" t="s">
        <v>11</v>
      </c>
      <c r="E3687" s="1" t="s">
        <v>11</v>
      </c>
    </row>
    <row r="3688" spans="1:5" ht="15.75" customHeight="1">
      <c r="A3688" s="1">
        <v>811259</v>
      </c>
      <c r="B3688" s="1" t="s">
        <v>3714</v>
      </c>
      <c r="C3688" s="1" t="str">
        <f ca="1">IFERROR(__xludf.DUMMYFUNCTION("REGEXEXTRACT(B3688, ""^([^:]+)"")"),"Thallium and articles thereof")</f>
        <v>Thallium and articles thereof</v>
      </c>
      <c r="D3688" s="1" t="s">
        <v>11</v>
      </c>
      <c r="E3688" s="1" t="s">
        <v>11</v>
      </c>
    </row>
    <row r="3689" spans="1:5" ht="15.75" customHeight="1">
      <c r="A3689" s="1">
        <v>811292</v>
      </c>
      <c r="B3689" s="1" t="s">
        <v>3715</v>
      </c>
      <c r="C3689" s="1" t="str">
        <f ca="1">IFERROR(__xludf.DUMMYFUNCTION("REGEXEXTRACT(B3689, ""^([^:]+)"")"),"Gallium, germanium, hafnium, indium, niobium (columbium), rhenium and vanadium")</f>
        <v>Gallium, germanium, hafnium, indium, niobium (columbium), rhenium and vanadium</v>
      </c>
      <c r="D3689" s="1" t="s">
        <v>11</v>
      </c>
      <c r="E3689" s="1" t="s">
        <v>11</v>
      </c>
    </row>
    <row r="3690" spans="1:5" ht="15.75" customHeight="1">
      <c r="A3690" s="1">
        <v>811299</v>
      </c>
      <c r="B3690" s="1" t="s">
        <v>3716</v>
      </c>
      <c r="C3690" s="1" t="str">
        <f ca="1">IFERROR(__xludf.DUMMYFUNCTION("REGEXEXTRACT(B3690, ""^([^:]+)"")"),"Gallium, germanium, hafnium, indium, niobium (columbium), rhenium and vanadium")</f>
        <v>Gallium, germanium, hafnium, indium, niobium (columbium), rhenium and vanadium</v>
      </c>
      <c r="D3690" s="1" t="s">
        <v>11</v>
      </c>
      <c r="E3690" s="1" t="s">
        <v>11</v>
      </c>
    </row>
    <row r="3691" spans="1:5" ht="15.75" customHeight="1">
      <c r="A3691" s="1">
        <v>811300</v>
      </c>
      <c r="B3691" s="1" t="s">
        <v>3717</v>
      </c>
      <c r="C3691" s="1" t="str">
        <f ca="1">IFERROR(__xludf.DUMMYFUNCTION("REGEXEXTRACT(B3691, ""^([^:]+)"")"),"Cermets")</f>
        <v>Cermets</v>
      </c>
      <c r="D3691" s="1" t="s">
        <v>11</v>
      </c>
      <c r="E3691" s="1" t="s">
        <v>11</v>
      </c>
    </row>
    <row r="3692" spans="1:5" ht="15.75" customHeight="1">
      <c r="A3692" s="1">
        <v>820110</v>
      </c>
      <c r="B3692" s="1" t="s">
        <v>3718</v>
      </c>
      <c r="C3692" s="1" t="str">
        <f ca="1">IFERROR(__xludf.DUMMYFUNCTION("REGEXEXTRACT(B3692, ""^([^:]+)"")"),"Tools, hand")</f>
        <v>Tools, hand</v>
      </c>
      <c r="D3692" s="1" t="s">
        <v>11</v>
      </c>
      <c r="E3692" s="1" t="s">
        <v>11</v>
      </c>
    </row>
    <row r="3693" spans="1:5" ht="15.75" customHeight="1">
      <c r="A3693" s="1">
        <v>820120</v>
      </c>
      <c r="B3693" s="1" t="s">
        <v>3719</v>
      </c>
      <c r="C3693" s="1" t="str">
        <f ca="1">IFERROR(__xludf.DUMMYFUNCTION("REGEXEXTRACT(B3693, ""^([^:]+)"")"),"Tools, hand")</f>
        <v>Tools, hand</v>
      </c>
      <c r="D3693" s="1" t="s">
        <v>11</v>
      </c>
      <c r="E3693" s="1" t="s">
        <v>11</v>
      </c>
    </row>
    <row r="3694" spans="1:5" ht="15.75" customHeight="1">
      <c r="A3694" s="1">
        <v>820130</v>
      </c>
      <c r="B3694" s="1" t="s">
        <v>3720</v>
      </c>
      <c r="C3694" s="1" t="str">
        <f ca="1">IFERROR(__xludf.DUMMYFUNCTION("REGEXEXTRACT(B3694, ""^([^:]+)"")"),"Tools, hand")</f>
        <v>Tools, hand</v>
      </c>
      <c r="D3694" s="1" t="s">
        <v>11</v>
      </c>
      <c r="E3694" s="1" t="s">
        <v>11</v>
      </c>
    </row>
    <row r="3695" spans="1:5" ht="15.75" customHeight="1">
      <c r="A3695" s="1">
        <v>820140</v>
      </c>
      <c r="B3695" s="1" t="s">
        <v>3721</v>
      </c>
      <c r="C3695" s="1" t="str">
        <f ca="1">IFERROR(__xludf.DUMMYFUNCTION("REGEXEXTRACT(B3695, ""^([^:]+)"")"),"Tools, hand")</f>
        <v>Tools, hand</v>
      </c>
      <c r="D3695" s="1" t="s">
        <v>11</v>
      </c>
      <c r="E3695" s="1" t="s">
        <v>11</v>
      </c>
    </row>
    <row r="3696" spans="1:5" ht="15.75" customHeight="1">
      <c r="A3696" s="1">
        <v>820150</v>
      </c>
      <c r="B3696" s="1" t="s">
        <v>3722</v>
      </c>
      <c r="C3696" s="1" t="str">
        <f ca="1">IFERROR(__xludf.DUMMYFUNCTION("REGEXEXTRACT(B3696, ""^([^:]+)"")"),"Tools, hand")</f>
        <v>Tools, hand</v>
      </c>
      <c r="D3696" s="1" t="s">
        <v>11</v>
      </c>
      <c r="E3696" s="1" t="s">
        <v>11</v>
      </c>
    </row>
    <row r="3697" spans="1:5" ht="15.75" customHeight="1">
      <c r="A3697" s="1">
        <v>820160</v>
      </c>
      <c r="B3697" s="1" t="s">
        <v>3723</v>
      </c>
      <c r="C3697" s="1" t="str">
        <f ca="1">IFERROR(__xludf.DUMMYFUNCTION("REGEXEXTRACT(B3697, ""^([^:]+)"")"),"Tools, hand")</f>
        <v>Tools, hand</v>
      </c>
      <c r="D3697" s="1" t="s">
        <v>11</v>
      </c>
      <c r="E3697" s="1" t="s">
        <v>11</v>
      </c>
    </row>
    <row r="3698" spans="1:5" ht="15.75" customHeight="1">
      <c r="A3698" s="1">
        <v>820190</v>
      </c>
      <c r="B3698" s="1" t="s">
        <v>3724</v>
      </c>
      <c r="C3698" s="1" t="str">
        <f ca="1">IFERROR(__xludf.DUMMYFUNCTION("REGEXEXTRACT(B3698, ""^([^:]+)"")"),"Tools, hand")</f>
        <v>Tools, hand</v>
      </c>
      <c r="D3698" s="1" t="s">
        <v>11</v>
      </c>
      <c r="E3698" s="1" t="s">
        <v>11</v>
      </c>
    </row>
    <row r="3699" spans="1:5" ht="15.75" customHeight="1">
      <c r="A3699" s="1">
        <v>820210</v>
      </c>
      <c r="B3699" s="1" t="s">
        <v>3725</v>
      </c>
      <c r="C3699" s="1" t="str">
        <f ca="1">IFERROR(__xludf.DUMMYFUNCTION("REGEXEXTRACT(B3699, ""^([^:]+)"")"),"Tools, hand")</f>
        <v>Tools, hand</v>
      </c>
      <c r="D3699" s="1" t="s">
        <v>11</v>
      </c>
      <c r="E3699" s="1" t="s">
        <v>11</v>
      </c>
    </row>
    <row r="3700" spans="1:5" ht="15.75" customHeight="1">
      <c r="A3700" s="1">
        <v>820220</v>
      </c>
      <c r="B3700" s="1" t="s">
        <v>3726</v>
      </c>
      <c r="C3700" s="1" t="str">
        <f ca="1">IFERROR(__xludf.DUMMYFUNCTION("REGEXEXTRACT(B3700, ""^([^:]+)"")"),"Tools, hand")</f>
        <v>Tools, hand</v>
      </c>
      <c r="D3700" s="1" t="s">
        <v>11</v>
      </c>
      <c r="E3700" s="1" t="s">
        <v>11</v>
      </c>
    </row>
    <row r="3701" spans="1:5" ht="15.75" customHeight="1">
      <c r="A3701" s="1">
        <v>820231</v>
      </c>
      <c r="B3701" s="1" t="s">
        <v>3727</v>
      </c>
      <c r="C3701" s="1" t="str">
        <f ca="1">IFERROR(__xludf.DUMMYFUNCTION("REGEXEXTRACT(B3701, ""^([^:]+)"")"),"Tools, hand")</f>
        <v>Tools, hand</v>
      </c>
      <c r="D3701" s="1" t="s">
        <v>11</v>
      </c>
      <c r="E3701" s="1" t="s">
        <v>11</v>
      </c>
    </row>
    <row r="3702" spans="1:5" ht="15.75" customHeight="1">
      <c r="A3702" s="1">
        <v>820239</v>
      </c>
      <c r="B3702" s="1" t="s">
        <v>3728</v>
      </c>
      <c r="C3702" s="1" t="str">
        <f ca="1">IFERROR(__xludf.DUMMYFUNCTION("REGEXEXTRACT(B3702, ""^([^:]+)"")"),"Tools, hand")</f>
        <v>Tools, hand</v>
      </c>
      <c r="D3702" s="1" t="s">
        <v>11</v>
      </c>
      <c r="E3702" s="1" t="s">
        <v>11</v>
      </c>
    </row>
    <row r="3703" spans="1:5" ht="15.75" customHeight="1">
      <c r="A3703" s="1">
        <v>820240</v>
      </c>
      <c r="B3703" s="1" t="s">
        <v>3729</v>
      </c>
      <c r="C3703" s="1" t="str">
        <f ca="1">IFERROR(__xludf.DUMMYFUNCTION("REGEXEXTRACT(B3703, ""^([^:]+)"")"),"Tools, hand")</f>
        <v>Tools, hand</v>
      </c>
      <c r="D3703" s="1" t="s">
        <v>11</v>
      </c>
      <c r="E3703" s="1" t="s">
        <v>11</v>
      </c>
    </row>
    <row r="3704" spans="1:5" ht="15.75" customHeight="1">
      <c r="A3704" s="1">
        <v>820291</v>
      </c>
      <c r="B3704" s="1" t="s">
        <v>3730</v>
      </c>
      <c r="C3704" s="1" t="str">
        <f ca="1">IFERROR(__xludf.DUMMYFUNCTION("REGEXEXTRACT(B3704, ""^([^:]+)"")"),"Tools, hand")</f>
        <v>Tools, hand</v>
      </c>
      <c r="D3704" s="1" t="s">
        <v>11</v>
      </c>
      <c r="E3704" s="1" t="s">
        <v>11</v>
      </c>
    </row>
    <row r="3705" spans="1:5" ht="15.75" customHeight="1">
      <c r="A3705" s="1">
        <v>820299</v>
      </c>
      <c r="B3705" s="1" t="s">
        <v>3731</v>
      </c>
      <c r="C3705" s="1" t="str">
        <f ca="1">IFERROR(__xludf.DUMMYFUNCTION("REGEXEXTRACT(B3705, ""^([^:]+)"")"),"Tools, hand")</f>
        <v>Tools, hand</v>
      </c>
      <c r="D3705" s="1" t="s">
        <v>11</v>
      </c>
      <c r="E3705" s="1" t="s">
        <v>11</v>
      </c>
    </row>
    <row r="3706" spans="1:5" ht="15.75" customHeight="1">
      <c r="A3706" s="1">
        <v>820310</v>
      </c>
      <c r="B3706" s="1" t="s">
        <v>3732</v>
      </c>
      <c r="C3706" s="1" t="str">
        <f ca="1">IFERROR(__xludf.DUMMYFUNCTION("REGEXEXTRACT(B3706, ""^([^:]+)"")"),"Tools, hand")</f>
        <v>Tools, hand</v>
      </c>
      <c r="D3706" s="1" t="s">
        <v>11</v>
      </c>
      <c r="E3706" s="1" t="s">
        <v>11</v>
      </c>
    </row>
    <row r="3707" spans="1:5" ht="15.75" customHeight="1">
      <c r="A3707" s="1">
        <v>820320</v>
      </c>
      <c r="B3707" s="1" t="s">
        <v>3733</v>
      </c>
      <c r="C3707" s="1" t="str">
        <f ca="1">IFERROR(__xludf.DUMMYFUNCTION("REGEXEXTRACT(B3707, ""^([^:]+)"")"),"Tools, hand")</f>
        <v>Tools, hand</v>
      </c>
      <c r="D3707" s="1" t="s">
        <v>11</v>
      </c>
      <c r="E3707" s="1" t="s">
        <v>11</v>
      </c>
    </row>
    <row r="3708" spans="1:5" ht="15.75" customHeight="1">
      <c r="A3708" s="1">
        <v>820330</v>
      </c>
      <c r="B3708" s="1" t="s">
        <v>3734</v>
      </c>
      <c r="C3708" s="1" t="str">
        <f ca="1">IFERROR(__xludf.DUMMYFUNCTION("REGEXEXTRACT(B3708, ""^([^:]+)"")"),"Tools, hand")</f>
        <v>Tools, hand</v>
      </c>
      <c r="D3708" s="1" t="s">
        <v>11</v>
      </c>
      <c r="E3708" s="1" t="s">
        <v>11</v>
      </c>
    </row>
    <row r="3709" spans="1:5" ht="15.75" customHeight="1">
      <c r="A3709" s="1">
        <v>820340</v>
      </c>
      <c r="B3709" s="1" t="s">
        <v>3735</v>
      </c>
      <c r="C3709" s="1" t="str">
        <f ca="1">IFERROR(__xludf.DUMMYFUNCTION("REGEXEXTRACT(B3709, ""^([^:]+)"")"),"Tools, hand")</f>
        <v>Tools, hand</v>
      </c>
      <c r="D3709" s="1" t="s">
        <v>11</v>
      </c>
      <c r="E3709" s="1" t="s">
        <v>11</v>
      </c>
    </row>
    <row r="3710" spans="1:5" ht="15.75" customHeight="1">
      <c r="A3710" s="1">
        <v>820411</v>
      </c>
      <c r="B3710" s="1" t="s">
        <v>3736</v>
      </c>
      <c r="C3710" s="1" t="str">
        <f ca="1">IFERROR(__xludf.DUMMYFUNCTION("REGEXEXTRACT(B3710, ""^([^:]+)"")"),"Tools, hand")</f>
        <v>Tools, hand</v>
      </c>
      <c r="D3710" s="1" t="s">
        <v>11</v>
      </c>
      <c r="E3710" s="1" t="s">
        <v>11</v>
      </c>
    </row>
    <row r="3711" spans="1:5" ht="15.75" customHeight="1">
      <c r="A3711" s="1">
        <v>820412</v>
      </c>
      <c r="B3711" s="1" t="s">
        <v>3737</v>
      </c>
      <c r="C3711" s="1" t="str">
        <f ca="1">IFERROR(__xludf.DUMMYFUNCTION("REGEXEXTRACT(B3711, ""^([^:]+)"")"),"Tools, hand")</f>
        <v>Tools, hand</v>
      </c>
      <c r="D3711" s="1" t="s">
        <v>11</v>
      </c>
      <c r="E3711" s="1" t="s">
        <v>11</v>
      </c>
    </row>
    <row r="3712" spans="1:5" ht="15.75" customHeight="1">
      <c r="A3712" s="1">
        <v>820420</v>
      </c>
      <c r="B3712" s="1" t="s">
        <v>3738</v>
      </c>
      <c r="C3712" s="1" t="str">
        <f ca="1">IFERROR(__xludf.DUMMYFUNCTION("REGEXEXTRACT(B3712, ""^([^:]+)"")"),"Tools, hand")</f>
        <v>Tools, hand</v>
      </c>
      <c r="D3712" s="1" t="s">
        <v>11</v>
      </c>
      <c r="E3712" s="1" t="s">
        <v>11</v>
      </c>
    </row>
    <row r="3713" spans="1:5" ht="15.75" customHeight="1">
      <c r="A3713" s="1">
        <v>820510</v>
      </c>
      <c r="B3713" s="1" t="s">
        <v>3739</v>
      </c>
      <c r="C3713" s="1" t="str">
        <f ca="1">IFERROR(__xludf.DUMMYFUNCTION("REGEXEXTRACT(B3713, ""^([^:]+)"")"),"Tools, hand")</f>
        <v>Tools, hand</v>
      </c>
      <c r="D3713" s="1" t="s">
        <v>11</v>
      </c>
      <c r="E3713" s="1" t="s">
        <v>11</v>
      </c>
    </row>
    <row r="3714" spans="1:5" ht="15.75" customHeight="1">
      <c r="A3714" s="1">
        <v>820520</v>
      </c>
      <c r="B3714" s="1" t="s">
        <v>3740</v>
      </c>
      <c r="C3714" s="1" t="str">
        <f ca="1">IFERROR(__xludf.DUMMYFUNCTION("REGEXEXTRACT(B3714, ""^([^:]+)"")"),"Tools, hand")</f>
        <v>Tools, hand</v>
      </c>
      <c r="D3714" s="1" t="s">
        <v>11</v>
      </c>
      <c r="E3714" s="1" t="s">
        <v>11</v>
      </c>
    </row>
    <row r="3715" spans="1:5" ht="15.75" customHeight="1">
      <c r="A3715" s="1">
        <v>820530</v>
      </c>
      <c r="B3715" s="1" t="s">
        <v>3741</v>
      </c>
      <c r="C3715" s="1" t="str">
        <f ca="1">IFERROR(__xludf.DUMMYFUNCTION("REGEXEXTRACT(B3715, ""^([^:]+)"")"),"Tools, hand")</f>
        <v>Tools, hand</v>
      </c>
      <c r="D3715" s="1" t="s">
        <v>11</v>
      </c>
      <c r="E3715" s="1" t="s">
        <v>11</v>
      </c>
    </row>
    <row r="3716" spans="1:5" ht="15.75" customHeight="1">
      <c r="A3716" s="1">
        <v>820540</v>
      </c>
      <c r="B3716" s="1" t="s">
        <v>3742</v>
      </c>
      <c r="C3716" s="1" t="str">
        <f ca="1">IFERROR(__xludf.DUMMYFUNCTION("REGEXEXTRACT(B3716, ""^([^:]+)"")"),"Tools, hand")</f>
        <v>Tools, hand</v>
      </c>
      <c r="D3716" s="1" t="s">
        <v>11</v>
      </c>
      <c r="E3716" s="1" t="s">
        <v>11</v>
      </c>
    </row>
    <row r="3717" spans="1:5" ht="15.75" customHeight="1">
      <c r="A3717" s="1">
        <v>820551</v>
      </c>
      <c r="B3717" s="1" t="s">
        <v>3743</v>
      </c>
      <c r="C3717" s="1" t="str">
        <f ca="1">IFERROR(__xludf.DUMMYFUNCTION("REGEXEXTRACT(B3717, ""^([^:]+)"")"),"Tools, hand")</f>
        <v>Tools, hand</v>
      </c>
      <c r="D3717" s="1" t="s">
        <v>11</v>
      </c>
      <c r="E3717" s="1" t="s">
        <v>11</v>
      </c>
    </row>
    <row r="3718" spans="1:5" ht="15.75" customHeight="1">
      <c r="A3718" s="1">
        <v>820559</v>
      </c>
      <c r="B3718" s="1" t="s">
        <v>3744</v>
      </c>
      <c r="C3718" s="1" t="str">
        <f ca="1">IFERROR(__xludf.DUMMYFUNCTION("REGEXEXTRACT(B3718, ""^([^:]+)"")"),"Tools, hand")</f>
        <v>Tools, hand</v>
      </c>
      <c r="D3718" s="1" t="s">
        <v>11</v>
      </c>
      <c r="E3718" s="1" t="s">
        <v>11</v>
      </c>
    </row>
    <row r="3719" spans="1:5" ht="15.75" customHeight="1">
      <c r="A3719" s="1">
        <v>820560</v>
      </c>
      <c r="B3719" s="1" t="s">
        <v>3745</v>
      </c>
      <c r="C3719" s="1" t="str">
        <f ca="1">IFERROR(__xludf.DUMMYFUNCTION("REGEXEXTRACT(B3719, ""^([^:]+)"")"),"Tools, hand")</f>
        <v>Tools, hand</v>
      </c>
      <c r="D3719" s="1" t="s">
        <v>11</v>
      </c>
      <c r="E3719" s="1" t="s">
        <v>11</v>
      </c>
    </row>
    <row r="3720" spans="1:5" ht="15.75" customHeight="1">
      <c r="A3720" s="1">
        <v>820570</v>
      </c>
      <c r="B3720" s="1" t="s">
        <v>3746</v>
      </c>
      <c r="C3720" s="1" t="str">
        <f ca="1">IFERROR(__xludf.DUMMYFUNCTION("REGEXEXTRACT(B3720, ""^([^:]+)"")"),"Tools, hand")</f>
        <v>Tools, hand</v>
      </c>
      <c r="D3720" s="1" t="s">
        <v>11</v>
      </c>
      <c r="E3720" s="1" t="s">
        <v>11</v>
      </c>
    </row>
    <row r="3721" spans="1:5" ht="15.75" customHeight="1">
      <c r="A3721" s="1">
        <v>820580</v>
      </c>
      <c r="B3721" s="1" t="s">
        <v>3747</v>
      </c>
      <c r="C3721" s="1" t="str">
        <f ca="1">IFERROR(__xludf.DUMMYFUNCTION("REGEXEXTRACT(B3721, ""^([^:]+)"")"),"Tools, hand")</f>
        <v>Tools, hand</v>
      </c>
      <c r="D3721" s="1" t="s">
        <v>11</v>
      </c>
      <c r="E3721" s="1" t="s">
        <v>11</v>
      </c>
    </row>
    <row r="3722" spans="1:5" ht="15.75" customHeight="1">
      <c r="A3722" s="1">
        <v>820590</v>
      </c>
      <c r="B3722" s="1" t="s">
        <v>3748</v>
      </c>
      <c r="C3722" s="1" t="str">
        <f ca="1">IFERROR(__xludf.DUMMYFUNCTION("REGEXEXTRACT(B3722, ""^([^:]+)"")"),"Tools, hand")</f>
        <v>Tools, hand</v>
      </c>
      <c r="D3722" s="1" t="s">
        <v>11</v>
      </c>
      <c r="E3722" s="1" t="s">
        <v>11</v>
      </c>
    </row>
    <row r="3723" spans="1:5" ht="15.75" customHeight="1">
      <c r="A3723" s="1">
        <v>820600</v>
      </c>
      <c r="B3723" s="1" t="s">
        <v>3749</v>
      </c>
      <c r="C3723" s="1" t="str">
        <f ca="1">IFERROR(__xludf.DUMMYFUNCTION("REGEXEXTRACT(B3723, ""^([^:]+)"")"),"Tools, hand")</f>
        <v>Tools, hand</v>
      </c>
      <c r="D3723" s="1" t="s">
        <v>11</v>
      </c>
      <c r="E3723" s="1" t="s">
        <v>11</v>
      </c>
    </row>
    <row r="3724" spans="1:5" ht="15.75" customHeight="1">
      <c r="A3724" s="1">
        <v>820713</v>
      </c>
      <c r="B3724" s="1" t="s">
        <v>3750</v>
      </c>
      <c r="C3724" s="1" t="str">
        <f ca="1">IFERROR(__xludf.DUMMYFUNCTION("REGEXEXTRACT(B3724, ""^([^:]+)"")"),"Tools, interchangeable")</f>
        <v>Tools, interchangeable</v>
      </c>
      <c r="D3724" s="1" t="s">
        <v>11</v>
      </c>
      <c r="E3724" s="1" t="s">
        <v>11</v>
      </c>
    </row>
    <row r="3725" spans="1:5" ht="15.75" customHeight="1">
      <c r="A3725" s="1">
        <v>820719</v>
      </c>
      <c r="B3725" s="1" t="s">
        <v>3751</v>
      </c>
      <c r="C3725" s="1" t="str">
        <f ca="1">IFERROR(__xludf.DUMMYFUNCTION("REGEXEXTRACT(B3725, ""^([^:]+)"")"),"Tools, interchangeable")</f>
        <v>Tools, interchangeable</v>
      </c>
      <c r="D3725" s="1" t="s">
        <v>11</v>
      </c>
      <c r="E3725" s="1" t="s">
        <v>11</v>
      </c>
    </row>
    <row r="3726" spans="1:5" ht="15.75" customHeight="1">
      <c r="A3726" s="1">
        <v>820720</v>
      </c>
      <c r="B3726" s="1" t="s">
        <v>3752</v>
      </c>
      <c r="C3726" s="1" t="str">
        <f ca="1">IFERROR(__xludf.DUMMYFUNCTION("REGEXEXTRACT(B3726, ""^([^:]+)"")"),"Tools, interchangeable")</f>
        <v>Tools, interchangeable</v>
      </c>
      <c r="D3726" s="1" t="s">
        <v>11</v>
      </c>
      <c r="E3726" s="1" t="s">
        <v>11</v>
      </c>
    </row>
    <row r="3727" spans="1:5" ht="15.75" customHeight="1">
      <c r="A3727" s="1">
        <v>820730</v>
      </c>
      <c r="B3727" s="1" t="s">
        <v>3753</v>
      </c>
      <c r="C3727" s="1" t="str">
        <f ca="1">IFERROR(__xludf.DUMMYFUNCTION("REGEXEXTRACT(B3727, ""^([^:]+)"")"),"Tools, interchangeable")</f>
        <v>Tools, interchangeable</v>
      </c>
      <c r="D3727" s="1" t="s">
        <v>11</v>
      </c>
      <c r="E3727" s="1" t="s">
        <v>11</v>
      </c>
    </row>
    <row r="3728" spans="1:5" ht="15.75" customHeight="1">
      <c r="A3728" s="1">
        <v>820740</v>
      </c>
      <c r="B3728" s="1" t="s">
        <v>3754</v>
      </c>
      <c r="C3728" s="1" t="str">
        <f ca="1">IFERROR(__xludf.DUMMYFUNCTION("REGEXEXTRACT(B3728, ""^([^:]+)"")"),"Tools, interchangeable")</f>
        <v>Tools, interchangeable</v>
      </c>
      <c r="D3728" s="1" t="s">
        <v>11</v>
      </c>
      <c r="E3728" s="1" t="s">
        <v>11</v>
      </c>
    </row>
    <row r="3729" spans="1:5" ht="15.75" customHeight="1">
      <c r="A3729" s="1">
        <v>820750</v>
      </c>
      <c r="B3729" s="1" t="s">
        <v>3755</v>
      </c>
      <c r="C3729" s="1" t="str">
        <f ca="1">IFERROR(__xludf.DUMMYFUNCTION("REGEXEXTRACT(B3729, ""^([^:]+)"")"),"Tools, interchangeable")</f>
        <v>Tools, interchangeable</v>
      </c>
      <c r="D3729" s="1" t="s">
        <v>11</v>
      </c>
      <c r="E3729" s="1" t="s">
        <v>11</v>
      </c>
    </row>
    <row r="3730" spans="1:5" ht="15.75" customHeight="1">
      <c r="A3730" s="1">
        <v>820760</v>
      </c>
      <c r="B3730" s="1" t="s">
        <v>3756</v>
      </c>
      <c r="C3730" s="1" t="str">
        <f ca="1">IFERROR(__xludf.DUMMYFUNCTION("REGEXEXTRACT(B3730, ""^([^:]+)"")"),"Tools, interchangeable")</f>
        <v>Tools, interchangeable</v>
      </c>
      <c r="D3730" s="1" t="s">
        <v>11</v>
      </c>
      <c r="E3730" s="1" t="s">
        <v>11</v>
      </c>
    </row>
    <row r="3731" spans="1:5" ht="15.75" customHeight="1">
      <c r="A3731" s="1">
        <v>820770</v>
      </c>
      <c r="B3731" s="1" t="s">
        <v>3757</v>
      </c>
      <c r="C3731" s="1" t="str">
        <f ca="1">IFERROR(__xludf.DUMMYFUNCTION("REGEXEXTRACT(B3731, ""^([^:]+)"")"),"Tools, interchangeable")</f>
        <v>Tools, interchangeable</v>
      </c>
      <c r="D3731" s="1" t="s">
        <v>11</v>
      </c>
      <c r="E3731" s="1" t="s">
        <v>11</v>
      </c>
    </row>
    <row r="3732" spans="1:5" ht="15.75" customHeight="1">
      <c r="A3732" s="1">
        <v>820780</v>
      </c>
      <c r="B3732" s="1" t="s">
        <v>3758</v>
      </c>
      <c r="C3732" s="1" t="str">
        <f ca="1">IFERROR(__xludf.DUMMYFUNCTION("REGEXEXTRACT(B3732, ""^([^:]+)"")"),"Tools, interchangeable")</f>
        <v>Tools, interchangeable</v>
      </c>
      <c r="D3732" s="1" t="s">
        <v>11</v>
      </c>
      <c r="E3732" s="1" t="s">
        <v>11</v>
      </c>
    </row>
    <row r="3733" spans="1:5" ht="15.75" customHeight="1">
      <c r="A3733" s="1">
        <v>820790</v>
      </c>
      <c r="B3733" s="1" t="s">
        <v>3759</v>
      </c>
      <c r="C3733" s="1" t="str">
        <f ca="1">IFERROR(__xludf.DUMMYFUNCTION("REGEXEXTRACT(B3733, ""^([^:]+)"")"),"Tools, interchangeable")</f>
        <v>Tools, interchangeable</v>
      </c>
      <c r="D3733" s="1" t="s">
        <v>11</v>
      </c>
      <c r="E3733" s="1" t="s">
        <v>11</v>
      </c>
    </row>
    <row r="3734" spans="1:5" ht="15.75" customHeight="1">
      <c r="A3734" s="1">
        <v>820810</v>
      </c>
      <c r="B3734" s="1" t="s">
        <v>3760</v>
      </c>
      <c r="C3734" s="1" t="str">
        <f ca="1">IFERROR(__xludf.DUMMYFUNCTION("REGEXEXTRACT(B3734, ""^([^:]+)"")"),"Tools")</f>
        <v>Tools</v>
      </c>
      <c r="D3734" s="1" t="s">
        <v>11</v>
      </c>
      <c r="E3734" s="1" t="s">
        <v>11</v>
      </c>
    </row>
    <row r="3735" spans="1:5" ht="15.75" customHeight="1">
      <c r="A3735" s="1">
        <v>820820</v>
      </c>
      <c r="B3735" s="1" t="s">
        <v>3761</v>
      </c>
      <c r="C3735" s="1" t="str">
        <f ca="1">IFERROR(__xludf.DUMMYFUNCTION("REGEXEXTRACT(B3735, ""^([^:]+)"")"),"Tools")</f>
        <v>Tools</v>
      </c>
      <c r="D3735" s="1" t="s">
        <v>11</v>
      </c>
      <c r="E3735" s="1" t="s">
        <v>11</v>
      </c>
    </row>
    <row r="3736" spans="1:5" ht="15.75" customHeight="1">
      <c r="A3736" s="1">
        <v>820830</v>
      </c>
      <c r="B3736" s="1" t="s">
        <v>3762</v>
      </c>
      <c r="C3736" s="1" t="str">
        <f ca="1">IFERROR(__xludf.DUMMYFUNCTION("REGEXEXTRACT(B3736, ""^([^:]+)"")"),"Tools")</f>
        <v>Tools</v>
      </c>
      <c r="D3736" s="1" t="s">
        <v>11</v>
      </c>
      <c r="E3736" s="1" t="s">
        <v>11</v>
      </c>
    </row>
    <row r="3737" spans="1:5" ht="15.75" customHeight="1">
      <c r="A3737" s="1">
        <v>820840</v>
      </c>
      <c r="B3737" s="1" t="s">
        <v>3763</v>
      </c>
      <c r="C3737" s="1" t="str">
        <f ca="1">IFERROR(__xludf.DUMMYFUNCTION("REGEXEXTRACT(B3737, ""^([^:]+)"")"),"Tools")</f>
        <v>Tools</v>
      </c>
      <c r="D3737" s="1" t="s">
        <v>11</v>
      </c>
      <c r="E3737" s="1" t="s">
        <v>11</v>
      </c>
    </row>
    <row r="3738" spans="1:5" ht="15.75" customHeight="1">
      <c r="A3738" s="1">
        <v>820890</v>
      </c>
      <c r="B3738" s="1" t="s">
        <v>3764</v>
      </c>
      <c r="C3738" s="1" t="str">
        <f ca="1">IFERROR(__xludf.DUMMYFUNCTION("REGEXEXTRACT(B3738, ""^([^:]+)"")"),"Tools")</f>
        <v>Tools</v>
      </c>
      <c r="D3738" s="1" t="s">
        <v>11</v>
      </c>
      <c r="E3738" s="1" t="s">
        <v>11</v>
      </c>
    </row>
    <row r="3739" spans="1:5" ht="15.75" customHeight="1">
      <c r="A3739" s="1">
        <v>820900</v>
      </c>
      <c r="B3739" s="1" t="s">
        <v>3765</v>
      </c>
      <c r="C3739" s="1" t="str">
        <f ca="1">IFERROR(__xludf.DUMMYFUNCTION("REGEXEXTRACT(B3739, ""^([^:]+)"")"),"Tools")</f>
        <v>Tools</v>
      </c>
      <c r="D3739" s="1" t="s">
        <v>11</v>
      </c>
      <c r="E3739" s="1" t="s">
        <v>11</v>
      </c>
    </row>
    <row r="3740" spans="1:5" ht="15.75" customHeight="1">
      <c r="A3740" s="1">
        <v>821000</v>
      </c>
      <c r="B3740" s="1" t="s">
        <v>3766</v>
      </c>
      <c r="C3740" s="1" t="str">
        <f ca="1">IFERROR(__xludf.DUMMYFUNCTION("REGEXEXTRACT(B3740, ""^([^:]+)"")"),"Tools")</f>
        <v>Tools</v>
      </c>
      <c r="D3740" s="1" t="s">
        <v>11</v>
      </c>
      <c r="E3740" s="1" t="s">
        <v>11</v>
      </c>
    </row>
    <row r="3741" spans="1:5" ht="15.75" customHeight="1">
      <c r="A3741" s="1">
        <v>821110</v>
      </c>
      <c r="B3741" s="1" t="s">
        <v>3767</v>
      </c>
      <c r="C3741" s="1" t="str">
        <f ca="1">IFERROR(__xludf.DUMMYFUNCTION("REGEXEXTRACT(B3741, ""^([^:]+)"")"),"Knives")</f>
        <v>Knives</v>
      </c>
      <c r="D3741" s="1" t="s">
        <v>11</v>
      </c>
      <c r="E3741" s="1" t="s">
        <v>11</v>
      </c>
    </row>
    <row r="3742" spans="1:5" ht="15.75" customHeight="1">
      <c r="A3742" s="1">
        <v>821191</v>
      </c>
      <c r="B3742" s="1" t="s">
        <v>3768</v>
      </c>
      <c r="C3742" s="1" t="str">
        <f ca="1">IFERROR(__xludf.DUMMYFUNCTION("REGEXEXTRACT(B3742, ""^([^:]+)"")"),"Knives")</f>
        <v>Knives</v>
      </c>
      <c r="D3742" s="1" t="s">
        <v>11</v>
      </c>
      <c r="E3742" s="1" t="s">
        <v>11</v>
      </c>
    </row>
    <row r="3743" spans="1:5" ht="15.75" customHeight="1">
      <c r="A3743" s="1">
        <v>821192</v>
      </c>
      <c r="B3743" s="1" t="s">
        <v>3769</v>
      </c>
      <c r="C3743" s="1" t="str">
        <f ca="1">IFERROR(__xludf.DUMMYFUNCTION("REGEXEXTRACT(B3743, ""^([^:]+)"")"),"Knives")</f>
        <v>Knives</v>
      </c>
      <c r="D3743" s="1" t="s">
        <v>11</v>
      </c>
      <c r="E3743" s="1" t="s">
        <v>11</v>
      </c>
    </row>
    <row r="3744" spans="1:5" ht="15.75" customHeight="1">
      <c r="A3744" s="1">
        <v>821193</v>
      </c>
      <c r="B3744" s="1" t="s">
        <v>3770</v>
      </c>
      <c r="C3744" s="1" t="str">
        <f ca="1">IFERROR(__xludf.DUMMYFUNCTION("REGEXEXTRACT(B3744, ""^([^:]+)"")"),"Knives")</f>
        <v>Knives</v>
      </c>
      <c r="D3744" s="1" t="s">
        <v>11</v>
      </c>
      <c r="E3744" s="1" t="s">
        <v>11</v>
      </c>
    </row>
    <row r="3745" spans="1:5" ht="15.75" customHeight="1">
      <c r="A3745" s="1">
        <v>821194</v>
      </c>
      <c r="B3745" s="1" t="s">
        <v>3771</v>
      </c>
      <c r="C3745" s="1" t="str">
        <f ca="1">IFERROR(__xludf.DUMMYFUNCTION("REGEXEXTRACT(B3745, ""^([^:]+)"")"),"Blades")</f>
        <v>Blades</v>
      </c>
      <c r="D3745" s="1" t="s">
        <v>11</v>
      </c>
      <c r="E3745" s="1" t="s">
        <v>11</v>
      </c>
    </row>
    <row r="3746" spans="1:5" ht="15.75" customHeight="1">
      <c r="A3746" s="1">
        <v>821195</v>
      </c>
      <c r="B3746" s="1" t="s">
        <v>3772</v>
      </c>
      <c r="C3746" s="1" t="str">
        <f ca="1">IFERROR(__xludf.DUMMYFUNCTION("REGEXEXTRACT(B3746, ""^([^:]+)"")"),"Knives")</f>
        <v>Knives</v>
      </c>
      <c r="D3746" s="1" t="s">
        <v>11</v>
      </c>
      <c r="E3746" s="1" t="s">
        <v>11</v>
      </c>
    </row>
    <row r="3747" spans="1:5" ht="15.75" customHeight="1">
      <c r="A3747" s="1">
        <v>821210</v>
      </c>
      <c r="B3747" s="1" t="s">
        <v>3773</v>
      </c>
      <c r="C3747" s="1" t="str">
        <f ca="1">IFERROR(__xludf.DUMMYFUNCTION("REGEXEXTRACT(B3747, ""^([^:]+)"")"),"Razors")</f>
        <v>Razors</v>
      </c>
      <c r="D3747" s="1" t="s">
        <v>11</v>
      </c>
      <c r="E3747" s="1" t="s">
        <v>11</v>
      </c>
    </row>
    <row r="3748" spans="1:5" ht="15.75" customHeight="1">
      <c r="A3748" s="1">
        <v>821220</v>
      </c>
      <c r="B3748" s="1" t="s">
        <v>3774</v>
      </c>
      <c r="C3748" s="1" t="str">
        <f ca="1">IFERROR(__xludf.DUMMYFUNCTION("REGEXEXTRACT(B3748, ""^([^:]+)"")"),"Razors")</f>
        <v>Razors</v>
      </c>
      <c r="D3748" s="1" t="s">
        <v>11</v>
      </c>
      <c r="E3748" s="1" t="s">
        <v>11</v>
      </c>
    </row>
    <row r="3749" spans="1:5" ht="15.75" customHeight="1">
      <c r="A3749" s="1">
        <v>821290</v>
      </c>
      <c r="B3749" s="1" t="s">
        <v>3775</v>
      </c>
      <c r="C3749" s="1" t="str">
        <f ca="1">IFERROR(__xludf.DUMMYFUNCTION("REGEXEXTRACT(B3749, ""^([^:]+)"")"),"Razors")</f>
        <v>Razors</v>
      </c>
      <c r="D3749" s="1" t="s">
        <v>11</v>
      </c>
      <c r="E3749" s="1" t="s">
        <v>11</v>
      </c>
    </row>
    <row r="3750" spans="1:5" ht="15.75" customHeight="1">
      <c r="A3750" s="1">
        <v>821300</v>
      </c>
      <c r="B3750" s="1" t="s">
        <v>3776</v>
      </c>
      <c r="C3750" s="1" t="str">
        <f ca="1">IFERROR(__xludf.DUMMYFUNCTION("REGEXEXTRACT(B3750, ""^([^:]+)"")"),"Scissors")</f>
        <v>Scissors</v>
      </c>
      <c r="D3750" s="1" t="s">
        <v>11</v>
      </c>
      <c r="E3750" s="1" t="s">
        <v>11</v>
      </c>
    </row>
    <row r="3751" spans="1:5" ht="15.75" customHeight="1">
      <c r="A3751" s="1">
        <v>821410</v>
      </c>
      <c r="B3751" s="1" t="s">
        <v>3777</v>
      </c>
      <c r="C3751" s="1" t="str">
        <f ca="1">IFERROR(__xludf.DUMMYFUNCTION("REGEXEXTRACT(B3751, ""^([^:]+)"")"),"Cutlery")</f>
        <v>Cutlery</v>
      </c>
      <c r="D3751" s="1" t="s">
        <v>11</v>
      </c>
      <c r="E3751" s="1" t="s">
        <v>11</v>
      </c>
    </row>
    <row r="3752" spans="1:5" ht="15.75" customHeight="1">
      <c r="A3752" s="1">
        <v>821420</v>
      </c>
      <c r="B3752" s="1" t="s">
        <v>3778</v>
      </c>
      <c r="C3752" s="1" t="str">
        <f ca="1">IFERROR(__xludf.DUMMYFUNCTION("REGEXEXTRACT(B3752, ""^([^:]+)"")"),"Manicure or pedicure sets and instruments")</f>
        <v>Manicure or pedicure sets and instruments</v>
      </c>
      <c r="D3752" s="1" t="s">
        <v>11</v>
      </c>
      <c r="E3752" s="1" t="s">
        <v>11</v>
      </c>
    </row>
    <row r="3753" spans="1:5" ht="15.75" customHeight="1">
      <c r="A3753" s="1">
        <v>821490</v>
      </c>
      <c r="B3753" s="1" t="s">
        <v>3779</v>
      </c>
      <c r="C3753" s="1" t="str">
        <f ca="1">IFERROR(__xludf.DUMMYFUNCTION("REGEXEXTRACT(B3753, ""^([^:]+)"")"),"Cutlery")</f>
        <v>Cutlery</v>
      </c>
      <c r="D3753" s="1" t="s">
        <v>11</v>
      </c>
      <c r="E3753" s="1" t="s">
        <v>11</v>
      </c>
    </row>
    <row r="3754" spans="1:5" ht="15.75" customHeight="1">
      <c r="A3754" s="1">
        <v>821510</v>
      </c>
      <c r="B3754" s="1" t="s">
        <v>3780</v>
      </c>
      <c r="C3754" s="1" t="str">
        <f ca="1">IFERROR(__xludf.DUMMYFUNCTION("REGEXEXTRACT(B3754, ""^([^:]+)"")"),"Cutlery")</f>
        <v>Cutlery</v>
      </c>
      <c r="D3754" s="1" t="s">
        <v>11</v>
      </c>
      <c r="E3754" s="1" t="s">
        <v>11</v>
      </c>
    </row>
    <row r="3755" spans="1:5" ht="15.75" customHeight="1">
      <c r="A3755" s="1">
        <v>821520</v>
      </c>
      <c r="B3755" s="1" t="s">
        <v>3781</v>
      </c>
      <c r="C3755" s="1" t="str">
        <f ca="1">IFERROR(__xludf.DUMMYFUNCTION("REGEXEXTRACT(B3755, ""^([^:]+)"")"),"Cutlery")</f>
        <v>Cutlery</v>
      </c>
      <c r="D3755" s="1" t="s">
        <v>11</v>
      </c>
      <c r="E3755" s="1" t="s">
        <v>11</v>
      </c>
    </row>
    <row r="3756" spans="1:5" ht="15.75" customHeight="1">
      <c r="A3756" s="1">
        <v>821591</v>
      </c>
      <c r="B3756" s="1" t="s">
        <v>3782</v>
      </c>
      <c r="C3756" s="1" t="str">
        <f ca="1">IFERROR(__xludf.DUMMYFUNCTION("REGEXEXTRACT(B3756, ""^([^:]+)"")"),"Cutlery")</f>
        <v>Cutlery</v>
      </c>
      <c r="D3756" s="1" t="s">
        <v>11</v>
      </c>
      <c r="E3756" s="1" t="s">
        <v>11</v>
      </c>
    </row>
    <row r="3757" spans="1:5" ht="15.75" customHeight="1">
      <c r="A3757" s="1">
        <v>821599</v>
      </c>
      <c r="B3757" s="1" t="s">
        <v>3783</v>
      </c>
      <c r="C3757" s="1" t="str">
        <f ca="1">IFERROR(__xludf.DUMMYFUNCTION("REGEXEXTRACT(B3757, ""^([^:]+)"")"),"Cutlery")</f>
        <v>Cutlery</v>
      </c>
      <c r="D3757" s="1" t="s">
        <v>11</v>
      </c>
      <c r="E3757" s="1" t="s">
        <v>11</v>
      </c>
    </row>
    <row r="3758" spans="1:5" ht="15.75" customHeight="1">
      <c r="A3758" s="1">
        <v>830110</v>
      </c>
      <c r="B3758" s="1" t="s">
        <v>3784</v>
      </c>
      <c r="C3758" s="1" t="str">
        <f ca="1">IFERROR(__xludf.DUMMYFUNCTION("REGEXEXTRACT(B3758, ""^([^:]+)"")"),"Padlocks")</f>
        <v>Padlocks</v>
      </c>
      <c r="D3758" s="1" t="s">
        <v>11</v>
      </c>
      <c r="E3758" s="1" t="s">
        <v>11</v>
      </c>
    </row>
    <row r="3759" spans="1:5" ht="15.75" customHeight="1">
      <c r="A3759" s="1">
        <v>830120</v>
      </c>
      <c r="B3759" s="1" t="s">
        <v>3785</v>
      </c>
      <c r="C3759" s="1" t="str">
        <f ca="1">IFERROR(__xludf.DUMMYFUNCTION("REGEXEXTRACT(B3759, ""^([^:]+)"")"),"Locks")</f>
        <v>Locks</v>
      </c>
      <c r="D3759" s="1" t="s">
        <v>11</v>
      </c>
      <c r="E3759" s="1" t="s">
        <v>11</v>
      </c>
    </row>
    <row r="3760" spans="1:5" ht="15.75" customHeight="1">
      <c r="A3760" s="1">
        <v>830130</v>
      </c>
      <c r="B3760" s="1" t="s">
        <v>3786</v>
      </c>
      <c r="C3760" s="1" t="str">
        <f ca="1">IFERROR(__xludf.DUMMYFUNCTION("REGEXEXTRACT(B3760, ""^([^:]+)"")"),"Locks")</f>
        <v>Locks</v>
      </c>
      <c r="D3760" s="1" t="s">
        <v>11</v>
      </c>
      <c r="E3760" s="1" t="s">
        <v>11</v>
      </c>
    </row>
    <row r="3761" spans="1:5" ht="15.75" customHeight="1">
      <c r="A3761" s="1">
        <v>830140</v>
      </c>
      <c r="B3761" s="1" t="s">
        <v>3787</v>
      </c>
      <c r="C3761" s="1" t="str">
        <f ca="1">IFERROR(__xludf.DUMMYFUNCTION("REGEXEXTRACT(B3761, ""^([^:]+)"")"),"Locks")</f>
        <v>Locks</v>
      </c>
      <c r="D3761" s="1" t="s">
        <v>11</v>
      </c>
      <c r="E3761" s="1" t="s">
        <v>11</v>
      </c>
    </row>
    <row r="3762" spans="1:5" ht="15.75" customHeight="1">
      <c r="A3762" s="1">
        <v>830150</v>
      </c>
      <c r="B3762" s="1" t="s">
        <v>3788</v>
      </c>
      <c r="C3762" s="1" t="str">
        <f ca="1">IFERROR(__xludf.DUMMYFUNCTION("REGEXEXTRACT(B3762, ""^([^:]+)"")"),"Clasps and frames with clasps")</f>
        <v>Clasps and frames with clasps</v>
      </c>
      <c r="D3762" s="1" t="s">
        <v>11</v>
      </c>
      <c r="E3762" s="1" t="s">
        <v>11</v>
      </c>
    </row>
    <row r="3763" spans="1:5" ht="15.75" customHeight="1">
      <c r="A3763" s="1">
        <v>830160</v>
      </c>
      <c r="B3763" s="1" t="s">
        <v>3789</v>
      </c>
      <c r="C3763" s="1" t="str">
        <f ca="1">IFERROR(__xludf.DUMMYFUNCTION("REGEXEXTRACT(B3763, ""^([^:]+)"")"),"Locks")</f>
        <v>Locks</v>
      </c>
      <c r="D3763" s="1" t="s">
        <v>11</v>
      </c>
      <c r="E3763" s="1" t="s">
        <v>11</v>
      </c>
    </row>
    <row r="3764" spans="1:5" ht="15.75" customHeight="1">
      <c r="A3764" s="1">
        <v>830170</v>
      </c>
      <c r="B3764" s="1" t="s">
        <v>3790</v>
      </c>
      <c r="C3764" s="1" t="str">
        <f ca="1">IFERROR(__xludf.DUMMYFUNCTION("REGEXEXTRACT(B3764, ""^([^:]+)"")"),"Keys")</f>
        <v>Keys</v>
      </c>
      <c r="D3764" s="1" t="s">
        <v>11</v>
      </c>
      <c r="E3764" s="1" t="s">
        <v>11</v>
      </c>
    </row>
    <row r="3765" spans="1:5" ht="15.75" customHeight="1">
      <c r="A3765" s="1">
        <v>830210</v>
      </c>
      <c r="B3765" s="1" t="s">
        <v>3791</v>
      </c>
      <c r="C3765" s="1" t="str">
        <f ca="1">IFERROR(__xludf.DUMMYFUNCTION("REGEXEXTRACT(B3765, ""^([^:]+)"")"),"Hinges")</f>
        <v>Hinges</v>
      </c>
      <c r="D3765" s="1" t="s">
        <v>11</v>
      </c>
      <c r="E3765" s="1" t="s">
        <v>11</v>
      </c>
    </row>
    <row r="3766" spans="1:5" ht="15.75" customHeight="1">
      <c r="A3766" s="1">
        <v>830220</v>
      </c>
      <c r="B3766" s="1" t="s">
        <v>3792</v>
      </c>
      <c r="C3766" s="1" t="str">
        <f ca="1">IFERROR(__xludf.DUMMYFUNCTION("REGEXEXTRACT(B3766, ""^([^:]+)"")"),"Castors")</f>
        <v>Castors</v>
      </c>
      <c r="D3766" s="1" t="s">
        <v>11</v>
      </c>
      <c r="E3766" s="1" t="s">
        <v>11</v>
      </c>
    </row>
    <row r="3767" spans="1:5" ht="15.75" customHeight="1">
      <c r="A3767" s="1">
        <v>830230</v>
      </c>
      <c r="B3767" s="1" t="s">
        <v>3793</v>
      </c>
      <c r="C3767" s="1" t="str">
        <f ca="1">IFERROR(__xludf.DUMMYFUNCTION("REGEXEXTRACT(B3767, ""^([^:]+)"")"),"Mountings, fittings and similar articles")</f>
        <v>Mountings, fittings and similar articles</v>
      </c>
      <c r="D3767" s="1" t="s">
        <v>11</v>
      </c>
      <c r="E3767" s="1" t="s">
        <v>11</v>
      </c>
    </row>
    <row r="3768" spans="1:5" ht="15.75" customHeight="1">
      <c r="A3768" s="1">
        <v>830241</v>
      </c>
      <c r="B3768" s="1" t="s">
        <v>3794</v>
      </c>
      <c r="C3768" s="1" t="str">
        <f ca="1">IFERROR(__xludf.DUMMYFUNCTION("REGEXEXTRACT(B3768, ""^([^:]+)"")"),"Mountings, fittings and similar articles")</f>
        <v>Mountings, fittings and similar articles</v>
      </c>
      <c r="D3768" s="1" t="s">
        <v>11</v>
      </c>
      <c r="E3768" s="1" t="s">
        <v>11</v>
      </c>
    </row>
    <row r="3769" spans="1:5" ht="15.75" customHeight="1">
      <c r="A3769" s="1">
        <v>830242</v>
      </c>
      <c r="B3769" s="1" t="s">
        <v>3795</v>
      </c>
      <c r="C3769" s="1" t="str">
        <f ca="1">IFERROR(__xludf.DUMMYFUNCTION("REGEXEXTRACT(B3769, ""^([^:]+)"")"),"Mountings, fittings and similar articles")</f>
        <v>Mountings, fittings and similar articles</v>
      </c>
      <c r="D3769" s="1" t="s">
        <v>11</v>
      </c>
      <c r="E3769" s="1" t="s">
        <v>11</v>
      </c>
    </row>
    <row r="3770" spans="1:5" ht="15.75" customHeight="1">
      <c r="A3770" s="1">
        <v>830249</v>
      </c>
      <c r="B3770" s="1" t="s">
        <v>3796</v>
      </c>
      <c r="C3770" s="1" t="str">
        <f ca="1">IFERROR(__xludf.DUMMYFUNCTION("REGEXEXTRACT(B3770, ""^([^:]+)"")"),"Mountings, fittings and similar articles")</f>
        <v>Mountings, fittings and similar articles</v>
      </c>
      <c r="D3770" s="1" t="s">
        <v>11</v>
      </c>
      <c r="E3770" s="1" t="s">
        <v>11</v>
      </c>
    </row>
    <row r="3771" spans="1:5" ht="15.75" customHeight="1">
      <c r="A3771" s="1">
        <v>830250</v>
      </c>
      <c r="B3771" s="1" t="s">
        <v>3797</v>
      </c>
      <c r="C3771" s="1" t="str">
        <f ca="1">IFERROR(__xludf.DUMMYFUNCTION("REGEXEXTRACT(B3771, ""^([^:]+)"")"),"Hat-racks, hat-pegs, brackets and similar fixtures, of base metal")</f>
        <v>Hat-racks, hat-pegs, brackets and similar fixtures, of base metal</v>
      </c>
      <c r="D3771" s="1" t="s">
        <v>11</v>
      </c>
      <c r="E3771" s="1" t="s">
        <v>11</v>
      </c>
    </row>
    <row r="3772" spans="1:5" ht="15.75" customHeight="1">
      <c r="A3772" s="1">
        <v>830260</v>
      </c>
      <c r="B3772" s="1" t="s">
        <v>3798</v>
      </c>
      <c r="C3772" s="1" t="str">
        <f ca="1">IFERROR(__xludf.DUMMYFUNCTION("REGEXEXTRACT(B3772, ""^([^:]+)"")"),"Automatic door closures")</f>
        <v>Automatic door closures</v>
      </c>
      <c r="D3772" s="1" t="s">
        <v>11</v>
      </c>
      <c r="E3772" s="1" t="s">
        <v>11</v>
      </c>
    </row>
    <row r="3773" spans="1:5" ht="15.75" customHeight="1">
      <c r="A3773" s="1">
        <v>830300</v>
      </c>
      <c r="B3773" s="1" t="s">
        <v>3799</v>
      </c>
      <c r="C3773" s="1" t="str">
        <f ca="1">IFERROR(__xludf.DUMMYFUNCTION("REGEXEXTRACT(B3773, ""^([^:]+)"")"),"Safes")</f>
        <v>Safes</v>
      </c>
      <c r="D3773" s="1" t="s">
        <v>11</v>
      </c>
      <c r="E3773" s="1" t="s">
        <v>11</v>
      </c>
    </row>
    <row r="3774" spans="1:5" ht="15.75" customHeight="1">
      <c r="A3774" s="1">
        <v>830400</v>
      </c>
      <c r="B3774" s="1" t="s">
        <v>3800</v>
      </c>
      <c r="C3774" s="1" t="str">
        <f ca="1">IFERROR(__xludf.DUMMYFUNCTION("REGEXEXTRACT(B3774, ""^([^:]+)"")"),"Office equipment")</f>
        <v>Office equipment</v>
      </c>
      <c r="D3774" s="1" t="s">
        <v>11</v>
      </c>
      <c r="E3774" s="1" t="s">
        <v>11</v>
      </c>
    </row>
    <row r="3775" spans="1:5" ht="15.75" customHeight="1">
      <c r="A3775" s="1">
        <v>830510</v>
      </c>
      <c r="B3775" s="1" t="s">
        <v>3801</v>
      </c>
      <c r="C3775" s="1" t="str">
        <f ca="1">IFERROR(__xludf.DUMMYFUNCTION("REGEXEXTRACT(B3775, ""^([^:]+)"")"),"Stationery")</f>
        <v>Stationery</v>
      </c>
      <c r="D3775" s="1" t="s">
        <v>11</v>
      </c>
      <c r="E3775" s="1" t="s">
        <v>11</v>
      </c>
    </row>
    <row r="3776" spans="1:5" ht="15.75" customHeight="1">
      <c r="A3776" s="1">
        <v>830520</v>
      </c>
      <c r="B3776" s="1" t="s">
        <v>3802</v>
      </c>
      <c r="C3776" s="1" t="str">
        <f ca="1">IFERROR(__xludf.DUMMYFUNCTION("REGEXEXTRACT(B3776, ""^([^:]+)"")"),"Stationery")</f>
        <v>Stationery</v>
      </c>
      <c r="D3776" s="1" t="s">
        <v>11</v>
      </c>
      <c r="E3776" s="1" t="s">
        <v>11</v>
      </c>
    </row>
    <row r="3777" spans="1:5" ht="15.75" customHeight="1">
      <c r="A3777" s="1">
        <v>830590</v>
      </c>
      <c r="B3777" s="1" t="s">
        <v>3803</v>
      </c>
      <c r="C3777" s="1" t="str">
        <f ca="1">IFERROR(__xludf.DUMMYFUNCTION("REGEXEXTRACT(B3777, ""^([^:]+)"")"),"Stationery")</f>
        <v>Stationery</v>
      </c>
      <c r="D3777" s="1" t="s">
        <v>11</v>
      </c>
      <c r="E3777" s="1" t="s">
        <v>11</v>
      </c>
    </row>
    <row r="3778" spans="1:5" ht="15.75" customHeight="1">
      <c r="A3778" s="1">
        <v>830610</v>
      </c>
      <c r="B3778" s="1" t="s">
        <v>3804</v>
      </c>
      <c r="C3778" s="1" t="str">
        <f ca="1">IFERROR(__xludf.DUMMYFUNCTION("REGEXEXTRACT(B3778, ""^([^:]+)"")"),"Bells, gongs and the like")</f>
        <v>Bells, gongs and the like</v>
      </c>
      <c r="D3778" s="1" t="s">
        <v>11</v>
      </c>
      <c r="E3778" s="1" t="s">
        <v>11</v>
      </c>
    </row>
    <row r="3779" spans="1:5" ht="15.75" customHeight="1">
      <c r="A3779" s="1">
        <v>830621</v>
      </c>
      <c r="B3779" s="1" t="s">
        <v>3805</v>
      </c>
      <c r="C3779" s="1" t="str">
        <f ca="1">IFERROR(__xludf.DUMMYFUNCTION("REGEXEXTRACT(B3779, ""^([^:]+)"")"),"Statuettes and other ornaments")</f>
        <v>Statuettes and other ornaments</v>
      </c>
      <c r="D3779" s="1" t="s">
        <v>11</v>
      </c>
      <c r="E3779" s="1" t="s">
        <v>11</v>
      </c>
    </row>
    <row r="3780" spans="1:5" ht="15.75" customHeight="1">
      <c r="A3780" s="1">
        <v>830629</v>
      </c>
      <c r="B3780" s="1" t="s">
        <v>3806</v>
      </c>
      <c r="C3780" s="1" t="str">
        <f ca="1">IFERROR(__xludf.DUMMYFUNCTION("REGEXEXTRACT(B3780, ""^([^:]+)"")"),"Statuettes and other ornaments")</f>
        <v>Statuettes and other ornaments</v>
      </c>
      <c r="D3780" s="1" t="s">
        <v>11</v>
      </c>
      <c r="E3780" s="1" t="s">
        <v>11</v>
      </c>
    </row>
    <row r="3781" spans="1:5" ht="15.75" customHeight="1">
      <c r="A3781" s="1">
        <v>830630</v>
      </c>
      <c r="B3781" s="1" t="s">
        <v>3807</v>
      </c>
      <c r="C3781" s="1" t="str">
        <f ca="1">IFERROR(__xludf.DUMMYFUNCTION("REGEXEXTRACT(B3781, ""^([^:]+)"")"),"Photograph, picture or similar frames, mirrors")</f>
        <v>Photograph, picture or similar frames, mirrors</v>
      </c>
      <c r="D3781" s="1" t="s">
        <v>11</v>
      </c>
      <c r="E3781" s="1" t="s">
        <v>11</v>
      </c>
    </row>
    <row r="3782" spans="1:5" ht="15.75" customHeight="1">
      <c r="A3782" s="1">
        <v>830710</v>
      </c>
      <c r="B3782" s="1" t="s">
        <v>3808</v>
      </c>
      <c r="C3782" s="1" t="str">
        <f ca="1">IFERROR(__xludf.DUMMYFUNCTION("REGEXEXTRACT(B3782, ""^([^:]+)"")"),"Tubing")</f>
        <v>Tubing</v>
      </c>
      <c r="D3782" s="1" t="s">
        <v>11</v>
      </c>
      <c r="E3782" s="1" t="s">
        <v>11</v>
      </c>
    </row>
    <row r="3783" spans="1:5" ht="15.75" customHeight="1">
      <c r="A3783" s="1">
        <v>830790</v>
      </c>
      <c r="B3783" s="1" t="s">
        <v>3809</v>
      </c>
      <c r="C3783" s="1" t="str">
        <f ca="1">IFERROR(__xludf.DUMMYFUNCTION("REGEXEXTRACT(B3783, ""^([^:]+)"")"),"Tubing")</f>
        <v>Tubing</v>
      </c>
      <c r="D3783" s="1" t="s">
        <v>11</v>
      </c>
      <c r="E3783" s="1" t="s">
        <v>11</v>
      </c>
    </row>
    <row r="3784" spans="1:5" ht="15.75" customHeight="1">
      <c r="A3784" s="1">
        <v>830810</v>
      </c>
      <c r="B3784" s="1" t="s">
        <v>3810</v>
      </c>
      <c r="C3784" s="1" t="str">
        <f ca="1">IFERROR(__xludf.DUMMYFUNCTION("REGEXEXTRACT(B3784, ""^([^:]+)"")"),"Hooks, eyes and eyelets")</f>
        <v>Hooks, eyes and eyelets</v>
      </c>
      <c r="D3784" s="1" t="s">
        <v>11</v>
      </c>
      <c r="E3784" s="1" t="s">
        <v>11</v>
      </c>
    </row>
    <row r="3785" spans="1:5" ht="15.75" customHeight="1">
      <c r="A3785" s="1">
        <v>830820</v>
      </c>
      <c r="B3785" s="1" t="s">
        <v>3811</v>
      </c>
      <c r="C3785" s="1" t="str">
        <f ca="1">IFERROR(__xludf.DUMMYFUNCTION("REGEXEXTRACT(B3785, ""^([^:]+)"")"),"Rivets")</f>
        <v>Rivets</v>
      </c>
      <c r="D3785" s="1" t="s">
        <v>11</v>
      </c>
      <c r="E3785" s="1" t="s">
        <v>11</v>
      </c>
    </row>
    <row r="3786" spans="1:5" ht="15.75" customHeight="1">
      <c r="A3786" s="1">
        <v>830890</v>
      </c>
      <c r="B3786" s="1" t="s">
        <v>3812</v>
      </c>
      <c r="C3786" s="1" t="str">
        <f ca="1">IFERROR(__xludf.DUMMYFUNCTION("REGEXEXTRACT(B3786, ""^([^:]+)"")"),"Clasps, frames with clasps, buckles, buckle clasps")</f>
        <v>Clasps, frames with clasps, buckles, buckle clasps</v>
      </c>
      <c r="D3786" s="1" t="s">
        <v>11</v>
      </c>
      <c r="E3786" s="1" t="s">
        <v>11</v>
      </c>
    </row>
    <row r="3787" spans="1:5" ht="15.75" customHeight="1">
      <c r="A3787" s="1">
        <v>830910</v>
      </c>
      <c r="B3787" s="1" t="s">
        <v>3813</v>
      </c>
      <c r="C3787" s="1" t="str">
        <f ca="1">IFERROR(__xludf.DUMMYFUNCTION("REGEXEXTRACT(B3787, ""^([^:]+)"")"),"Stoppers")</f>
        <v>Stoppers</v>
      </c>
      <c r="D3787" s="1" t="s">
        <v>11</v>
      </c>
      <c r="E3787" s="1" t="s">
        <v>11</v>
      </c>
    </row>
    <row r="3788" spans="1:5" ht="15.75" customHeight="1">
      <c r="A3788" s="1">
        <v>830990</v>
      </c>
      <c r="B3788" s="1" t="s">
        <v>3814</v>
      </c>
      <c r="C3788" s="1" t="str">
        <f ca="1">IFERROR(__xludf.DUMMYFUNCTION("REGEXEXTRACT(B3788, ""^([^:]+)"")"),"Stoppers")</f>
        <v>Stoppers</v>
      </c>
      <c r="D3788" s="1" t="s">
        <v>11</v>
      </c>
      <c r="E3788" s="1" t="s">
        <v>11</v>
      </c>
    </row>
    <row r="3789" spans="1:5" ht="15.75" customHeight="1">
      <c r="A3789" s="1">
        <v>831000</v>
      </c>
      <c r="B3789" s="1" t="s">
        <v>3815</v>
      </c>
      <c r="C3789" s="1" t="str">
        <f ca="1">IFERROR(__xludf.DUMMYFUNCTION("REGEXEXTRACT(B3789, ""^([^:]+)"")"),"Sign plates, name-plates, address-plates and similar plates, numbers, letters and other symbols")</f>
        <v>Sign plates, name-plates, address-plates and similar plates, numbers, letters and other symbols</v>
      </c>
      <c r="D3789" s="1" t="s">
        <v>11</v>
      </c>
      <c r="E3789" s="1" t="s">
        <v>11</v>
      </c>
    </row>
    <row r="3790" spans="1:5" ht="15.75" customHeight="1">
      <c r="A3790" s="1">
        <v>831110</v>
      </c>
      <c r="B3790" s="1" t="s">
        <v>3816</v>
      </c>
      <c r="C3790" s="1" t="str">
        <f ca="1">IFERROR(__xludf.DUMMYFUNCTION("REGEXEXTRACT(B3790, ""^([^:]+)"")"),"Electrodes")</f>
        <v>Electrodes</v>
      </c>
      <c r="D3790" s="1" t="s">
        <v>11</v>
      </c>
      <c r="E3790" s="1" t="s">
        <v>11</v>
      </c>
    </row>
    <row r="3791" spans="1:5" ht="15.75" customHeight="1">
      <c r="A3791" s="1">
        <v>831120</v>
      </c>
      <c r="B3791" s="1" t="s">
        <v>3817</v>
      </c>
      <c r="C3791" s="1" t="str">
        <f ca="1">IFERROR(__xludf.DUMMYFUNCTION("REGEXEXTRACT(B3791, ""^([^:]+)"")"),"Wire")</f>
        <v>Wire</v>
      </c>
      <c r="D3791" s="1" t="s">
        <v>11</v>
      </c>
      <c r="E3791" s="1" t="s">
        <v>11</v>
      </c>
    </row>
    <row r="3792" spans="1:5" ht="15.75" customHeight="1">
      <c r="A3792" s="1">
        <v>831130</v>
      </c>
      <c r="B3792" s="1" t="s">
        <v>3818</v>
      </c>
      <c r="C3792" s="1" t="str">
        <f ca="1">IFERROR(__xludf.DUMMYFUNCTION("REGEXEXTRACT(B3792, ""^([^:]+)"")"),"Rods and wire")</f>
        <v>Rods and wire</v>
      </c>
      <c r="D3792" s="1" t="s">
        <v>11</v>
      </c>
      <c r="E3792" s="1" t="s">
        <v>11</v>
      </c>
    </row>
    <row r="3793" spans="1:5" ht="15.75" customHeight="1">
      <c r="A3793" s="1">
        <v>831190</v>
      </c>
      <c r="B3793" s="1" t="s">
        <v>3819</v>
      </c>
      <c r="C3793" s="1" t="str">
        <f ca="1">IFERROR(__xludf.DUMMYFUNCTION("REGEXEXTRACT(B3793, ""^([^:]+)"")"),"Wires, rods, tubes, plates, electrodes of base metal or metal carbides")</f>
        <v>Wires, rods, tubes, plates, electrodes of base metal or metal carbides</v>
      </c>
      <c r="D3793" s="1" t="s">
        <v>11</v>
      </c>
      <c r="E3793" s="1" t="s">
        <v>11</v>
      </c>
    </row>
    <row r="3794" spans="1:5" ht="15.75" customHeight="1">
      <c r="A3794" s="1">
        <v>840110</v>
      </c>
      <c r="B3794" s="1" t="s">
        <v>3820</v>
      </c>
      <c r="C3794" s="1" t="str">
        <f ca="1">IFERROR(__xludf.DUMMYFUNCTION("REGEXEXTRACT(B3794, ""^([^:]+)"")"),"Nuclear reactors")</f>
        <v>Nuclear reactors</v>
      </c>
      <c r="D3794" s="1" t="s">
        <v>11</v>
      </c>
      <c r="E3794" s="1" t="s">
        <v>11</v>
      </c>
    </row>
    <row r="3795" spans="1:5" ht="15.75" customHeight="1">
      <c r="A3795" s="1">
        <v>840120</v>
      </c>
      <c r="B3795" s="1" t="s">
        <v>3821</v>
      </c>
      <c r="C3795" s="1" t="str">
        <f ca="1">IFERROR(__xludf.DUMMYFUNCTION("REGEXEXTRACT(B3795, ""^([^:]+)"")"),"Machinery and apparatus")</f>
        <v>Machinery and apparatus</v>
      </c>
      <c r="D3795" s="1" t="s">
        <v>11</v>
      </c>
      <c r="E3795" s="1" t="s">
        <v>11</v>
      </c>
    </row>
    <row r="3796" spans="1:5" ht="15.75" customHeight="1">
      <c r="A3796" s="1">
        <v>840130</v>
      </c>
      <c r="B3796" s="1" t="s">
        <v>3822</v>
      </c>
      <c r="C3796" s="1" t="str">
        <f ca="1">IFERROR(__xludf.DUMMYFUNCTION("REGEXEXTRACT(B3796, ""^([^:]+)"")"),"Fuel elements (cartridges)")</f>
        <v>Fuel elements (cartridges)</v>
      </c>
      <c r="D3796" s="1" t="s">
        <v>11</v>
      </c>
      <c r="E3796" s="1" t="s">
        <v>11</v>
      </c>
    </row>
    <row r="3797" spans="1:5" ht="15.75" customHeight="1">
      <c r="A3797" s="1">
        <v>840140</v>
      </c>
      <c r="B3797" s="1" t="s">
        <v>3823</v>
      </c>
      <c r="C3797" s="1" t="str">
        <f ca="1">IFERROR(__xludf.DUMMYFUNCTION("REGEXEXTRACT(B3797, ""^([^:]+)"")"),"Nuclear reactors")</f>
        <v>Nuclear reactors</v>
      </c>
      <c r="D3797" s="1" t="s">
        <v>11</v>
      </c>
      <c r="E3797" s="1" t="s">
        <v>11</v>
      </c>
    </row>
    <row r="3798" spans="1:5" ht="15.75" customHeight="1">
      <c r="A3798" s="1">
        <v>840211</v>
      </c>
      <c r="B3798" s="1" t="s">
        <v>3824</v>
      </c>
      <c r="C3798" s="1" t="str">
        <f ca="1">IFERROR(__xludf.DUMMYFUNCTION("REGEXEXTRACT(B3798, ""^([^:]+)"")"),"Boilers")</f>
        <v>Boilers</v>
      </c>
      <c r="D3798" s="1" t="s">
        <v>11</v>
      </c>
      <c r="E3798" s="1" t="s">
        <v>11</v>
      </c>
    </row>
    <row r="3799" spans="1:5" ht="15.75" customHeight="1">
      <c r="A3799" s="1">
        <v>840212</v>
      </c>
      <c r="B3799" s="1" t="s">
        <v>3825</v>
      </c>
      <c r="C3799" s="1" t="str">
        <f ca="1">IFERROR(__xludf.DUMMYFUNCTION("REGEXEXTRACT(B3799, ""^([^:]+)"")"),"Boilers")</f>
        <v>Boilers</v>
      </c>
      <c r="D3799" s="1" t="s">
        <v>11</v>
      </c>
      <c r="E3799" s="1" t="s">
        <v>11</v>
      </c>
    </row>
    <row r="3800" spans="1:5" ht="15.75" customHeight="1">
      <c r="A3800" s="1">
        <v>840219</v>
      </c>
      <c r="B3800" s="1" t="s">
        <v>3826</v>
      </c>
      <c r="C3800" s="1" t="str">
        <f ca="1">IFERROR(__xludf.DUMMYFUNCTION("REGEXEXTRACT(B3800, ""^([^:]+)"")"),"Boilers")</f>
        <v>Boilers</v>
      </c>
      <c r="D3800" s="1" t="s">
        <v>11</v>
      </c>
      <c r="E3800" s="1" t="s">
        <v>11</v>
      </c>
    </row>
    <row r="3801" spans="1:5" ht="15.75" customHeight="1">
      <c r="A3801" s="1">
        <v>840220</v>
      </c>
      <c r="B3801" s="1" t="s">
        <v>3827</v>
      </c>
      <c r="C3801" s="1" t="str">
        <f ca="1">IFERROR(__xludf.DUMMYFUNCTION("REGEXEXTRACT(B3801, ""^([^:]+)"")"),"Boilers")</f>
        <v>Boilers</v>
      </c>
      <c r="D3801" s="1" t="s">
        <v>11</v>
      </c>
      <c r="E3801" s="1" t="s">
        <v>11</v>
      </c>
    </row>
    <row r="3802" spans="1:5" ht="15.75" customHeight="1">
      <c r="A3802" s="1">
        <v>840290</v>
      </c>
      <c r="B3802" s="1" t="s">
        <v>3828</v>
      </c>
      <c r="C3802" s="1" t="str">
        <f ca="1">IFERROR(__xludf.DUMMYFUNCTION("REGEXEXTRACT(B3802, ""^([^:]+)"")"),"Boilers")</f>
        <v>Boilers</v>
      </c>
      <c r="D3802" s="1" t="s">
        <v>11</v>
      </c>
      <c r="E3802" s="1" t="s">
        <v>11</v>
      </c>
    </row>
    <row r="3803" spans="1:5" ht="15.75" customHeight="1">
      <c r="A3803" s="1">
        <v>840310</v>
      </c>
      <c r="B3803" s="1" t="s">
        <v>3829</v>
      </c>
      <c r="C3803" s="1" t="str">
        <f ca="1">IFERROR(__xludf.DUMMYFUNCTION("REGEXEXTRACT(B3803, ""^([^:]+)"")"),"Boilers")</f>
        <v>Boilers</v>
      </c>
      <c r="D3803" s="1" t="s">
        <v>11</v>
      </c>
      <c r="E3803" s="1" t="s">
        <v>11</v>
      </c>
    </row>
    <row r="3804" spans="1:5" ht="15.75" customHeight="1">
      <c r="A3804" s="1">
        <v>840390</v>
      </c>
      <c r="B3804" s="1" t="s">
        <v>3830</v>
      </c>
      <c r="C3804" s="1" t="str">
        <f ca="1">IFERROR(__xludf.DUMMYFUNCTION("REGEXEXTRACT(B3804, ""^([^:]+)"")"),"Boilers")</f>
        <v>Boilers</v>
      </c>
      <c r="D3804" s="1" t="s">
        <v>11</v>
      </c>
      <c r="E3804" s="1" t="s">
        <v>11</v>
      </c>
    </row>
    <row r="3805" spans="1:5" ht="15.75" customHeight="1">
      <c r="A3805" s="1">
        <v>840410</v>
      </c>
      <c r="B3805" s="1" t="s">
        <v>3831</v>
      </c>
      <c r="C3805" s="1" t="str">
        <f ca="1">IFERROR(__xludf.DUMMYFUNCTION("REGEXEXTRACT(B3805, ""^([^:]+)"")"),"Boilers")</f>
        <v>Boilers</v>
      </c>
      <c r="D3805" s="1" t="s">
        <v>11</v>
      </c>
      <c r="E3805" s="1" t="s">
        <v>11</v>
      </c>
    </row>
    <row r="3806" spans="1:5" ht="15.75" customHeight="1">
      <c r="A3806" s="1">
        <v>840420</v>
      </c>
      <c r="B3806" s="1" t="s">
        <v>3832</v>
      </c>
      <c r="C3806" s="1" t="str">
        <f ca="1">IFERROR(__xludf.DUMMYFUNCTION("REGEXEXTRACT(B3806, ""^([^:]+)"")"),"Boilers")</f>
        <v>Boilers</v>
      </c>
      <c r="D3806" s="1" t="s">
        <v>11</v>
      </c>
      <c r="E3806" s="1" t="s">
        <v>11</v>
      </c>
    </row>
    <row r="3807" spans="1:5" ht="15.75" customHeight="1">
      <c r="A3807" s="1">
        <v>840490</v>
      </c>
      <c r="B3807" s="1" t="s">
        <v>3833</v>
      </c>
      <c r="C3807" s="1" t="str">
        <f ca="1">IFERROR(__xludf.DUMMYFUNCTION("REGEXEXTRACT(B3807, ""^([^:]+)"")"),"Boilers")</f>
        <v>Boilers</v>
      </c>
      <c r="D3807" s="1" t="s">
        <v>11</v>
      </c>
      <c r="E3807" s="1" t="s">
        <v>11</v>
      </c>
    </row>
    <row r="3808" spans="1:5" ht="15.75" customHeight="1">
      <c r="A3808" s="1">
        <v>840510</v>
      </c>
      <c r="B3808" s="1" t="s">
        <v>3834</v>
      </c>
      <c r="C3808" s="1" t="str">
        <f ca="1">IFERROR(__xludf.DUMMYFUNCTION("REGEXEXTRACT(B3808, ""^([^:]+)"")"),"Generators")</f>
        <v>Generators</v>
      </c>
      <c r="D3808" s="1" t="s">
        <v>11</v>
      </c>
      <c r="E3808" s="1" t="s">
        <v>11</v>
      </c>
    </row>
    <row r="3809" spans="1:5" ht="15.75" customHeight="1">
      <c r="A3809" s="1">
        <v>840590</v>
      </c>
      <c r="B3809" s="1" t="s">
        <v>3835</v>
      </c>
      <c r="C3809" s="1" t="str">
        <f ca="1">IFERROR(__xludf.DUMMYFUNCTION("REGEXEXTRACT(B3809, ""^([^:]+)"")"),"Generators")</f>
        <v>Generators</v>
      </c>
      <c r="D3809" s="1" t="s">
        <v>11</v>
      </c>
      <c r="E3809" s="1" t="s">
        <v>11</v>
      </c>
    </row>
    <row r="3810" spans="1:5" ht="15.75" customHeight="1">
      <c r="A3810" s="1">
        <v>840610</v>
      </c>
      <c r="B3810" s="1" t="s">
        <v>3836</v>
      </c>
      <c r="C3810" s="1" t="str">
        <f ca="1">IFERROR(__xludf.DUMMYFUNCTION("REGEXEXTRACT(B3810, ""^([^:]+)"")"),"Turbines")</f>
        <v>Turbines</v>
      </c>
      <c r="D3810" s="1" t="s">
        <v>11</v>
      </c>
      <c r="E3810" s="1" t="s">
        <v>11</v>
      </c>
    </row>
    <row r="3811" spans="1:5" ht="15.75" customHeight="1">
      <c r="A3811" s="1">
        <v>840681</v>
      </c>
      <c r="B3811" s="1" t="s">
        <v>3837</v>
      </c>
      <c r="C3811" s="1" t="str">
        <f ca="1">IFERROR(__xludf.DUMMYFUNCTION("REGEXEXTRACT(B3811, ""^([^:]+)"")"),"Turbines")</f>
        <v>Turbines</v>
      </c>
      <c r="D3811" s="1" t="s">
        <v>11</v>
      </c>
      <c r="E3811" s="1" t="s">
        <v>11</v>
      </c>
    </row>
    <row r="3812" spans="1:5" ht="15.75" customHeight="1">
      <c r="A3812" s="1">
        <v>840682</v>
      </c>
      <c r="B3812" s="1" t="s">
        <v>3838</v>
      </c>
      <c r="C3812" s="1" t="str">
        <f ca="1">IFERROR(__xludf.DUMMYFUNCTION("REGEXEXTRACT(B3812, ""^([^:]+)"")"),"Turbines")</f>
        <v>Turbines</v>
      </c>
      <c r="D3812" s="1" t="s">
        <v>11</v>
      </c>
      <c r="E3812" s="1" t="s">
        <v>11</v>
      </c>
    </row>
    <row r="3813" spans="1:5" ht="15.75" customHeight="1">
      <c r="A3813" s="1">
        <v>840690</v>
      </c>
      <c r="B3813" s="1" t="s">
        <v>3839</v>
      </c>
      <c r="C3813" s="1" t="str">
        <f ca="1">IFERROR(__xludf.DUMMYFUNCTION("REGEXEXTRACT(B3813, ""^([^:]+)"")"),"Turbines")</f>
        <v>Turbines</v>
      </c>
      <c r="D3813" s="1" t="s">
        <v>11</v>
      </c>
      <c r="E3813" s="1" t="s">
        <v>11</v>
      </c>
    </row>
    <row r="3814" spans="1:5" ht="15.75" customHeight="1">
      <c r="A3814" s="1">
        <v>840710</v>
      </c>
      <c r="B3814" s="1" t="s">
        <v>3840</v>
      </c>
      <c r="C3814" s="1" t="str">
        <f ca="1">IFERROR(__xludf.DUMMYFUNCTION("REGEXEXTRACT(B3814, ""^([^:]+)"")"),"Engines")</f>
        <v>Engines</v>
      </c>
      <c r="D3814" s="1" t="s">
        <v>11</v>
      </c>
      <c r="E3814" s="1" t="s">
        <v>11</v>
      </c>
    </row>
    <row r="3815" spans="1:5" ht="15.75" customHeight="1">
      <c r="A3815" s="1">
        <v>840721</v>
      </c>
      <c r="B3815" s="1" t="s">
        <v>3841</v>
      </c>
      <c r="C3815" s="1" t="str">
        <f ca="1">IFERROR(__xludf.DUMMYFUNCTION("REGEXEXTRACT(B3815, ""^([^:]+)"")"),"Engines")</f>
        <v>Engines</v>
      </c>
      <c r="D3815" s="1" t="s">
        <v>11</v>
      </c>
      <c r="E3815" s="1" t="s">
        <v>11</v>
      </c>
    </row>
    <row r="3816" spans="1:5" ht="15.75" customHeight="1">
      <c r="A3816" s="1">
        <v>840729</v>
      </c>
      <c r="B3816" s="1" t="s">
        <v>3842</v>
      </c>
      <c r="C3816" s="1" t="str">
        <f ca="1">IFERROR(__xludf.DUMMYFUNCTION("REGEXEXTRACT(B3816, ""^([^:]+)"")"),"Engines")</f>
        <v>Engines</v>
      </c>
      <c r="D3816" s="1" t="s">
        <v>11</v>
      </c>
      <c r="E3816" s="1" t="s">
        <v>11</v>
      </c>
    </row>
    <row r="3817" spans="1:5" ht="15.75" customHeight="1">
      <c r="A3817" s="1">
        <v>840731</v>
      </c>
      <c r="B3817" s="1" t="s">
        <v>3843</v>
      </c>
      <c r="C3817" s="1" t="str">
        <f ca="1">IFERROR(__xludf.DUMMYFUNCTION("REGEXEXTRACT(B3817, ""^([^:]+)"")"),"Engines")</f>
        <v>Engines</v>
      </c>
      <c r="D3817" s="1" t="s">
        <v>11</v>
      </c>
      <c r="E3817" s="1" t="s">
        <v>11</v>
      </c>
    </row>
    <row r="3818" spans="1:5" ht="15.75" customHeight="1">
      <c r="A3818" s="1">
        <v>840732</v>
      </c>
      <c r="B3818" s="1" t="s">
        <v>3844</v>
      </c>
      <c r="C3818" s="1" t="str">
        <f ca="1">IFERROR(__xludf.DUMMYFUNCTION("REGEXEXTRACT(B3818, ""^([^:]+)"")"),"Engines")</f>
        <v>Engines</v>
      </c>
      <c r="D3818" s="1" t="s">
        <v>11</v>
      </c>
      <c r="E3818" s="1" t="s">
        <v>11</v>
      </c>
    </row>
    <row r="3819" spans="1:5" ht="15.75" customHeight="1">
      <c r="A3819" s="1">
        <v>840733</v>
      </c>
      <c r="B3819" s="1" t="s">
        <v>3845</v>
      </c>
      <c r="C3819" s="1" t="str">
        <f ca="1">IFERROR(__xludf.DUMMYFUNCTION("REGEXEXTRACT(B3819, ""^([^:]+)"")"),"Engines")</f>
        <v>Engines</v>
      </c>
      <c r="D3819" s="1" t="s">
        <v>11</v>
      </c>
      <c r="E3819" s="1" t="s">
        <v>11</v>
      </c>
    </row>
    <row r="3820" spans="1:5" ht="15.75" customHeight="1">
      <c r="A3820" s="1">
        <v>840734</v>
      </c>
      <c r="B3820" s="1" t="s">
        <v>3846</v>
      </c>
      <c r="C3820" s="1" t="str">
        <f ca="1">IFERROR(__xludf.DUMMYFUNCTION("REGEXEXTRACT(B3820, ""^([^:]+)"")"),"Engines")</f>
        <v>Engines</v>
      </c>
      <c r="D3820" s="1" t="s">
        <v>11</v>
      </c>
      <c r="E3820" s="1" t="s">
        <v>11</v>
      </c>
    </row>
    <row r="3821" spans="1:5" ht="15.75" customHeight="1">
      <c r="A3821" s="1">
        <v>840790</v>
      </c>
      <c r="B3821" s="1" t="s">
        <v>3847</v>
      </c>
      <c r="C3821" s="1" t="str">
        <f ca="1">IFERROR(__xludf.DUMMYFUNCTION("REGEXEXTRACT(B3821, ""^([^:]+)"")"),"Engines")</f>
        <v>Engines</v>
      </c>
      <c r="D3821" s="1" t="s">
        <v>11</v>
      </c>
      <c r="E3821" s="1" t="s">
        <v>11</v>
      </c>
    </row>
    <row r="3822" spans="1:5" ht="15.75" customHeight="1">
      <c r="A3822" s="1">
        <v>840810</v>
      </c>
      <c r="B3822" s="1" t="s">
        <v>3848</v>
      </c>
      <c r="C3822" s="1" t="str">
        <f ca="1">IFERROR(__xludf.DUMMYFUNCTION("REGEXEXTRACT(B3822, ""^([^:]+)"")"),"Engines")</f>
        <v>Engines</v>
      </c>
      <c r="D3822" s="1" t="s">
        <v>11</v>
      </c>
      <c r="E3822" s="1" t="s">
        <v>11</v>
      </c>
    </row>
    <row r="3823" spans="1:5" ht="15.75" customHeight="1">
      <c r="A3823" s="1">
        <v>840820</v>
      </c>
      <c r="B3823" s="1" t="s">
        <v>3849</v>
      </c>
      <c r="C3823" s="1" t="str">
        <f ca="1">IFERROR(__xludf.DUMMYFUNCTION("REGEXEXTRACT(B3823, ""^([^:]+)"")"),"Engines")</f>
        <v>Engines</v>
      </c>
      <c r="D3823" s="1" t="s">
        <v>11</v>
      </c>
      <c r="E3823" s="1" t="s">
        <v>11</v>
      </c>
    </row>
    <row r="3824" spans="1:5" ht="15.75" customHeight="1">
      <c r="A3824" s="1">
        <v>840890</v>
      </c>
      <c r="B3824" s="1" t="s">
        <v>3850</v>
      </c>
      <c r="C3824" s="1" t="str">
        <f ca="1">IFERROR(__xludf.DUMMYFUNCTION("REGEXEXTRACT(B3824, ""^([^:]+)"")"),"Engines")</f>
        <v>Engines</v>
      </c>
      <c r="D3824" s="1" t="s">
        <v>11</v>
      </c>
      <c r="E3824" s="1" t="s">
        <v>11</v>
      </c>
    </row>
    <row r="3825" spans="1:5" ht="15.75" customHeight="1">
      <c r="A3825" s="1">
        <v>840910</v>
      </c>
      <c r="B3825" s="1" t="s">
        <v>3851</v>
      </c>
      <c r="C3825" s="1" t="str">
        <f ca="1">IFERROR(__xludf.DUMMYFUNCTION("REGEXEXTRACT(B3825, ""^([^:]+)"")"),"Engines")</f>
        <v>Engines</v>
      </c>
      <c r="D3825" s="1" t="s">
        <v>11</v>
      </c>
      <c r="E3825" s="1" t="s">
        <v>11</v>
      </c>
    </row>
    <row r="3826" spans="1:5" ht="15.75" customHeight="1">
      <c r="A3826" s="1">
        <v>840991</v>
      </c>
      <c r="B3826" s="1" t="s">
        <v>3852</v>
      </c>
      <c r="C3826" s="1" t="str">
        <f ca="1">IFERROR(__xludf.DUMMYFUNCTION("REGEXEXTRACT(B3826, ""^([^:]+)"")"),"Engines")</f>
        <v>Engines</v>
      </c>
      <c r="D3826" s="1" t="s">
        <v>11</v>
      </c>
      <c r="E3826" s="1" t="s">
        <v>11</v>
      </c>
    </row>
    <row r="3827" spans="1:5" ht="15.75" customHeight="1">
      <c r="A3827" s="1">
        <v>840999</v>
      </c>
      <c r="B3827" s="1" t="s">
        <v>3853</v>
      </c>
      <c r="C3827" s="1" t="str">
        <f ca="1">IFERROR(__xludf.DUMMYFUNCTION("REGEXEXTRACT(B3827, ""^([^:]+)"")"),"Engines")</f>
        <v>Engines</v>
      </c>
      <c r="D3827" s="1" t="s">
        <v>11</v>
      </c>
      <c r="E3827" s="1" t="s">
        <v>11</v>
      </c>
    </row>
    <row r="3828" spans="1:5" ht="15.75" customHeight="1">
      <c r="A3828" s="1">
        <v>841011</v>
      </c>
      <c r="B3828" s="1" t="s">
        <v>3854</v>
      </c>
      <c r="C3828" s="1" t="str">
        <f ca="1">IFERROR(__xludf.DUMMYFUNCTION("REGEXEXTRACT(B3828, ""^([^:]+)"")"),"Turbines")</f>
        <v>Turbines</v>
      </c>
      <c r="D3828" s="1" t="s">
        <v>11</v>
      </c>
      <c r="E3828" s="1" t="s">
        <v>11</v>
      </c>
    </row>
    <row r="3829" spans="1:5" ht="15.75" customHeight="1">
      <c r="A3829" s="1">
        <v>841012</v>
      </c>
      <c r="B3829" s="1" t="s">
        <v>3855</v>
      </c>
      <c r="C3829" s="1" t="str">
        <f ca="1">IFERROR(__xludf.DUMMYFUNCTION("REGEXEXTRACT(B3829, ""^([^:]+)"")"),"Turbines")</f>
        <v>Turbines</v>
      </c>
      <c r="D3829" s="1" t="s">
        <v>11</v>
      </c>
      <c r="E3829" s="1" t="s">
        <v>11</v>
      </c>
    </row>
    <row r="3830" spans="1:5" ht="15.75" customHeight="1">
      <c r="A3830" s="1">
        <v>841013</v>
      </c>
      <c r="B3830" s="1" t="s">
        <v>3856</v>
      </c>
      <c r="C3830" s="1" t="str">
        <f ca="1">IFERROR(__xludf.DUMMYFUNCTION("REGEXEXTRACT(B3830, ""^([^:]+)"")"),"Turbines")</f>
        <v>Turbines</v>
      </c>
      <c r="D3830" s="1" t="s">
        <v>11</v>
      </c>
      <c r="E3830" s="1" t="s">
        <v>11</v>
      </c>
    </row>
    <row r="3831" spans="1:5" ht="15.75" customHeight="1">
      <c r="A3831" s="1">
        <v>841090</v>
      </c>
      <c r="B3831" s="1" t="s">
        <v>3857</v>
      </c>
      <c r="C3831" s="1" t="str">
        <f ca="1">IFERROR(__xludf.DUMMYFUNCTION("REGEXEXTRACT(B3831, ""^([^:]+)"")"),"Turbines")</f>
        <v>Turbines</v>
      </c>
      <c r="D3831" s="1" t="s">
        <v>11</v>
      </c>
      <c r="E3831" s="1" t="s">
        <v>11</v>
      </c>
    </row>
    <row r="3832" spans="1:5" ht="15.75" customHeight="1">
      <c r="A3832" s="1">
        <v>841111</v>
      </c>
      <c r="B3832" s="1" t="s">
        <v>3858</v>
      </c>
      <c r="C3832" s="1" t="str">
        <f ca="1">IFERROR(__xludf.DUMMYFUNCTION("REGEXEXTRACT(B3832, ""^([^:]+)"")"),"Turbo-jets")</f>
        <v>Turbo-jets</v>
      </c>
      <c r="D3832" s="1" t="s">
        <v>11</v>
      </c>
      <c r="E3832" s="1" t="s">
        <v>11</v>
      </c>
    </row>
    <row r="3833" spans="1:5" ht="15.75" customHeight="1">
      <c r="A3833" s="1">
        <v>841112</v>
      </c>
      <c r="B3833" s="1" t="s">
        <v>3859</v>
      </c>
      <c r="C3833" s="1" t="str">
        <f ca="1">IFERROR(__xludf.DUMMYFUNCTION("REGEXEXTRACT(B3833, ""^([^:]+)"")"),"Turbo-jets")</f>
        <v>Turbo-jets</v>
      </c>
      <c r="D3833" s="1" t="s">
        <v>11</v>
      </c>
      <c r="E3833" s="1" t="s">
        <v>11</v>
      </c>
    </row>
    <row r="3834" spans="1:5" ht="15.75" customHeight="1">
      <c r="A3834" s="1">
        <v>841121</v>
      </c>
      <c r="B3834" s="1" t="s">
        <v>3860</v>
      </c>
      <c r="C3834" s="1" t="str">
        <f ca="1">IFERROR(__xludf.DUMMYFUNCTION("REGEXEXTRACT(B3834, ""^([^:]+)"")"),"Turbo-propellers")</f>
        <v>Turbo-propellers</v>
      </c>
      <c r="D3834" s="1" t="s">
        <v>11</v>
      </c>
      <c r="E3834" s="1" t="s">
        <v>11</v>
      </c>
    </row>
    <row r="3835" spans="1:5" ht="15.75" customHeight="1">
      <c r="A3835" s="1">
        <v>841122</v>
      </c>
      <c r="B3835" s="1" t="s">
        <v>3861</v>
      </c>
      <c r="C3835" s="1" t="str">
        <f ca="1">IFERROR(__xludf.DUMMYFUNCTION("REGEXEXTRACT(B3835, ""^([^:]+)"")"),"Turbo-propellers")</f>
        <v>Turbo-propellers</v>
      </c>
      <c r="D3835" s="1" t="s">
        <v>11</v>
      </c>
      <c r="E3835" s="1" t="s">
        <v>11</v>
      </c>
    </row>
    <row r="3836" spans="1:5" ht="15.75" customHeight="1">
      <c r="A3836" s="1">
        <v>841181</v>
      </c>
      <c r="B3836" s="1" t="s">
        <v>3862</v>
      </c>
      <c r="C3836" s="1" t="str">
        <f ca="1">IFERROR(__xludf.DUMMYFUNCTION("REGEXEXTRACT(B3836, ""^([^:]+)"")"),"Turbines")</f>
        <v>Turbines</v>
      </c>
      <c r="D3836" s="1" t="s">
        <v>11</v>
      </c>
      <c r="E3836" s="1" t="s">
        <v>11</v>
      </c>
    </row>
    <row r="3837" spans="1:5" ht="15.75" customHeight="1">
      <c r="A3837" s="1">
        <v>841182</v>
      </c>
      <c r="B3837" s="1" t="s">
        <v>3863</v>
      </c>
      <c r="C3837" s="1" t="str">
        <f ca="1">IFERROR(__xludf.DUMMYFUNCTION("REGEXEXTRACT(B3837, ""^([^:]+)"")"),"Turbines")</f>
        <v>Turbines</v>
      </c>
      <c r="D3837" s="1" t="s">
        <v>11</v>
      </c>
      <c r="E3837" s="1" t="s">
        <v>11</v>
      </c>
    </row>
    <row r="3838" spans="1:5" ht="15.75" customHeight="1">
      <c r="A3838" s="1">
        <v>841191</v>
      </c>
      <c r="B3838" s="1" t="s">
        <v>3864</v>
      </c>
      <c r="C3838" s="1" t="str">
        <f ca="1">IFERROR(__xludf.DUMMYFUNCTION("REGEXEXTRACT(B3838, ""^([^:]+)"")"),"Turbines")</f>
        <v>Turbines</v>
      </c>
      <c r="D3838" s="1" t="s">
        <v>11</v>
      </c>
      <c r="E3838" s="1" t="s">
        <v>11</v>
      </c>
    </row>
    <row r="3839" spans="1:5" ht="15.75" customHeight="1">
      <c r="A3839" s="1">
        <v>841199</v>
      </c>
      <c r="B3839" s="1" t="s">
        <v>3865</v>
      </c>
      <c r="C3839" s="1" t="str">
        <f ca="1">IFERROR(__xludf.DUMMYFUNCTION("REGEXEXTRACT(B3839, ""^([^:]+)"")"),"Turbines")</f>
        <v>Turbines</v>
      </c>
      <c r="D3839" s="1" t="s">
        <v>11</v>
      </c>
      <c r="E3839" s="1" t="s">
        <v>11</v>
      </c>
    </row>
    <row r="3840" spans="1:5" ht="15.75" customHeight="1">
      <c r="A3840" s="1">
        <v>841210</v>
      </c>
      <c r="B3840" s="1" t="s">
        <v>3866</v>
      </c>
      <c r="C3840" s="1" t="str">
        <f ca="1">IFERROR(__xludf.DUMMYFUNCTION("REGEXEXTRACT(B3840, ""^([^:]+)"")"),"Engines")</f>
        <v>Engines</v>
      </c>
      <c r="D3840" s="1" t="s">
        <v>11</v>
      </c>
      <c r="E3840" s="1" t="s">
        <v>11</v>
      </c>
    </row>
    <row r="3841" spans="1:5" ht="15.75" customHeight="1">
      <c r="A3841" s="1">
        <v>841221</v>
      </c>
      <c r="B3841" s="1" t="s">
        <v>3867</v>
      </c>
      <c r="C3841" s="1" t="str">
        <f ca="1">IFERROR(__xludf.DUMMYFUNCTION("REGEXEXTRACT(B3841, ""^([^:]+)"")"),"Engines")</f>
        <v>Engines</v>
      </c>
      <c r="D3841" s="1" t="s">
        <v>11</v>
      </c>
      <c r="E3841" s="1" t="s">
        <v>11</v>
      </c>
    </row>
    <row r="3842" spans="1:5" ht="15.75" customHeight="1">
      <c r="A3842" s="1">
        <v>841229</v>
      </c>
      <c r="B3842" s="1" t="s">
        <v>3868</v>
      </c>
      <c r="C3842" s="1" t="str">
        <f ca="1">IFERROR(__xludf.DUMMYFUNCTION("REGEXEXTRACT(B3842, ""^([^:]+)"")"),"Engines")</f>
        <v>Engines</v>
      </c>
      <c r="D3842" s="1" t="s">
        <v>11</v>
      </c>
      <c r="E3842" s="1" t="s">
        <v>11</v>
      </c>
    </row>
    <row r="3843" spans="1:5" ht="15.75" customHeight="1">
      <c r="A3843" s="1">
        <v>841231</v>
      </c>
      <c r="B3843" s="1" t="s">
        <v>3869</v>
      </c>
      <c r="C3843" s="1" t="str">
        <f ca="1">IFERROR(__xludf.DUMMYFUNCTION("REGEXEXTRACT(B3843, ""^([^:]+)"")"),"Engines")</f>
        <v>Engines</v>
      </c>
      <c r="D3843" s="1" t="s">
        <v>11</v>
      </c>
      <c r="E3843" s="1" t="s">
        <v>11</v>
      </c>
    </row>
    <row r="3844" spans="1:5" ht="15.75" customHeight="1">
      <c r="A3844" s="1">
        <v>841239</v>
      </c>
      <c r="B3844" s="1" t="s">
        <v>3870</v>
      </c>
      <c r="C3844" s="1" t="str">
        <f ca="1">IFERROR(__xludf.DUMMYFUNCTION("REGEXEXTRACT(B3844, ""^([^:]+)"")"),"Engines")</f>
        <v>Engines</v>
      </c>
      <c r="D3844" s="1" t="s">
        <v>11</v>
      </c>
      <c r="E3844" s="1" t="s">
        <v>11</v>
      </c>
    </row>
    <row r="3845" spans="1:5" ht="15.75" customHeight="1">
      <c r="A3845" s="1">
        <v>841280</v>
      </c>
      <c r="B3845" s="1" t="s">
        <v>3871</v>
      </c>
      <c r="C3845" s="1" t="str">
        <f ca="1">IFERROR(__xludf.DUMMYFUNCTION("REGEXEXTRACT(B3845, ""^([^:]+)"")"),"Engines")</f>
        <v>Engines</v>
      </c>
      <c r="D3845" s="1" t="s">
        <v>11</v>
      </c>
      <c r="E3845" s="1" t="s">
        <v>11</v>
      </c>
    </row>
    <row r="3846" spans="1:5" ht="15.75" customHeight="1">
      <c r="A3846" s="1">
        <v>841290</v>
      </c>
      <c r="B3846" s="1" t="s">
        <v>3872</v>
      </c>
      <c r="C3846" s="1" t="str">
        <f ca="1">IFERROR(__xludf.DUMMYFUNCTION("REGEXEXTRACT(B3846, ""^([^:]+)"")"),"Engines")</f>
        <v>Engines</v>
      </c>
      <c r="D3846" s="1" t="s">
        <v>11</v>
      </c>
      <c r="E3846" s="1" t="s">
        <v>11</v>
      </c>
    </row>
    <row r="3847" spans="1:5" ht="15.75" customHeight="1">
      <c r="A3847" s="1">
        <v>841311</v>
      </c>
      <c r="B3847" s="1" t="s">
        <v>3873</v>
      </c>
      <c r="C3847" s="1" t="str">
        <f ca="1">IFERROR(__xludf.DUMMYFUNCTION("REGEXEXTRACT(B3847, ""^([^:]+)"")"),"Pumps")</f>
        <v>Pumps</v>
      </c>
      <c r="D3847" s="1" t="s">
        <v>11</v>
      </c>
      <c r="E3847" s="1" t="s">
        <v>11</v>
      </c>
    </row>
    <row r="3848" spans="1:5" ht="15.75" customHeight="1">
      <c r="A3848" s="1">
        <v>841319</v>
      </c>
      <c r="B3848" s="1" t="s">
        <v>3874</v>
      </c>
      <c r="C3848" s="1" t="str">
        <f ca="1">IFERROR(__xludf.DUMMYFUNCTION("REGEXEXTRACT(B3848, ""^([^:]+)"")"),"Pumps")</f>
        <v>Pumps</v>
      </c>
      <c r="D3848" s="1" t="s">
        <v>11</v>
      </c>
      <c r="E3848" s="1" t="s">
        <v>11</v>
      </c>
    </row>
    <row r="3849" spans="1:5" ht="15.75" customHeight="1">
      <c r="A3849" s="1">
        <v>841320</v>
      </c>
      <c r="B3849" s="1" t="s">
        <v>3875</v>
      </c>
      <c r="C3849" s="1" t="str">
        <f ca="1">IFERROR(__xludf.DUMMYFUNCTION("REGEXEXTRACT(B3849, ""^([^:]+)"")"),"Pumps")</f>
        <v>Pumps</v>
      </c>
      <c r="D3849" s="1" t="s">
        <v>11</v>
      </c>
      <c r="E3849" s="1" t="s">
        <v>11</v>
      </c>
    </row>
    <row r="3850" spans="1:5" ht="15.75" customHeight="1">
      <c r="A3850" s="1">
        <v>841330</v>
      </c>
      <c r="B3850" s="1" t="s">
        <v>3876</v>
      </c>
      <c r="C3850" s="1" t="str">
        <f ca="1">IFERROR(__xludf.DUMMYFUNCTION("REGEXEXTRACT(B3850, ""^([^:]+)"")"),"Pumps")</f>
        <v>Pumps</v>
      </c>
      <c r="D3850" s="1" t="s">
        <v>11</v>
      </c>
      <c r="E3850" s="1" t="s">
        <v>11</v>
      </c>
    </row>
    <row r="3851" spans="1:5" ht="15.75" customHeight="1">
      <c r="A3851" s="1">
        <v>841340</v>
      </c>
      <c r="B3851" s="1" t="s">
        <v>3877</v>
      </c>
      <c r="C3851" s="1" t="str">
        <f ca="1">IFERROR(__xludf.DUMMYFUNCTION("REGEXEXTRACT(B3851, ""^([^:]+)"")"),"Pumps")</f>
        <v>Pumps</v>
      </c>
      <c r="D3851" s="1" t="s">
        <v>11</v>
      </c>
      <c r="E3851" s="1" t="s">
        <v>11</v>
      </c>
    </row>
    <row r="3852" spans="1:5" ht="15.75" customHeight="1">
      <c r="A3852" s="1">
        <v>841350</v>
      </c>
      <c r="B3852" s="1" t="s">
        <v>3878</v>
      </c>
      <c r="C3852" s="1" t="str">
        <f ca="1">IFERROR(__xludf.DUMMYFUNCTION("REGEXEXTRACT(B3852, ""^([^:]+)"")"),"Pumps")</f>
        <v>Pumps</v>
      </c>
      <c r="D3852" s="1" t="s">
        <v>11</v>
      </c>
      <c r="E3852" s="1" t="s">
        <v>11</v>
      </c>
    </row>
    <row r="3853" spans="1:5" ht="15.75" customHeight="1">
      <c r="A3853" s="1">
        <v>841360</v>
      </c>
      <c r="B3853" s="1" t="s">
        <v>3879</v>
      </c>
      <c r="C3853" s="1" t="str">
        <f ca="1">IFERROR(__xludf.DUMMYFUNCTION("REGEXEXTRACT(B3853, ""^([^:]+)"")"),"Pumps")</f>
        <v>Pumps</v>
      </c>
      <c r="D3853" s="1" t="s">
        <v>11</v>
      </c>
      <c r="E3853" s="1" t="s">
        <v>11</v>
      </c>
    </row>
    <row r="3854" spans="1:5" ht="15.75" customHeight="1">
      <c r="A3854" s="1">
        <v>841370</v>
      </c>
      <c r="B3854" s="1" t="s">
        <v>3880</v>
      </c>
      <c r="C3854" s="1" t="str">
        <f ca="1">IFERROR(__xludf.DUMMYFUNCTION("REGEXEXTRACT(B3854, ""^([^:]+)"")"),"Pumps")</f>
        <v>Pumps</v>
      </c>
      <c r="D3854" s="1" t="s">
        <v>11</v>
      </c>
      <c r="E3854" s="1" t="s">
        <v>11</v>
      </c>
    </row>
    <row r="3855" spans="1:5" ht="15.75" customHeight="1">
      <c r="A3855" s="1">
        <v>841381</v>
      </c>
      <c r="B3855" s="1" t="s">
        <v>3881</v>
      </c>
      <c r="C3855" s="1" t="str">
        <f ca="1">IFERROR(__xludf.DUMMYFUNCTION("REGEXEXTRACT(B3855, ""^([^:]+)"")"),"Pumps and liquid elevators")</f>
        <v>Pumps and liquid elevators</v>
      </c>
      <c r="D3855" s="1" t="s">
        <v>11</v>
      </c>
      <c r="E3855" s="1" t="s">
        <v>11</v>
      </c>
    </row>
    <row r="3856" spans="1:5" ht="15.75" customHeight="1">
      <c r="A3856" s="1">
        <v>841382</v>
      </c>
      <c r="B3856" s="1" t="s">
        <v>3882</v>
      </c>
      <c r="C3856" s="1" t="str">
        <f ca="1">IFERROR(__xludf.DUMMYFUNCTION("REGEXEXTRACT(B3856, ""^([^:]+)"")"),"Liquid elevators")</f>
        <v>Liquid elevators</v>
      </c>
      <c r="D3856" s="1" t="s">
        <v>11</v>
      </c>
      <c r="E3856" s="1" t="s">
        <v>11</v>
      </c>
    </row>
    <row r="3857" spans="1:5" ht="15.75" customHeight="1">
      <c r="A3857" s="1">
        <v>841391</v>
      </c>
      <c r="B3857" s="1" t="s">
        <v>3883</v>
      </c>
      <c r="C3857" s="1" t="str">
        <f ca="1">IFERROR(__xludf.DUMMYFUNCTION("REGEXEXTRACT(B3857, ""^([^:]+)"")"),"Pumps")</f>
        <v>Pumps</v>
      </c>
      <c r="D3857" s="1" t="s">
        <v>11</v>
      </c>
      <c r="E3857" s="1" t="s">
        <v>11</v>
      </c>
    </row>
    <row r="3858" spans="1:5" ht="15.75" customHeight="1">
      <c r="A3858" s="1">
        <v>841392</v>
      </c>
      <c r="B3858" s="1" t="s">
        <v>3884</v>
      </c>
      <c r="C3858" s="1" t="str">
        <f ca="1">IFERROR(__xludf.DUMMYFUNCTION("REGEXEXTRACT(B3858, ""^([^:]+)"")"),"Liquid elevators")</f>
        <v>Liquid elevators</v>
      </c>
      <c r="D3858" s="1" t="s">
        <v>11</v>
      </c>
      <c r="E3858" s="1" t="s">
        <v>11</v>
      </c>
    </row>
    <row r="3859" spans="1:5" ht="15.75" customHeight="1">
      <c r="A3859" s="1">
        <v>841410</v>
      </c>
      <c r="B3859" s="1" t="s">
        <v>3885</v>
      </c>
      <c r="C3859" s="1" t="str">
        <f ca="1">IFERROR(__xludf.DUMMYFUNCTION("REGEXEXTRACT(B3859, ""^([^:]+)"")"),"Pumps")</f>
        <v>Pumps</v>
      </c>
      <c r="D3859" s="1" t="s">
        <v>11</v>
      </c>
      <c r="E3859" s="1" t="s">
        <v>11</v>
      </c>
    </row>
    <row r="3860" spans="1:5" ht="15.75" customHeight="1">
      <c r="A3860" s="1">
        <v>841420</v>
      </c>
      <c r="B3860" s="1" t="s">
        <v>3886</v>
      </c>
      <c r="C3860" s="1" t="str">
        <f ca="1">IFERROR(__xludf.DUMMYFUNCTION("REGEXEXTRACT(B3860, ""^([^:]+)"")"),"Pumps")</f>
        <v>Pumps</v>
      </c>
      <c r="D3860" s="1" t="s">
        <v>11</v>
      </c>
      <c r="E3860" s="1" t="s">
        <v>11</v>
      </c>
    </row>
    <row r="3861" spans="1:5" ht="15.75" customHeight="1">
      <c r="A3861" s="1">
        <v>841430</v>
      </c>
      <c r="B3861" s="1" t="s">
        <v>3887</v>
      </c>
      <c r="C3861" s="1" t="str">
        <f ca="1">IFERROR(__xludf.DUMMYFUNCTION("REGEXEXTRACT(B3861, ""^([^:]+)"")"),"Compressors")</f>
        <v>Compressors</v>
      </c>
      <c r="D3861" s="1" t="s">
        <v>11</v>
      </c>
      <c r="E3861" s="1" t="s">
        <v>11</v>
      </c>
    </row>
    <row r="3862" spans="1:5" ht="15.75" customHeight="1">
      <c r="A3862" s="1">
        <v>841440</v>
      </c>
      <c r="B3862" s="1" t="s">
        <v>3888</v>
      </c>
      <c r="C3862" s="1" t="str">
        <f ca="1">IFERROR(__xludf.DUMMYFUNCTION("REGEXEXTRACT(B3862, ""^([^:]+)"")"),"Compressors")</f>
        <v>Compressors</v>
      </c>
      <c r="D3862" s="1" t="s">
        <v>11</v>
      </c>
      <c r="E3862" s="1" t="s">
        <v>11</v>
      </c>
    </row>
    <row r="3863" spans="1:5" ht="15.75" customHeight="1">
      <c r="A3863" s="1">
        <v>841451</v>
      </c>
      <c r="B3863" s="1" t="s">
        <v>3889</v>
      </c>
      <c r="C3863" s="1" t="str">
        <f ca="1">IFERROR(__xludf.DUMMYFUNCTION("REGEXEXTRACT(B3863, ""^([^:]+)"")"),"Fans")</f>
        <v>Fans</v>
      </c>
      <c r="D3863" s="1" t="s">
        <v>11</v>
      </c>
      <c r="E3863" s="1" t="s">
        <v>11</v>
      </c>
    </row>
    <row r="3864" spans="1:5" ht="15.75" customHeight="1">
      <c r="A3864" s="1">
        <v>841459</v>
      </c>
      <c r="B3864" s="1" t="s">
        <v>3890</v>
      </c>
      <c r="C3864" s="1" t="str">
        <f ca="1">IFERROR(__xludf.DUMMYFUNCTION("REGEXEXTRACT(B3864, ""^([^:]+)"")"),"Fans")</f>
        <v>Fans</v>
      </c>
      <c r="D3864" s="1" t="s">
        <v>11</v>
      </c>
      <c r="E3864" s="1" t="s">
        <v>11</v>
      </c>
    </row>
    <row r="3865" spans="1:5" ht="15.75" customHeight="1">
      <c r="A3865" s="1">
        <v>841460</v>
      </c>
      <c r="B3865" s="1" t="s">
        <v>3891</v>
      </c>
      <c r="C3865" s="1" t="str">
        <f ca="1">IFERROR(__xludf.DUMMYFUNCTION("REGEXEXTRACT(B3865, ""^([^:]+)"")"),"Hoods")</f>
        <v>Hoods</v>
      </c>
      <c r="D3865" s="1" t="s">
        <v>11</v>
      </c>
      <c r="E3865" s="1" t="s">
        <v>11</v>
      </c>
    </row>
    <row r="3866" spans="1:5" ht="15.75" customHeight="1">
      <c r="A3866" s="1">
        <v>841480</v>
      </c>
      <c r="B3866" s="1" t="s">
        <v>3892</v>
      </c>
      <c r="C3866" s="1" t="str">
        <f ca="1">IFERROR(__xludf.DUMMYFUNCTION("REGEXEXTRACT(B3866, ""^([^:]+)"")"),"Pumps and compressors")</f>
        <v>Pumps and compressors</v>
      </c>
      <c r="D3866" s="1" t="s">
        <v>11</v>
      </c>
      <c r="E3866" s="1" t="s">
        <v>11</v>
      </c>
    </row>
    <row r="3867" spans="1:5" ht="15.75" customHeight="1">
      <c r="A3867" s="1">
        <v>841490</v>
      </c>
      <c r="B3867" s="1" t="s">
        <v>3893</v>
      </c>
      <c r="C3867" s="1" t="str">
        <f ca="1">IFERROR(__xludf.DUMMYFUNCTION("REGEXEXTRACT(B3867, ""^([^:]+)"")"),"Pumps and compressors")</f>
        <v>Pumps and compressors</v>
      </c>
      <c r="D3867" s="1" t="s">
        <v>11</v>
      </c>
      <c r="E3867" s="1" t="s">
        <v>11</v>
      </c>
    </row>
    <row r="3868" spans="1:5" ht="15.75" customHeight="1">
      <c r="A3868" s="1">
        <v>841510</v>
      </c>
      <c r="B3868" s="1" t="s">
        <v>3894</v>
      </c>
      <c r="C3868" s="1" t="str">
        <f ca="1">IFERROR(__xludf.DUMMYFUNCTION("REGEXEXTRACT(B3868, ""^([^:]+)"")"),"Air conditioning machines")</f>
        <v>Air conditioning machines</v>
      </c>
      <c r="D3868" s="1" t="s">
        <v>11</v>
      </c>
      <c r="E3868" s="1" t="s">
        <v>11</v>
      </c>
    </row>
    <row r="3869" spans="1:5" ht="15.75" customHeight="1">
      <c r="A3869" s="1">
        <v>841520</v>
      </c>
      <c r="B3869" s="1" t="s">
        <v>3895</v>
      </c>
      <c r="C3869" s="1" t="str">
        <f ca="1">IFERROR(__xludf.DUMMYFUNCTION("REGEXEXTRACT(B3869, ""^([^:]+)"")"),"Air conditioning machines")</f>
        <v>Air conditioning machines</v>
      </c>
      <c r="D3869" s="1" t="s">
        <v>11</v>
      </c>
      <c r="E3869" s="1" t="s">
        <v>11</v>
      </c>
    </row>
    <row r="3870" spans="1:5" ht="15.75" customHeight="1">
      <c r="A3870" s="1">
        <v>841581</v>
      </c>
      <c r="B3870" s="1" t="s">
        <v>3896</v>
      </c>
      <c r="C3870" s="1" t="str">
        <f ca="1">IFERROR(__xludf.DUMMYFUNCTION("REGEXEXTRACT(B3870, ""^([^:]+)"")"),"Air conditioning machines")</f>
        <v>Air conditioning machines</v>
      </c>
      <c r="D3870" s="1" t="s">
        <v>11</v>
      </c>
      <c r="E3870" s="1" t="s">
        <v>11</v>
      </c>
    </row>
    <row r="3871" spans="1:5" ht="15.75" customHeight="1">
      <c r="A3871" s="1">
        <v>841582</v>
      </c>
      <c r="B3871" s="1" t="s">
        <v>3897</v>
      </c>
      <c r="C3871" s="1" t="str">
        <f ca="1">IFERROR(__xludf.DUMMYFUNCTION("REGEXEXTRACT(B3871, ""^([^:]+)"")"),"Air conditioning machines")</f>
        <v>Air conditioning machines</v>
      </c>
      <c r="D3871" s="1" t="s">
        <v>11</v>
      </c>
      <c r="E3871" s="1" t="s">
        <v>11</v>
      </c>
    </row>
    <row r="3872" spans="1:5" ht="15.75" customHeight="1">
      <c r="A3872" s="1">
        <v>841583</v>
      </c>
      <c r="B3872" s="1" t="s">
        <v>3898</v>
      </c>
      <c r="C3872" s="1" t="str">
        <f ca="1">IFERROR(__xludf.DUMMYFUNCTION("REGEXEXTRACT(B3872, ""^([^:]+)"")"),"Air conditioning machines")</f>
        <v>Air conditioning machines</v>
      </c>
      <c r="D3872" s="1" t="s">
        <v>11</v>
      </c>
      <c r="E3872" s="1" t="s">
        <v>11</v>
      </c>
    </row>
    <row r="3873" spans="1:5" ht="15.75" customHeight="1">
      <c r="A3873" s="1">
        <v>841590</v>
      </c>
      <c r="B3873" s="1" t="s">
        <v>3899</v>
      </c>
      <c r="C3873" s="1" t="str">
        <f ca="1">IFERROR(__xludf.DUMMYFUNCTION("REGEXEXTRACT(B3873, ""^([^:]+)"")"),"Air conditioning machines")</f>
        <v>Air conditioning machines</v>
      </c>
      <c r="D3873" s="1" t="s">
        <v>11</v>
      </c>
      <c r="E3873" s="1" t="s">
        <v>11</v>
      </c>
    </row>
    <row r="3874" spans="1:5" ht="15.75" customHeight="1">
      <c r="A3874" s="1">
        <v>841610</v>
      </c>
      <c r="B3874" s="1" t="s">
        <v>3900</v>
      </c>
      <c r="C3874" s="1" t="str">
        <f ca="1">IFERROR(__xludf.DUMMYFUNCTION("REGEXEXTRACT(B3874, ""^([^:]+)"")"),"Furnaces")</f>
        <v>Furnaces</v>
      </c>
      <c r="D3874" s="1" t="s">
        <v>11</v>
      </c>
      <c r="E3874" s="1" t="s">
        <v>11</v>
      </c>
    </row>
    <row r="3875" spans="1:5" ht="15.75" customHeight="1">
      <c r="A3875" s="1">
        <v>841620</v>
      </c>
      <c r="B3875" s="1" t="s">
        <v>3901</v>
      </c>
      <c r="C3875" s="1" t="str">
        <f ca="1">IFERROR(__xludf.DUMMYFUNCTION("REGEXEXTRACT(B3875, ""^([^:]+)"")"),"Furnaces")</f>
        <v>Furnaces</v>
      </c>
      <c r="D3875" s="1" t="s">
        <v>11</v>
      </c>
      <c r="E3875" s="1" t="s">
        <v>11</v>
      </c>
    </row>
    <row r="3876" spans="1:5" ht="15.75" customHeight="1">
      <c r="A3876" s="1">
        <v>841630</v>
      </c>
      <c r="B3876" s="1" t="s">
        <v>3902</v>
      </c>
      <c r="C3876" s="1" t="str">
        <f ca="1">IFERROR(__xludf.DUMMYFUNCTION("REGEXEXTRACT(B3876, ""^([^:]+)"")"),"Furnace accessories")</f>
        <v>Furnace accessories</v>
      </c>
      <c r="D3876" s="1" t="s">
        <v>11</v>
      </c>
      <c r="E3876" s="1" t="s">
        <v>11</v>
      </c>
    </row>
    <row r="3877" spans="1:5" ht="15.75" customHeight="1">
      <c r="A3877" s="1">
        <v>841690</v>
      </c>
      <c r="B3877" s="1" t="s">
        <v>3903</v>
      </c>
      <c r="C3877" s="1" t="str">
        <f ca="1">IFERROR(__xludf.DUMMYFUNCTION("REGEXEXTRACT(B3877, ""^([^:]+)"")"),"Furnaces")</f>
        <v>Furnaces</v>
      </c>
      <c r="D3877" s="1" t="s">
        <v>11</v>
      </c>
      <c r="E3877" s="1" t="s">
        <v>11</v>
      </c>
    </row>
    <row r="3878" spans="1:5" ht="15.75" customHeight="1">
      <c r="A3878" s="1">
        <v>841710</v>
      </c>
      <c r="B3878" s="1" t="s">
        <v>3904</v>
      </c>
      <c r="C3878" s="1" t="str">
        <f ca="1">IFERROR(__xludf.DUMMYFUNCTION("REGEXEXTRACT(B3878, ""^([^:]+)"")"),"Furnaces and ovens")</f>
        <v>Furnaces and ovens</v>
      </c>
      <c r="D3878" s="1" t="s">
        <v>11</v>
      </c>
      <c r="E3878" s="1" t="s">
        <v>11</v>
      </c>
    </row>
    <row r="3879" spans="1:5" ht="15.75" customHeight="1">
      <c r="A3879" s="1">
        <v>841720</v>
      </c>
      <c r="B3879" s="1" t="s">
        <v>3905</v>
      </c>
      <c r="C3879" s="1" t="str">
        <f ca="1">IFERROR(__xludf.DUMMYFUNCTION("REGEXEXTRACT(B3879, ""^([^:]+)"")"),"Ovens")</f>
        <v>Ovens</v>
      </c>
      <c r="D3879" s="1" t="s">
        <v>11</v>
      </c>
      <c r="E3879" s="1" t="s">
        <v>11</v>
      </c>
    </row>
    <row r="3880" spans="1:5" ht="15.75" customHeight="1">
      <c r="A3880" s="1">
        <v>841780</v>
      </c>
      <c r="B3880" s="1" t="s">
        <v>3906</v>
      </c>
      <c r="C3880" s="1" t="str">
        <f ca="1">IFERROR(__xludf.DUMMYFUNCTION("REGEXEXTRACT(B3880, ""^([^:]+)"")"),"Furnaces and ovens")</f>
        <v>Furnaces and ovens</v>
      </c>
      <c r="D3880" s="1" t="s">
        <v>11</v>
      </c>
      <c r="E3880" s="1" t="s">
        <v>11</v>
      </c>
    </row>
    <row r="3881" spans="1:5" ht="15.75" customHeight="1">
      <c r="A3881" s="1">
        <v>841790</v>
      </c>
      <c r="B3881" s="1" t="s">
        <v>3907</v>
      </c>
      <c r="C3881" s="1" t="str">
        <f ca="1">IFERROR(__xludf.DUMMYFUNCTION("REGEXEXTRACT(B3881, ""^([^:]+)"")"),"Furnaces and ovens")</f>
        <v>Furnaces and ovens</v>
      </c>
      <c r="D3881" s="1" t="s">
        <v>11</v>
      </c>
      <c r="E3881" s="1" t="s">
        <v>11</v>
      </c>
    </row>
    <row r="3882" spans="1:5" ht="15.75" customHeight="1">
      <c r="A3882" s="1">
        <v>841810</v>
      </c>
      <c r="B3882" s="1" t="s">
        <v>3908</v>
      </c>
      <c r="C3882" s="1" t="str">
        <f ca="1">IFERROR(__xludf.DUMMYFUNCTION("REGEXEXTRACT(B3882, ""^([^:]+)"")"),"Refrigerators and freezers")</f>
        <v>Refrigerators and freezers</v>
      </c>
      <c r="D3882" s="1" t="s">
        <v>11</v>
      </c>
      <c r="E3882" s="1" t="s">
        <v>11</v>
      </c>
    </row>
    <row r="3883" spans="1:5" ht="15.75" customHeight="1">
      <c r="A3883" s="1">
        <v>841821</v>
      </c>
      <c r="B3883" s="1" t="s">
        <v>3909</v>
      </c>
      <c r="C3883" s="1" t="str">
        <f ca="1">IFERROR(__xludf.DUMMYFUNCTION("REGEXEXTRACT(B3883, ""^([^:]+)"")"),"Refrigerators")</f>
        <v>Refrigerators</v>
      </c>
      <c r="D3883" s="1" t="s">
        <v>11</v>
      </c>
      <c r="E3883" s="1" t="s">
        <v>11</v>
      </c>
    </row>
    <row r="3884" spans="1:5" ht="15.75" customHeight="1">
      <c r="A3884" s="1">
        <v>841829</v>
      </c>
      <c r="B3884" s="1" t="s">
        <v>3910</v>
      </c>
      <c r="C3884" s="1" t="str">
        <f ca="1">IFERROR(__xludf.DUMMYFUNCTION("REGEXEXTRACT(B3884, ""^([^:]+)"")"),"Refrigerators")</f>
        <v>Refrigerators</v>
      </c>
      <c r="D3884" s="1" t="s">
        <v>11</v>
      </c>
      <c r="E3884" s="1" t="s">
        <v>11</v>
      </c>
    </row>
    <row r="3885" spans="1:5" ht="15.75" customHeight="1">
      <c r="A3885" s="1">
        <v>841830</v>
      </c>
      <c r="B3885" s="1" t="s">
        <v>3911</v>
      </c>
      <c r="C3885" s="1" t="str">
        <f ca="1">IFERROR(__xludf.DUMMYFUNCTION("REGEXEXTRACT(B3885, ""^([^:]+)"")"),"Freezers")</f>
        <v>Freezers</v>
      </c>
      <c r="D3885" s="1" t="s">
        <v>11</v>
      </c>
      <c r="E3885" s="1" t="s">
        <v>11</v>
      </c>
    </row>
    <row r="3886" spans="1:5" ht="15.75" customHeight="1">
      <c r="A3886" s="1">
        <v>841840</v>
      </c>
      <c r="B3886" s="1" t="s">
        <v>3912</v>
      </c>
      <c r="C3886" s="1" t="str">
        <f ca="1">IFERROR(__xludf.DUMMYFUNCTION("REGEXEXTRACT(B3886, ""^([^:]+)"")"),"Freezers")</f>
        <v>Freezers</v>
      </c>
      <c r="D3886" s="1" t="s">
        <v>11</v>
      </c>
      <c r="E3886" s="1" t="s">
        <v>11</v>
      </c>
    </row>
    <row r="3887" spans="1:5" ht="15.75" customHeight="1">
      <c r="A3887" s="1">
        <v>841850</v>
      </c>
      <c r="B3887" s="1" t="s">
        <v>3913</v>
      </c>
      <c r="C3887" s="1" t="str">
        <f ca="1">IFERROR(__xludf.DUMMYFUNCTION("REGEXEXTRACT(B3887, ""^([^:]+)"")"),"Furniture incorporating refrigerating or freezing equipment")</f>
        <v>Furniture incorporating refrigerating or freezing equipment</v>
      </c>
      <c r="D3887" s="1" t="s">
        <v>11</v>
      </c>
      <c r="E3887" s="1" t="s">
        <v>11</v>
      </c>
    </row>
    <row r="3888" spans="1:5" ht="15.75" customHeight="1">
      <c r="A3888" s="1">
        <v>841861</v>
      </c>
      <c r="B3888" s="1" t="s">
        <v>3914</v>
      </c>
      <c r="C3888" s="1" t="str">
        <f ca="1">IFERROR(__xludf.DUMMYFUNCTION("REGEXEXTRACT(B3888, ""^([^:]+)"")"),"Heat pumps")</f>
        <v>Heat pumps</v>
      </c>
      <c r="D3888" s="1" t="s">
        <v>11</v>
      </c>
      <c r="E3888" s="1" t="s">
        <v>11</v>
      </c>
    </row>
    <row r="3889" spans="1:6" ht="15.75" customHeight="1">
      <c r="A3889" s="1">
        <v>841869</v>
      </c>
      <c r="B3889" s="1" t="s">
        <v>3915</v>
      </c>
      <c r="C3889" s="1" t="str">
        <f ca="1">IFERROR(__xludf.DUMMYFUNCTION("REGEXEXTRACT(B3889, ""^([^:]+)"")"),"Refrigerating or freezing equipment")</f>
        <v>Refrigerating or freezing equipment</v>
      </c>
      <c r="D3889" s="1" t="s">
        <v>11</v>
      </c>
      <c r="E3889" s="1" t="s">
        <v>11</v>
      </c>
    </row>
    <row r="3890" spans="1:6" ht="15.75" customHeight="1">
      <c r="A3890" s="1">
        <v>841891</v>
      </c>
      <c r="B3890" s="1" t="s">
        <v>3916</v>
      </c>
      <c r="C3890" s="1" t="str">
        <f ca="1">IFERROR(__xludf.DUMMYFUNCTION("REGEXEXTRACT(B3890, ""^([^:]+)"")"),"Refrigerating or freezing equipment")</f>
        <v>Refrigerating or freezing equipment</v>
      </c>
      <c r="D3890" s="1" t="s">
        <v>11</v>
      </c>
      <c r="E3890" s="1" t="s">
        <v>11</v>
      </c>
    </row>
    <row r="3891" spans="1:6" ht="15.75" customHeight="1">
      <c r="A3891" s="1">
        <v>841899</v>
      </c>
      <c r="B3891" s="1" t="s">
        <v>3917</v>
      </c>
      <c r="C3891" s="1" t="str">
        <f ca="1">IFERROR(__xludf.DUMMYFUNCTION("REGEXEXTRACT(B3891, ""^([^:]+)"")"),"Refrigerating or freezing equipment")</f>
        <v>Refrigerating or freezing equipment</v>
      </c>
      <c r="D3891" s="1" t="s">
        <v>11</v>
      </c>
      <c r="E3891" s="1" t="s">
        <v>11</v>
      </c>
    </row>
    <row r="3892" spans="1:6" ht="15.75" customHeight="1">
      <c r="A3892" s="1">
        <v>841911</v>
      </c>
      <c r="B3892" s="1" t="s">
        <v>3918</v>
      </c>
      <c r="C3892" s="1" t="str">
        <f ca="1">IFERROR(__xludf.DUMMYFUNCTION("REGEXEXTRACT(B3892, ""^([^:]+)"")"),"Heaters")</f>
        <v>Heaters</v>
      </c>
      <c r="D3892" s="1" t="s">
        <v>11</v>
      </c>
      <c r="E3892" s="1" t="s">
        <v>11</v>
      </c>
    </row>
    <row r="3893" spans="1:6" ht="15.75" customHeight="1">
      <c r="A3893" s="1">
        <v>841919</v>
      </c>
      <c r="B3893" s="1" t="s">
        <v>3919</v>
      </c>
      <c r="C3893" s="1" t="str">
        <f ca="1">IFERROR(__xludf.DUMMYFUNCTION("REGEXEXTRACT(B3893, ""^([^:]+)"")"),"Heaters")</f>
        <v>Heaters</v>
      </c>
      <c r="D3893" s="1" t="s">
        <v>11</v>
      </c>
      <c r="E3893" s="1" t="s">
        <v>11</v>
      </c>
    </row>
    <row r="3894" spans="1:6" ht="15.75" customHeight="1">
      <c r="A3894" s="1">
        <v>401511</v>
      </c>
      <c r="B3894" s="1" t="s">
        <v>1890</v>
      </c>
      <c r="C3894" s="1" t="str">
        <f ca="1">IFERROR(__xludf.DUMMYFUNCTION("REGEXEXTRACT(B3894, ""^([^:]+)"")"),"Rubber")</f>
        <v>Rubber</v>
      </c>
      <c r="D3894" s="1">
        <v>1</v>
      </c>
      <c r="E3894" s="11" t="s">
        <v>1419</v>
      </c>
      <c r="F3894" s="2" t="s">
        <v>1419</v>
      </c>
    </row>
    <row r="3895" spans="1:6" ht="15.75" customHeight="1">
      <c r="A3895" s="1">
        <v>841931</v>
      </c>
      <c r="B3895" s="1" t="s">
        <v>3921</v>
      </c>
      <c r="C3895" s="1" t="str">
        <f ca="1">IFERROR(__xludf.DUMMYFUNCTION("REGEXEXTRACT(B3895, ""^([^:]+)"")"),"Dryers")</f>
        <v>Dryers</v>
      </c>
      <c r="D3895" s="1" t="s">
        <v>11</v>
      </c>
      <c r="E3895" s="1" t="s">
        <v>11</v>
      </c>
    </row>
    <row r="3896" spans="1:6" ht="15.75" customHeight="1">
      <c r="A3896" s="1">
        <v>841932</v>
      </c>
      <c r="B3896" s="1" t="s">
        <v>3922</v>
      </c>
      <c r="C3896" s="1" t="str">
        <f ca="1">IFERROR(__xludf.DUMMYFUNCTION("REGEXEXTRACT(B3896, ""^([^:]+)"")"),"Dryers")</f>
        <v>Dryers</v>
      </c>
      <c r="D3896" s="1" t="s">
        <v>11</v>
      </c>
      <c r="E3896" s="1" t="s">
        <v>11</v>
      </c>
    </row>
    <row r="3897" spans="1:6" ht="15.75" customHeight="1">
      <c r="A3897" s="1">
        <v>841939</v>
      </c>
      <c r="B3897" s="1" t="s">
        <v>3923</v>
      </c>
      <c r="C3897" s="1" t="str">
        <f ca="1">IFERROR(__xludf.DUMMYFUNCTION("REGEXEXTRACT(B3897, ""^([^:]+)"")"),"Dryers")</f>
        <v>Dryers</v>
      </c>
      <c r="D3897" s="1" t="s">
        <v>11</v>
      </c>
      <c r="E3897" s="1" t="s">
        <v>11</v>
      </c>
    </row>
    <row r="3898" spans="1:6" ht="15.75" customHeight="1">
      <c r="A3898" s="1">
        <v>841940</v>
      </c>
      <c r="B3898" s="1" t="s">
        <v>3924</v>
      </c>
      <c r="C3898" s="1" t="str">
        <f ca="1">IFERROR(__xludf.DUMMYFUNCTION("REGEXEXTRACT(B3898, ""^([^:]+)"")"),"Distilling or rectifying plant")</f>
        <v>Distilling or rectifying plant</v>
      </c>
      <c r="D3898" s="1" t="s">
        <v>11</v>
      </c>
      <c r="E3898" s="1" t="s">
        <v>11</v>
      </c>
    </row>
    <row r="3899" spans="1:6" ht="15.75" customHeight="1">
      <c r="A3899" s="1">
        <v>841950</v>
      </c>
      <c r="B3899" s="1" t="s">
        <v>3925</v>
      </c>
      <c r="C3899" s="1" t="str">
        <f ca="1">IFERROR(__xludf.DUMMYFUNCTION("REGEXEXTRACT(B3899, ""^([^:]+)"")"),"Heat exchange units")</f>
        <v>Heat exchange units</v>
      </c>
      <c r="D3899" s="1" t="s">
        <v>11</v>
      </c>
      <c r="E3899" s="1" t="s">
        <v>11</v>
      </c>
    </row>
    <row r="3900" spans="1:6" ht="15.75" customHeight="1">
      <c r="A3900" s="1">
        <v>841960</v>
      </c>
      <c r="B3900" s="1" t="s">
        <v>3926</v>
      </c>
      <c r="C3900" s="1" t="str">
        <f ca="1">IFERROR(__xludf.DUMMYFUNCTION("REGEXEXTRACT(B3900, ""^([^:]+)"")"),"Machinery")</f>
        <v>Machinery</v>
      </c>
      <c r="D3900" s="1" t="s">
        <v>11</v>
      </c>
      <c r="E3900" s="1" t="s">
        <v>11</v>
      </c>
    </row>
    <row r="3901" spans="1:6" ht="15.75" customHeight="1">
      <c r="A3901" s="1">
        <v>841981</v>
      </c>
      <c r="B3901" s="1" t="s">
        <v>3927</v>
      </c>
      <c r="C3901" s="1" t="str">
        <f ca="1">IFERROR(__xludf.DUMMYFUNCTION("REGEXEXTRACT(B3901, ""^([^:]+)"")"),"Machinery, plant and equipment")</f>
        <v>Machinery, plant and equipment</v>
      </c>
      <c r="D3901" s="1" t="s">
        <v>11</v>
      </c>
      <c r="E3901" s="1" t="s">
        <v>11</v>
      </c>
    </row>
    <row r="3902" spans="1:6" ht="15.75" customHeight="1">
      <c r="A3902" s="1">
        <v>841989</v>
      </c>
      <c r="B3902" s="1" t="s">
        <v>3928</v>
      </c>
      <c r="C3902" s="1" t="str">
        <f ca="1">IFERROR(__xludf.DUMMYFUNCTION("REGEXEXTRACT(B3902, ""^([^:]+)"")"),"Machinery, plant and laboratory equipment")</f>
        <v>Machinery, plant and laboratory equipment</v>
      </c>
      <c r="D3902" s="1" t="s">
        <v>11</v>
      </c>
      <c r="E3902" s="1" t="s">
        <v>11</v>
      </c>
    </row>
    <row r="3903" spans="1:6" ht="15.75" customHeight="1">
      <c r="A3903" s="1">
        <v>841990</v>
      </c>
      <c r="B3903" s="1" t="s">
        <v>3929</v>
      </c>
      <c r="C3903" s="1" t="str">
        <f ca="1">IFERROR(__xludf.DUMMYFUNCTION("REGEXEXTRACT(B3903, ""^([^:]+)"")"),"Machinery, plant and laboratory equipment")</f>
        <v>Machinery, plant and laboratory equipment</v>
      </c>
      <c r="D3903" s="1" t="s">
        <v>11</v>
      </c>
      <c r="E3903" s="1" t="s">
        <v>11</v>
      </c>
    </row>
    <row r="3904" spans="1:6" ht="15.75" customHeight="1">
      <c r="A3904" s="1">
        <v>842010</v>
      </c>
      <c r="B3904" s="1" t="s">
        <v>3930</v>
      </c>
      <c r="C3904" s="1" t="str">
        <f ca="1">IFERROR(__xludf.DUMMYFUNCTION("REGEXEXTRACT(B3904, ""^([^:]+)"")"),"Machines")</f>
        <v>Machines</v>
      </c>
      <c r="D3904" s="1" t="s">
        <v>11</v>
      </c>
      <c r="E3904" s="1" t="s">
        <v>11</v>
      </c>
    </row>
    <row r="3905" spans="1:5" ht="15.75" customHeight="1">
      <c r="A3905" s="1">
        <v>842091</v>
      </c>
      <c r="B3905" s="1" t="s">
        <v>3931</v>
      </c>
      <c r="C3905" s="1" t="str">
        <f ca="1">IFERROR(__xludf.DUMMYFUNCTION("REGEXEXTRACT(B3905, ""^([^:]+)"")"),"Machines")</f>
        <v>Machines</v>
      </c>
      <c r="D3905" s="1" t="s">
        <v>11</v>
      </c>
      <c r="E3905" s="1" t="s">
        <v>11</v>
      </c>
    </row>
    <row r="3906" spans="1:5" ht="15.75" customHeight="1">
      <c r="A3906" s="1">
        <v>842099</v>
      </c>
      <c r="B3906" s="1" t="s">
        <v>3932</v>
      </c>
      <c r="C3906" s="1" t="str">
        <f ca="1">IFERROR(__xludf.DUMMYFUNCTION("REGEXEXTRACT(B3906, ""^([^:]+)"")"),"Machines")</f>
        <v>Machines</v>
      </c>
      <c r="D3906" s="1" t="s">
        <v>11</v>
      </c>
      <c r="E3906" s="1" t="s">
        <v>11</v>
      </c>
    </row>
    <row r="3907" spans="1:5" ht="15.75" customHeight="1">
      <c r="A3907" s="1">
        <v>842111</v>
      </c>
      <c r="B3907" s="1" t="s">
        <v>3933</v>
      </c>
      <c r="C3907" s="1" t="str">
        <f ca="1">IFERROR(__xludf.DUMMYFUNCTION("REGEXEXTRACT(B3907, ""^([^:]+)"")"),"Centrifuges")</f>
        <v>Centrifuges</v>
      </c>
      <c r="D3907" s="1" t="s">
        <v>11</v>
      </c>
      <c r="E3907" s="1" t="s">
        <v>11</v>
      </c>
    </row>
    <row r="3908" spans="1:5" ht="15.75" customHeight="1">
      <c r="A3908" s="1">
        <v>842112</v>
      </c>
      <c r="B3908" s="1" t="s">
        <v>3934</v>
      </c>
      <c r="C3908" s="1" t="str">
        <f ca="1">IFERROR(__xludf.DUMMYFUNCTION("REGEXEXTRACT(B3908, ""^([^:]+)"")"),"Centrifuges")</f>
        <v>Centrifuges</v>
      </c>
      <c r="D3908" s="1" t="s">
        <v>11</v>
      </c>
      <c r="E3908" s="1" t="s">
        <v>11</v>
      </c>
    </row>
    <row r="3909" spans="1:5" ht="15.75" customHeight="1">
      <c r="A3909" s="1">
        <v>842119</v>
      </c>
      <c r="B3909" s="1" t="s">
        <v>3935</v>
      </c>
      <c r="C3909" s="1" t="str">
        <f ca="1">IFERROR(__xludf.DUMMYFUNCTION("REGEXEXTRACT(B3909, ""^([^:]+)"")"),"Centrifuges")</f>
        <v>Centrifuges</v>
      </c>
      <c r="D3909" s="1" t="s">
        <v>11</v>
      </c>
      <c r="E3909" s="1" t="s">
        <v>11</v>
      </c>
    </row>
    <row r="3910" spans="1:5" ht="15.75" customHeight="1">
      <c r="A3910" s="1">
        <v>842121</v>
      </c>
      <c r="B3910" s="1" t="s">
        <v>3936</v>
      </c>
      <c r="C3910" s="1" t="str">
        <f ca="1">IFERROR(__xludf.DUMMYFUNCTION("REGEXEXTRACT(B3910, ""^([^:]+)"")"),"Machinery")</f>
        <v>Machinery</v>
      </c>
      <c r="D3910" s="1" t="s">
        <v>11</v>
      </c>
      <c r="E3910" s="1" t="s">
        <v>11</v>
      </c>
    </row>
    <row r="3911" spans="1:5" ht="15.75" customHeight="1">
      <c r="A3911" s="1">
        <v>842122</v>
      </c>
      <c r="B3911" s="1" t="s">
        <v>3937</v>
      </c>
      <c r="C3911" s="1" t="str">
        <f ca="1">IFERROR(__xludf.DUMMYFUNCTION("REGEXEXTRACT(B3911, ""^([^:]+)"")"),"Machinery")</f>
        <v>Machinery</v>
      </c>
      <c r="D3911" s="1" t="s">
        <v>11</v>
      </c>
      <c r="E3911" s="1" t="s">
        <v>11</v>
      </c>
    </row>
    <row r="3912" spans="1:5" ht="15.75" customHeight="1">
      <c r="A3912" s="1">
        <v>842123</v>
      </c>
      <c r="B3912" s="1" t="s">
        <v>3938</v>
      </c>
      <c r="C3912" s="1" t="str">
        <f ca="1">IFERROR(__xludf.DUMMYFUNCTION("REGEXEXTRACT(B3912, ""^([^:]+)"")"),"Machinery")</f>
        <v>Machinery</v>
      </c>
      <c r="D3912" s="1" t="s">
        <v>11</v>
      </c>
      <c r="E3912" s="1" t="s">
        <v>11</v>
      </c>
    </row>
    <row r="3913" spans="1:5" ht="15.75" customHeight="1">
      <c r="A3913" s="1">
        <v>842129</v>
      </c>
      <c r="B3913" s="1" t="s">
        <v>3939</v>
      </c>
      <c r="C3913" s="1" t="str">
        <f ca="1">IFERROR(__xludf.DUMMYFUNCTION("REGEXEXTRACT(B3913, ""^([^:]+)"")"),"Machinery")</f>
        <v>Machinery</v>
      </c>
      <c r="D3913" s="1" t="s">
        <v>11</v>
      </c>
      <c r="E3913" s="1" t="s">
        <v>11</v>
      </c>
    </row>
    <row r="3914" spans="1:5" ht="15.75" customHeight="1">
      <c r="A3914" s="1">
        <v>842131</v>
      </c>
      <c r="B3914" s="1" t="s">
        <v>3940</v>
      </c>
      <c r="C3914" s="1" t="str">
        <f ca="1">IFERROR(__xludf.DUMMYFUNCTION("REGEXEXTRACT(B3914, ""^([^:]+)"")"),"Machinery")</f>
        <v>Machinery</v>
      </c>
      <c r="D3914" s="1" t="s">
        <v>11</v>
      </c>
      <c r="E3914" s="1" t="s">
        <v>11</v>
      </c>
    </row>
    <row r="3915" spans="1:5" ht="15.75" customHeight="1">
      <c r="A3915" s="1">
        <v>842139</v>
      </c>
      <c r="B3915" s="1" t="s">
        <v>3941</v>
      </c>
      <c r="C3915" s="1" t="str">
        <f ca="1">IFERROR(__xludf.DUMMYFUNCTION("REGEXEXTRACT(B3915, ""^([^:]+)"")"),"Machinery")</f>
        <v>Machinery</v>
      </c>
      <c r="D3915" s="1" t="s">
        <v>11</v>
      </c>
      <c r="E3915" s="1" t="s">
        <v>11</v>
      </c>
    </row>
    <row r="3916" spans="1:5" ht="15.75" customHeight="1">
      <c r="A3916" s="1">
        <v>842191</v>
      </c>
      <c r="B3916" s="1" t="s">
        <v>3942</v>
      </c>
      <c r="C3916" s="1" t="str">
        <f ca="1">IFERROR(__xludf.DUMMYFUNCTION("REGEXEXTRACT(B3916, ""^([^:]+)"")"),"Centrifuges")</f>
        <v>Centrifuges</v>
      </c>
      <c r="D3916" s="1" t="s">
        <v>11</v>
      </c>
      <c r="E3916" s="1" t="s">
        <v>11</v>
      </c>
    </row>
    <row r="3917" spans="1:5" ht="15.75" customHeight="1">
      <c r="A3917" s="1">
        <v>842199</v>
      </c>
      <c r="B3917" s="1" t="s">
        <v>3943</v>
      </c>
      <c r="C3917" s="1" t="str">
        <f ca="1">IFERROR(__xludf.DUMMYFUNCTION("REGEXEXTRACT(B3917, ""^([^:]+)"")"),"Machinery")</f>
        <v>Machinery</v>
      </c>
      <c r="D3917" s="1" t="s">
        <v>11</v>
      </c>
      <c r="E3917" s="1" t="s">
        <v>11</v>
      </c>
    </row>
    <row r="3918" spans="1:5" ht="15.75" customHeight="1">
      <c r="A3918" s="1">
        <v>842211</v>
      </c>
      <c r="B3918" s="1" t="s">
        <v>3944</v>
      </c>
      <c r="C3918" s="1" t="str">
        <f ca="1">IFERROR(__xludf.DUMMYFUNCTION("REGEXEXTRACT(B3918, ""^([^:]+)"")"),"Dish washing machines")</f>
        <v>Dish washing machines</v>
      </c>
      <c r="D3918" s="1" t="s">
        <v>11</v>
      </c>
      <c r="E3918" s="1" t="s">
        <v>11</v>
      </c>
    </row>
    <row r="3919" spans="1:5" ht="15.75" customHeight="1">
      <c r="A3919" s="1">
        <v>842219</v>
      </c>
      <c r="B3919" s="1" t="s">
        <v>3945</v>
      </c>
      <c r="C3919" s="1" t="str">
        <f ca="1">IFERROR(__xludf.DUMMYFUNCTION("REGEXEXTRACT(B3919, ""^([^:]+)"")"),"Dish washing machines")</f>
        <v>Dish washing machines</v>
      </c>
      <c r="D3919" s="1" t="s">
        <v>11</v>
      </c>
      <c r="E3919" s="1" t="s">
        <v>11</v>
      </c>
    </row>
    <row r="3920" spans="1:5" ht="15.75" customHeight="1">
      <c r="A3920" s="1">
        <v>842220</v>
      </c>
      <c r="B3920" s="1" t="s">
        <v>3946</v>
      </c>
      <c r="C3920" s="1" t="str">
        <f ca="1">IFERROR(__xludf.DUMMYFUNCTION("REGEXEXTRACT(B3920, ""^([^:]+)"")"),"Machinery")</f>
        <v>Machinery</v>
      </c>
      <c r="D3920" s="1" t="s">
        <v>11</v>
      </c>
      <c r="E3920" s="1" t="s">
        <v>11</v>
      </c>
    </row>
    <row r="3921" spans="1:5" ht="15.75" customHeight="1">
      <c r="A3921" s="1">
        <v>842230</v>
      </c>
      <c r="B3921" s="1" t="s">
        <v>3947</v>
      </c>
      <c r="C3921" s="1" t="str">
        <f ca="1">IFERROR(__xludf.DUMMYFUNCTION("REGEXEXTRACT(B3921, ""^([^:]+)"")"),"Machinery")</f>
        <v>Machinery</v>
      </c>
      <c r="D3921" s="1" t="s">
        <v>11</v>
      </c>
      <c r="E3921" s="1" t="s">
        <v>11</v>
      </c>
    </row>
    <row r="3922" spans="1:5" ht="15.75" customHeight="1">
      <c r="A3922" s="1">
        <v>842240</v>
      </c>
      <c r="B3922" s="1" t="s">
        <v>3948</v>
      </c>
      <c r="C3922" s="1" t="str">
        <f ca="1">IFERROR(__xludf.DUMMYFUNCTION("REGEXEXTRACT(B3922, ""^([^:]+)"")"),"Machinery")</f>
        <v>Machinery</v>
      </c>
      <c r="D3922" s="1" t="s">
        <v>11</v>
      </c>
      <c r="E3922" s="1" t="s">
        <v>11</v>
      </c>
    </row>
    <row r="3923" spans="1:5" ht="15.75" customHeight="1">
      <c r="A3923" s="1">
        <v>842290</v>
      </c>
      <c r="B3923" s="1" t="s">
        <v>3949</v>
      </c>
      <c r="C3923" s="1" t="str">
        <f ca="1">IFERROR(__xludf.DUMMYFUNCTION("REGEXEXTRACT(B3923, ""^([^:]+)"")"),"Machinery")</f>
        <v>Machinery</v>
      </c>
      <c r="D3923" s="1" t="s">
        <v>11</v>
      </c>
      <c r="E3923" s="1" t="s">
        <v>11</v>
      </c>
    </row>
    <row r="3924" spans="1:5" ht="15.75" customHeight="1">
      <c r="A3924" s="1">
        <v>842310</v>
      </c>
      <c r="B3924" s="1" t="s">
        <v>3950</v>
      </c>
      <c r="C3924" s="1" t="str">
        <f ca="1">IFERROR(__xludf.DUMMYFUNCTION("REGEXEXTRACT(B3924, ""^([^:]+)"")"),"Weighing machines")</f>
        <v>Weighing machines</v>
      </c>
      <c r="D3924" s="1" t="s">
        <v>11</v>
      </c>
      <c r="E3924" s="1" t="s">
        <v>11</v>
      </c>
    </row>
    <row r="3925" spans="1:5" ht="15.75" customHeight="1">
      <c r="A3925" s="1">
        <v>842320</v>
      </c>
      <c r="B3925" s="1" t="s">
        <v>3951</v>
      </c>
      <c r="C3925" s="1" t="str">
        <f ca="1">IFERROR(__xludf.DUMMYFUNCTION("REGEXEXTRACT(B3925, ""^([^:]+)"")"),"Weighing machines")</f>
        <v>Weighing machines</v>
      </c>
      <c r="D3925" s="1" t="s">
        <v>11</v>
      </c>
      <c r="E3925" s="1" t="s">
        <v>11</v>
      </c>
    </row>
    <row r="3926" spans="1:5" ht="15.75" customHeight="1">
      <c r="A3926" s="1">
        <v>842330</v>
      </c>
      <c r="B3926" s="1" t="s">
        <v>3952</v>
      </c>
      <c r="C3926" s="1" t="str">
        <f ca="1">IFERROR(__xludf.DUMMYFUNCTION("REGEXEXTRACT(B3926, ""^([^:]+)"")"),"Weighing machines")</f>
        <v>Weighing machines</v>
      </c>
      <c r="D3926" s="1" t="s">
        <v>11</v>
      </c>
      <c r="E3926" s="1" t="s">
        <v>11</v>
      </c>
    </row>
    <row r="3927" spans="1:5" ht="15.75" customHeight="1">
      <c r="A3927" s="1">
        <v>842381</v>
      </c>
      <c r="B3927" s="1" t="s">
        <v>3953</v>
      </c>
      <c r="C3927" s="1" t="str">
        <f ca="1">IFERROR(__xludf.DUMMYFUNCTION("REGEXEXTRACT(B3927, ""^([^:]+)"")"),"Weighing machines")</f>
        <v>Weighing machines</v>
      </c>
      <c r="D3927" s="1" t="s">
        <v>11</v>
      </c>
      <c r="E3927" s="1" t="s">
        <v>11</v>
      </c>
    </row>
    <row r="3928" spans="1:5" ht="15.75" customHeight="1">
      <c r="A3928" s="1">
        <v>842382</v>
      </c>
      <c r="B3928" s="1" t="s">
        <v>3954</v>
      </c>
      <c r="C3928" s="1" t="str">
        <f ca="1">IFERROR(__xludf.DUMMYFUNCTION("REGEXEXTRACT(B3928, ""^([^:]+)"")"),"Weighing machines")</f>
        <v>Weighing machines</v>
      </c>
      <c r="D3928" s="1" t="s">
        <v>11</v>
      </c>
      <c r="E3928" s="1" t="s">
        <v>11</v>
      </c>
    </row>
    <row r="3929" spans="1:5" ht="15.75" customHeight="1">
      <c r="A3929" s="1">
        <v>842389</v>
      </c>
      <c r="B3929" s="1" t="s">
        <v>3955</v>
      </c>
      <c r="C3929" s="1" t="str">
        <f ca="1">IFERROR(__xludf.DUMMYFUNCTION("REGEXEXTRACT(B3929, ""^([^:]+)"")"),"Weighing machines")</f>
        <v>Weighing machines</v>
      </c>
      <c r="D3929" s="1" t="s">
        <v>11</v>
      </c>
      <c r="E3929" s="1" t="s">
        <v>11</v>
      </c>
    </row>
    <row r="3930" spans="1:5" ht="15.75" customHeight="1">
      <c r="A3930" s="1">
        <v>842390</v>
      </c>
      <c r="B3930" s="1" t="s">
        <v>3956</v>
      </c>
      <c r="C3930" s="1" t="str">
        <f ca="1">IFERROR(__xludf.DUMMYFUNCTION("REGEXEXTRACT(B3930, ""^([^:]+)"")"),"Weighing machines")</f>
        <v>Weighing machines</v>
      </c>
      <c r="D3930" s="1" t="s">
        <v>11</v>
      </c>
      <c r="E3930" s="1" t="s">
        <v>11</v>
      </c>
    </row>
    <row r="3931" spans="1:5" ht="15.75" customHeight="1">
      <c r="A3931" s="1">
        <v>842410</v>
      </c>
      <c r="B3931" s="1" t="s">
        <v>3957</v>
      </c>
      <c r="C3931" s="1" t="str">
        <f ca="1">IFERROR(__xludf.DUMMYFUNCTION("REGEXEXTRACT(B3931, ""^([^:]+)"")"),"Fire extinguishers")</f>
        <v>Fire extinguishers</v>
      </c>
      <c r="D3931" s="1" t="s">
        <v>11</v>
      </c>
      <c r="E3931" s="1" t="s">
        <v>11</v>
      </c>
    </row>
    <row r="3932" spans="1:5" ht="15.75" customHeight="1">
      <c r="A3932" s="1">
        <v>842420</v>
      </c>
      <c r="B3932" s="1" t="s">
        <v>3958</v>
      </c>
      <c r="C3932" s="1" t="str">
        <f ca="1">IFERROR(__xludf.DUMMYFUNCTION("REGEXEXTRACT(B3932, ""^([^:]+)"")"),"Spray guns and similar appliances")</f>
        <v>Spray guns and similar appliances</v>
      </c>
      <c r="D3932" s="1" t="s">
        <v>11</v>
      </c>
      <c r="E3932" s="1" t="s">
        <v>11</v>
      </c>
    </row>
    <row r="3933" spans="1:5" ht="15.75" customHeight="1">
      <c r="A3933" s="1">
        <v>842430</v>
      </c>
      <c r="B3933" s="1" t="s">
        <v>3959</v>
      </c>
      <c r="C3933" s="1" t="str">
        <f ca="1">IFERROR(__xludf.DUMMYFUNCTION("REGEXEXTRACT(B3933, ""^([^:]+)"")"),"Mechanical appliances")</f>
        <v>Mechanical appliances</v>
      </c>
      <c r="D3933" s="1" t="s">
        <v>11</v>
      </c>
      <c r="E3933" s="1" t="s">
        <v>11</v>
      </c>
    </row>
    <row r="3934" spans="1:5" ht="15.75" customHeight="1">
      <c r="A3934" s="1">
        <v>842481</v>
      </c>
      <c r="B3934" s="1" t="s">
        <v>3960</v>
      </c>
      <c r="C3934" s="1" t="str">
        <f ca="1">IFERROR(__xludf.DUMMYFUNCTION("REGEXEXTRACT(B3934, ""^([^:]+)"")"),"Mechanical appliances")</f>
        <v>Mechanical appliances</v>
      </c>
      <c r="D3934" s="1" t="s">
        <v>11</v>
      </c>
      <c r="E3934" s="1" t="s">
        <v>11</v>
      </c>
    </row>
    <row r="3935" spans="1:5" ht="15.75" customHeight="1">
      <c r="A3935" s="1">
        <v>842489</v>
      </c>
      <c r="B3935" s="1" t="s">
        <v>3961</v>
      </c>
      <c r="C3935" s="1" t="str">
        <f ca="1">IFERROR(__xludf.DUMMYFUNCTION("REGEXEXTRACT(B3935, ""^([^:]+)"")"),"Mechanical appliances")</f>
        <v>Mechanical appliances</v>
      </c>
      <c r="D3935" s="1" t="s">
        <v>11</v>
      </c>
      <c r="E3935" s="1" t="s">
        <v>11</v>
      </c>
    </row>
    <row r="3936" spans="1:5" ht="15.75" customHeight="1">
      <c r="A3936" s="1">
        <v>842490</v>
      </c>
      <c r="B3936" s="1" t="s">
        <v>3962</v>
      </c>
      <c r="C3936" s="1" t="str">
        <f ca="1">IFERROR(__xludf.DUMMYFUNCTION("REGEXEXTRACT(B3936, ""^([^:]+)"")"),"Mechanical appliances")</f>
        <v>Mechanical appliances</v>
      </c>
      <c r="D3936" s="1" t="s">
        <v>11</v>
      </c>
      <c r="E3936" s="1" t="s">
        <v>11</v>
      </c>
    </row>
    <row r="3937" spans="1:5" ht="15.75" customHeight="1">
      <c r="A3937" s="1">
        <v>842511</v>
      </c>
      <c r="B3937" s="1" t="s">
        <v>3963</v>
      </c>
      <c r="C3937" s="1" t="str">
        <f ca="1">IFERROR(__xludf.DUMMYFUNCTION("REGEXEXTRACT(B3937, ""^([^:]+)"")"),"Pulley tackle and hoists")</f>
        <v>Pulley tackle and hoists</v>
      </c>
      <c r="D3937" s="1" t="s">
        <v>11</v>
      </c>
      <c r="E3937" s="1" t="s">
        <v>11</v>
      </c>
    </row>
    <row r="3938" spans="1:5" ht="15.75" customHeight="1">
      <c r="A3938" s="1">
        <v>842519</v>
      </c>
      <c r="B3938" s="1" t="s">
        <v>3964</v>
      </c>
      <c r="C3938" s="1" t="str">
        <f ca="1">IFERROR(__xludf.DUMMYFUNCTION("REGEXEXTRACT(B3938, ""^([^:]+)"")"),"Pulley tackle and hoists")</f>
        <v>Pulley tackle and hoists</v>
      </c>
      <c r="D3938" s="1" t="s">
        <v>11</v>
      </c>
      <c r="E3938" s="1" t="s">
        <v>11</v>
      </c>
    </row>
    <row r="3939" spans="1:5" ht="15.75" customHeight="1">
      <c r="A3939" s="1">
        <v>842531</v>
      </c>
      <c r="B3939" s="1" t="s">
        <v>3965</v>
      </c>
      <c r="C3939" s="1" t="str">
        <f ca="1">IFERROR(__xludf.DUMMYFUNCTION("REGEXEXTRACT(B3939, ""^([^:]+)"")"),"Winches and capstans")</f>
        <v>Winches and capstans</v>
      </c>
      <c r="D3939" s="1" t="s">
        <v>11</v>
      </c>
      <c r="E3939" s="1" t="s">
        <v>11</v>
      </c>
    </row>
    <row r="3940" spans="1:5" ht="15.75" customHeight="1">
      <c r="A3940" s="1">
        <v>842539</v>
      </c>
      <c r="B3940" s="1" t="s">
        <v>3966</v>
      </c>
      <c r="C3940" s="1" t="str">
        <f ca="1">IFERROR(__xludf.DUMMYFUNCTION("REGEXEXTRACT(B3940, ""^([^:]+)"")"),"Winches and capstans")</f>
        <v>Winches and capstans</v>
      </c>
      <c r="D3940" s="1" t="s">
        <v>11</v>
      </c>
      <c r="E3940" s="1" t="s">
        <v>11</v>
      </c>
    </row>
    <row r="3941" spans="1:5" ht="15.75" customHeight="1">
      <c r="A3941" s="1">
        <v>842541</v>
      </c>
      <c r="B3941" s="1" t="s">
        <v>3967</v>
      </c>
      <c r="C3941" s="1" t="str">
        <f ca="1">IFERROR(__xludf.DUMMYFUNCTION("REGEXEXTRACT(B3941, ""^([^:]+)"")"),"Jacks")</f>
        <v>Jacks</v>
      </c>
      <c r="D3941" s="1" t="s">
        <v>11</v>
      </c>
      <c r="E3941" s="1" t="s">
        <v>11</v>
      </c>
    </row>
    <row r="3942" spans="1:5" ht="15.75" customHeight="1">
      <c r="A3942" s="1">
        <v>842542</v>
      </c>
      <c r="B3942" s="1" t="s">
        <v>3968</v>
      </c>
      <c r="C3942" s="1" t="str">
        <f ca="1">IFERROR(__xludf.DUMMYFUNCTION("REGEXEXTRACT(B3942, ""^([^:]+)"")"),"Jacks and hoists")</f>
        <v>Jacks and hoists</v>
      </c>
      <c r="D3942" s="1" t="s">
        <v>11</v>
      </c>
      <c r="E3942" s="1" t="s">
        <v>11</v>
      </c>
    </row>
    <row r="3943" spans="1:5" ht="15.75" customHeight="1">
      <c r="A3943" s="1">
        <v>842549</v>
      </c>
      <c r="B3943" s="1" t="s">
        <v>3969</v>
      </c>
      <c r="C3943" s="1" t="str">
        <f ca="1">IFERROR(__xludf.DUMMYFUNCTION("REGEXEXTRACT(B3943, ""^([^:]+)"")"),"Jacks and hoists")</f>
        <v>Jacks and hoists</v>
      </c>
      <c r="D3943" s="1" t="s">
        <v>11</v>
      </c>
      <c r="E3943" s="1" t="s">
        <v>11</v>
      </c>
    </row>
    <row r="3944" spans="1:5" ht="15.75" customHeight="1">
      <c r="A3944" s="1">
        <v>842611</v>
      </c>
      <c r="B3944" s="1" t="s">
        <v>3970</v>
      </c>
      <c r="C3944" s="1" t="str">
        <f ca="1">IFERROR(__xludf.DUMMYFUNCTION("REGEXEXTRACT(B3944, ""^([^:]+)"")"),"Cranes")</f>
        <v>Cranes</v>
      </c>
      <c r="D3944" s="1" t="s">
        <v>11</v>
      </c>
      <c r="E3944" s="1" t="s">
        <v>11</v>
      </c>
    </row>
    <row r="3945" spans="1:5" ht="15.75" customHeight="1">
      <c r="A3945" s="1">
        <v>842612</v>
      </c>
      <c r="B3945" s="1" t="s">
        <v>3971</v>
      </c>
      <c r="C3945" s="1" t="str">
        <f ca="1">IFERROR(__xludf.DUMMYFUNCTION("REGEXEXTRACT(B3945, ""^([^:]+)"")"),"Cranes")</f>
        <v>Cranes</v>
      </c>
      <c r="D3945" s="1" t="s">
        <v>11</v>
      </c>
      <c r="E3945" s="1" t="s">
        <v>11</v>
      </c>
    </row>
    <row r="3946" spans="1:5" ht="15.75" customHeight="1">
      <c r="A3946" s="1">
        <v>842619</v>
      </c>
      <c r="B3946" s="1" t="s">
        <v>3972</v>
      </c>
      <c r="C3946" s="1" t="str">
        <f ca="1">IFERROR(__xludf.DUMMYFUNCTION("REGEXEXTRACT(B3946, ""^([^:]+)"")"),"Cranes")</f>
        <v>Cranes</v>
      </c>
      <c r="D3946" s="1" t="s">
        <v>11</v>
      </c>
      <c r="E3946" s="1" t="s">
        <v>11</v>
      </c>
    </row>
    <row r="3947" spans="1:5" ht="15.75" customHeight="1">
      <c r="A3947" s="1">
        <v>842620</v>
      </c>
      <c r="B3947" s="1" t="s">
        <v>3973</v>
      </c>
      <c r="C3947" s="1" t="str">
        <f ca="1">IFERROR(__xludf.DUMMYFUNCTION("REGEXEXTRACT(B3947, ""^([^:]+)"")"),"Cranes")</f>
        <v>Cranes</v>
      </c>
      <c r="D3947" s="1" t="s">
        <v>11</v>
      </c>
      <c r="E3947" s="1" t="s">
        <v>11</v>
      </c>
    </row>
    <row r="3948" spans="1:5" ht="15.75" customHeight="1">
      <c r="A3948" s="1">
        <v>842630</v>
      </c>
      <c r="B3948" s="1" t="s">
        <v>3974</v>
      </c>
      <c r="C3948" s="1" t="str">
        <f ca="1">IFERROR(__xludf.DUMMYFUNCTION("REGEXEXTRACT(B3948, ""^([^:]+)"")"),"Cranes")</f>
        <v>Cranes</v>
      </c>
      <c r="D3948" s="1" t="s">
        <v>11</v>
      </c>
      <c r="E3948" s="1" t="s">
        <v>11</v>
      </c>
    </row>
    <row r="3949" spans="1:5" ht="15.75" customHeight="1">
      <c r="A3949" s="1">
        <v>842641</v>
      </c>
      <c r="B3949" s="1" t="s">
        <v>3975</v>
      </c>
      <c r="C3949" s="1" t="str">
        <f ca="1">IFERROR(__xludf.DUMMYFUNCTION("REGEXEXTRACT(B3949, ""^([^:]+)"")"),"Cranes")</f>
        <v>Cranes</v>
      </c>
      <c r="D3949" s="1" t="s">
        <v>11</v>
      </c>
      <c r="E3949" s="1" t="s">
        <v>11</v>
      </c>
    </row>
    <row r="3950" spans="1:5" ht="15.75" customHeight="1">
      <c r="A3950" s="1">
        <v>842649</v>
      </c>
      <c r="B3950" s="1" t="s">
        <v>3976</v>
      </c>
      <c r="C3950" s="1" t="str">
        <f ca="1">IFERROR(__xludf.DUMMYFUNCTION("REGEXEXTRACT(B3950, ""^([^:]+)"")"),"Cranes")</f>
        <v>Cranes</v>
      </c>
      <c r="D3950" s="1" t="s">
        <v>11</v>
      </c>
      <c r="E3950" s="1" t="s">
        <v>11</v>
      </c>
    </row>
    <row r="3951" spans="1:5" ht="15.75" customHeight="1">
      <c r="A3951" s="1">
        <v>842691</v>
      </c>
      <c r="B3951" s="1" t="s">
        <v>3977</v>
      </c>
      <c r="C3951" s="1" t="str">
        <f ca="1">IFERROR(__xludf.DUMMYFUNCTION("REGEXEXTRACT(B3951, ""^([^:]+)"")"),"Cranes and derricks")</f>
        <v>Cranes and derricks</v>
      </c>
      <c r="D3951" s="1" t="s">
        <v>11</v>
      </c>
      <c r="E3951" s="1" t="s">
        <v>11</v>
      </c>
    </row>
    <row r="3952" spans="1:5" ht="15.75" customHeight="1">
      <c r="A3952" s="1">
        <v>842699</v>
      </c>
      <c r="B3952" s="1" t="s">
        <v>3978</v>
      </c>
      <c r="C3952" s="1" t="str">
        <f ca="1">IFERROR(__xludf.DUMMYFUNCTION("REGEXEXTRACT(B3952, ""^([^:]+)"")"),"Cranes and derricks")</f>
        <v>Cranes and derricks</v>
      </c>
      <c r="D3952" s="1" t="s">
        <v>11</v>
      </c>
      <c r="E3952" s="1" t="s">
        <v>11</v>
      </c>
    </row>
    <row r="3953" spans="1:5" ht="15.75" customHeight="1">
      <c r="A3953" s="1">
        <v>842710</v>
      </c>
      <c r="B3953" s="1" t="s">
        <v>3979</v>
      </c>
      <c r="C3953" s="1" t="str">
        <f ca="1">IFERROR(__xludf.DUMMYFUNCTION("REGEXEXTRACT(B3953, ""^([^:]+)"")"),"Fork-lift and other works trucks")</f>
        <v>Fork-lift and other works trucks</v>
      </c>
      <c r="D3953" s="1" t="s">
        <v>11</v>
      </c>
      <c r="E3953" s="1" t="s">
        <v>11</v>
      </c>
    </row>
    <row r="3954" spans="1:5" ht="15.75" customHeight="1">
      <c r="A3954" s="1">
        <v>842720</v>
      </c>
      <c r="B3954" s="1" t="s">
        <v>3980</v>
      </c>
      <c r="C3954" s="1" t="str">
        <f ca="1">IFERROR(__xludf.DUMMYFUNCTION("REGEXEXTRACT(B3954, ""^([^:]+)"")"),"Fork-lift and other works trucks")</f>
        <v>Fork-lift and other works trucks</v>
      </c>
      <c r="D3954" s="1" t="s">
        <v>11</v>
      </c>
      <c r="E3954" s="1" t="s">
        <v>11</v>
      </c>
    </row>
    <row r="3955" spans="1:5" ht="15.75" customHeight="1">
      <c r="A3955" s="1">
        <v>842790</v>
      </c>
      <c r="B3955" s="1" t="s">
        <v>3981</v>
      </c>
      <c r="C3955" s="1" t="str">
        <f ca="1">IFERROR(__xludf.DUMMYFUNCTION("REGEXEXTRACT(B3955, ""^([^:]+)"")"),"Fork-lift and other works trucks")</f>
        <v>Fork-lift and other works trucks</v>
      </c>
      <c r="D3955" s="1" t="s">
        <v>11</v>
      </c>
      <c r="E3955" s="1" t="s">
        <v>11</v>
      </c>
    </row>
    <row r="3956" spans="1:5" ht="15.75" customHeight="1">
      <c r="A3956" s="1">
        <v>842810</v>
      </c>
      <c r="B3956" s="1" t="s">
        <v>3982</v>
      </c>
      <c r="C3956" s="1" t="str">
        <f ca="1">IFERROR(__xludf.DUMMYFUNCTION("REGEXEXTRACT(B3956, ""^([^:]+)"")"),"Lifts and skip hoists")</f>
        <v>Lifts and skip hoists</v>
      </c>
      <c r="D3956" s="1" t="s">
        <v>11</v>
      </c>
      <c r="E3956" s="1" t="s">
        <v>11</v>
      </c>
    </row>
    <row r="3957" spans="1:5" ht="15.75" customHeight="1">
      <c r="A3957" s="1">
        <v>842820</v>
      </c>
      <c r="B3957" s="1" t="s">
        <v>3983</v>
      </c>
      <c r="C3957" s="1" t="str">
        <f ca="1">IFERROR(__xludf.DUMMYFUNCTION("REGEXEXTRACT(B3957, ""^([^:]+)"")"),"Elevators and conveyors")</f>
        <v>Elevators and conveyors</v>
      </c>
      <c r="D3957" s="1" t="s">
        <v>11</v>
      </c>
      <c r="E3957" s="1" t="s">
        <v>11</v>
      </c>
    </row>
    <row r="3958" spans="1:5" ht="15.75" customHeight="1">
      <c r="A3958" s="1">
        <v>842831</v>
      </c>
      <c r="B3958" s="1" t="s">
        <v>3984</v>
      </c>
      <c r="C3958" s="1" t="str">
        <f ca="1">IFERROR(__xludf.DUMMYFUNCTION("REGEXEXTRACT(B3958, ""^([^:]+)"")"),"Elevators and conveyors")</f>
        <v>Elevators and conveyors</v>
      </c>
      <c r="D3958" s="1" t="s">
        <v>11</v>
      </c>
      <c r="E3958" s="1" t="s">
        <v>11</v>
      </c>
    </row>
    <row r="3959" spans="1:5" ht="15.75" customHeight="1">
      <c r="A3959" s="1">
        <v>842832</v>
      </c>
      <c r="B3959" s="1" t="s">
        <v>3985</v>
      </c>
      <c r="C3959" s="1" t="str">
        <f ca="1">IFERROR(__xludf.DUMMYFUNCTION("REGEXEXTRACT(B3959, ""^([^:]+)"")"),"Elevators and conveyors")</f>
        <v>Elevators and conveyors</v>
      </c>
      <c r="D3959" s="1" t="s">
        <v>11</v>
      </c>
      <c r="E3959" s="1" t="s">
        <v>11</v>
      </c>
    </row>
    <row r="3960" spans="1:5" ht="15.75" customHeight="1">
      <c r="A3960" s="1">
        <v>842833</v>
      </c>
      <c r="B3960" s="1" t="s">
        <v>3986</v>
      </c>
      <c r="C3960" s="1" t="str">
        <f ca="1">IFERROR(__xludf.DUMMYFUNCTION("REGEXEXTRACT(B3960, ""^([^:]+)"")"),"Elevators and conveyors")</f>
        <v>Elevators and conveyors</v>
      </c>
      <c r="D3960" s="1" t="s">
        <v>11</v>
      </c>
      <c r="E3960" s="1" t="s">
        <v>11</v>
      </c>
    </row>
    <row r="3961" spans="1:5" ht="15.75" customHeight="1">
      <c r="A3961" s="1">
        <v>842839</v>
      </c>
      <c r="B3961" s="1" t="s">
        <v>3987</v>
      </c>
      <c r="C3961" s="1" t="str">
        <f ca="1">IFERROR(__xludf.DUMMYFUNCTION("REGEXEXTRACT(B3961, ""^([^:]+)"")"),"Elevators and conveyors")</f>
        <v>Elevators and conveyors</v>
      </c>
      <c r="D3961" s="1" t="s">
        <v>11</v>
      </c>
      <c r="E3961" s="1" t="s">
        <v>11</v>
      </c>
    </row>
    <row r="3962" spans="1:5" ht="15.75" customHeight="1">
      <c r="A3962" s="1">
        <v>842840</v>
      </c>
      <c r="B3962" s="1" t="s">
        <v>3988</v>
      </c>
      <c r="C3962" s="1" t="str">
        <f ca="1">IFERROR(__xludf.DUMMYFUNCTION("REGEXEXTRACT(B3962, ""^([^:]+)"")"),"Escalators and moving walkways")</f>
        <v>Escalators and moving walkways</v>
      </c>
      <c r="D3962" s="1" t="s">
        <v>11</v>
      </c>
      <c r="E3962" s="1" t="s">
        <v>11</v>
      </c>
    </row>
    <row r="3963" spans="1:5" ht="15.75" customHeight="1">
      <c r="A3963" s="1">
        <v>842860</v>
      </c>
      <c r="B3963" s="1" t="s">
        <v>3989</v>
      </c>
      <c r="C3963" s="1" t="str">
        <f ca="1">IFERROR(__xludf.DUMMYFUNCTION("REGEXEXTRACT(B3963, ""^([^:]+)"")"),"Teleferics, chair-lifts, ski-draglines, traction mechanisms for funiculars")</f>
        <v>Teleferics, chair-lifts, ski-draglines, traction mechanisms for funiculars</v>
      </c>
      <c r="D3963" s="1" t="s">
        <v>11</v>
      </c>
      <c r="E3963" s="1" t="s">
        <v>11</v>
      </c>
    </row>
    <row r="3964" spans="1:5" ht="15.75" customHeight="1">
      <c r="A3964" s="1">
        <v>842890</v>
      </c>
      <c r="B3964" s="1" t="s">
        <v>3990</v>
      </c>
      <c r="C3964" s="1" t="str">
        <f ca="1">IFERROR(__xludf.DUMMYFUNCTION("REGEXEXTRACT(B3964, ""^([^:]+)"")"),"Lifting, handling, loading or unloading machinery")</f>
        <v>Lifting, handling, loading or unloading machinery</v>
      </c>
      <c r="D3964" s="1" t="s">
        <v>11</v>
      </c>
      <c r="E3964" s="1" t="s">
        <v>11</v>
      </c>
    </row>
    <row r="3965" spans="1:5" ht="15.75" customHeight="1">
      <c r="A3965" s="1">
        <v>842911</v>
      </c>
      <c r="B3965" s="1" t="s">
        <v>3991</v>
      </c>
      <c r="C3965" s="1" t="str">
        <f ca="1">IFERROR(__xludf.DUMMYFUNCTION("REGEXEXTRACT(B3965, ""^([^:]+)"")"),"Bulldozers and angledozers")</f>
        <v>Bulldozers and angledozers</v>
      </c>
      <c r="D3965" s="1" t="s">
        <v>11</v>
      </c>
      <c r="E3965" s="1" t="s">
        <v>11</v>
      </c>
    </row>
    <row r="3966" spans="1:5" ht="15.75" customHeight="1">
      <c r="A3966" s="1">
        <v>842919</v>
      </c>
      <c r="B3966" s="1" t="s">
        <v>3992</v>
      </c>
      <c r="C3966" s="1" t="str">
        <f ca="1">IFERROR(__xludf.DUMMYFUNCTION("REGEXEXTRACT(B3966, ""^([^:]+)"")"),"Bulldozers and angledozers")</f>
        <v>Bulldozers and angledozers</v>
      </c>
      <c r="D3966" s="1" t="s">
        <v>11</v>
      </c>
      <c r="E3966" s="1" t="s">
        <v>11</v>
      </c>
    </row>
    <row r="3967" spans="1:5" ht="15.75" customHeight="1">
      <c r="A3967" s="1">
        <v>842920</v>
      </c>
      <c r="B3967" s="1" t="s">
        <v>3993</v>
      </c>
      <c r="C3967" s="1" t="str">
        <f ca="1">IFERROR(__xludf.DUMMYFUNCTION("REGEXEXTRACT(B3967, ""^([^:]+)"")"),"Graders and levellers")</f>
        <v>Graders and levellers</v>
      </c>
      <c r="D3967" s="1" t="s">
        <v>11</v>
      </c>
      <c r="E3967" s="1" t="s">
        <v>11</v>
      </c>
    </row>
    <row r="3968" spans="1:5" ht="15.75" customHeight="1">
      <c r="A3968" s="1">
        <v>842930</v>
      </c>
      <c r="B3968" s="1" t="s">
        <v>3994</v>
      </c>
      <c r="C3968" s="1" t="str">
        <f ca="1">IFERROR(__xludf.DUMMYFUNCTION("REGEXEXTRACT(B3968, ""^([^:]+)"")"),"Scrapers")</f>
        <v>Scrapers</v>
      </c>
      <c r="D3968" s="1" t="s">
        <v>11</v>
      </c>
      <c r="E3968" s="1" t="s">
        <v>11</v>
      </c>
    </row>
    <row r="3969" spans="1:5" ht="15.75" customHeight="1">
      <c r="A3969" s="1">
        <v>842940</v>
      </c>
      <c r="B3969" s="1" t="s">
        <v>3995</v>
      </c>
      <c r="C3969" s="1" t="str">
        <f ca="1">IFERROR(__xludf.DUMMYFUNCTION("REGEXEXTRACT(B3969, ""^([^:]+)"")"),"Tamping machines and road rollers")</f>
        <v>Tamping machines and road rollers</v>
      </c>
      <c r="D3969" s="1" t="s">
        <v>11</v>
      </c>
      <c r="E3969" s="1" t="s">
        <v>11</v>
      </c>
    </row>
    <row r="3970" spans="1:5" ht="15.75" customHeight="1">
      <c r="A3970" s="1">
        <v>842951</v>
      </c>
      <c r="B3970" s="1" t="s">
        <v>3996</v>
      </c>
      <c r="C3970" s="1" t="str">
        <f ca="1">IFERROR(__xludf.DUMMYFUNCTION("REGEXEXTRACT(B3970, ""^([^:]+)"")"),"Front-end shovel loaders")</f>
        <v>Front-end shovel loaders</v>
      </c>
      <c r="D3970" s="1" t="s">
        <v>11</v>
      </c>
      <c r="E3970" s="1" t="s">
        <v>11</v>
      </c>
    </row>
    <row r="3971" spans="1:5" ht="15.75" customHeight="1">
      <c r="A3971" s="1">
        <v>842952</v>
      </c>
      <c r="B3971" s="1" t="s">
        <v>3997</v>
      </c>
      <c r="C3971" s="1" t="str">
        <f ca="1">IFERROR(__xludf.DUMMYFUNCTION("REGEXEXTRACT(B3971, ""^([^:]+)"")"),"Mechanical shovels, excavators and shovel loaders")</f>
        <v>Mechanical shovels, excavators and shovel loaders</v>
      </c>
      <c r="D3971" s="1" t="s">
        <v>11</v>
      </c>
      <c r="E3971" s="1" t="s">
        <v>11</v>
      </c>
    </row>
    <row r="3972" spans="1:5" ht="15.75" customHeight="1">
      <c r="A3972" s="1">
        <v>842959</v>
      </c>
      <c r="B3972" s="1" t="s">
        <v>3998</v>
      </c>
      <c r="C3972" s="1" t="str">
        <f ca="1">IFERROR(__xludf.DUMMYFUNCTION("REGEXEXTRACT(B3972, ""^([^:]+)"")"),"Mechanical shovels, excavators and shovel loaders")</f>
        <v>Mechanical shovels, excavators and shovel loaders</v>
      </c>
      <c r="D3972" s="1" t="s">
        <v>11</v>
      </c>
      <c r="E3972" s="1" t="s">
        <v>11</v>
      </c>
    </row>
    <row r="3973" spans="1:5" ht="15.75" customHeight="1">
      <c r="A3973" s="1">
        <v>843010</v>
      </c>
      <c r="B3973" s="1" t="s">
        <v>3999</v>
      </c>
      <c r="C3973" s="1" t="str">
        <f ca="1">IFERROR(__xludf.DUMMYFUNCTION("REGEXEXTRACT(B3973, ""^([^:]+)"")"),"Pile-drivers and pile-extractors")</f>
        <v>Pile-drivers and pile-extractors</v>
      </c>
      <c r="D3973" s="1" t="s">
        <v>11</v>
      </c>
      <c r="E3973" s="1" t="s">
        <v>11</v>
      </c>
    </row>
    <row r="3974" spans="1:5" ht="15.75" customHeight="1">
      <c r="A3974" s="1">
        <v>843020</v>
      </c>
      <c r="B3974" s="1" t="s">
        <v>4000</v>
      </c>
      <c r="C3974" s="1" t="str">
        <f ca="1">IFERROR(__xludf.DUMMYFUNCTION("REGEXEXTRACT(B3974, ""^([^:]+)"")"),"Snow-ploughs and snow-blowers")</f>
        <v>Snow-ploughs and snow-blowers</v>
      </c>
      <c r="D3974" s="1" t="s">
        <v>11</v>
      </c>
      <c r="E3974" s="1" t="s">
        <v>11</v>
      </c>
    </row>
    <row r="3975" spans="1:5" ht="15.75" customHeight="1">
      <c r="A3975" s="1">
        <v>843031</v>
      </c>
      <c r="B3975" s="1" t="s">
        <v>4001</v>
      </c>
      <c r="C3975" s="1" t="str">
        <f ca="1">IFERROR(__xludf.DUMMYFUNCTION("REGEXEXTRACT(B3975, ""^([^:]+)"")"),"Coal or rock cutters and tunnelling machinery")</f>
        <v>Coal or rock cutters and tunnelling machinery</v>
      </c>
      <c r="D3975" s="1" t="s">
        <v>11</v>
      </c>
      <c r="E3975" s="1" t="s">
        <v>11</v>
      </c>
    </row>
    <row r="3976" spans="1:5" ht="15.75" customHeight="1">
      <c r="A3976" s="1">
        <v>843039</v>
      </c>
      <c r="B3976" s="1" t="s">
        <v>4002</v>
      </c>
      <c r="C3976" s="1" t="str">
        <f ca="1">IFERROR(__xludf.DUMMYFUNCTION("REGEXEXTRACT(B3976, ""^([^:]+)"")"),"Coal or rock cutters and tunnelling machinery")</f>
        <v>Coal or rock cutters and tunnelling machinery</v>
      </c>
      <c r="D3976" s="1" t="s">
        <v>11</v>
      </c>
      <c r="E3976" s="1" t="s">
        <v>11</v>
      </c>
    </row>
    <row r="3977" spans="1:5" ht="15.75" customHeight="1">
      <c r="A3977" s="1">
        <v>843041</v>
      </c>
      <c r="B3977" s="1" t="s">
        <v>4003</v>
      </c>
      <c r="C3977" s="1" t="str">
        <f ca="1">IFERROR(__xludf.DUMMYFUNCTION("REGEXEXTRACT(B3977, ""^([^:]+)"")"),"Boring or sinking machinery")</f>
        <v>Boring or sinking machinery</v>
      </c>
      <c r="D3977" s="1" t="s">
        <v>11</v>
      </c>
      <c r="E3977" s="1" t="s">
        <v>11</v>
      </c>
    </row>
    <row r="3978" spans="1:5" ht="15.75" customHeight="1">
      <c r="A3978" s="1">
        <v>843049</v>
      </c>
      <c r="B3978" s="1" t="s">
        <v>4004</v>
      </c>
      <c r="C3978" s="1" t="str">
        <f ca="1">IFERROR(__xludf.DUMMYFUNCTION("REGEXEXTRACT(B3978, ""^([^:]+)"")"),"Boring and sinking machinery")</f>
        <v>Boring and sinking machinery</v>
      </c>
      <c r="D3978" s="1" t="s">
        <v>11</v>
      </c>
      <c r="E3978" s="1" t="s">
        <v>11</v>
      </c>
    </row>
    <row r="3979" spans="1:5" ht="15.75" customHeight="1">
      <c r="A3979" s="1">
        <v>843050</v>
      </c>
      <c r="B3979" s="1" t="s">
        <v>4005</v>
      </c>
      <c r="C3979" s="1" t="str">
        <f ca="1">IFERROR(__xludf.DUMMYFUNCTION("REGEXEXTRACT(B3979, ""^([^:]+)"")"),"Machinery")</f>
        <v>Machinery</v>
      </c>
      <c r="D3979" s="1" t="s">
        <v>11</v>
      </c>
      <c r="E3979" s="1" t="s">
        <v>11</v>
      </c>
    </row>
    <row r="3980" spans="1:5" ht="15.75" customHeight="1">
      <c r="A3980" s="1">
        <v>843061</v>
      </c>
      <c r="B3980" s="1" t="s">
        <v>4006</v>
      </c>
      <c r="C3980" s="1" t="str">
        <f ca="1">IFERROR(__xludf.DUMMYFUNCTION("REGEXEXTRACT(B3980, ""^([^:]+)"")"),"Machinery")</f>
        <v>Machinery</v>
      </c>
      <c r="D3980" s="1" t="s">
        <v>11</v>
      </c>
      <c r="E3980" s="1" t="s">
        <v>11</v>
      </c>
    </row>
    <row r="3981" spans="1:5" ht="15.75" customHeight="1">
      <c r="A3981" s="1">
        <v>843069</v>
      </c>
      <c r="B3981" s="1" t="s">
        <v>4007</v>
      </c>
      <c r="C3981" s="1" t="str">
        <f ca="1">IFERROR(__xludf.DUMMYFUNCTION("REGEXEXTRACT(B3981, ""^([^:]+)"")"),"Machinery")</f>
        <v>Machinery</v>
      </c>
      <c r="D3981" s="1" t="s">
        <v>11</v>
      </c>
      <c r="E3981" s="1" t="s">
        <v>11</v>
      </c>
    </row>
    <row r="3982" spans="1:5" ht="15.75" customHeight="1">
      <c r="A3982" s="1">
        <v>843110</v>
      </c>
      <c r="B3982" s="1" t="s">
        <v>4008</v>
      </c>
      <c r="C3982" s="1" t="str">
        <f ca="1">IFERROR(__xludf.DUMMYFUNCTION("REGEXEXTRACT(B3982, ""^([^:]+)"")"),"Machinery")</f>
        <v>Machinery</v>
      </c>
      <c r="D3982" s="1" t="s">
        <v>11</v>
      </c>
      <c r="E3982" s="1" t="s">
        <v>11</v>
      </c>
    </row>
    <row r="3983" spans="1:5" ht="15.75" customHeight="1">
      <c r="A3983" s="1">
        <v>843120</v>
      </c>
      <c r="B3983" s="1" t="s">
        <v>4009</v>
      </c>
      <c r="C3983" s="1" t="str">
        <f ca="1">IFERROR(__xludf.DUMMYFUNCTION("REGEXEXTRACT(B3983, ""^([^:]+)"")"),"Machinery")</f>
        <v>Machinery</v>
      </c>
      <c r="D3983" s="1" t="s">
        <v>11</v>
      </c>
      <c r="E3983" s="1" t="s">
        <v>11</v>
      </c>
    </row>
    <row r="3984" spans="1:5" ht="15.75" customHeight="1">
      <c r="A3984" s="1">
        <v>843131</v>
      </c>
      <c r="B3984" s="1" t="s">
        <v>4010</v>
      </c>
      <c r="C3984" s="1" t="str">
        <f ca="1">IFERROR(__xludf.DUMMYFUNCTION("REGEXEXTRACT(B3984, ""^([^:]+)"")"),"Lifts, skip hoists or escalators")</f>
        <v>Lifts, skip hoists or escalators</v>
      </c>
      <c r="D3984" s="1" t="s">
        <v>11</v>
      </c>
      <c r="E3984" s="1" t="s">
        <v>11</v>
      </c>
    </row>
    <row r="3985" spans="1:5" ht="15.75" customHeight="1">
      <c r="A3985" s="1">
        <v>843139</v>
      </c>
      <c r="B3985" s="1" t="s">
        <v>4011</v>
      </c>
      <c r="C3985" s="1" t="str">
        <f ca="1">IFERROR(__xludf.DUMMYFUNCTION("REGEXEXTRACT(B3985, ""^([^:]+)"")"),"Machinery")</f>
        <v>Machinery</v>
      </c>
      <c r="D3985" s="1" t="s">
        <v>11</v>
      </c>
      <c r="E3985" s="1" t="s">
        <v>11</v>
      </c>
    </row>
    <row r="3986" spans="1:5" ht="15.75" customHeight="1">
      <c r="A3986" s="1">
        <v>843141</v>
      </c>
      <c r="B3986" s="1" t="s">
        <v>4012</v>
      </c>
      <c r="C3986" s="1" t="str">
        <f ca="1">IFERROR(__xludf.DUMMYFUNCTION("REGEXEXTRACT(B3986, ""^([^:]+)"")"),"Machinery parts")</f>
        <v>Machinery parts</v>
      </c>
      <c r="D3986" s="1" t="s">
        <v>11</v>
      </c>
      <c r="E3986" s="1" t="s">
        <v>11</v>
      </c>
    </row>
    <row r="3987" spans="1:5" ht="15.75" customHeight="1">
      <c r="A3987" s="1">
        <v>843142</v>
      </c>
      <c r="B3987" s="1" t="s">
        <v>4013</v>
      </c>
      <c r="C3987" s="1" t="str">
        <f ca="1">IFERROR(__xludf.DUMMYFUNCTION("REGEXEXTRACT(B3987, ""^([^:]+)"")"),"Machinery parts")</f>
        <v>Machinery parts</v>
      </c>
      <c r="D3987" s="1" t="s">
        <v>11</v>
      </c>
      <c r="E3987" s="1" t="s">
        <v>11</v>
      </c>
    </row>
    <row r="3988" spans="1:5" ht="15.75" customHeight="1">
      <c r="A3988" s="1">
        <v>843143</v>
      </c>
      <c r="B3988" s="1" t="s">
        <v>4014</v>
      </c>
      <c r="C3988" s="1" t="str">
        <f ca="1">IFERROR(__xludf.DUMMYFUNCTION("REGEXEXTRACT(B3988, ""^([^:]+)"")"),"Boring or sinking machinery")</f>
        <v>Boring or sinking machinery</v>
      </c>
      <c r="D3988" s="1" t="s">
        <v>11</v>
      </c>
      <c r="E3988" s="1" t="s">
        <v>11</v>
      </c>
    </row>
    <row r="3989" spans="1:5" ht="15.75" customHeight="1">
      <c r="A3989" s="1">
        <v>843149</v>
      </c>
      <c r="B3989" s="1" t="s">
        <v>4015</v>
      </c>
      <c r="C3989" s="1" t="str">
        <f ca="1">IFERROR(__xludf.DUMMYFUNCTION("REGEXEXTRACT(B3989, ""^([^:]+)"")"),"Machinery")</f>
        <v>Machinery</v>
      </c>
      <c r="D3989" s="1" t="s">
        <v>11</v>
      </c>
      <c r="E3989" s="1" t="s">
        <v>11</v>
      </c>
    </row>
    <row r="3990" spans="1:5" ht="15.75" customHeight="1">
      <c r="A3990" s="1">
        <v>843210</v>
      </c>
      <c r="B3990" s="1" t="s">
        <v>4016</v>
      </c>
      <c r="C3990" s="1" t="str">
        <f ca="1">IFERROR(__xludf.DUMMYFUNCTION("REGEXEXTRACT(B3990, ""^([^:]+)"")"),"Ploughs")</f>
        <v>Ploughs</v>
      </c>
      <c r="D3990" s="1" t="s">
        <v>11</v>
      </c>
      <c r="E3990" s="1" t="s">
        <v>11</v>
      </c>
    </row>
    <row r="3991" spans="1:5" ht="15.75" customHeight="1">
      <c r="A3991" s="1">
        <v>843221</v>
      </c>
      <c r="B3991" s="1" t="s">
        <v>4017</v>
      </c>
      <c r="C3991" s="1" t="str">
        <f ca="1">IFERROR(__xludf.DUMMYFUNCTION("REGEXEXTRACT(B3991, ""^([^:]+)"")"),"Harrows")</f>
        <v>Harrows</v>
      </c>
      <c r="D3991" s="1" t="s">
        <v>11</v>
      </c>
      <c r="E3991" s="1" t="s">
        <v>11</v>
      </c>
    </row>
    <row r="3992" spans="1:5" ht="15.75" customHeight="1">
      <c r="A3992" s="1">
        <v>843229</v>
      </c>
      <c r="B3992" s="1" t="s">
        <v>4018</v>
      </c>
      <c r="C3992" s="1" t="str">
        <f ca="1">IFERROR(__xludf.DUMMYFUNCTION("REGEXEXTRACT(B3992, ""^([^:]+)"")"),"Harrows")</f>
        <v>Harrows</v>
      </c>
      <c r="D3992" s="1" t="s">
        <v>11</v>
      </c>
      <c r="E3992" s="1" t="s">
        <v>11</v>
      </c>
    </row>
    <row r="3993" spans="1:5" ht="15.75" customHeight="1">
      <c r="A3993" s="1">
        <v>843230</v>
      </c>
      <c r="B3993" s="1" t="s">
        <v>4019</v>
      </c>
      <c r="C3993" s="1" t="str">
        <f ca="1">IFERROR(__xludf.DUMMYFUNCTION("REGEXEXTRACT(B3993, ""^([^:]+)"")"),"Seeders, planters and transplanters")</f>
        <v>Seeders, planters and transplanters</v>
      </c>
      <c r="D3993" s="1" t="s">
        <v>11</v>
      </c>
      <c r="E3993" s="1" t="s">
        <v>11</v>
      </c>
    </row>
    <row r="3994" spans="1:5" ht="15.75" customHeight="1">
      <c r="A3994" s="1">
        <v>843240</v>
      </c>
      <c r="B3994" s="1" t="s">
        <v>4020</v>
      </c>
      <c r="C3994" s="1" t="str">
        <f ca="1">IFERROR(__xludf.DUMMYFUNCTION("REGEXEXTRACT(B3994, ""^([^:]+)"")"),"Spreaders and distributors")</f>
        <v>Spreaders and distributors</v>
      </c>
      <c r="D3994" s="1" t="s">
        <v>11</v>
      </c>
      <c r="E3994" s="1" t="s">
        <v>11</v>
      </c>
    </row>
    <row r="3995" spans="1:5" ht="15.75" customHeight="1">
      <c r="A3995" s="1">
        <v>843280</v>
      </c>
      <c r="B3995" s="1" t="s">
        <v>4021</v>
      </c>
      <c r="C3995" s="1" t="str">
        <f ca="1">IFERROR(__xludf.DUMMYFUNCTION("REGEXEXTRACT(B3995, ""^([^:]+)"")"),"Rollers")</f>
        <v>Rollers</v>
      </c>
      <c r="D3995" s="1" t="s">
        <v>11</v>
      </c>
      <c r="E3995" s="1" t="s">
        <v>11</v>
      </c>
    </row>
    <row r="3996" spans="1:5" ht="15.75" customHeight="1">
      <c r="A3996" s="1">
        <v>843290</v>
      </c>
      <c r="B3996" s="1" t="s">
        <v>4022</v>
      </c>
      <c r="C3996" s="1" t="str">
        <f ca="1">IFERROR(__xludf.DUMMYFUNCTION("REGEXEXTRACT(B3996, ""^([^:]+)"")"),"Machinery")</f>
        <v>Machinery</v>
      </c>
      <c r="D3996" s="1" t="s">
        <v>11</v>
      </c>
      <c r="E3996" s="1" t="s">
        <v>11</v>
      </c>
    </row>
    <row r="3997" spans="1:5" ht="15.75" customHeight="1">
      <c r="A3997" s="1">
        <v>843311</v>
      </c>
      <c r="B3997" s="1" t="s">
        <v>4023</v>
      </c>
      <c r="C3997" s="1" t="str">
        <f ca="1">IFERROR(__xludf.DUMMYFUNCTION("REGEXEXTRACT(B3997, ""^([^:]+)"")"),"Mowers")</f>
        <v>Mowers</v>
      </c>
      <c r="D3997" s="1" t="s">
        <v>11</v>
      </c>
      <c r="E3997" s="1" t="s">
        <v>11</v>
      </c>
    </row>
    <row r="3998" spans="1:5" ht="15.75" customHeight="1">
      <c r="A3998" s="1">
        <v>843319</v>
      </c>
      <c r="B3998" s="1" t="s">
        <v>4024</v>
      </c>
      <c r="C3998" s="1" t="str">
        <f ca="1">IFERROR(__xludf.DUMMYFUNCTION("REGEXEXTRACT(B3998, ""^([^:]+)"")"),"Mowers")</f>
        <v>Mowers</v>
      </c>
      <c r="D3998" s="1" t="s">
        <v>11</v>
      </c>
      <c r="E3998" s="1" t="s">
        <v>11</v>
      </c>
    </row>
    <row r="3999" spans="1:5" ht="15.75" customHeight="1">
      <c r="A3999" s="1">
        <v>843320</v>
      </c>
      <c r="B3999" s="1" t="s">
        <v>4025</v>
      </c>
      <c r="C3999" s="1" t="str">
        <f ca="1">IFERROR(__xludf.DUMMYFUNCTION("REGEXEXTRACT(B3999, ""^([^:]+)"")"),"Mowers")</f>
        <v>Mowers</v>
      </c>
      <c r="D3999" s="1" t="s">
        <v>11</v>
      </c>
      <c r="E3999" s="1" t="s">
        <v>11</v>
      </c>
    </row>
    <row r="4000" spans="1:5" ht="15.75" customHeight="1">
      <c r="A4000" s="1">
        <v>843330</v>
      </c>
      <c r="B4000" s="1" t="s">
        <v>4026</v>
      </c>
      <c r="C4000" s="1" t="str">
        <f ca="1">IFERROR(__xludf.DUMMYFUNCTION("REGEXEXTRACT(B4000, ""^([^:]+)"")"),"Haymaking machinery")</f>
        <v>Haymaking machinery</v>
      </c>
      <c r="D4000" s="1" t="s">
        <v>11</v>
      </c>
      <c r="E4000" s="1" t="s">
        <v>11</v>
      </c>
    </row>
    <row r="4001" spans="1:5" ht="15.75" customHeight="1">
      <c r="A4001" s="1">
        <v>843340</v>
      </c>
      <c r="B4001" s="1" t="s">
        <v>4027</v>
      </c>
      <c r="C4001" s="1" t="str">
        <f ca="1">IFERROR(__xludf.DUMMYFUNCTION("REGEXEXTRACT(B4001, ""^([^:]+)"")"),"Balers")</f>
        <v>Balers</v>
      </c>
      <c r="D4001" s="1" t="s">
        <v>11</v>
      </c>
      <c r="E4001" s="1" t="s">
        <v>11</v>
      </c>
    </row>
    <row r="4002" spans="1:5" ht="15.75" customHeight="1">
      <c r="A4002" s="1">
        <v>843351</v>
      </c>
      <c r="B4002" s="1" t="s">
        <v>4028</v>
      </c>
      <c r="C4002" s="1" t="str">
        <f ca="1">IFERROR(__xludf.DUMMYFUNCTION("REGEXEXTRACT(B4002, ""^([^:]+)"")"),"Combine harvester-threshers")</f>
        <v>Combine harvester-threshers</v>
      </c>
      <c r="D4002" s="1" t="s">
        <v>11</v>
      </c>
      <c r="E4002" s="1" t="s">
        <v>11</v>
      </c>
    </row>
    <row r="4003" spans="1:5" ht="15.75" customHeight="1">
      <c r="A4003" s="1">
        <v>843352</v>
      </c>
      <c r="B4003" s="1" t="s">
        <v>4029</v>
      </c>
      <c r="C4003" s="1" t="str">
        <f ca="1">IFERROR(__xludf.DUMMYFUNCTION("REGEXEXTRACT(B4003, ""^([^:]+)"")"),"Threshing machinery")</f>
        <v>Threshing machinery</v>
      </c>
      <c r="D4003" s="1" t="s">
        <v>11</v>
      </c>
      <c r="E4003" s="1" t="s">
        <v>11</v>
      </c>
    </row>
    <row r="4004" spans="1:5" ht="15.75" customHeight="1">
      <c r="A4004" s="1">
        <v>843353</v>
      </c>
      <c r="B4004" s="1" t="s">
        <v>4030</v>
      </c>
      <c r="C4004" s="1" t="str">
        <f ca="1">IFERROR(__xludf.DUMMYFUNCTION("REGEXEXTRACT(B4004, ""^([^:]+)"")"),"Harvesting machinery")</f>
        <v>Harvesting machinery</v>
      </c>
      <c r="D4004" s="1" t="s">
        <v>11</v>
      </c>
      <c r="E4004" s="1" t="s">
        <v>11</v>
      </c>
    </row>
    <row r="4005" spans="1:5" ht="15.75" customHeight="1">
      <c r="A4005" s="1">
        <v>843359</v>
      </c>
      <c r="B4005" s="1" t="s">
        <v>4031</v>
      </c>
      <c r="C4005" s="1" t="str">
        <f ca="1">IFERROR(__xludf.DUMMYFUNCTION("REGEXEXTRACT(B4005, ""^([^:]+)"")"),"Harvesting machinery")</f>
        <v>Harvesting machinery</v>
      </c>
      <c r="D4005" s="1" t="s">
        <v>11</v>
      </c>
      <c r="E4005" s="1" t="s">
        <v>11</v>
      </c>
    </row>
    <row r="4006" spans="1:5" ht="15.75" customHeight="1">
      <c r="A4006" s="1">
        <v>843360</v>
      </c>
      <c r="B4006" s="1" t="s">
        <v>4032</v>
      </c>
      <c r="C4006" s="1" t="str">
        <f ca="1">IFERROR(__xludf.DUMMYFUNCTION("REGEXEXTRACT(B4006, ""^([^:]+)"")"),"Machines")</f>
        <v>Machines</v>
      </c>
      <c r="D4006" s="1" t="s">
        <v>11</v>
      </c>
      <c r="E4006" s="1" t="s">
        <v>11</v>
      </c>
    </row>
    <row r="4007" spans="1:5" ht="15.75" customHeight="1">
      <c r="A4007" s="1">
        <v>843390</v>
      </c>
      <c r="B4007" s="1" t="s">
        <v>4033</v>
      </c>
      <c r="C4007" s="1" t="str">
        <f ca="1">IFERROR(__xludf.DUMMYFUNCTION("REGEXEXTRACT(B4007, ""^([^:]+)"")"),"Harvesting machinery")</f>
        <v>Harvesting machinery</v>
      </c>
      <c r="D4007" s="1" t="s">
        <v>11</v>
      </c>
      <c r="E4007" s="1" t="s">
        <v>11</v>
      </c>
    </row>
    <row r="4008" spans="1:5" ht="15.75" customHeight="1">
      <c r="A4008" s="1">
        <v>843410</v>
      </c>
      <c r="B4008" s="1" t="s">
        <v>4034</v>
      </c>
      <c r="C4008" s="1" t="str">
        <f ca="1">IFERROR(__xludf.DUMMYFUNCTION("REGEXEXTRACT(B4008, ""^([^:]+)"")"),"Milking machines")</f>
        <v>Milking machines</v>
      </c>
      <c r="D4008" s="1" t="s">
        <v>11</v>
      </c>
      <c r="E4008" s="1" t="s">
        <v>11</v>
      </c>
    </row>
    <row r="4009" spans="1:5" ht="15.75" customHeight="1">
      <c r="A4009" s="1">
        <v>843420</v>
      </c>
      <c r="B4009" s="1" t="s">
        <v>4035</v>
      </c>
      <c r="C4009" s="1" t="str">
        <f ca="1">IFERROR(__xludf.DUMMYFUNCTION("REGEXEXTRACT(B4009, ""^([^:]+)"")"),"Dairy machinery")</f>
        <v>Dairy machinery</v>
      </c>
      <c r="D4009" s="1" t="s">
        <v>11</v>
      </c>
      <c r="E4009" s="1" t="s">
        <v>11</v>
      </c>
    </row>
    <row r="4010" spans="1:5" ht="15.75" customHeight="1">
      <c r="A4010" s="1">
        <v>843490</v>
      </c>
      <c r="B4010" s="1" t="s">
        <v>4036</v>
      </c>
      <c r="C4010" s="1" t="str">
        <f ca="1">IFERROR(__xludf.DUMMYFUNCTION("REGEXEXTRACT(B4010, ""^([^:]+)"")"),"Milking machines and dairy machinery")</f>
        <v>Milking machines and dairy machinery</v>
      </c>
      <c r="D4010" s="1" t="s">
        <v>11</v>
      </c>
      <c r="E4010" s="1" t="s">
        <v>11</v>
      </c>
    </row>
    <row r="4011" spans="1:5" ht="15.75" customHeight="1">
      <c r="A4011" s="1">
        <v>843510</v>
      </c>
      <c r="B4011" s="1" t="s">
        <v>4037</v>
      </c>
      <c r="C4011" s="1" t="str">
        <f ca="1">IFERROR(__xludf.DUMMYFUNCTION("REGEXEXTRACT(B4011, ""^([^:]+)"")"),"Presses, crushers and similar machinery")</f>
        <v>Presses, crushers and similar machinery</v>
      </c>
      <c r="D4011" s="1" t="s">
        <v>11</v>
      </c>
      <c r="E4011" s="1" t="s">
        <v>11</v>
      </c>
    </row>
    <row r="4012" spans="1:5" ht="15.75" customHeight="1">
      <c r="A4012" s="1">
        <v>843590</v>
      </c>
      <c r="B4012" s="1" t="s">
        <v>4038</v>
      </c>
      <c r="C4012" s="1" t="str">
        <f ca="1">IFERROR(__xludf.DUMMYFUNCTION("REGEXEXTRACT(B4012, ""^([^:]+)"")"),"Presses, crushers and similar machinery")</f>
        <v>Presses, crushers and similar machinery</v>
      </c>
      <c r="D4012" s="1" t="s">
        <v>11</v>
      </c>
      <c r="E4012" s="1" t="s">
        <v>11</v>
      </c>
    </row>
    <row r="4013" spans="1:5" ht="15.75" customHeight="1">
      <c r="A4013" s="1">
        <v>843610</v>
      </c>
      <c r="B4013" s="1" t="s">
        <v>4039</v>
      </c>
      <c r="C4013" s="1" t="str">
        <f ca="1">IFERROR(__xludf.DUMMYFUNCTION("REGEXEXTRACT(B4013, ""^([^:]+)"")"),"Machinery")</f>
        <v>Machinery</v>
      </c>
      <c r="D4013" s="1" t="s">
        <v>11</v>
      </c>
      <c r="E4013" s="1" t="s">
        <v>11</v>
      </c>
    </row>
    <row r="4014" spans="1:5" ht="15.75" customHeight="1">
      <c r="A4014" s="1">
        <v>843621</v>
      </c>
      <c r="B4014" s="1" t="s">
        <v>4040</v>
      </c>
      <c r="C4014" s="1" t="str">
        <f ca="1">IFERROR(__xludf.DUMMYFUNCTION("REGEXEXTRACT(B4014, ""^([^:]+)"")"),"Poultry incubators and brooders")</f>
        <v>Poultry incubators and brooders</v>
      </c>
      <c r="D4014" s="1" t="s">
        <v>11</v>
      </c>
      <c r="E4014" s="1" t="s">
        <v>11</v>
      </c>
    </row>
    <row r="4015" spans="1:5" ht="15.75" customHeight="1">
      <c r="A4015" s="1">
        <v>843629</v>
      </c>
      <c r="B4015" s="1" t="s">
        <v>4041</v>
      </c>
      <c r="C4015" s="1" t="str">
        <f ca="1">IFERROR(__xludf.DUMMYFUNCTION("REGEXEXTRACT(B4015, ""^([^:]+)"")"),"Poultry-keeping machinery")</f>
        <v>Poultry-keeping machinery</v>
      </c>
      <c r="D4015" s="1" t="s">
        <v>11</v>
      </c>
      <c r="E4015" s="1" t="s">
        <v>11</v>
      </c>
    </row>
    <row r="4016" spans="1:5" ht="15.75" customHeight="1">
      <c r="A4016" s="1">
        <v>843680</v>
      </c>
      <c r="B4016" s="1" t="s">
        <v>4042</v>
      </c>
      <c r="C4016" s="1" t="str">
        <f ca="1">IFERROR(__xludf.DUMMYFUNCTION("REGEXEXTRACT(B4016, ""^([^:]+)"")"),"Machinery")</f>
        <v>Machinery</v>
      </c>
      <c r="D4016" s="1" t="s">
        <v>11</v>
      </c>
      <c r="E4016" s="1" t="s">
        <v>11</v>
      </c>
    </row>
    <row r="4017" spans="1:5" ht="15.75" customHeight="1">
      <c r="A4017" s="1">
        <v>843691</v>
      </c>
      <c r="B4017" s="1" t="s">
        <v>4043</v>
      </c>
      <c r="C4017" s="1" t="str">
        <f ca="1">IFERROR(__xludf.DUMMYFUNCTION("REGEXEXTRACT(B4017, ""^([^:]+)"")"),"Machinery")</f>
        <v>Machinery</v>
      </c>
      <c r="D4017" s="1" t="s">
        <v>11</v>
      </c>
      <c r="E4017" s="1" t="s">
        <v>11</v>
      </c>
    </row>
    <row r="4018" spans="1:5" ht="15.75" customHeight="1">
      <c r="A4018" s="1">
        <v>843699</v>
      </c>
      <c r="B4018" s="1" t="s">
        <v>4044</v>
      </c>
      <c r="C4018" s="1" t="str">
        <f ca="1">IFERROR(__xludf.DUMMYFUNCTION("REGEXEXTRACT(B4018, ""^([^:]+)"")"),"Machinery")</f>
        <v>Machinery</v>
      </c>
      <c r="D4018" s="1" t="s">
        <v>11</v>
      </c>
      <c r="E4018" s="1" t="s">
        <v>11</v>
      </c>
    </row>
    <row r="4019" spans="1:5" ht="15.75" customHeight="1">
      <c r="A4019" s="1">
        <v>843710</v>
      </c>
      <c r="B4019" s="1" t="s">
        <v>4045</v>
      </c>
      <c r="C4019" s="1" t="str">
        <f ca="1">IFERROR(__xludf.DUMMYFUNCTION("REGEXEXTRACT(B4019, ""^([^:]+)"")"),"Machines")</f>
        <v>Machines</v>
      </c>
      <c r="D4019" s="1" t="s">
        <v>11</v>
      </c>
      <c r="E4019" s="1" t="s">
        <v>11</v>
      </c>
    </row>
    <row r="4020" spans="1:5" ht="15.75" customHeight="1">
      <c r="A4020" s="1">
        <v>843780</v>
      </c>
      <c r="B4020" s="1" t="s">
        <v>4046</v>
      </c>
      <c r="C4020" s="1" t="str">
        <f ca="1">IFERROR(__xludf.DUMMYFUNCTION("REGEXEXTRACT(B4020, ""^([^:]+)"")"),"Machinery")</f>
        <v>Machinery</v>
      </c>
      <c r="D4020" s="1" t="s">
        <v>11</v>
      </c>
      <c r="E4020" s="1" t="s">
        <v>11</v>
      </c>
    </row>
    <row r="4021" spans="1:5" ht="15.75" customHeight="1">
      <c r="A4021" s="1">
        <v>843790</v>
      </c>
      <c r="B4021" s="1" t="s">
        <v>4047</v>
      </c>
      <c r="C4021" s="1" t="str">
        <f ca="1">IFERROR(__xludf.DUMMYFUNCTION("REGEXEXTRACT(B4021, ""^([^:]+)"")"),"Machines")</f>
        <v>Machines</v>
      </c>
      <c r="D4021" s="1" t="s">
        <v>11</v>
      </c>
      <c r="E4021" s="1" t="s">
        <v>11</v>
      </c>
    </row>
    <row r="4022" spans="1:5" ht="15.75" customHeight="1">
      <c r="A4022" s="1">
        <v>843810</v>
      </c>
      <c r="B4022" s="1" t="s">
        <v>4048</v>
      </c>
      <c r="C4022" s="1" t="str">
        <f ca="1">IFERROR(__xludf.DUMMYFUNCTION("REGEXEXTRACT(B4022, ""^([^:]+)"")"),"Machinery")</f>
        <v>Machinery</v>
      </c>
      <c r="D4022" s="1" t="s">
        <v>11</v>
      </c>
      <c r="E4022" s="1" t="s">
        <v>11</v>
      </c>
    </row>
    <row r="4023" spans="1:5" ht="15.75" customHeight="1">
      <c r="A4023" s="1">
        <v>843820</v>
      </c>
      <c r="B4023" s="1" t="s">
        <v>4049</v>
      </c>
      <c r="C4023" s="1" t="str">
        <f ca="1">IFERROR(__xludf.DUMMYFUNCTION("REGEXEXTRACT(B4023, ""^([^:]+)"")"),"Machinery")</f>
        <v>Machinery</v>
      </c>
      <c r="D4023" s="1" t="s">
        <v>11</v>
      </c>
      <c r="E4023" s="1" t="s">
        <v>11</v>
      </c>
    </row>
    <row r="4024" spans="1:5" ht="15.75" customHeight="1">
      <c r="A4024" s="1">
        <v>843830</v>
      </c>
      <c r="B4024" s="1" t="s">
        <v>4050</v>
      </c>
      <c r="C4024" s="1" t="str">
        <f ca="1">IFERROR(__xludf.DUMMYFUNCTION("REGEXEXTRACT(B4024, ""^([^:]+)"")"),"Machinery")</f>
        <v>Machinery</v>
      </c>
      <c r="D4024" s="1" t="s">
        <v>11</v>
      </c>
      <c r="E4024" s="1" t="s">
        <v>11</v>
      </c>
    </row>
    <row r="4025" spans="1:5" ht="15.75" customHeight="1">
      <c r="A4025" s="1">
        <v>843840</v>
      </c>
      <c r="B4025" s="1" t="s">
        <v>4051</v>
      </c>
      <c r="C4025" s="1" t="str">
        <f ca="1">IFERROR(__xludf.DUMMYFUNCTION("REGEXEXTRACT(B4025, ""^([^:]+)"")"),"Machinery")</f>
        <v>Machinery</v>
      </c>
      <c r="D4025" s="1" t="s">
        <v>11</v>
      </c>
      <c r="E4025" s="1" t="s">
        <v>11</v>
      </c>
    </row>
    <row r="4026" spans="1:5" ht="15.75" customHeight="1">
      <c r="A4026" s="1">
        <v>843850</v>
      </c>
      <c r="B4026" s="1" t="s">
        <v>4052</v>
      </c>
      <c r="C4026" s="1" t="str">
        <f ca="1">IFERROR(__xludf.DUMMYFUNCTION("REGEXEXTRACT(B4026, ""^([^:]+)"")"),"Machinery")</f>
        <v>Machinery</v>
      </c>
      <c r="D4026" s="1" t="s">
        <v>11</v>
      </c>
      <c r="E4026" s="1" t="s">
        <v>11</v>
      </c>
    </row>
    <row r="4027" spans="1:5" ht="15.75" customHeight="1">
      <c r="A4027" s="1">
        <v>843860</v>
      </c>
      <c r="B4027" s="1" t="s">
        <v>4053</v>
      </c>
      <c r="C4027" s="1" t="str">
        <f ca="1">IFERROR(__xludf.DUMMYFUNCTION("REGEXEXTRACT(B4027, ""^([^:]+)"")"),"Machinery")</f>
        <v>Machinery</v>
      </c>
      <c r="D4027" s="1" t="s">
        <v>11</v>
      </c>
      <c r="E4027" s="1" t="s">
        <v>11</v>
      </c>
    </row>
    <row r="4028" spans="1:5" ht="15.75" customHeight="1">
      <c r="A4028" s="1">
        <v>843880</v>
      </c>
      <c r="B4028" s="1" t="s">
        <v>4054</v>
      </c>
      <c r="C4028" s="1" t="str">
        <f ca="1">IFERROR(__xludf.DUMMYFUNCTION("REGEXEXTRACT(B4028, ""^([^:]+)"")"),"Machinery")</f>
        <v>Machinery</v>
      </c>
      <c r="D4028" s="1" t="s">
        <v>11</v>
      </c>
      <c r="E4028" s="1" t="s">
        <v>11</v>
      </c>
    </row>
    <row r="4029" spans="1:5" ht="15.75" customHeight="1">
      <c r="A4029" s="1">
        <v>843890</v>
      </c>
      <c r="B4029" s="1" t="s">
        <v>4055</v>
      </c>
      <c r="C4029" s="1" t="str">
        <f ca="1">IFERROR(__xludf.DUMMYFUNCTION("REGEXEXTRACT(B4029, ""^([^:]+)"")"),"Machinery")</f>
        <v>Machinery</v>
      </c>
      <c r="D4029" s="1" t="s">
        <v>11</v>
      </c>
      <c r="E4029" s="1" t="s">
        <v>11</v>
      </c>
    </row>
    <row r="4030" spans="1:5" ht="15.75" customHeight="1">
      <c r="A4030" s="1">
        <v>843910</v>
      </c>
      <c r="B4030" s="1" t="s">
        <v>4056</v>
      </c>
      <c r="C4030" s="1" t="str">
        <f ca="1">IFERROR(__xludf.DUMMYFUNCTION("REGEXEXTRACT(B4030, ""^([^:]+)"")"),"Machinery")</f>
        <v>Machinery</v>
      </c>
      <c r="D4030" s="1" t="s">
        <v>11</v>
      </c>
      <c r="E4030" s="1" t="s">
        <v>11</v>
      </c>
    </row>
    <row r="4031" spans="1:5" ht="15.75" customHeight="1">
      <c r="A4031" s="1">
        <v>843920</v>
      </c>
      <c r="B4031" s="1" t="s">
        <v>4057</v>
      </c>
      <c r="C4031" s="1" t="str">
        <f ca="1">IFERROR(__xludf.DUMMYFUNCTION("REGEXEXTRACT(B4031, ""^([^:]+)"")"),"Machinery")</f>
        <v>Machinery</v>
      </c>
      <c r="D4031" s="1" t="s">
        <v>11</v>
      </c>
      <c r="E4031" s="1" t="s">
        <v>11</v>
      </c>
    </row>
    <row r="4032" spans="1:5" ht="15.75" customHeight="1">
      <c r="A4032" s="1">
        <v>843930</v>
      </c>
      <c r="B4032" s="1" t="s">
        <v>4058</v>
      </c>
      <c r="C4032" s="1" t="str">
        <f ca="1">IFERROR(__xludf.DUMMYFUNCTION("REGEXEXTRACT(B4032, ""^([^:]+)"")"),"Machinery")</f>
        <v>Machinery</v>
      </c>
      <c r="D4032" s="1" t="s">
        <v>11</v>
      </c>
      <c r="E4032" s="1" t="s">
        <v>11</v>
      </c>
    </row>
    <row r="4033" spans="1:5" ht="15.75" customHeight="1">
      <c r="A4033" s="1">
        <v>843991</v>
      </c>
      <c r="B4033" s="1" t="s">
        <v>4059</v>
      </c>
      <c r="C4033" s="1" t="str">
        <f ca="1">IFERROR(__xludf.DUMMYFUNCTION("REGEXEXTRACT(B4033, ""^([^:]+)"")"),"Machinery")</f>
        <v>Machinery</v>
      </c>
      <c r="D4033" s="1" t="s">
        <v>11</v>
      </c>
      <c r="E4033" s="1" t="s">
        <v>11</v>
      </c>
    </row>
    <row r="4034" spans="1:5" ht="15.75" customHeight="1">
      <c r="A4034" s="1">
        <v>843999</v>
      </c>
      <c r="B4034" s="1" t="s">
        <v>4060</v>
      </c>
      <c r="C4034" s="1" t="str">
        <f ca="1">IFERROR(__xludf.DUMMYFUNCTION("REGEXEXTRACT(B4034, ""^([^:]+)"")"),"Machinery")</f>
        <v>Machinery</v>
      </c>
      <c r="D4034" s="1" t="s">
        <v>11</v>
      </c>
      <c r="E4034" s="1" t="s">
        <v>11</v>
      </c>
    </row>
    <row r="4035" spans="1:5" ht="15.75" customHeight="1">
      <c r="A4035" s="1">
        <v>844010</v>
      </c>
      <c r="B4035" s="1" t="s">
        <v>4061</v>
      </c>
      <c r="C4035" s="1" t="str">
        <f ca="1">IFERROR(__xludf.DUMMYFUNCTION("REGEXEXTRACT(B4035, ""^([^:]+)"")"),"Book-binding machinery")</f>
        <v>Book-binding machinery</v>
      </c>
      <c r="D4035" s="1" t="s">
        <v>11</v>
      </c>
      <c r="E4035" s="1" t="s">
        <v>11</v>
      </c>
    </row>
    <row r="4036" spans="1:5" ht="15.75" customHeight="1">
      <c r="A4036" s="1">
        <v>844090</v>
      </c>
      <c r="B4036" s="1" t="s">
        <v>4062</v>
      </c>
      <c r="C4036" s="1" t="str">
        <f ca="1">IFERROR(__xludf.DUMMYFUNCTION("REGEXEXTRACT(B4036, ""^([^:]+)"")"),"Book-binding machinery")</f>
        <v>Book-binding machinery</v>
      </c>
      <c r="D4036" s="1" t="s">
        <v>11</v>
      </c>
      <c r="E4036" s="1" t="s">
        <v>11</v>
      </c>
    </row>
    <row r="4037" spans="1:5" ht="15.75" customHeight="1">
      <c r="A4037" s="1">
        <v>844110</v>
      </c>
      <c r="B4037" s="1" t="s">
        <v>4063</v>
      </c>
      <c r="C4037" s="1" t="str">
        <f ca="1">IFERROR(__xludf.DUMMYFUNCTION("REGEXEXTRACT(B4037, ""^([^:]+)"")"),"Machines")</f>
        <v>Machines</v>
      </c>
      <c r="D4037" s="1" t="s">
        <v>11</v>
      </c>
      <c r="E4037" s="1" t="s">
        <v>11</v>
      </c>
    </row>
    <row r="4038" spans="1:5" ht="15.75" customHeight="1">
      <c r="A4038" s="1">
        <v>844120</v>
      </c>
      <c r="B4038" s="1" t="s">
        <v>4064</v>
      </c>
      <c r="C4038" s="1" t="str">
        <f ca="1">IFERROR(__xludf.DUMMYFUNCTION("REGEXEXTRACT(B4038, ""^([^:]+)"")"),"Machines")</f>
        <v>Machines</v>
      </c>
      <c r="D4038" s="1" t="s">
        <v>11</v>
      </c>
      <c r="E4038" s="1" t="s">
        <v>11</v>
      </c>
    </row>
    <row r="4039" spans="1:5" ht="15.75" customHeight="1">
      <c r="A4039" s="1">
        <v>844130</v>
      </c>
      <c r="B4039" s="1" t="s">
        <v>4065</v>
      </c>
      <c r="C4039" s="1" t="str">
        <f ca="1">IFERROR(__xludf.DUMMYFUNCTION("REGEXEXTRACT(B4039, ""^([^:]+)"")"),"Machines")</f>
        <v>Machines</v>
      </c>
      <c r="D4039" s="1" t="s">
        <v>11</v>
      </c>
      <c r="E4039" s="1" t="s">
        <v>11</v>
      </c>
    </row>
    <row r="4040" spans="1:5" ht="15.75" customHeight="1">
      <c r="A4040" s="1">
        <v>844140</v>
      </c>
      <c r="B4040" s="1" t="s">
        <v>4066</v>
      </c>
      <c r="C4040" s="1" t="str">
        <f ca="1">IFERROR(__xludf.DUMMYFUNCTION("REGEXEXTRACT(B4040, ""^([^:]+)"")"),"Machines")</f>
        <v>Machines</v>
      </c>
      <c r="D4040" s="1" t="s">
        <v>11</v>
      </c>
      <c r="E4040" s="1" t="s">
        <v>11</v>
      </c>
    </row>
    <row r="4041" spans="1:5" ht="15.75" customHeight="1">
      <c r="A4041" s="1">
        <v>844180</v>
      </c>
      <c r="B4041" s="1" t="s">
        <v>4067</v>
      </c>
      <c r="C4041" s="1" t="str">
        <f ca="1">IFERROR(__xludf.DUMMYFUNCTION("REGEXEXTRACT(B4041, ""^([^:]+)"")"),"Machinery")</f>
        <v>Machinery</v>
      </c>
      <c r="D4041" s="1" t="s">
        <v>11</v>
      </c>
      <c r="E4041" s="1" t="s">
        <v>11</v>
      </c>
    </row>
    <row r="4042" spans="1:5" ht="15.75" customHeight="1">
      <c r="A4042" s="1">
        <v>844190</v>
      </c>
      <c r="B4042" s="1" t="s">
        <v>4068</v>
      </c>
      <c r="C4042" s="1" t="str">
        <f ca="1">IFERROR(__xludf.DUMMYFUNCTION("REGEXEXTRACT(B4042, ""^([^:]+)"")"),"Machinery")</f>
        <v>Machinery</v>
      </c>
      <c r="D4042" s="1" t="s">
        <v>11</v>
      </c>
      <c r="E4042" s="1" t="s">
        <v>11</v>
      </c>
    </row>
    <row r="4043" spans="1:5" ht="15.75" customHeight="1">
      <c r="A4043" s="1">
        <v>844230</v>
      </c>
      <c r="B4043" s="1" t="s">
        <v>4069</v>
      </c>
      <c r="C4043" s="1" t="str">
        <f ca="1">IFERROR(__xludf.DUMMYFUNCTION("REGEXEXTRACT(B4043, ""^([^:]+)"")"),"Machinery, apparatus and equipment (excluding machine-tools of heading no. 8456 to 8465) for preparing or making printing components")</f>
        <v>Machinery, apparatus and equipment (excluding machine-tools of heading no. 8456 to 8465) for preparing or making printing components</v>
      </c>
      <c r="D4043" s="1" t="s">
        <v>11</v>
      </c>
      <c r="E4043" s="1" t="s">
        <v>11</v>
      </c>
    </row>
    <row r="4044" spans="1:5" ht="15.75" customHeight="1">
      <c r="A4044" s="1">
        <v>844240</v>
      </c>
      <c r="B4044" s="1" t="s">
        <v>4070</v>
      </c>
      <c r="C4044" s="1" t="str">
        <f ca="1">IFERROR(__xludf.DUMMYFUNCTION("REGEXEXTRACT(B4044, ""^([^:]+)"")"),"Machinery, apparatus and equipment (excluding machine-tools of heading no. 8456 to 8465) for preparing or making printing components")</f>
        <v>Machinery, apparatus and equipment (excluding machine-tools of heading no. 8456 to 8465) for preparing or making printing components</v>
      </c>
      <c r="D4044" s="1" t="s">
        <v>11</v>
      </c>
      <c r="E4044" s="1" t="s">
        <v>11</v>
      </c>
    </row>
    <row r="4045" spans="1:5" ht="15.75" customHeight="1">
      <c r="A4045" s="1">
        <v>844250</v>
      </c>
      <c r="B4045" s="1" t="s">
        <v>4071</v>
      </c>
      <c r="C4045" s="1" t="str">
        <f ca="1">IFERROR(__xludf.DUMMYFUNCTION("REGEXEXTRACT(B4045, ""^([^:]+)"")"),"Plates, cylinders and other printing components")</f>
        <v>Plates, cylinders and other printing components</v>
      </c>
      <c r="D4045" s="1" t="s">
        <v>11</v>
      </c>
      <c r="E4045" s="1" t="s">
        <v>11</v>
      </c>
    </row>
    <row r="4046" spans="1:5" ht="15.75" customHeight="1">
      <c r="A4046" s="1">
        <v>844311</v>
      </c>
      <c r="B4046" s="1" t="s">
        <v>4072</v>
      </c>
      <c r="C4046" s="1" t="str">
        <f ca="1">IFERROR(__xludf.DUMMYFUNCTION("REGEXEXTRACT(B4046, ""^([^:]+)"")"),"Printing machinery")</f>
        <v>Printing machinery</v>
      </c>
      <c r="D4046" s="1" t="s">
        <v>11</v>
      </c>
      <c r="E4046" s="1" t="s">
        <v>11</v>
      </c>
    </row>
    <row r="4047" spans="1:5" ht="15.75" customHeight="1">
      <c r="A4047" s="1">
        <v>844312</v>
      </c>
      <c r="B4047" s="1" t="s">
        <v>4073</v>
      </c>
      <c r="C4047" s="1" t="str">
        <f ca="1">IFERROR(__xludf.DUMMYFUNCTION("REGEXEXTRACT(B4047, ""^([^:]+)"")"),"Printing machinery")</f>
        <v>Printing machinery</v>
      </c>
      <c r="D4047" s="1" t="s">
        <v>11</v>
      </c>
      <c r="E4047" s="1" t="s">
        <v>11</v>
      </c>
    </row>
    <row r="4048" spans="1:5" ht="15.75" customHeight="1">
      <c r="A4048" s="1">
        <v>844313</v>
      </c>
      <c r="B4048" s="1" t="s">
        <v>4074</v>
      </c>
      <c r="C4048" s="1" t="str">
        <f ca="1">IFERROR(__xludf.DUMMYFUNCTION("REGEXEXTRACT(B4048, ""^([^:]+)"")"),"Printing machinery")</f>
        <v>Printing machinery</v>
      </c>
      <c r="D4048" s="1" t="s">
        <v>11</v>
      </c>
      <c r="E4048" s="1" t="s">
        <v>11</v>
      </c>
    </row>
    <row r="4049" spans="1:5" ht="15.75" customHeight="1">
      <c r="A4049" s="1">
        <v>844314</v>
      </c>
      <c r="B4049" s="1" t="s">
        <v>4075</v>
      </c>
      <c r="C4049" s="1" t="str">
        <f ca="1">IFERROR(__xludf.DUMMYFUNCTION("REGEXEXTRACT(B4049, ""^([^:]+)"")"),"Printing machinery")</f>
        <v>Printing machinery</v>
      </c>
      <c r="D4049" s="1" t="s">
        <v>11</v>
      </c>
      <c r="E4049" s="1" t="s">
        <v>11</v>
      </c>
    </row>
    <row r="4050" spans="1:5" ht="15.75" customHeight="1">
      <c r="A4050" s="1">
        <v>844315</v>
      </c>
      <c r="B4050" s="1" t="s">
        <v>4076</v>
      </c>
      <c r="C4050" s="1" t="str">
        <f ca="1">IFERROR(__xludf.DUMMYFUNCTION("REGEXEXTRACT(B4050, ""^([^:]+)"")"),"Printing machinery")</f>
        <v>Printing machinery</v>
      </c>
      <c r="D4050" s="1" t="s">
        <v>11</v>
      </c>
      <c r="E4050" s="1" t="s">
        <v>11</v>
      </c>
    </row>
    <row r="4051" spans="1:5" ht="15.75" customHeight="1">
      <c r="A4051" s="1">
        <v>844316</v>
      </c>
      <c r="B4051" s="1" t="s">
        <v>4077</v>
      </c>
      <c r="C4051" s="1" t="str">
        <f ca="1">IFERROR(__xludf.DUMMYFUNCTION("REGEXEXTRACT(B4051, ""^([^:]+)"")"),"Printing machinery")</f>
        <v>Printing machinery</v>
      </c>
      <c r="D4051" s="1" t="s">
        <v>11</v>
      </c>
      <c r="E4051" s="1" t="s">
        <v>11</v>
      </c>
    </row>
    <row r="4052" spans="1:5" ht="15.75" customHeight="1">
      <c r="A4052" s="1">
        <v>844317</v>
      </c>
      <c r="B4052" s="1" t="s">
        <v>4078</v>
      </c>
      <c r="C4052" s="1" t="str">
        <f ca="1">IFERROR(__xludf.DUMMYFUNCTION("REGEXEXTRACT(B4052, ""^([^:]+)"")"),"Printing machinery")</f>
        <v>Printing machinery</v>
      </c>
      <c r="D4052" s="1" t="s">
        <v>11</v>
      </c>
      <c r="E4052" s="1" t="s">
        <v>11</v>
      </c>
    </row>
    <row r="4053" spans="1:5" ht="15.75" customHeight="1">
      <c r="A4053" s="1">
        <v>844319</v>
      </c>
      <c r="B4053" s="1" t="s">
        <v>4079</v>
      </c>
      <c r="C4053" s="1" t="str">
        <f ca="1">IFERROR(__xludf.DUMMYFUNCTION("REGEXEXTRACT(B4053, ""^([^:]+)"")"),"Printing machinery")</f>
        <v>Printing machinery</v>
      </c>
      <c r="D4053" s="1" t="s">
        <v>11</v>
      </c>
      <c r="E4053" s="1" t="s">
        <v>11</v>
      </c>
    </row>
    <row r="4054" spans="1:5" ht="15.75" customHeight="1">
      <c r="A4054" s="1">
        <v>844331</v>
      </c>
      <c r="B4054" s="1" t="s">
        <v>4080</v>
      </c>
      <c r="C4054" s="1" t="str">
        <f ca="1">IFERROR(__xludf.DUMMYFUNCTION("REGEXEXTRACT(B4054, ""^([^:]+)"")"),"Printing, copying, and facsimile machines")</f>
        <v>Printing, copying, and facsimile machines</v>
      </c>
      <c r="D4054" s="1" t="s">
        <v>11</v>
      </c>
      <c r="E4054" s="1" t="s">
        <v>11</v>
      </c>
    </row>
    <row r="4055" spans="1:5" ht="15.75" customHeight="1">
      <c r="A4055" s="1">
        <v>844332</v>
      </c>
      <c r="B4055" s="1" t="s">
        <v>4081</v>
      </c>
      <c r="C4055" s="1" t="str">
        <f ca="1">IFERROR(__xludf.DUMMYFUNCTION("REGEXEXTRACT(B4055, ""^([^:]+)"")"),"Printing, copying, and facsimile machines")</f>
        <v>Printing, copying, and facsimile machines</v>
      </c>
      <c r="D4055" s="1" t="s">
        <v>11</v>
      </c>
      <c r="E4055" s="1" t="s">
        <v>11</v>
      </c>
    </row>
    <row r="4056" spans="1:5" ht="15.75" customHeight="1">
      <c r="A4056" s="1">
        <v>844339</v>
      </c>
      <c r="B4056" s="1" t="s">
        <v>4082</v>
      </c>
      <c r="C4056" s="1" t="str">
        <f ca="1">IFERROR(__xludf.DUMMYFUNCTION("REGEXEXTRACT(B4056, ""^([^:]+)"")"),"Printing, copying, and facsimile machines")</f>
        <v>Printing, copying, and facsimile machines</v>
      </c>
      <c r="D4056" s="1" t="s">
        <v>11</v>
      </c>
      <c r="E4056" s="1" t="s">
        <v>11</v>
      </c>
    </row>
    <row r="4057" spans="1:5" ht="15.75" customHeight="1">
      <c r="A4057" s="1">
        <v>844391</v>
      </c>
      <c r="B4057" s="1" t="s">
        <v>4083</v>
      </c>
      <c r="C4057" s="1" t="str">
        <f ca="1">IFERROR(__xludf.DUMMYFUNCTION("REGEXEXTRACT(B4057, ""^([^:]+)"")"),"Printing machinery used for printing by means of plates, cylinders and other printing components of heading 8442")</f>
        <v>Printing machinery used for printing by means of plates, cylinders and other printing components of heading 8442</v>
      </c>
      <c r="D4057" s="1" t="s">
        <v>11</v>
      </c>
      <c r="E4057" s="1" t="s">
        <v>11</v>
      </c>
    </row>
    <row r="4058" spans="1:5" ht="15.75" customHeight="1">
      <c r="A4058" s="1">
        <v>844399</v>
      </c>
      <c r="B4058" s="1" t="s">
        <v>4084</v>
      </c>
      <c r="C4058" s="1" t="str">
        <f ca="1">IFERROR(__xludf.DUMMYFUNCTION("REGEXEXTRACT(B4058, ""^([^:]+)"")"),"Printing machinery")</f>
        <v>Printing machinery</v>
      </c>
      <c r="D4058" s="1" t="s">
        <v>11</v>
      </c>
      <c r="E4058" s="1" t="s">
        <v>11</v>
      </c>
    </row>
    <row r="4059" spans="1:5" ht="15.75" customHeight="1">
      <c r="A4059" s="1">
        <v>844400</v>
      </c>
      <c r="B4059" s="1" t="s">
        <v>4085</v>
      </c>
      <c r="C4059" s="1" t="str">
        <f ca="1">IFERROR(__xludf.DUMMYFUNCTION("REGEXEXTRACT(B4059, ""^([^:]+)"")"),"Textile machinery")</f>
        <v>Textile machinery</v>
      </c>
      <c r="D4059" s="1" t="s">
        <v>11</v>
      </c>
      <c r="E4059" s="1" t="s">
        <v>11</v>
      </c>
    </row>
    <row r="4060" spans="1:5" ht="15.75" customHeight="1">
      <c r="A4060" s="1">
        <v>844511</v>
      </c>
      <c r="B4060" s="1" t="s">
        <v>4086</v>
      </c>
      <c r="C4060" s="1" t="str">
        <f ca="1">IFERROR(__xludf.DUMMYFUNCTION("REGEXEXTRACT(B4060, ""^([^:]+)"")"),"Textile machinery")</f>
        <v>Textile machinery</v>
      </c>
      <c r="D4060" s="1" t="s">
        <v>11</v>
      </c>
      <c r="E4060" s="1" t="s">
        <v>11</v>
      </c>
    </row>
    <row r="4061" spans="1:5" ht="15.75" customHeight="1">
      <c r="A4061" s="1">
        <v>844512</v>
      </c>
      <c r="B4061" s="1" t="s">
        <v>4087</v>
      </c>
      <c r="C4061" s="1" t="str">
        <f ca="1">IFERROR(__xludf.DUMMYFUNCTION("REGEXEXTRACT(B4061, ""^([^:]+)"")"),"Textile machinery")</f>
        <v>Textile machinery</v>
      </c>
      <c r="D4061" s="1" t="s">
        <v>11</v>
      </c>
      <c r="E4061" s="1" t="s">
        <v>11</v>
      </c>
    </row>
    <row r="4062" spans="1:5" ht="15.75" customHeight="1">
      <c r="A4062" s="1">
        <v>844513</v>
      </c>
      <c r="B4062" s="1" t="s">
        <v>4088</v>
      </c>
      <c r="C4062" s="1" t="str">
        <f ca="1">IFERROR(__xludf.DUMMYFUNCTION("REGEXEXTRACT(B4062, ""^([^:]+)"")"),"Textile machinery")</f>
        <v>Textile machinery</v>
      </c>
      <c r="D4062" s="1" t="s">
        <v>11</v>
      </c>
      <c r="E4062" s="1" t="s">
        <v>11</v>
      </c>
    </row>
    <row r="4063" spans="1:5" ht="15.75" customHeight="1">
      <c r="A4063" s="1">
        <v>844519</v>
      </c>
      <c r="B4063" s="1" t="s">
        <v>4089</v>
      </c>
      <c r="C4063" s="1" t="str">
        <f ca="1">IFERROR(__xludf.DUMMYFUNCTION("REGEXEXTRACT(B4063, ""^([^:]+)"")"),"Textile machinery")</f>
        <v>Textile machinery</v>
      </c>
      <c r="D4063" s="1" t="s">
        <v>11</v>
      </c>
      <c r="E4063" s="1" t="s">
        <v>11</v>
      </c>
    </row>
    <row r="4064" spans="1:5" ht="15.75" customHeight="1">
      <c r="A4064" s="1">
        <v>844520</v>
      </c>
      <c r="B4064" s="1" t="s">
        <v>4090</v>
      </c>
      <c r="C4064" s="1" t="str">
        <f ca="1">IFERROR(__xludf.DUMMYFUNCTION("REGEXEXTRACT(B4064, ""^([^:]+)"")"),"Textile machinery")</f>
        <v>Textile machinery</v>
      </c>
      <c r="D4064" s="1" t="s">
        <v>11</v>
      </c>
      <c r="E4064" s="1" t="s">
        <v>11</v>
      </c>
    </row>
    <row r="4065" spans="1:5" ht="15.75" customHeight="1">
      <c r="A4065" s="1">
        <v>844530</v>
      </c>
      <c r="B4065" s="1" t="s">
        <v>4091</v>
      </c>
      <c r="C4065" s="1" t="str">
        <f ca="1">IFERROR(__xludf.DUMMYFUNCTION("REGEXEXTRACT(B4065, ""^([^:]+)"")"),"Textile machinery")</f>
        <v>Textile machinery</v>
      </c>
      <c r="D4065" s="1" t="s">
        <v>11</v>
      </c>
      <c r="E4065" s="1" t="s">
        <v>11</v>
      </c>
    </row>
    <row r="4066" spans="1:5" ht="15.75" customHeight="1">
      <c r="A4066" s="1">
        <v>844540</v>
      </c>
      <c r="B4066" s="1" t="s">
        <v>4092</v>
      </c>
      <c r="C4066" s="1" t="str">
        <f ca="1">IFERROR(__xludf.DUMMYFUNCTION("REGEXEXTRACT(B4066, ""^([^:]+)"")"),"Textile machinery")</f>
        <v>Textile machinery</v>
      </c>
      <c r="D4066" s="1" t="s">
        <v>11</v>
      </c>
      <c r="E4066" s="1" t="s">
        <v>11</v>
      </c>
    </row>
    <row r="4067" spans="1:5" ht="15.75" customHeight="1">
      <c r="A4067" s="1">
        <v>844590</v>
      </c>
      <c r="B4067" s="1" t="s">
        <v>4093</v>
      </c>
      <c r="C4067" s="1" t="str">
        <f ca="1">IFERROR(__xludf.DUMMYFUNCTION("REGEXEXTRACT(B4067, ""^([^:]+)"")"),"Textile machinery")</f>
        <v>Textile machinery</v>
      </c>
      <c r="D4067" s="1" t="s">
        <v>11</v>
      </c>
      <c r="E4067" s="1" t="s">
        <v>11</v>
      </c>
    </row>
    <row r="4068" spans="1:5" ht="15.75" customHeight="1">
      <c r="A4068" s="1">
        <v>844610</v>
      </c>
      <c r="B4068" s="1" t="s">
        <v>4094</v>
      </c>
      <c r="C4068" s="1" t="str">
        <f ca="1">IFERROR(__xludf.DUMMYFUNCTION("REGEXEXTRACT(B4068, ""^([^:]+)"")"),"Weaving machines (looms)")</f>
        <v>Weaving machines (looms)</v>
      </c>
      <c r="D4068" s="1" t="s">
        <v>11</v>
      </c>
      <c r="E4068" s="1" t="s">
        <v>11</v>
      </c>
    </row>
    <row r="4069" spans="1:5" ht="15.75" customHeight="1">
      <c r="A4069" s="1">
        <v>844621</v>
      </c>
      <c r="B4069" s="1" t="s">
        <v>4095</v>
      </c>
      <c r="C4069" s="1" t="str">
        <f ca="1">IFERROR(__xludf.DUMMYFUNCTION("REGEXEXTRACT(B4069, ""^([^:]+)"")"),"Weaving machines (looms)")</f>
        <v>Weaving machines (looms)</v>
      </c>
      <c r="D4069" s="1" t="s">
        <v>11</v>
      </c>
      <c r="E4069" s="1" t="s">
        <v>11</v>
      </c>
    </row>
    <row r="4070" spans="1:5" ht="15.75" customHeight="1">
      <c r="A4070" s="1">
        <v>844629</v>
      </c>
      <c r="B4070" s="1" t="s">
        <v>4096</v>
      </c>
      <c r="C4070" s="1" t="str">
        <f ca="1">IFERROR(__xludf.DUMMYFUNCTION("REGEXEXTRACT(B4070, ""^([^:]+)"")"),"Weaving machines (looms)")</f>
        <v>Weaving machines (looms)</v>
      </c>
      <c r="D4070" s="1" t="s">
        <v>11</v>
      </c>
      <c r="E4070" s="1" t="s">
        <v>11</v>
      </c>
    </row>
    <row r="4071" spans="1:5" ht="15.75" customHeight="1">
      <c r="A4071" s="1">
        <v>844630</v>
      </c>
      <c r="B4071" s="1" t="s">
        <v>4097</v>
      </c>
      <c r="C4071" s="1" t="str">
        <f ca="1">IFERROR(__xludf.DUMMYFUNCTION("REGEXEXTRACT(B4071, ""^([^:]+)"")"),"Weaving machines (looms)")</f>
        <v>Weaving machines (looms)</v>
      </c>
      <c r="D4071" s="1" t="s">
        <v>11</v>
      </c>
      <c r="E4071" s="1" t="s">
        <v>11</v>
      </c>
    </row>
    <row r="4072" spans="1:5" ht="15.75" customHeight="1">
      <c r="A4072" s="1">
        <v>844711</v>
      </c>
      <c r="B4072" s="1" t="s">
        <v>4098</v>
      </c>
      <c r="C4072" s="1" t="str">
        <f ca="1">IFERROR(__xludf.DUMMYFUNCTION("REGEXEXTRACT(B4072, ""^([^:]+)"")"),"Knitting machines")</f>
        <v>Knitting machines</v>
      </c>
      <c r="D4072" s="1" t="s">
        <v>11</v>
      </c>
      <c r="E4072" s="1" t="s">
        <v>11</v>
      </c>
    </row>
    <row r="4073" spans="1:5" ht="15.75" customHeight="1">
      <c r="A4073" s="1">
        <v>844712</v>
      </c>
      <c r="B4073" s="1" t="s">
        <v>4099</v>
      </c>
      <c r="C4073" s="1" t="str">
        <f ca="1">IFERROR(__xludf.DUMMYFUNCTION("REGEXEXTRACT(B4073, ""^([^:]+)"")"),"Knitting machines")</f>
        <v>Knitting machines</v>
      </c>
      <c r="D4073" s="1" t="s">
        <v>11</v>
      </c>
      <c r="E4073" s="1" t="s">
        <v>11</v>
      </c>
    </row>
    <row r="4074" spans="1:5" ht="15.75" customHeight="1">
      <c r="A4074" s="1">
        <v>844720</v>
      </c>
      <c r="B4074" s="1" t="s">
        <v>4100</v>
      </c>
      <c r="C4074" s="1" t="str">
        <f ca="1">IFERROR(__xludf.DUMMYFUNCTION("REGEXEXTRACT(B4074, ""^([^:]+)"")"),"Knitting machines")</f>
        <v>Knitting machines</v>
      </c>
      <c r="D4074" s="1" t="s">
        <v>11</v>
      </c>
      <c r="E4074" s="1" t="s">
        <v>11</v>
      </c>
    </row>
    <row r="4075" spans="1:5" ht="15.75" customHeight="1">
      <c r="A4075" s="1">
        <v>844790</v>
      </c>
      <c r="B4075" s="1" t="s">
        <v>4101</v>
      </c>
      <c r="C4075" s="1" t="str">
        <f ca="1">IFERROR(__xludf.DUMMYFUNCTION("REGEXEXTRACT(B4075, ""^([^:]+)"")"),"Machines")</f>
        <v>Machines</v>
      </c>
      <c r="D4075" s="1" t="s">
        <v>11</v>
      </c>
      <c r="E4075" s="1" t="s">
        <v>11</v>
      </c>
    </row>
    <row r="4076" spans="1:5" ht="15.75" customHeight="1">
      <c r="A4076" s="1">
        <v>844811</v>
      </c>
      <c r="B4076" s="1" t="s">
        <v>4102</v>
      </c>
      <c r="C4076" s="1" t="str">
        <f ca="1">IFERROR(__xludf.DUMMYFUNCTION("REGEXEXTRACT(B4076, ""^([^:]+)"")"),"Machinery, auxiliary")</f>
        <v>Machinery, auxiliary</v>
      </c>
      <c r="D4076" s="1" t="s">
        <v>11</v>
      </c>
      <c r="E4076" s="1" t="s">
        <v>11</v>
      </c>
    </row>
    <row r="4077" spans="1:5" ht="15.75" customHeight="1">
      <c r="A4077" s="1">
        <v>844819</v>
      </c>
      <c r="B4077" s="1" t="s">
        <v>4103</v>
      </c>
      <c r="C4077" s="1" t="str">
        <f ca="1">IFERROR(__xludf.DUMMYFUNCTION("REGEXEXTRACT(B4077, ""^([^:]+)"")"),"Machinery, auxiliary")</f>
        <v>Machinery, auxiliary</v>
      </c>
      <c r="D4077" s="1" t="s">
        <v>11</v>
      </c>
      <c r="E4077" s="1" t="s">
        <v>11</v>
      </c>
    </row>
    <row r="4078" spans="1:5" ht="15.75" customHeight="1">
      <c r="A4078" s="1">
        <v>844820</v>
      </c>
      <c r="B4078" s="1" t="s">
        <v>4104</v>
      </c>
      <c r="C4078" s="1" t="str">
        <f ca="1">IFERROR(__xludf.DUMMYFUNCTION("REGEXEXTRACT(B4078, ""^([^:]+)"")"),"Machines")</f>
        <v>Machines</v>
      </c>
      <c r="D4078" s="1" t="s">
        <v>11</v>
      </c>
      <c r="E4078" s="1" t="s">
        <v>11</v>
      </c>
    </row>
    <row r="4079" spans="1:5" ht="15.75" customHeight="1">
      <c r="A4079" s="1">
        <v>844831</v>
      </c>
      <c r="B4079" s="1" t="s">
        <v>4105</v>
      </c>
      <c r="C4079" s="1" t="str">
        <f ca="1">IFERROR(__xludf.DUMMYFUNCTION("REGEXEXTRACT(B4079, ""^([^:]+)"")"),"Machines, card clothing")</f>
        <v>Machines, card clothing</v>
      </c>
      <c r="D4079" s="1" t="s">
        <v>11</v>
      </c>
      <c r="E4079" s="1" t="s">
        <v>11</v>
      </c>
    </row>
    <row r="4080" spans="1:5" ht="15.75" customHeight="1">
      <c r="A4080" s="1">
        <v>844832</v>
      </c>
      <c r="B4080" s="1" t="s">
        <v>4106</v>
      </c>
      <c r="C4080" s="1" t="str">
        <f ca="1">IFERROR(__xludf.DUMMYFUNCTION("REGEXEXTRACT(B4080, ""^([^:]+)"")"),"Machines")</f>
        <v>Machines</v>
      </c>
      <c r="D4080" s="1" t="s">
        <v>11</v>
      </c>
      <c r="E4080" s="1" t="s">
        <v>11</v>
      </c>
    </row>
    <row r="4081" spans="1:5" ht="15.75" customHeight="1">
      <c r="A4081" s="1">
        <v>844833</v>
      </c>
      <c r="B4081" s="1" t="s">
        <v>4107</v>
      </c>
      <c r="C4081" s="1" t="str">
        <f ca="1">IFERROR(__xludf.DUMMYFUNCTION("REGEXEXTRACT(B4081, ""^([^:]+)"")"),"Machines")</f>
        <v>Machines</v>
      </c>
      <c r="D4081" s="1" t="s">
        <v>11</v>
      </c>
      <c r="E4081" s="1" t="s">
        <v>11</v>
      </c>
    </row>
    <row r="4082" spans="1:5" ht="15.75" customHeight="1">
      <c r="A4082" s="1">
        <v>844839</v>
      </c>
      <c r="B4082" s="1" t="s">
        <v>4108</v>
      </c>
      <c r="C4082" s="1" t="str">
        <f ca="1">IFERROR(__xludf.DUMMYFUNCTION("REGEXEXTRACT(B4082, ""^([^:]+)"")"),"Machines")</f>
        <v>Machines</v>
      </c>
      <c r="D4082" s="1" t="s">
        <v>11</v>
      </c>
      <c r="E4082" s="1" t="s">
        <v>11</v>
      </c>
    </row>
    <row r="4083" spans="1:5" ht="15.75" customHeight="1">
      <c r="A4083" s="1">
        <v>844842</v>
      </c>
      <c r="B4083" s="1" t="s">
        <v>4109</v>
      </c>
      <c r="C4083" s="1" t="str">
        <f ca="1">IFERROR(__xludf.DUMMYFUNCTION("REGEXEXTRACT(B4083, ""^([^:]+)"")"),"Weaving machines (looms)")</f>
        <v>Weaving machines (looms)</v>
      </c>
      <c r="D4083" s="1" t="s">
        <v>11</v>
      </c>
      <c r="E4083" s="1" t="s">
        <v>11</v>
      </c>
    </row>
    <row r="4084" spans="1:5" ht="15.75" customHeight="1">
      <c r="A4084" s="1">
        <v>844849</v>
      </c>
      <c r="B4084" s="1" t="s">
        <v>4110</v>
      </c>
      <c r="C4084" s="1" t="str">
        <f ca="1">IFERROR(__xludf.DUMMYFUNCTION("REGEXEXTRACT(B4084, ""^([^:]+)"")"),"Weaving machines (looms)")</f>
        <v>Weaving machines (looms)</v>
      </c>
      <c r="D4084" s="1" t="s">
        <v>11</v>
      </c>
      <c r="E4084" s="1" t="s">
        <v>11</v>
      </c>
    </row>
    <row r="4085" spans="1:5" ht="15.75" customHeight="1">
      <c r="A4085" s="1">
        <v>844851</v>
      </c>
      <c r="B4085" s="1" t="s">
        <v>4111</v>
      </c>
      <c r="C4085" s="1" t="str">
        <f ca="1">IFERROR(__xludf.DUMMYFUNCTION("REGEXEXTRACT(B4085, ""^([^:]+)"")"),"Machines")</f>
        <v>Machines</v>
      </c>
      <c r="D4085" s="1" t="s">
        <v>11</v>
      </c>
      <c r="E4085" s="1" t="s">
        <v>11</v>
      </c>
    </row>
    <row r="4086" spans="1:5" ht="15.75" customHeight="1">
      <c r="A4086" s="1">
        <v>844859</v>
      </c>
      <c r="B4086" s="1" t="s">
        <v>4112</v>
      </c>
      <c r="C4086" s="1" t="str">
        <f ca="1">IFERROR(__xludf.DUMMYFUNCTION("REGEXEXTRACT(B4086, ""^([^:]+)"")"),"Machines")</f>
        <v>Machines</v>
      </c>
      <c r="D4086" s="1" t="s">
        <v>11</v>
      </c>
      <c r="E4086" s="1" t="s">
        <v>11</v>
      </c>
    </row>
    <row r="4087" spans="1:5" ht="15.75" customHeight="1">
      <c r="A4087" s="1">
        <v>844900</v>
      </c>
      <c r="B4087" s="1" t="s">
        <v>4113</v>
      </c>
      <c r="C4087" s="1" t="str">
        <f ca="1">IFERROR(__xludf.DUMMYFUNCTION("REGEXEXTRACT(B4087, ""^([^:]+)"")"),"Machinery")</f>
        <v>Machinery</v>
      </c>
      <c r="D4087" s="1" t="s">
        <v>11</v>
      </c>
      <c r="E4087" s="1" t="s">
        <v>11</v>
      </c>
    </row>
    <row r="4088" spans="1:5" ht="15.75" customHeight="1">
      <c r="A4088" s="1">
        <v>845011</v>
      </c>
      <c r="B4088" s="1" t="s">
        <v>4114</v>
      </c>
      <c r="C4088" s="1" t="str">
        <f ca="1">IFERROR(__xludf.DUMMYFUNCTION("REGEXEXTRACT(B4088, ""^([^:]+)"")"),"Washing machines")</f>
        <v>Washing machines</v>
      </c>
      <c r="D4088" s="1" t="s">
        <v>11</v>
      </c>
      <c r="E4088" s="1" t="s">
        <v>11</v>
      </c>
    </row>
    <row r="4089" spans="1:5" ht="15.75" customHeight="1">
      <c r="A4089" s="1">
        <v>845012</v>
      </c>
      <c r="B4089" s="1" t="s">
        <v>4115</v>
      </c>
      <c r="C4089" s="1" t="str">
        <f ca="1">IFERROR(__xludf.DUMMYFUNCTION("REGEXEXTRACT(B4089, ""^([^:]+)"")"),"Washing machines")</f>
        <v>Washing machines</v>
      </c>
      <c r="D4089" s="1" t="s">
        <v>11</v>
      </c>
      <c r="E4089" s="1" t="s">
        <v>11</v>
      </c>
    </row>
    <row r="4090" spans="1:5" ht="15.75" customHeight="1">
      <c r="A4090" s="1">
        <v>845019</v>
      </c>
      <c r="B4090" s="1" t="s">
        <v>4116</v>
      </c>
      <c r="C4090" s="1" t="str">
        <f ca="1">IFERROR(__xludf.DUMMYFUNCTION("REGEXEXTRACT(B4090, ""^([^:]+)"")"),"Washing machines")</f>
        <v>Washing machines</v>
      </c>
      <c r="D4090" s="1" t="s">
        <v>11</v>
      </c>
      <c r="E4090" s="1" t="s">
        <v>11</v>
      </c>
    </row>
    <row r="4091" spans="1:5" ht="15.75" customHeight="1">
      <c r="A4091" s="1">
        <v>845020</v>
      </c>
      <c r="B4091" s="1" t="s">
        <v>4117</v>
      </c>
      <c r="C4091" s="1" t="str">
        <f ca="1">IFERROR(__xludf.DUMMYFUNCTION("REGEXEXTRACT(B4091, ""^([^:]+)"")"),"Washing machines")</f>
        <v>Washing machines</v>
      </c>
      <c r="D4091" s="1" t="s">
        <v>11</v>
      </c>
      <c r="E4091" s="1" t="s">
        <v>11</v>
      </c>
    </row>
    <row r="4092" spans="1:5" ht="15.75" customHeight="1">
      <c r="A4092" s="1">
        <v>845090</v>
      </c>
      <c r="B4092" s="1" t="s">
        <v>4118</v>
      </c>
      <c r="C4092" s="1" t="str">
        <f ca="1">IFERROR(__xludf.DUMMYFUNCTION("REGEXEXTRACT(B4092, ""^([^:]+)"")"),"Washing machines")</f>
        <v>Washing machines</v>
      </c>
      <c r="D4092" s="1" t="s">
        <v>11</v>
      </c>
      <c r="E4092" s="1" t="s">
        <v>11</v>
      </c>
    </row>
    <row r="4093" spans="1:5" ht="15.75" customHeight="1">
      <c r="A4093" s="1">
        <v>845110</v>
      </c>
      <c r="B4093" s="1" t="s">
        <v>4119</v>
      </c>
      <c r="C4093" s="1" t="str">
        <f ca="1">IFERROR(__xludf.DUMMYFUNCTION("REGEXEXTRACT(B4093, ""^([^:]+)"")"),"Dry-cleaning machines")</f>
        <v>Dry-cleaning machines</v>
      </c>
      <c r="D4093" s="1" t="s">
        <v>11</v>
      </c>
      <c r="E4093" s="1" t="s">
        <v>11</v>
      </c>
    </row>
    <row r="4094" spans="1:5" ht="15.75" customHeight="1">
      <c r="A4094" s="1">
        <v>845121</v>
      </c>
      <c r="B4094" s="1" t="s">
        <v>4120</v>
      </c>
      <c r="C4094" s="1" t="str">
        <f ca="1">IFERROR(__xludf.DUMMYFUNCTION("REGEXEXTRACT(B4094, ""^([^:]+)"")"),"Drying machines")</f>
        <v>Drying machines</v>
      </c>
      <c r="D4094" s="1" t="s">
        <v>11</v>
      </c>
      <c r="E4094" s="1" t="s">
        <v>11</v>
      </c>
    </row>
    <row r="4095" spans="1:5" ht="15.75" customHeight="1">
      <c r="A4095" s="1">
        <v>845129</v>
      </c>
      <c r="B4095" s="1" t="s">
        <v>4121</v>
      </c>
      <c r="C4095" s="1" t="str">
        <f ca="1">IFERROR(__xludf.DUMMYFUNCTION("REGEXEXTRACT(B4095, ""^([^:]+)"")"),"Drying machines")</f>
        <v>Drying machines</v>
      </c>
      <c r="D4095" s="1" t="s">
        <v>11</v>
      </c>
      <c r="E4095" s="1" t="s">
        <v>11</v>
      </c>
    </row>
    <row r="4096" spans="1:5" ht="15.75" customHeight="1">
      <c r="A4096" s="1">
        <v>845130</v>
      </c>
      <c r="B4096" s="1" t="s">
        <v>4122</v>
      </c>
      <c r="C4096" s="1" t="str">
        <f ca="1">IFERROR(__xludf.DUMMYFUNCTION("REGEXEXTRACT(B4096, ""^([^:]+)"")"),"Ironing machines and presses (including fusing presses)")</f>
        <v>Ironing machines and presses (including fusing presses)</v>
      </c>
      <c r="D4096" s="1" t="s">
        <v>11</v>
      </c>
      <c r="E4096" s="1" t="s">
        <v>11</v>
      </c>
    </row>
    <row r="4097" spans="1:5" ht="15.75" customHeight="1">
      <c r="A4097" s="1">
        <v>845140</v>
      </c>
      <c r="B4097" s="1" t="s">
        <v>4123</v>
      </c>
      <c r="C4097" s="1" t="str">
        <f ca="1">IFERROR(__xludf.DUMMYFUNCTION("REGEXEXTRACT(B4097, ""^([^:]+)"")"),"Machines")</f>
        <v>Machines</v>
      </c>
      <c r="D4097" s="1" t="s">
        <v>11</v>
      </c>
      <c r="E4097" s="1" t="s">
        <v>11</v>
      </c>
    </row>
    <row r="4098" spans="1:5" ht="15.75" customHeight="1">
      <c r="A4098" s="1">
        <v>845150</v>
      </c>
      <c r="B4098" s="1" t="s">
        <v>4124</v>
      </c>
      <c r="C4098" s="1" t="str">
        <f ca="1">IFERROR(__xludf.DUMMYFUNCTION("REGEXEXTRACT(B4098, ""^([^:]+)"")"),"Machines")</f>
        <v>Machines</v>
      </c>
      <c r="D4098" s="1" t="s">
        <v>11</v>
      </c>
      <c r="E4098" s="1" t="s">
        <v>11</v>
      </c>
    </row>
    <row r="4099" spans="1:5" ht="15.75" customHeight="1">
      <c r="A4099" s="1">
        <v>845180</v>
      </c>
      <c r="B4099" s="1" t="s">
        <v>4125</v>
      </c>
      <c r="C4099" s="1" t="str">
        <f ca="1">IFERROR(__xludf.DUMMYFUNCTION("REGEXEXTRACT(B4099, ""^([^:]+)"")"),"Machinery")</f>
        <v>Machinery</v>
      </c>
      <c r="D4099" s="1" t="s">
        <v>11</v>
      </c>
      <c r="E4099" s="1" t="s">
        <v>11</v>
      </c>
    </row>
    <row r="4100" spans="1:5" ht="15.75" customHeight="1">
      <c r="A4100" s="1">
        <v>845190</v>
      </c>
      <c r="B4100" s="1" t="s">
        <v>4126</v>
      </c>
      <c r="C4100" s="1" t="str">
        <f ca="1">IFERROR(__xludf.DUMMYFUNCTION("REGEXEXTRACT(B4100, ""^([^:]+)"")"),"Machinery")</f>
        <v>Machinery</v>
      </c>
      <c r="D4100" s="1" t="s">
        <v>11</v>
      </c>
      <c r="E4100" s="1" t="s">
        <v>11</v>
      </c>
    </row>
    <row r="4101" spans="1:5" ht="15.75" customHeight="1">
      <c r="A4101" s="1">
        <v>845210</v>
      </c>
      <c r="B4101" s="1" t="s">
        <v>4127</v>
      </c>
      <c r="C4101" s="1" t="str">
        <f ca="1">IFERROR(__xludf.DUMMYFUNCTION("REGEXEXTRACT(B4101, ""^([^:]+)"")"),"Sewing machines")</f>
        <v>Sewing machines</v>
      </c>
      <c r="D4101" s="1" t="s">
        <v>11</v>
      </c>
      <c r="E4101" s="1" t="s">
        <v>11</v>
      </c>
    </row>
    <row r="4102" spans="1:5" ht="15.75" customHeight="1">
      <c r="A4102" s="1">
        <v>845221</v>
      </c>
      <c r="B4102" s="1" t="s">
        <v>4128</v>
      </c>
      <c r="C4102" s="1" t="str">
        <f ca="1">IFERROR(__xludf.DUMMYFUNCTION("REGEXEXTRACT(B4102, ""^([^:]+)"")"),"Sewing machines")</f>
        <v>Sewing machines</v>
      </c>
      <c r="D4102" s="1" t="s">
        <v>11</v>
      </c>
      <c r="E4102" s="1" t="s">
        <v>11</v>
      </c>
    </row>
    <row r="4103" spans="1:5" ht="15.75" customHeight="1">
      <c r="A4103" s="1">
        <v>845229</v>
      </c>
      <c r="B4103" s="1" t="s">
        <v>4129</v>
      </c>
      <c r="C4103" s="1" t="str">
        <f ca="1">IFERROR(__xludf.DUMMYFUNCTION("REGEXEXTRACT(B4103, ""^([^:]+)"")"),"Sewing machines")</f>
        <v>Sewing machines</v>
      </c>
      <c r="D4103" s="1" t="s">
        <v>11</v>
      </c>
      <c r="E4103" s="1" t="s">
        <v>11</v>
      </c>
    </row>
    <row r="4104" spans="1:5" ht="15.75" customHeight="1">
      <c r="A4104" s="1">
        <v>845230</v>
      </c>
      <c r="B4104" s="1" t="s">
        <v>4130</v>
      </c>
      <c r="C4104" s="1" t="str">
        <f ca="1">IFERROR(__xludf.DUMMYFUNCTION("REGEXEXTRACT(B4104, ""^([^:]+)"")"),"Sewing machine needles")</f>
        <v>Sewing machine needles</v>
      </c>
      <c r="D4104" s="1" t="s">
        <v>11</v>
      </c>
      <c r="E4104" s="1" t="s">
        <v>11</v>
      </c>
    </row>
    <row r="4105" spans="1:5" ht="15.75" customHeight="1">
      <c r="A4105" s="1">
        <v>845240</v>
      </c>
      <c r="B4105" s="1" t="s">
        <v>4131</v>
      </c>
      <c r="C4105" s="1" t="str">
        <f ca="1">IFERROR(__xludf.DUMMYFUNCTION("REGEXEXTRACT(B4105, ""^([^:]+)"")"),"Sewing machine furniture")</f>
        <v>Sewing machine furniture</v>
      </c>
      <c r="D4105" s="1" t="s">
        <v>11</v>
      </c>
      <c r="E4105" s="1" t="s">
        <v>11</v>
      </c>
    </row>
    <row r="4106" spans="1:5" ht="15.75" customHeight="1">
      <c r="A4106" s="1">
        <v>845290</v>
      </c>
      <c r="B4106" s="1" t="s">
        <v>4132</v>
      </c>
      <c r="C4106" s="1" t="str">
        <f ca="1">IFERROR(__xludf.DUMMYFUNCTION("REGEXEXTRACT(B4106, ""^([^:]+)"")"),"Sewing machines")</f>
        <v>Sewing machines</v>
      </c>
      <c r="D4106" s="1" t="s">
        <v>11</v>
      </c>
      <c r="E4106" s="1" t="s">
        <v>11</v>
      </c>
    </row>
    <row r="4107" spans="1:5" ht="15.75" customHeight="1">
      <c r="A4107" s="1">
        <v>845310</v>
      </c>
      <c r="B4107" s="1" t="s">
        <v>4133</v>
      </c>
      <c r="C4107" s="1" t="str">
        <f ca="1">IFERROR(__xludf.DUMMYFUNCTION("REGEXEXTRACT(B4107, ""^([^:]+)"")"),"Machinery")</f>
        <v>Machinery</v>
      </c>
      <c r="D4107" s="1" t="s">
        <v>11</v>
      </c>
      <c r="E4107" s="1" t="s">
        <v>11</v>
      </c>
    </row>
    <row r="4108" spans="1:5" ht="15.75" customHeight="1">
      <c r="A4108" s="1">
        <v>845320</v>
      </c>
      <c r="B4108" s="1" t="s">
        <v>4134</v>
      </c>
      <c r="C4108" s="1" t="str">
        <f ca="1">IFERROR(__xludf.DUMMYFUNCTION("REGEXEXTRACT(B4108, ""^([^:]+)"")"),"Machinery")</f>
        <v>Machinery</v>
      </c>
      <c r="D4108" s="1" t="s">
        <v>11</v>
      </c>
      <c r="E4108" s="1" t="s">
        <v>11</v>
      </c>
    </row>
    <row r="4109" spans="1:5" ht="15.75" customHeight="1">
      <c r="A4109" s="1">
        <v>845380</v>
      </c>
      <c r="B4109" s="1" t="s">
        <v>4135</v>
      </c>
      <c r="C4109" s="1" t="str">
        <f ca="1">IFERROR(__xludf.DUMMYFUNCTION("REGEXEXTRACT(B4109, ""^([^:]+)"")"),"Machinery")</f>
        <v>Machinery</v>
      </c>
      <c r="D4109" s="1" t="s">
        <v>11</v>
      </c>
      <c r="E4109" s="1" t="s">
        <v>11</v>
      </c>
    </row>
    <row r="4110" spans="1:5" ht="15.75" customHeight="1">
      <c r="A4110" s="1">
        <v>845390</v>
      </c>
      <c r="B4110" s="1" t="s">
        <v>4136</v>
      </c>
      <c r="C4110" s="1" t="str">
        <f ca="1">IFERROR(__xludf.DUMMYFUNCTION("REGEXEXTRACT(B4110, ""^([^:]+)"")"),"Machinery")</f>
        <v>Machinery</v>
      </c>
      <c r="D4110" s="1" t="s">
        <v>11</v>
      </c>
      <c r="E4110" s="1" t="s">
        <v>11</v>
      </c>
    </row>
    <row r="4111" spans="1:5" ht="15.75" customHeight="1">
      <c r="A4111" s="1">
        <v>845410</v>
      </c>
      <c r="B4111" s="1" t="s">
        <v>4137</v>
      </c>
      <c r="C4111" s="1" t="str">
        <f ca="1">IFERROR(__xludf.DUMMYFUNCTION("REGEXEXTRACT(B4111, ""^([^:]+)"")"),"Converters")</f>
        <v>Converters</v>
      </c>
      <c r="D4111" s="1" t="s">
        <v>11</v>
      </c>
      <c r="E4111" s="1" t="s">
        <v>11</v>
      </c>
    </row>
    <row r="4112" spans="1:5" ht="15.75" customHeight="1">
      <c r="A4112" s="1">
        <v>845420</v>
      </c>
      <c r="B4112" s="1" t="s">
        <v>4138</v>
      </c>
      <c r="C4112" s="1" t="str">
        <f ca="1">IFERROR(__xludf.DUMMYFUNCTION("REGEXEXTRACT(B4112, ""^([^:]+)"")"),"Ingot moulds and ladles")</f>
        <v>Ingot moulds and ladles</v>
      </c>
      <c r="D4112" s="1" t="s">
        <v>11</v>
      </c>
      <c r="E4112" s="1" t="s">
        <v>11</v>
      </c>
    </row>
    <row r="4113" spans="1:5" ht="15.75" customHeight="1">
      <c r="A4113" s="1">
        <v>845430</v>
      </c>
      <c r="B4113" s="1" t="s">
        <v>4139</v>
      </c>
      <c r="C4113" s="1" t="str">
        <f ca="1">IFERROR(__xludf.DUMMYFUNCTION("REGEXEXTRACT(B4113, ""^([^:]+)"")"),"Casting machines")</f>
        <v>Casting machines</v>
      </c>
      <c r="D4113" s="1" t="s">
        <v>11</v>
      </c>
      <c r="E4113" s="1" t="s">
        <v>11</v>
      </c>
    </row>
    <row r="4114" spans="1:5" ht="15.75" customHeight="1">
      <c r="A4114" s="1">
        <v>845490</v>
      </c>
      <c r="B4114" s="1" t="s">
        <v>4140</v>
      </c>
      <c r="C4114" s="1" t="str">
        <f ca="1">IFERROR(__xludf.DUMMYFUNCTION("REGEXEXTRACT(B4114, ""^([^:]+)"")"),"Machines")</f>
        <v>Machines</v>
      </c>
      <c r="D4114" s="1" t="s">
        <v>11</v>
      </c>
      <c r="E4114" s="1" t="s">
        <v>11</v>
      </c>
    </row>
    <row r="4115" spans="1:5" ht="15.75" customHeight="1">
      <c r="A4115" s="1">
        <v>845510</v>
      </c>
      <c r="B4115" s="1" t="s">
        <v>4141</v>
      </c>
      <c r="C4115" s="1" t="str">
        <f ca="1">IFERROR(__xludf.DUMMYFUNCTION("REGEXEXTRACT(B4115, ""^([^:]+)"")"),"Metal-rolling mills")</f>
        <v>Metal-rolling mills</v>
      </c>
      <c r="D4115" s="1" t="s">
        <v>11</v>
      </c>
      <c r="E4115" s="1" t="s">
        <v>11</v>
      </c>
    </row>
    <row r="4116" spans="1:5" ht="15.75" customHeight="1">
      <c r="A4116" s="1">
        <v>845521</v>
      </c>
      <c r="B4116" s="1" t="s">
        <v>4142</v>
      </c>
      <c r="C4116" s="1" t="str">
        <f ca="1">IFERROR(__xludf.DUMMYFUNCTION("REGEXEXTRACT(B4116, ""^([^:]+)"")"),"Metal-rolling mills")</f>
        <v>Metal-rolling mills</v>
      </c>
      <c r="D4116" s="1" t="s">
        <v>11</v>
      </c>
      <c r="E4116" s="1" t="s">
        <v>11</v>
      </c>
    </row>
    <row r="4117" spans="1:5" ht="15.75" customHeight="1">
      <c r="A4117" s="1">
        <v>845522</v>
      </c>
      <c r="B4117" s="1" t="s">
        <v>4143</v>
      </c>
      <c r="C4117" s="1" t="str">
        <f ca="1">IFERROR(__xludf.DUMMYFUNCTION("REGEXEXTRACT(B4117, ""^([^:]+)"")"),"Metal-rolling mills")</f>
        <v>Metal-rolling mills</v>
      </c>
      <c r="D4117" s="1" t="s">
        <v>11</v>
      </c>
      <c r="E4117" s="1" t="s">
        <v>11</v>
      </c>
    </row>
    <row r="4118" spans="1:5" ht="15.75" customHeight="1">
      <c r="A4118" s="1">
        <v>845530</v>
      </c>
      <c r="B4118" s="1" t="s">
        <v>4144</v>
      </c>
      <c r="C4118" s="1" t="str">
        <f ca="1">IFERROR(__xludf.DUMMYFUNCTION("REGEXEXTRACT(B4118, ""^([^:]+)"")"),"Metal-rolling mills")</f>
        <v>Metal-rolling mills</v>
      </c>
      <c r="D4118" s="1" t="s">
        <v>11</v>
      </c>
      <c r="E4118" s="1" t="s">
        <v>11</v>
      </c>
    </row>
    <row r="4119" spans="1:5" ht="15.75" customHeight="1">
      <c r="A4119" s="1">
        <v>845590</v>
      </c>
      <c r="B4119" s="1" t="s">
        <v>4145</v>
      </c>
      <c r="C4119" s="1" t="str">
        <f ca="1">IFERROR(__xludf.DUMMYFUNCTION("REGEXEXTRACT(B4119, ""^([^:]+)"")"),"Metal-rolling mills")</f>
        <v>Metal-rolling mills</v>
      </c>
      <c r="D4119" s="1" t="s">
        <v>11</v>
      </c>
      <c r="E4119" s="1" t="s">
        <v>11</v>
      </c>
    </row>
    <row r="4120" spans="1:5" ht="15.75" customHeight="1">
      <c r="A4120" s="1">
        <v>845610</v>
      </c>
      <c r="B4120" s="1" t="s">
        <v>4146</v>
      </c>
      <c r="C4120" s="1" t="str">
        <f ca="1">IFERROR(__xludf.DUMMYFUNCTION("REGEXEXTRACT(B4120, ""^([^:]+)"")"),"Machine-tools")</f>
        <v>Machine-tools</v>
      </c>
      <c r="D4120" s="1" t="s">
        <v>11</v>
      </c>
      <c r="E4120" s="1" t="s">
        <v>11</v>
      </c>
    </row>
    <row r="4121" spans="1:5" ht="15.75" customHeight="1">
      <c r="A4121" s="1">
        <v>845620</v>
      </c>
      <c r="B4121" s="1" t="s">
        <v>4147</v>
      </c>
      <c r="C4121" s="1" t="str">
        <f ca="1">IFERROR(__xludf.DUMMYFUNCTION("REGEXEXTRACT(B4121, ""^([^:]+)"")"),"Machine-tools")</f>
        <v>Machine-tools</v>
      </c>
      <c r="D4121" s="1" t="s">
        <v>11</v>
      </c>
      <c r="E4121" s="1" t="s">
        <v>11</v>
      </c>
    </row>
    <row r="4122" spans="1:5" ht="15.75" customHeight="1">
      <c r="A4122" s="1">
        <v>845630</v>
      </c>
      <c r="B4122" s="1" t="s">
        <v>4148</v>
      </c>
      <c r="C4122" s="1" t="str">
        <f ca="1">IFERROR(__xludf.DUMMYFUNCTION("REGEXEXTRACT(B4122, ""^([^:]+)"")"),"Machine-tools")</f>
        <v>Machine-tools</v>
      </c>
      <c r="D4122" s="1" t="s">
        <v>11</v>
      </c>
      <c r="E4122" s="1" t="s">
        <v>11</v>
      </c>
    </row>
    <row r="4123" spans="1:5" ht="15.75" customHeight="1">
      <c r="A4123" s="1">
        <v>845690</v>
      </c>
      <c r="B4123" s="1" t="s">
        <v>4149</v>
      </c>
      <c r="C4123" s="1" t="str">
        <f ca="1">IFERROR(__xludf.DUMMYFUNCTION("REGEXEXTRACT(B4123, ""^([^:]+)"")"),"Machine tools")</f>
        <v>Machine tools</v>
      </c>
      <c r="D4123" s="1" t="s">
        <v>11</v>
      </c>
      <c r="E4123" s="1" t="s">
        <v>11</v>
      </c>
    </row>
    <row r="4124" spans="1:5" ht="15.75" customHeight="1">
      <c r="A4124" s="1">
        <v>845710</v>
      </c>
      <c r="B4124" s="1" t="s">
        <v>4150</v>
      </c>
      <c r="C4124" s="1" t="str">
        <f ca="1">IFERROR(__xludf.DUMMYFUNCTION("REGEXEXTRACT(B4124, ""^([^:]+)"")"),"Machining centres")</f>
        <v>Machining centres</v>
      </c>
      <c r="D4124" s="1" t="s">
        <v>11</v>
      </c>
      <c r="E4124" s="1" t="s">
        <v>11</v>
      </c>
    </row>
    <row r="4125" spans="1:5" ht="15.75" customHeight="1">
      <c r="A4125" s="1">
        <v>845720</v>
      </c>
      <c r="B4125" s="1" t="s">
        <v>4151</v>
      </c>
      <c r="C4125" s="1" t="str">
        <f ca="1">IFERROR(__xludf.DUMMYFUNCTION("REGEXEXTRACT(B4125, ""^([^:]+)"")"),"Machines")</f>
        <v>Machines</v>
      </c>
      <c r="D4125" s="1" t="s">
        <v>11</v>
      </c>
      <c r="E4125" s="1" t="s">
        <v>11</v>
      </c>
    </row>
    <row r="4126" spans="1:5" ht="15.75" customHeight="1">
      <c r="A4126" s="1">
        <v>845730</v>
      </c>
      <c r="B4126" s="1" t="s">
        <v>4152</v>
      </c>
      <c r="C4126" s="1" t="str">
        <f ca="1">IFERROR(__xludf.DUMMYFUNCTION("REGEXEXTRACT(B4126, ""^([^:]+)"")"),"Metal machines")</f>
        <v>Metal machines</v>
      </c>
      <c r="D4126" s="1" t="s">
        <v>11</v>
      </c>
      <c r="E4126" s="1" t="s">
        <v>11</v>
      </c>
    </row>
    <row r="4127" spans="1:5" ht="15.75" customHeight="1">
      <c r="A4127" s="1">
        <v>845811</v>
      </c>
      <c r="B4127" s="1" t="s">
        <v>4153</v>
      </c>
      <c r="C4127" s="1" t="str">
        <f ca="1">IFERROR(__xludf.DUMMYFUNCTION("REGEXEXTRACT(B4127, ""^([^:]+)"")"),"Lathes")</f>
        <v>Lathes</v>
      </c>
      <c r="D4127" s="1" t="s">
        <v>11</v>
      </c>
      <c r="E4127" s="1" t="s">
        <v>11</v>
      </c>
    </row>
    <row r="4128" spans="1:5" ht="15.75" customHeight="1">
      <c r="A4128" s="1">
        <v>845819</v>
      </c>
      <c r="B4128" s="1" t="s">
        <v>4154</v>
      </c>
      <c r="C4128" s="1" t="str">
        <f ca="1">IFERROR(__xludf.DUMMYFUNCTION("REGEXEXTRACT(B4128, ""^([^:]+)"")"),"Lathes")</f>
        <v>Lathes</v>
      </c>
      <c r="D4128" s="1" t="s">
        <v>11</v>
      </c>
      <c r="E4128" s="1" t="s">
        <v>11</v>
      </c>
    </row>
    <row r="4129" spans="1:5" ht="15.75" customHeight="1">
      <c r="A4129" s="1">
        <v>845891</v>
      </c>
      <c r="B4129" s="1" t="s">
        <v>4155</v>
      </c>
      <c r="C4129" s="1" t="str">
        <f ca="1">IFERROR(__xludf.DUMMYFUNCTION("REGEXEXTRACT(B4129, ""^([^:]+)"")"),"Lathes")</f>
        <v>Lathes</v>
      </c>
      <c r="D4129" s="1" t="s">
        <v>11</v>
      </c>
      <c r="E4129" s="1" t="s">
        <v>11</v>
      </c>
    </row>
    <row r="4130" spans="1:5" ht="15.75" customHeight="1">
      <c r="A4130" s="1">
        <v>845899</v>
      </c>
      <c r="B4130" s="1" t="s">
        <v>4156</v>
      </c>
      <c r="C4130" s="1" t="str">
        <f ca="1">IFERROR(__xludf.DUMMYFUNCTION("REGEXEXTRACT(B4130, ""^([^:]+)"")"),"Lathes")</f>
        <v>Lathes</v>
      </c>
      <c r="D4130" s="1" t="s">
        <v>11</v>
      </c>
      <c r="E4130" s="1" t="s">
        <v>11</v>
      </c>
    </row>
    <row r="4131" spans="1:5" ht="15.75" customHeight="1">
      <c r="A4131" s="1">
        <v>845910</v>
      </c>
      <c r="B4131" s="1" t="s">
        <v>4157</v>
      </c>
      <c r="C4131" s="1" t="str">
        <f ca="1">IFERROR(__xludf.DUMMYFUNCTION("REGEXEXTRACT(B4131, ""^([^:]+)"")"),"Machine-tools")</f>
        <v>Machine-tools</v>
      </c>
      <c r="D4131" s="1" t="s">
        <v>11</v>
      </c>
      <c r="E4131" s="1" t="s">
        <v>11</v>
      </c>
    </row>
    <row r="4132" spans="1:5" ht="15.75" customHeight="1">
      <c r="A4132" s="1">
        <v>845921</v>
      </c>
      <c r="B4132" s="1" t="s">
        <v>4158</v>
      </c>
      <c r="C4132" s="1" t="str">
        <f ca="1">IFERROR(__xludf.DUMMYFUNCTION("REGEXEXTRACT(B4132, ""^([^:]+)"")"),"Machine-tools")</f>
        <v>Machine-tools</v>
      </c>
      <c r="D4132" s="1" t="s">
        <v>11</v>
      </c>
      <c r="E4132" s="1" t="s">
        <v>11</v>
      </c>
    </row>
    <row r="4133" spans="1:5" ht="15.75" customHeight="1">
      <c r="A4133" s="1">
        <v>845929</v>
      </c>
      <c r="B4133" s="1" t="s">
        <v>4159</v>
      </c>
      <c r="C4133" s="1" t="str">
        <f ca="1">IFERROR(__xludf.DUMMYFUNCTION("REGEXEXTRACT(B4133, ""^([^:]+)"")"),"Machine-tools")</f>
        <v>Machine-tools</v>
      </c>
      <c r="D4133" s="1" t="s">
        <v>11</v>
      </c>
      <c r="E4133" s="1" t="s">
        <v>11</v>
      </c>
    </row>
    <row r="4134" spans="1:5" ht="15.75" customHeight="1">
      <c r="A4134" s="1">
        <v>845931</v>
      </c>
      <c r="B4134" s="1" t="s">
        <v>4160</v>
      </c>
      <c r="C4134" s="1" t="str">
        <f ca="1">IFERROR(__xludf.DUMMYFUNCTION("REGEXEXTRACT(B4134, ""^([^:]+)"")"),"Machine-tools")</f>
        <v>Machine-tools</v>
      </c>
      <c r="D4134" s="1" t="s">
        <v>11</v>
      </c>
      <c r="E4134" s="1" t="s">
        <v>11</v>
      </c>
    </row>
    <row r="4135" spans="1:5" ht="15.75" customHeight="1">
      <c r="A4135" s="1">
        <v>845939</v>
      </c>
      <c r="B4135" s="1" t="s">
        <v>4161</v>
      </c>
      <c r="C4135" s="1" t="str">
        <f ca="1">IFERROR(__xludf.DUMMYFUNCTION("REGEXEXTRACT(B4135, ""^([^:]+)"")"),"Machine-tools")</f>
        <v>Machine-tools</v>
      </c>
      <c r="D4135" s="1" t="s">
        <v>11</v>
      </c>
      <c r="E4135" s="1" t="s">
        <v>11</v>
      </c>
    </row>
    <row r="4136" spans="1:5" ht="15.75" customHeight="1">
      <c r="A4136" s="1">
        <v>845940</v>
      </c>
      <c r="B4136" s="1" t="s">
        <v>4162</v>
      </c>
      <c r="C4136" s="1" t="str">
        <f ca="1">IFERROR(__xludf.DUMMYFUNCTION("REGEXEXTRACT(B4136, ""^([^:]+)"")"),"Machine-tools")</f>
        <v>Machine-tools</v>
      </c>
      <c r="D4136" s="1" t="s">
        <v>11</v>
      </c>
      <c r="E4136" s="1" t="s">
        <v>11</v>
      </c>
    </row>
    <row r="4137" spans="1:5" ht="15.75" customHeight="1">
      <c r="A4137" s="1">
        <v>845951</v>
      </c>
      <c r="B4137" s="1" t="s">
        <v>4163</v>
      </c>
      <c r="C4137" s="1" t="str">
        <f ca="1">IFERROR(__xludf.DUMMYFUNCTION("REGEXEXTRACT(B4137, ""^([^:]+)"")"),"Machine-tools")</f>
        <v>Machine-tools</v>
      </c>
      <c r="D4137" s="1" t="s">
        <v>11</v>
      </c>
      <c r="E4137" s="1" t="s">
        <v>11</v>
      </c>
    </row>
    <row r="4138" spans="1:5" ht="15.75" customHeight="1">
      <c r="A4138" s="1">
        <v>845959</v>
      </c>
      <c r="B4138" s="1" t="s">
        <v>4164</v>
      </c>
      <c r="C4138" s="1" t="str">
        <f ca="1">IFERROR(__xludf.DUMMYFUNCTION("REGEXEXTRACT(B4138, ""^([^:]+)"")"),"Machine-tools")</f>
        <v>Machine-tools</v>
      </c>
      <c r="D4138" s="1" t="s">
        <v>11</v>
      </c>
      <c r="E4138" s="1" t="s">
        <v>11</v>
      </c>
    </row>
    <row r="4139" spans="1:5" ht="15.75" customHeight="1">
      <c r="A4139" s="1">
        <v>845961</v>
      </c>
      <c r="B4139" s="1" t="s">
        <v>4165</v>
      </c>
      <c r="C4139" s="1" t="str">
        <f ca="1">IFERROR(__xludf.DUMMYFUNCTION("REGEXEXTRACT(B4139, ""^([^:]+)"")"),"Machine-tools")</f>
        <v>Machine-tools</v>
      </c>
      <c r="D4139" s="1" t="s">
        <v>11</v>
      </c>
      <c r="E4139" s="1" t="s">
        <v>11</v>
      </c>
    </row>
    <row r="4140" spans="1:5" ht="15.75" customHeight="1">
      <c r="A4140" s="1">
        <v>845969</v>
      </c>
      <c r="B4140" s="1" t="s">
        <v>4166</v>
      </c>
      <c r="C4140" s="1" t="str">
        <f ca="1">IFERROR(__xludf.DUMMYFUNCTION("REGEXEXTRACT(B4140, ""^([^:]+)"")"),"Machine-tools")</f>
        <v>Machine-tools</v>
      </c>
      <c r="D4140" s="1" t="s">
        <v>11</v>
      </c>
      <c r="E4140" s="1" t="s">
        <v>11</v>
      </c>
    </row>
    <row r="4141" spans="1:5" ht="15.75" customHeight="1">
      <c r="A4141" s="1">
        <v>845970</v>
      </c>
      <c r="B4141" s="1" t="s">
        <v>4167</v>
      </c>
      <c r="C4141" s="1" t="str">
        <f ca="1">IFERROR(__xludf.DUMMYFUNCTION("REGEXEXTRACT(B4141, ""^([^:]+)"")"),"Machine-tools")</f>
        <v>Machine-tools</v>
      </c>
      <c r="D4141" s="1" t="s">
        <v>11</v>
      </c>
      <c r="E4141" s="1" t="s">
        <v>11</v>
      </c>
    </row>
    <row r="4142" spans="1:5" ht="15.75" customHeight="1">
      <c r="A4142" s="1">
        <v>846011</v>
      </c>
      <c r="B4142" s="1" t="s">
        <v>4168</v>
      </c>
      <c r="C4142" s="1" t="str">
        <f ca="1">IFERROR(__xludf.DUMMYFUNCTION("REGEXEXTRACT(B4142, ""^([^:]+)"")"),"Machine-tools")</f>
        <v>Machine-tools</v>
      </c>
      <c r="D4142" s="1" t="s">
        <v>11</v>
      </c>
      <c r="E4142" s="1" t="s">
        <v>11</v>
      </c>
    </row>
    <row r="4143" spans="1:5" ht="15.75" customHeight="1">
      <c r="A4143" s="1">
        <v>846019</v>
      </c>
      <c r="B4143" s="1" t="s">
        <v>4169</v>
      </c>
      <c r="C4143" s="1" t="str">
        <f ca="1">IFERROR(__xludf.DUMMYFUNCTION("REGEXEXTRACT(B4143, ""^([^:]+)"")"),"Machine-tools")</f>
        <v>Machine-tools</v>
      </c>
      <c r="D4143" s="1" t="s">
        <v>11</v>
      </c>
      <c r="E4143" s="1" t="s">
        <v>11</v>
      </c>
    </row>
    <row r="4144" spans="1:5" ht="15.75" customHeight="1">
      <c r="A4144" s="1">
        <v>846021</v>
      </c>
      <c r="B4144" s="1" t="s">
        <v>4170</v>
      </c>
      <c r="C4144" s="1" t="str">
        <f ca="1">IFERROR(__xludf.DUMMYFUNCTION("REGEXEXTRACT(B4144, ""^([^:]+)"")"),"Machine-tools")</f>
        <v>Machine-tools</v>
      </c>
      <c r="D4144" s="1" t="s">
        <v>11</v>
      </c>
      <c r="E4144" s="1" t="s">
        <v>11</v>
      </c>
    </row>
    <row r="4145" spans="1:5" ht="15.75" customHeight="1">
      <c r="A4145" s="1">
        <v>846029</v>
      </c>
      <c r="B4145" s="1" t="s">
        <v>4171</v>
      </c>
      <c r="C4145" s="1" t="str">
        <f ca="1">IFERROR(__xludf.DUMMYFUNCTION("REGEXEXTRACT(B4145, ""^([^:]+)"")"),"Machine-tools")</f>
        <v>Machine-tools</v>
      </c>
      <c r="D4145" s="1" t="s">
        <v>11</v>
      </c>
      <c r="E4145" s="1" t="s">
        <v>11</v>
      </c>
    </row>
    <row r="4146" spans="1:5" ht="15.75" customHeight="1">
      <c r="A4146" s="1">
        <v>846031</v>
      </c>
      <c r="B4146" s="1" t="s">
        <v>4172</v>
      </c>
      <c r="C4146" s="1" t="str">
        <f ca="1">IFERROR(__xludf.DUMMYFUNCTION("REGEXEXTRACT(B4146, ""^([^:]+)"")"),"Machine-tools")</f>
        <v>Machine-tools</v>
      </c>
      <c r="D4146" s="1" t="s">
        <v>11</v>
      </c>
      <c r="E4146" s="1" t="s">
        <v>11</v>
      </c>
    </row>
    <row r="4147" spans="1:5" ht="15.75" customHeight="1">
      <c r="A4147" s="1">
        <v>846039</v>
      </c>
      <c r="B4147" s="1" t="s">
        <v>4173</v>
      </c>
      <c r="C4147" s="1" t="str">
        <f ca="1">IFERROR(__xludf.DUMMYFUNCTION("REGEXEXTRACT(B4147, ""^([^:]+)"")"),"Machine-tools")</f>
        <v>Machine-tools</v>
      </c>
      <c r="D4147" s="1" t="s">
        <v>11</v>
      </c>
      <c r="E4147" s="1" t="s">
        <v>11</v>
      </c>
    </row>
    <row r="4148" spans="1:5" ht="15.75" customHeight="1">
      <c r="A4148" s="1">
        <v>846040</v>
      </c>
      <c r="B4148" s="1" t="s">
        <v>4174</v>
      </c>
      <c r="C4148" s="1" t="str">
        <f ca="1">IFERROR(__xludf.DUMMYFUNCTION("REGEXEXTRACT(B4148, ""^([^:]+)"")"),"Machine-tools")</f>
        <v>Machine-tools</v>
      </c>
      <c r="D4148" s="1" t="s">
        <v>11</v>
      </c>
      <c r="E4148" s="1" t="s">
        <v>11</v>
      </c>
    </row>
    <row r="4149" spans="1:5" ht="15.75" customHeight="1">
      <c r="A4149" s="1">
        <v>846090</v>
      </c>
      <c r="B4149" s="1" t="s">
        <v>4175</v>
      </c>
      <c r="C4149" s="1" t="str">
        <f ca="1">IFERROR(__xludf.DUMMYFUNCTION("REGEXEXTRACT(B4149, ""^([^:]+)"")"),"Machine-tools")</f>
        <v>Machine-tools</v>
      </c>
      <c r="D4149" s="1" t="s">
        <v>11</v>
      </c>
      <c r="E4149" s="1" t="s">
        <v>11</v>
      </c>
    </row>
    <row r="4150" spans="1:5" ht="15.75" customHeight="1">
      <c r="A4150" s="1">
        <v>846120</v>
      </c>
      <c r="B4150" s="1" t="s">
        <v>4176</v>
      </c>
      <c r="C4150" s="1" t="str">
        <f ca="1">IFERROR(__xludf.DUMMYFUNCTION("REGEXEXTRACT(B4150, ""^([^:]+)"")"),"Machine-tools")</f>
        <v>Machine-tools</v>
      </c>
      <c r="D4150" s="1" t="s">
        <v>11</v>
      </c>
      <c r="E4150" s="1" t="s">
        <v>11</v>
      </c>
    </row>
    <row r="4151" spans="1:5" ht="15.75" customHeight="1">
      <c r="A4151" s="1">
        <v>846130</v>
      </c>
      <c r="B4151" s="1" t="s">
        <v>4177</v>
      </c>
      <c r="C4151" s="1" t="str">
        <f ca="1">IFERROR(__xludf.DUMMYFUNCTION("REGEXEXTRACT(B4151, ""^([^:]+)"")"),"Machine-tools")</f>
        <v>Machine-tools</v>
      </c>
      <c r="D4151" s="1" t="s">
        <v>11</v>
      </c>
      <c r="E4151" s="1" t="s">
        <v>11</v>
      </c>
    </row>
    <row r="4152" spans="1:5" ht="15.75" customHeight="1">
      <c r="A4152" s="1">
        <v>846140</v>
      </c>
      <c r="B4152" s="1" t="s">
        <v>4178</v>
      </c>
      <c r="C4152" s="1" t="str">
        <f ca="1">IFERROR(__xludf.DUMMYFUNCTION("REGEXEXTRACT(B4152, ""^([^:]+)"")"),"Machine-tools")</f>
        <v>Machine-tools</v>
      </c>
      <c r="D4152" s="1" t="s">
        <v>11</v>
      </c>
      <c r="E4152" s="1" t="s">
        <v>11</v>
      </c>
    </row>
    <row r="4153" spans="1:5" ht="15.75" customHeight="1">
      <c r="A4153" s="1">
        <v>846150</v>
      </c>
      <c r="B4153" s="1" t="s">
        <v>4179</v>
      </c>
      <c r="C4153" s="1" t="str">
        <f ca="1">IFERROR(__xludf.DUMMYFUNCTION("REGEXEXTRACT(B4153, ""^([^:]+)"")"),"Machine-tools")</f>
        <v>Machine-tools</v>
      </c>
      <c r="D4153" s="1" t="s">
        <v>11</v>
      </c>
      <c r="E4153" s="1" t="s">
        <v>11</v>
      </c>
    </row>
    <row r="4154" spans="1:5" ht="15.75" customHeight="1">
      <c r="A4154" s="1">
        <v>846190</v>
      </c>
      <c r="B4154" s="1" t="s">
        <v>4180</v>
      </c>
      <c r="C4154" s="1" t="str">
        <f ca="1">IFERROR(__xludf.DUMMYFUNCTION("REGEXEXTRACT(B4154, ""^([^:]+)"")"),"Machine-tools")</f>
        <v>Machine-tools</v>
      </c>
      <c r="D4154" s="1" t="s">
        <v>11</v>
      </c>
      <c r="E4154" s="1" t="s">
        <v>11</v>
      </c>
    </row>
    <row r="4155" spans="1:5" ht="15.75" customHeight="1">
      <c r="A4155" s="1">
        <v>846210</v>
      </c>
      <c r="B4155" s="1" t="s">
        <v>4181</v>
      </c>
      <c r="C4155" s="1" t="str">
        <f ca="1">IFERROR(__xludf.DUMMYFUNCTION("REGEXEXTRACT(B4155, ""^([^:]+)"")"),"Machine-tools")</f>
        <v>Machine-tools</v>
      </c>
      <c r="D4155" s="1" t="s">
        <v>11</v>
      </c>
      <c r="E4155" s="1" t="s">
        <v>11</v>
      </c>
    </row>
    <row r="4156" spans="1:5" ht="15.75" customHeight="1">
      <c r="A4156" s="1">
        <v>846221</v>
      </c>
      <c r="B4156" s="1" t="s">
        <v>4182</v>
      </c>
      <c r="C4156" s="1" t="str">
        <f ca="1">IFERROR(__xludf.DUMMYFUNCTION("REGEXEXTRACT(B4156, ""^([^:]+)"")"),"Machine-tools")</f>
        <v>Machine-tools</v>
      </c>
      <c r="D4156" s="1" t="s">
        <v>11</v>
      </c>
      <c r="E4156" s="1" t="s">
        <v>11</v>
      </c>
    </row>
    <row r="4157" spans="1:5" ht="15.75" customHeight="1">
      <c r="A4157" s="1">
        <v>846229</v>
      </c>
      <c r="B4157" s="1" t="s">
        <v>4183</v>
      </c>
      <c r="C4157" s="1" t="str">
        <f ca="1">IFERROR(__xludf.DUMMYFUNCTION("REGEXEXTRACT(B4157, ""^([^:]+)"")"),"Machine-tools")</f>
        <v>Machine-tools</v>
      </c>
      <c r="D4157" s="1" t="s">
        <v>11</v>
      </c>
      <c r="E4157" s="1" t="s">
        <v>11</v>
      </c>
    </row>
    <row r="4158" spans="1:5" ht="15.75" customHeight="1">
      <c r="A4158" s="1">
        <v>846231</v>
      </c>
      <c r="B4158" s="1" t="s">
        <v>4184</v>
      </c>
      <c r="C4158" s="1" t="str">
        <f ca="1">IFERROR(__xludf.DUMMYFUNCTION("REGEXEXTRACT(B4158, ""^([^:]+)"")"),"Machine-tools")</f>
        <v>Machine-tools</v>
      </c>
      <c r="D4158" s="1" t="s">
        <v>11</v>
      </c>
      <c r="E4158" s="1" t="s">
        <v>11</v>
      </c>
    </row>
    <row r="4159" spans="1:5" ht="15.75" customHeight="1">
      <c r="A4159" s="1">
        <v>846239</v>
      </c>
      <c r="B4159" s="1" t="s">
        <v>4185</v>
      </c>
      <c r="C4159" s="1" t="str">
        <f ca="1">IFERROR(__xludf.DUMMYFUNCTION("REGEXEXTRACT(B4159, ""^([^:]+)"")"),"Machine-tools")</f>
        <v>Machine-tools</v>
      </c>
      <c r="D4159" s="1" t="s">
        <v>11</v>
      </c>
      <c r="E4159" s="1" t="s">
        <v>11</v>
      </c>
    </row>
    <row r="4160" spans="1:5" ht="15.75" customHeight="1">
      <c r="A4160" s="1">
        <v>846241</v>
      </c>
      <c r="B4160" s="1" t="s">
        <v>4186</v>
      </c>
      <c r="C4160" s="1" t="str">
        <f ca="1">IFERROR(__xludf.DUMMYFUNCTION("REGEXEXTRACT(B4160, ""^([^:]+)"")"),"Machine-tools")</f>
        <v>Machine-tools</v>
      </c>
      <c r="D4160" s="1" t="s">
        <v>11</v>
      </c>
      <c r="E4160" s="1" t="s">
        <v>11</v>
      </c>
    </row>
    <row r="4161" spans="1:5" ht="15.75" customHeight="1">
      <c r="A4161" s="1">
        <v>846249</v>
      </c>
      <c r="B4161" s="1" t="s">
        <v>4187</v>
      </c>
      <c r="C4161" s="1" t="str">
        <f ca="1">IFERROR(__xludf.DUMMYFUNCTION("REGEXEXTRACT(B4161, ""^([^:]+)"")"),"Machine-tools")</f>
        <v>Machine-tools</v>
      </c>
      <c r="D4161" s="1" t="s">
        <v>11</v>
      </c>
      <c r="E4161" s="1" t="s">
        <v>11</v>
      </c>
    </row>
    <row r="4162" spans="1:5" ht="15.75" customHeight="1">
      <c r="A4162" s="1">
        <v>846291</v>
      </c>
      <c r="B4162" s="1" t="s">
        <v>4188</v>
      </c>
      <c r="C4162" s="1" t="str">
        <f ca="1">IFERROR(__xludf.DUMMYFUNCTION("REGEXEXTRACT(B4162, ""^([^:]+)"")"),"Machine-tools")</f>
        <v>Machine-tools</v>
      </c>
      <c r="D4162" s="1" t="s">
        <v>11</v>
      </c>
      <c r="E4162" s="1" t="s">
        <v>11</v>
      </c>
    </row>
    <row r="4163" spans="1:5" ht="15.75" customHeight="1">
      <c r="A4163" s="1">
        <v>846299</v>
      </c>
      <c r="B4163" s="1" t="s">
        <v>4189</v>
      </c>
      <c r="C4163" s="1" t="str">
        <f ca="1">IFERROR(__xludf.DUMMYFUNCTION("REGEXEXTRACT(B4163, ""^([^:]+)"")"),"Machine-tools")</f>
        <v>Machine-tools</v>
      </c>
      <c r="D4163" s="1" t="s">
        <v>11</v>
      </c>
      <c r="E4163" s="1" t="s">
        <v>11</v>
      </c>
    </row>
    <row r="4164" spans="1:5" ht="15.75" customHeight="1">
      <c r="A4164" s="1">
        <v>846310</v>
      </c>
      <c r="B4164" s="1" t="s">
        <v>4190</v>
      </c>
      <c r="C4164" s="1" t="str">
        <f ca="1">IFERROR(__xludf.DUMMYFUNCTION("REGEXEXTRACT(B4164, ""^([^:]+)"")"),"Machine-tools")</f>
        <v>Machine-tools</v>
      </c>
      <c r="D4164" s="1" t="s">
        <v>11</v>
      </c>
      <c r="E4164" s="1" t="s">
        <v>11</v>
      </c>
    </row>
    <row r="4165" spans="1:5" ht="15.75" customHeight="1">
      <c r="A4165" s="1">
        <v>846320</v>
      </c>
      <c r="B4165" s="1" t="s">
        <v>4191</v>
      </c>
      <c r="C4165" s="1" t="str">
        <f ca="1">IFERROR(__xludf.DUMMYFUNCTION("REGEXEXTRACT(B4165, ""^([^:]+)"")"),"Machine-tools")</f>
        <v>Machine-tools</v>
      </c>
      <c r="D4165" s="1" t="s">
        <v>11</v>
      </c>
      <c r="E4165" s="1" t="s">
        <v>11</v>
      </c>
    </row>
    <row r="4166" spans="1:5" ht="15.75" customHeight="1">
      <c r="A4166" s="1">
        <v>846330</v>
      </c>
      <c r="B4166" s="1" t="s">
        <v>4192</v>
      </c>
      <c r="C4166" s="1" t="str">
        <f ca="1">IFERROR(__xludf.DUMMYFUNCTION("REGEXEXTRACT(B4166, ""^([^:]+)"")"),"Machine-tools")</f>
        <v>Machine-tools</v>
      </c>
      <c r="D4166" s="1" t="s">
        <v>11</v>
      </c>
      <c r="E4166" s="1" t="s">
        <v>11</v>
      </c>
    </row>
    <row r="4167" spans="1:5" ht="15.75" customHeight="1">
      <c r="A4167" s="1">
        <v>846390</v>
      </c>
      <c r="B4167" s="1" t="s">
        <v>4193</v>
      </c>
      <c r="C4167" s="1" t="str">
        <f ca="1">IFERROR(__xludf.DUMMYFUNCTION("REGEXEXTRACT(B4167, ""^([^:]+)"")"),"Machine-tools")</f>
        <v>Machine-tools</v>
      </c>
      <c r="D4167" s="1" t="s">
        <v>11</v>
      </c>
      <c r="E4167" s="1" t="s">
        <v>11</v>
      </c>
    </row>
    <row r="4168" spans="1:5" ht="15.75" customHeight="1">
      <c r="A4168" s="1">
        <v>846410</v>
      </c>
      <c r="B4168" s="1" t="s">
        <v>4194</v>
      </c>
      <c r="C4168" s="1" t="str">
        <f ca="1">IFERROR(__xludf.DUMMYFUNCTION("REGEXEXTRACT(B4168, ""^([^:]+)"")"),"Machine-tools")</f>
        <v>Machine-tools</v>
      </c>
      <c r="D4168" s="1" t="s">
        <v>11</v>
      </c>
      <c r="E4168" s="1" t="s">
        <v>11</v>
      </c>
    </row>
    <row r="4169" spans="1:5" ht="15.75" customHeight="1">
      <c r="A4169" s="1">
        <v>846420</v>
      </c>
      <c r="B4169" s="1" t="s">
        <v>4195</v>
      </c>
      <c r="C4169" s="1" t="str">
        <f ca="1">IFERROR(__xludf.DUMMYFUNCTION("REGEXEXTRACT(B4169, ""^([^:]+)"")"),"Machine-tools")</f>
        <v>Machine-tools</v>
      </c>
      <c r="D4169" s="1" t="s">
        <v>11</v>
      </c>
      <c r="E4169" s="1" t="s">
        <v>11</v>
      </c>
    </row>
    <row r="4170" spans="1:5" ht="15.75" customHeight="1">
      <c r="A4170" s="1">
        <v>846490</v>
      </c>
      <c r="B4170" s="1" t="s">
        <v>4196</v>
      </c>
      <c r="C4170" s="1" t="str">
        <f ca="1">IFERROR(__xludf.DUMMYFUNCTION("REGEXEXTRACT(B4170, ""^([^:]+)"")"),"Machine-tools")</f>
        <v>Machine-tools</v>
      </c>
      <c r="D4170" s="1" t="s">
        <v>11</v>
      </c>
      <c r="E4170" s="1" t="s">
        <v>11</v>
      </c>
    </row>
    <row r="4171" spans="1:5" ht="15.75" customHeight="1">
      <c r="A4171" s="1">
        <v>846510</v>
      </c>
      <c r="B4171" s="1" t="s">
        <v>4197</v>
      </c>
      <c r="C4171" s="1" t="str">
        <f ca="1">IFERROR(__xludf.DUMMYFUNCTION("REGEXEXTRACT(B4171, ""^([^:]+)"")"),"Machine-tools")</f>
        <v>Machine-tools</v>
      </c>
      <c r="D4171" s="1" t="s">
        <v>11</v>
      </c>
      <c r="E4171" s="1" t="s">
        <v>11</v>
      </c>
    </row>
    <row r="4172" spans="1:5" ht="15.75" customHeight="1">
      <c r="A4172" s="1">
        <v>846591</v>
      </c>
      <c r="B4172" s="1" t="s">
        <v>4198</v>
      </c>
      <c r="C4172" s="1" t="str">
        <f ca="1">IFERROR(__xludf.DUMMYFUNCTION("REGEXEXTRACT(B4172, ""^([^:]+)"")"),"Machine-tools")</f>
        <v>Machine-tools</v>
      </c>
      <c r="D4172" s="1" t="s">
        <v>11</v>
      </c>
      <c r="E4172" s="1" t="s">
        <v>11</v>
      </c>
    </row>
    <row r="4173" spans="1:5" ht="15.75" customHeight="1">
      <c r="A4173" s="1">
        <v>846592</v>
      </c>
      <c r="B4173" s="1" t="s">
        <v>4199</v>
      </c>
      <c r="C4173" s="1" t="str">
        <f ca="1">IFERROR(__xludf.DUMMYFUNCTION("REGEXEXTRACT(B4173, ""^([^:]+)"")"),"Machine-tools")</f>
        <v>Machine-tools</v>
      </c>
      <c r="D4173" s="1" t="s">
        <v>11</v>
      </c>
      <c r="E4173" s="1" t="s">
        <v>11</v>
      </c>
    </row>
    <row r="4174" spans="1:5" ht="15.75" customHeight="1">
      <c r="A4174" s="1">
        <v>846593</v>
      </c>
      <c r="B4174" s="1" t="s">
        <v>4200</v>
      </c>
      <c r="C4174" s="1" t="str">
        <f ca="1">IFERROR(__xludf.DUMMYFUNCTION("REGEXEXTRACT(B4174, ""^([^:]+)"")"),"Machine-tools")</f>
        <v>Machine-tools</v>
      </c>
      <c r="D4174" s="1" t="s">
        <v>11</v>
      </c>
      <c r="E4174" s="1" t="s">
        <v>11</v>
      </c>
    </row>
    <row r="4175" spans="1:5" ht="15.75" customHeight="1">
      <c r="A4175" s="1">
        <v>846594</v>
      </c>
      <c r="B4175" s="1" t="s">
        <v>4201</v>
      </c>
      <c r="C4175" s="1" t="str">
        <f ca="1">IFERROR(__xludf.DUMMYFUNCTION("REGEXEXTRACT(B4175, ""^([^:]+)"")"),"Machine-tools")</f>
        <v>Machine-tools</v>
      </c>
      <c r="D4175" s="1" t="s">
        <v>11</v>
      </c>
      <c r="E4175" s="1" t="s">
        <v>11</v>
      </c>
    </row>
    <row r="4176" spans="1:5" ht="15.75" customHeight="1">
      <c r="A4176" s="1">
        <v>846595</v>
      </c>
      <c r="B4176" s="1" t="s">
        <v>4202</v>
      </c>
      <c r="C4176" s="1" t="str">
        <f ca="1">IFERROR(__xludf.DUMMYFUNCTION("REGEXEXTRACT(B4176, ""^([^:]+)"")"),"Machine-tools")</f>
        <v>Machine-tools</v>
      </c>
      <c r="D4176" s="1" t="s">
        <v>11</v>
      </c>
      <c r="E4176" s="1" t="s">
        <v>11</v>
      </c>
    </row>
    <row r="4177" spans="1:5" ht="15.75" customHeight="1">
      <c r="A4177" s="1">
        <v>846596</v>
      </c>
      <c r="B4177" s="1" t="s">
        <v>4203</v>
      </c>
      <c r="C4177" s="1" t="str">
        <f ca="1">IFERROR(__xludf.DUMMYFUNCTION("REGEXEXTRACT(B4177, ""^([^:]+)"")"),"Machine-tools")</f>
        <v>Machine-tools</v>
      </c>
      <c r="D4177" s="1" t="s">
        <v>11</v>
      </c>
      <c r="E4177" s="1" t="s">
        <v>11</v>
      </c>
    </row>
    <row r="4178" spans="1:5" ht="15.75" customHeight="1">
      <c r="A4178" s="1">
        <v>846599</v>
      </c>
      <c r="B4178" s="1" t="s">
        <v>4204</v>
      </c>
      <c r="C4178" s="1" t="str">
        <f ca="1">IFERROR(__xludf.DUMMYFUNCTION("REGEXEXTRACT(B4178, ""^([^:]+)"")"),"Machine-tools")</f>
        <v>Machine-tools</v>
      </c>
      <c r="D4178" s="1" t="s">
        <v>11</v>
      </c>
      <c r="E4178" s="1" t="s">
        <v>11</v>
      </c>
    </row>
    <row r="4179" spans="1:5" ht="15.75" customHeight="1">
      <c r="A4179" s="1">
        <v>846610</v>
      </c>
      <c r="B4179" s="1" t="s">
        <v>4205</v>
      </c>
      <c r="C4179" s="1" t="str">
        <f ca="1">IFERROR(__xludf.DUMMYFUNCTION("REGEXEXTRACT(B4179, ""^([^:]+)"")"),"Machine-tools")</f>
        <v>Machine-tools</v>
      </c>
      <c r="D4179" s="1" t="s">
        <v>11</v>
      </c>
      <c r="E4179" s="1" t="s">
        <v>11</v>
      </c>
    </row>
    <row r="4180" spans="1:5" ht="15.75" customHeight="1">
      <c r="A4180" s="1">
        <v>846620</v>
      </c>
      <c r="B4180" s="1" t="s">
        <v>4206</v>
      </c>
      <c r="C4180" s="1" t="str">
        <f ca="1">IFERROR(__xludf.DUMMYFUNCTION("REGEXEXTRACT(B4180, ""^([^:]+)"")"),"Machine-tools")</f>
        <v>Machine-tools</v>
      </c>
      <c r="D4180" s="1" t="s">
        <v>11</v>
      </c>
      <c r="E4180" s="1" t="s">
        <v>11</v>
      </c>
    </row>
    <row r="4181" spans="1:5" ht="15.75" customHeight="1">
      <c r="A4181" s="1">
        <v>846630</v>
      </c>
      <c r="B4181" s="1" t="s">
        <v>4207</v>
      </c>
      <c r="C4181" s="1" t="str">
        <f ca="1">IFERROR(__xludf.DUMMYFUNCTION("REGEXEXTRACT(B4181, ""^([^:]+)"")"),"Machine-tools")</f>
        <v>Machine-tools</v>
      </c>
      <c r="D4181" s="1" t="s">
        <v>11</v>
      </c>
      <c r="E4181" s="1" t="s">
        <v>11</v>
      </c>
    </row>
    <row r="4182" spans="1:5" ht="15.75" customHeight="1">
      <c r="A4182" s="1">
        <v>846691</v>
      </c>
      <c r="B4182" s="1" t="s">
        <v>4208</v>
      </c>
      <c r="C4182" s="1" t="str">
        <f ca="1">IFERROR(__xludf.DUMMYFUNCTION("REGEXEXTRACT(B4182, ""^([^:]+)"")"),"Machine-tools")</f>
        <v>Machine-tools</v>
      </c>
      <c r="D4182" s="1" t="s">
        <v>11</v>
      </c>
      <c r="E4182" s="1" t="s">
        <v>11</v>
      </c>
    </row>
    <row r="4183" spans="1:5" ht="15.75" customHeight="1">
      <c r="A4183" s="1">
        <v>846692</v>
      </c>
      <c r="B4183" s="1" t="s">
        <v>4209</v>
      </c>
      <c r="C4183" s="1" t="str">
        <f ca="1">IFERROR(__xludf.DUMMYFUNCTION("REGEXEXTRACT(B4183, ""^([^:]+)"")"),"Machine-tools")</f>
        <v>Machine-tools</v>
      </c>
      <c r="D4183" s="1" t="s">
        <v>11</v>
      </c>
      <c r="E4183" s="1" t="s">
        <v>11</v>
      </c>
    </row>
    <row r="4184" spans="1:5" ht="15.75" customHeight="1">
      <c r="A4184" s="1">
        <v>846693</v>
      </c>
      <c r="B4184" s="1" t="s">
        <v>4210</v>
      </c>
      <c r="C4184" s="1" t="str">
        <f ca="1">IFERROR(__xludf.DUMMYFUNCTION("REGEXEXTRACT(B4184, ""^([^:]+)"")"),"Machine-tools")</f>
        <v>Machine-tools</v>
      </c>
      <c r="D4184" s="1" t="s">
        <v>11</v>
      </c>
      <c r="E4184" s="1" t="s">
        <v>11</v>
      </c>
    </row>
    <row r="4185" spans="1:5" ht="15.75" customHeight="1">
      <c r="A4185" s="1">
        <v>846694</v>
      </c>
      <c r="B4185" s="1" t="s">
        <v>4211</v>
      </c>
      <c r="C4185" s="1" t="str">
        <f ca="1">IFERROR(__xludf.DUMMYFUNCTION("REGEXEXTRACT(B4185, ""^([^:]+)"")"),"Machine-tools")</f>
        <v>Machine-tools</v>
      </c>
      <c r="D4185" s="1" t="s">
        <v>11</v>
      </c>
      <c r="E4185" s="1" t="s">
        <v>11</v>
      </c>
    </row>
    <row r="4186" spans="1:5" ht="15.75" customHeight="1">
      <c r="A4186" s="1">
        <v>846711</v>
      </c>
      <c r="B4186" s="1" t="s">
        <v>4212</v>
      </c>
      <c r="C4186" s="1" t="str">
        <f ca="1">IFERROR(__xludf.DUMMYFUNCTION("REGEXEXTRACT(B4186, ""^([^:]+)"")"),"Tools")</f>
        <v>Tools</v>
      </c>
      <c r="D4186" s="1" t="s">
        <v>11</v>
      </c>
      <c r="E4186" s="1" t="s">
        <v>11</v>
      </c>
    </row>
    <row r="4187" spans="1:5" ht="15.75" customHeight="1">
      <c r="A4187" s="1">
        <v>846719</v>
      </c>
      <c r="B4187" s="1" t="s">
        <v>4213</v>
      </c>
      <c r="C4187" s="1" t="str">
        <f ca="1">IFERROR(__xludf.DUMMYFUNCTION("REGEXEXTRACT(B4187, ""^([^:]+)"")"),"Tools")</f>
        <v>Tools</v>
      </c>
      <c r="D4187" s="1" t="s">
        <v>11</v>
      </c>
      <c r="E4187" s="1" t="s">
        <v>11</v>
      </c>
    </row>
    <row r="4188" spans="1:5" ht="15.75" customHeight="1">
      <c r="A4188" s="1">
        <v>846721</v>
      </c>
      <c r="B4188" s="1" t="s">
        <v>4214</v>
      </c>
      <c r="C4188" s="1" t="str">
        <f ca="1">IFERROR(__xludf.DUMMYFUNCTION("REGEXEXTRACT(B4188, ""^([^:]+)"")"),"Tools")</f>
        <v>Tools</v>
      </c>
      <c r="D4188" s="1" t="s">
        <v>11</v>
      </c>
      <c r="E4188" s="1" t="s">
        <v>11</v>
      </c>
    </row>
    <row r="4189" spans="1:5" ht="15.75" customHeight="1">
      <c r="A4189" s="1">
        <v>846722</v>
      </c>
      <c r="B4189" s="1" t="s">
        <v>4215</v>
      </c>
      <c r="C4189" s="1" t="str">
        <f ca="1">IFERROR(__xludf.DUMMYFUNCTION("REGEXEXTRACT(B4189, ""^([^:]+)"")"),"Tools")</f>
        <v>Tools</v>
      </c>
      <c r="D4189" s="1" t="s">
        <v>11</v>
      </c>
      <c r="E4189" s="1" t="s">
        <v>11</v>
      </c>
    </row>
    <row r="4190" spans="1:5" ht="15.75" customHeight="1">
      <c r="A4190" s="1">
        <v>846729</v>
      </c>
      <c r="B4190" s="1" t="s">
        <v>4216</v>
      </c>
      <c r="C4190" s="1" t="str">
        <f ca="1">IFERROR(__xludf.DUMMYFUNCTION("REGEXEXTRACT(B4190, ""^([^:]+)"")"),"Tools")</f>
        <v>Tools</v>
      </c>
      <c r="D4190" s="1" t="s">
        <v>11</v>
      </c>
      <c r="E4190" s="1" t="s">
        <v>11</v>
      </c>
    </row>
    <row r="4191" spans="1:5" ht="15.75" customHeight="1">
      <c r="A4191" s="1">
        <v>846781</v>
      </c>
      <c r="B4191" s="1" t="s">
        <v>4217</v>
      </c>
      <c r="C4191" s="1" t="str">
        <f ca="1">IFERROR(__xludf.DUMMYFUNCTION("REGEXEXTRACT(B4191, ""^([^:]+)"")"),"Tools")</f>
        <v>Tools</v>
      </c>
      <c r="D4191" s="1" t="s">
        <v>11</v>
      </c>
      <c r="E4191" s="1" t="s">
        <v>11</v>
      </c>
    </row>
    <row r="4192" spans="1:5" ht="15.75" customHeight="1">
      <c r="A4192" s="1">
        <v>846789</v>
      </c>
      <c r="B4192" s="1" t="s">
        <v>4218</v>
      </c>
      <c r="C4192" s="1" t="str">
        <f ca="1">IFERROR(__xludf.DUMMYFUNCTION("REGEXEXTRACT(B4192, ""^([^:]+)"")"),"Tools")</f>
        <v>Tools</v>
      </c>
      <c r="D4192" s="1" t="s">
        <v>11</v>
      </c>
      <c r="E4192" s="1" t="s">
        <v>11</v>
      </c>
    </row>
    <row r="4193" spans="1:5" ht="15.75" customHeight="1">
      <c r="A4193" s="1">
        <v>846791</v>
      </c>
      <c r="B4193" s="1" t="s">
        <v>4219</v>
      </c>
      <c r="C4193" s="1" t="str">
        <f ca="1">IFERROR(__xludf.DUMMYFUNCTION("REGEXEXTRACT(B4193, ""^([^:]+)"")"),"Tools")</f>
        <v>Tools</v>
      </c>
      <c r="D4193" s="1" t="s">
        <v>11</v>
      </c>
      <c r="E4193" s="1" t="s">
        <v>11</v>
      </c>
    </row>
    <row r="4194" spans="1:5" ht="15.75" customHeight="1">
      <c r="A4194" s="1">
        <v>846792</v>
      </c>
      <c r="B4194" s="1" t="s">
        <v>4220</v>
      </c>
      <c r="C4194" s="1" t="str">
        <f ca="1">IFERROR(__xludf.DUMMYFUNCTION("REGEXEXTRACT(B4194, ""^([^:]+)"")"),"Tools")</f>
        <v>Tools</v>
      </c>
      <c r="D4194" s="1" t="s">
        <v>11</v>
      </c>
      <c r="E4194" s="1" t="s">
        <v>11</v>
      </c>
    </row>
    <row r="4195" spans="1:5" ht="15.75" customHeight="1">
      <c r="A4195" s="1">
        <v>846799</v>
      </c>
      <c r="B4195" s="1" t="s">
        <v>4221</v>
      </c>
      <c r="C4195" s="1" t="str">
        <f ca="1">IFERROR(__xludf.DUMMYFUNCTION("REGEXEXTRACT(B4195, ""^([^:]+)"")"),"Tools")</f>
        <v>Tools</v>
      </c>
      <c r="D4195" s="1" t="s">
        <v>11</v>
      </c>
      <c r="E4195" s="1" t="s">
        <v>11</v>
      </c>
    </row>
    <row r="4196" spans="1:5" ht="15.75" customHeight="1">
      <c r="A4196" s="1">
        <v>846810</v>
      </c>
      <c r="B4196" s="1" t="s">
        <v>4222</v>
      </c>
      <c r="C4196" s="1" t="str">
        <f ca="1">IFERROR(__xludf.DUMMYFUNCTION("REGEXEXTRACT(B4196, ""^([^:]+)"")"),"Machinery and apparatus")</f>
        <v>Machinery and apparatus</v>
      </c>
      <c r="D4196" s="1" t="s">
        <v>11</v>
      </c>
      <c r="E4196" s="1" t="s">
        <v>11</v>
      </c>
    </row>
    <row r="4197" spans="1:5" ht="15.75" customHeight="1">
      <c r="A4197" s="1">
        <v>846820</v>
      </c>
      <c r="B4197" s="1" t="s">
        <v>4223</v>
      </c>
      <c r="C4197" s="1" t="str">
        <f ca="1">IFERROR(__xludf.DUMMYFUNCTION("REGEXEXTRACT(B4197, ""^([^:]+)"")"),"Machinery and apparatus")</f>
        <v>Machinery and apparatus</v>
      </c>
      <c r="D4197" s="1" t="s">
        <v>11</v>
      </c>
      <c r="E4197" s="1" t="s">
        <v>11</v>
      </c>
    </row>
    <row r="4198" spans="1:5" ht="15.75" customHeight="1">
      <c r="A4198" s="1">
        <v>846880</v>
      </c>
      <c r="B4198" s="1" t="s">
        <v>4224</v>
      </c>
      <c r="C4198" s="1" t="str">
        <f ca="1">IFERROR(__xludf.DUMMYFUNCTION("REGEXEXTRACT(B4198, ""^([^:]+)"")"),"Machinery and apparatus")</f>
        <v>Machinery and apparatus</v>
      </c>
      <c r="D4198" s="1" t="s">
        <v>11</v>
      </c>
      <c r="E4198" s="1" t="s">
        <v>11</v>
      </c>
    </row>
    <row r="4199" spans="1:5" ht="15.75" customHeight="1">
      <c r="A4199" s="1">
        <v>846890</v>
      </c>
      <c r="B4199" s="1" t="s">
        <v>4225</v>
      </c>
      <c r="C4199" s="1" t="str">
        <f ca="1">IFERROR(__xludf.DUMMYFUNCTION("REGEXEXTRACT(B4199, ""^([^:]+)"")"),"Machinery and apparatus")</f>
        <v>Machinery and apparatus</v>
      </c>
      <c r="D4199" s="1" t="s">
        <v>11</v>
      </c>
      <c r="E4199" s="1" t="s">
        <v>11</v>
      </c>
    </row>
    <row r="4200" spans="1:5" ht="15.75" customHeight="1">
      <c r="A4200" s="1">
        <v>846900</v>
      </c>
      <c r="B4200" s="1" t="s">
        <v>4226</v>
      </c>
      <c r="C4200" s="1" t="str">
        <f ca="1">IFERROR(__xludf.DUMMYFUNCTION("REGEXEXTRACT(B4200, ""^([^:]+)"")"),"Typewriters (other than printers of heading no. 8443) and word-processing machines")</f>
        <v>Typewriters (other than printers of heading no. 8443) and word-processing machines</v>
      </c>
      <c r="D4200" s="1" t="s">
        <v>11</v>
      </c>
      <c r="E4200" s="1" t="s">
        <v>11</v>
      </c>
    </row>
    <row r="4201" spans="1:5" ht="15.75" customHeight="1">
      <c r="A4201" s="1">
        <v>847010</v>
      </c>
      <c r="B4201" s="1" t="s">
        <v>4227</v>
      </c>
      <c r="C4201" s="1" t="str">
        <f ca="1">IFERROR(__xludf.DUMMYFUNCTION("REGEXEXTRACT(B4201, ""^([^:]+)"")"),"Calculating machines")</f>
        <v>Calculating machines</v>
      </c>
      <c r="D4201" s="1" t="s">
        <v>11</v>
      </c>
      <c r="E4201" s="1" t="s">
        <v>11</v>
      </c>
    </row>
    <row r="4202" spans="1:5" ht="15.75" customHeight="1">
      <c r="A4202" s="1">
        <v>847021</v>
      </c>
      <c r="B4202" s="1" t="s">
        <v>4228</v>
      </c>
      <c r="C4202" s="1" t="str">
        <f ca="1">IFERROR(__xludf.DUMMYFUNCTION("REGEXEXTRACT(B4202, ""^([^:]+)"")"),"Calculating machines")</f>
        <v>Calculating machines</v>
      </c>
      <c r="D4202" s="1" t="s">
        <v>11</v>
      </c>
      <c r="E4202" s="1" t="s">
        <v>11</v>
      </c>
    </row>
    <row r="4203" spans="1:5" ht="15.75" customHeight="1">
      <c r="A4203" s="1">
        <v>847029</v>
      </c>
      <c r="B4203" s="1" t="s">
        <v>4229</v>
      </c>
      <c r="C4203" s="1" t="str">
        <f ca="1">IFERROR(__xludf.DUMMYFUNCTION("REGEXEXTRACT(B4203, ""^([^:]+)"")"),"Calculating machines")</f>
        <v>Calculating machines</v>
      </c>
      <c r="D4203" s="1" t="s">
        <v>11</v>
      </c>
      <c r="E4203" s="1" t="s">
        <v>11</v>
      </c>
    </row>
    <row r="4204" spans="1:5" ht="15.75" customHeight="1">
      <c r="A4204" s="1">
        <v>847030</v>
      </c>
      <c r="B4204" s="1" t="s">
        <v>4230</v>
      </c>
      <c r="C4204" s="1" t="str">
        <f ca="1">IFERROR(__xludf.DUMMYFUNCTION("REGEXEXTRACT(B4204, ""^([^:]+)"")"),"Calculating machines")</f>
        <v>Calculating machines</v>
      </c>
      <c r="D4204" s="1" t="s">
        <v>11</v>
      </c>
      <c r="E4204" s="1" t="s">
        <v>11</v>
      </c>
    </row>
    <row r="4205" spans="1:5" ht="15.75" customHeight="1">
      <c r="A4205" s="1">
        <v>847050</v>
      </c>
      <c r="B4205" s="1" t="s">
        <v>4231</v>
      </c>
      <c r="C4205" s="1" t="str">
        <f ca="1">IFERROR(__xludf.DUMMYFUNCTION("REGEXEXTRACT(B4205, ""^([^:]+)"")"),"Cash registers")</f>
        <v>Cash registers</v>
      </c>
      <c r="D4205" s="1" t="s">
        <v>11</v>
      </c>
      <c r="E4205" s="1" t="s">
        <v>11</v>
      </c>
    </row>
    <row r="4206" spans="1:5" ht="15.75" customHeight="1">
      <c r="A4206" s="1">
        <v>847090</v>
      </c>
      <c r="B4206" s="1" t="s">
        <v>4232</v>
      </c>
      <c r="C4206" s="1" t="str">
        <f ca="1">IFERROR(__xludf.DUMMYFUNCTION("REGEXEXTRACT(B4206, ""^([^:]+)"")"),"Machines incorporating a calculating device")</f>
        <v>Machines incorporating a calculating device</v>
      </c>
      <c r="D4206" s="1" t="s">
        <v>11</v>
      </c>
      <c r="E4206" s="1" t="s">
        <v>11</v>
      </c>
    </row>
    <row r="4207" spans="1:5" ht="15.75" customHeight="1">
      <c r="A4207" s="1">
        <v>847130</v>
      </c>
      <c r="B4207" s="1" t="s">
        <v>4233</v>
      </c>
      <c r="C4207" s="1" t="str">
        <f ca="1">IFERROR(__xludf.DUMMYFUNCTION("REGEXEXTRACT(B4207, ""^([^:]+)"")"),"Automatic data processing machines")</f>
        <v>Automatic data processing machines</v>
      </c>
      <c r="D4207" s="1" t="s">
        <v>11</v>
      </c>
      <c r="E4207" s="1" t="s">
        <v>11</v>
      </c>
    </row>
    <row r="4208" spans="1:5" ht="15.75" customHeight="1">
      <c r="A4208" s="1">
        <v>847141</v>
      </c>
      <c r="B4208" s="1" t="s">
        <v>4234</v>
      </c>
      <c r="C4208" s="1" t="str">
        <f ca="1">IFERROR(__xludf.DUMMYFUNCTION("REGEXEXTRACT(B4208, ""^([^:]+)"")"),"Automatic data processing machines")</f>
        <v>Automatic data processing machines</v>
      </c>
      <c r="D4208" s="1" t="s">
        <v>11</v>
      </c>
      <c r="E4208" s="1" t="s">
        <v>11</v>
      </c>
    </row>
    <row r="4209" spans="1:5" ht="15.75" customHeight="1">
      <c r="A4209" s="1">
        <v>847149</v>
      </c>
      <c r="B4209" s="1" t="s">
        <v>4235</v>
      </c>
      <c r="C4209" s="1" t="str">
        <f ca="1">IFERROR(__xludf.DUMMYFUNCTION("REGEXEXTRACT(B4209, ""^([^:]+)"")"),"Automatic data processing machines")</f>
        <v>Automatic data processing machines</v>
      </c>
      <c r="D4209" s="1" t="s">
        <v>11</v>
      </c>
      <c r="E4209" s="1" t="s">
        <v>11</v>
      </c>
    </row>
    <row r="4210" spans="1:5" ht="15.75" customHeight="1">
      <c r="A4210" s="1">
        <v>847150</v>
      </c>
      <c r="B4210" s="1" t="s">
        <v>4236</v>
      </c>
      <c r="C4210" s="1" t="str">
        <f ca="1">IFERROR(__xludf.DUMMYFUNCTION("REGEXEXTRACT(B4210, ""^([^:]+)"")"),"Units of automatic data processing machines")</f>
        <v>Units of automatic data processing machines</v>
      </c>
      <c r="D4210" s="1" t="s">
        <v>11</v>
      </c>
      <c r="E4210" s="1" t="s">
        <v>11</v>
      </c>
    </row>
    <row r="4211" spans="1:5" ht="15.75" customHeight="1">
      <c r="A4211" s="1">
        <v>847160</v>
      </c>
      <c r="B4211" s="1" t="s">
        <v>4237</v>
      </c>
      <c r="C4211" s="1" t="str">
        <f ca="1">IFERROR(__xludf.DUMMYFUNCTION("REGEXEXTRACT(B4211, ""^([^:]+)"")"),"Units of automatic data processing machines")</f>
        <v>Units of automatic data processing machines</v>
      </c>
      <c r="D4211" s="1" t="s">
        <v>11</v>
      </c>
      <c r="E4211" s="1" t="s">
        <v>11</v>
      </c>
    </row>
    <row r="4212" spans="1:5" ht="15.75" customHeight="1">
      <c r="A4212" s="1">
        <v>847170</v>
      </c>
      <c r="B4212" s="1" t="s">
        <v>4238</v>
      </c>
      <c r="C4212" s="1" t="str">
        <f ca="1">IFERROR(__xludf.DUMMYFUNCTION("REGEXEXTRACT(B4212, ""^([^:]+)"")"),"Units of automatic data processing machines")</f>
        <v>Units of automatic data processing machines</v>
      </c>
      <c r="D4212" s="1" t="s">
        <v>11</v>
      </c>
      <c r="E4212" s="1" t="s">
        <v>11</v>
      </c>
    </row>
    <row r="4213" spans="1:5" ht="15.75" customHeight="1">
      <c r="A4213" s="1">
        <v>847180</v>
      </c>
      <c r="B4213" s="1" t="s">
        <v>4239</v>
      </c>
      <c r="C4213" s="1" t="str">
        <f ca="1">IFERROR(__xludf.DUMMYFUNCTION("REGEXEXTRACT(B4213, ""^([^:]+)"")"),"Units of automatic data processing machines")</f>
        <v>Units of automatic data processing machines</v>
      </c>
      <c r="D4213" s="1" t="s">
        <v>11</v>
      </c>
      <c r="E4213" s="1" t="s">
        <v>11</v>
      </c>
    </row>
    <row r="4214" spans="1:5" ht="15.75" customHeight="1">
      <c r="A4214" s="1">
        <v>847190</v>
      </c>
      <c r="B4214" s="1" t="s">
        <v>4240</v>
      </c>
      <c r="C4214" s="1" t="str">
        <f ca="1">IFERROR(__xludf.DUMMYFUNCTION("REGEXEXTRACT(B4214, ""^([^:]+)"")"),"Magnetic or optical readers, machines for transcribing data onto data media in coded form and machines for processing such data, not elsewhere specified or included")</f>
        <v>Magnetic or optical readers, machines for transcribing data onto data media in coded form and machines for processing such data, not elsewhere specified or included</v>
      </c>
      <c r="D4214" s="1" t="s">
        <v>11</v>
      </c>
      <c r="E4214" s="1" t="s">
        <v>11</v>
      </c>
    </row>
    <row r="4215" spans="1:5" ht="15.75" customHeight="1">
      <c r="A4215" s="1">
        <v>847210</v>
      </c>
      <c r="B4215" s="1" t="s">
        <v>4241</v>
      </c>
      <c r="C4215" s="1" t="str">
        <f ca="1">IFERROR(__xludf.DUMMYFUNCTION("REGEXEXTRACT(B4215, ""^([^:]+)"")"),"Office machines")</f>
        <v>Office machines</v>
      </c>
      <c r="D4215" s="1" t="s">
        <v>11</v>
      </c>
      <c r="E4215" s="1" t="s">
        <v>11</v>
      </c>
    </row>
    <row r="4216" spans="1:5" ht="15.75" customHeight="1">
      <c r="A4216" s="1">
        <v>847230</v>
      </c>
      <c r="B4216" s="1" t="s">
        <v>4242</v>
      </c>
      <c r="C4216" s="1" t="str">
        <f ca="1">IFERROR(__xludf.DUMMYFUNCTION("REGEXEXTRACT(B4216, ""^([^:]+)"")"),"Office machines")</f>
        <v>Office machines</v>
      </c>
      <c r="D4216" s="1" t="s">
        <v>11</v>
      </c>
      <c r="E4216" s="1" t="s">
        <v>11</v>
      </c>
    </row>
    <row r="4217" spans="1:5" ht="15.75" customHeight="1">
      <c r="A4217" s="1">
        <v>847290</v>
      </c>
      <c r="B4217" s="1" t="s">
        <v>4243</v>
      </c>
      <c r="C4217" s="1" t="str">
        <f ca="1">IFERROR(__xludf.DUMMYFUNCTION("REGEXEXTRACT(B4217, ""^([^:]+)"")"),"Office machines")</f>
        <v>Office machines</v>
      </c>
      <c r="D4217" s="1" t="s">
        <v>11</v>
      </c>
      <c r="E4217" s="1" t="s">
        <v>11</v>
      </c>
    </row>
    <row r="4218" spans="1:5" ht="15.75" customHeight="1">
      <c r="A4218" s="1">
        <v>847310</v>
      </c>
      <c r="B4218" s="1" t="s">
        <v>4244</v>
      </c>
      <c r="C4218" s="1" t="str">
        <f ca="1">IFERROR(__xludf.DUMMYFUNCTION("REGEXEXTRACT(B4218, ""^([^:]+)"")"),"Typewriters and word-processing machines")</f>
        <v>Typewriters and word-processing machines</v>
      </c>
      <c r="D4218" s="1" t="s">
        <v>11</v>
      </c>
      <c r="E4218" s="1" t="s">
        <v>11</v>
      </c>
    </row>
    <row r="4219" spans="1:5" ht="15.75" customHeight="1">
      <c r="A4219" s="1">
        <v>847321</v>
      </c>
      <c r="B4219" s="1" t="s">
        <v>4245</v>
      </c>
      <c r="C4219" s="1" t="str">
        <f ca="1">IFERROR(__xludf.DUMMYFUNCTION("REGEXEXTRACT(B4219, ""^([^:]+)"")"),"Calculating machines")</f>
        <v>Calculating machines</v>
      </c>
      <c r="D4219" s="1" t="s">
        <v>11</v>
      </c>
      <c r="E4219" s="1" t="s">
        <v>11</v>
      </c>
    </row>
    <row r="4220" spans="1:5" ht="15.75" customHeight="1">
      <c r="A4220" s="1">
        <v>847329</v>
      </c>
      <c r="B4220" s="1" t="s">
        <v>4246</v>
      </c>
      <c r="C4220" s="1" t="str">
        <f ca="1">IFERROR(__xludf.DUMMYFUNCTION("REGEXEXTRACT(B4220, ""^([^:]+)"")"),"Machinery")</f>
        <v>Machinery</v>
      </c>
      <c r="D4220" s="1" t="s">
        <v>11</v>
      </c>
      <c r="E4220" s="1" t="s">
        <v>11</v>
      </c>
    </row>
    <row r="4221" spans="1:5" ht="15.75" customHeight="1">
      <c r="A4221" s="1">
        <v>847330</v>
      </c>
      <c r="B4221" s="1" t="s">
        <v>4247</v>
      </c>
      <c r="C4221" s="1" t="str">
        <f ca="1">IFERROR(__xludf.DUMMYFUNCTION("REGEXEXTRACT(B4221, ""^([^:]+)"")"),"Machinery")</f>
        <v>Machinery</v>
      </c>
      <c r="D4221" s="1" t="s">
        <v>11</v>
      </c>
      <c r="E4221" s="1" t="s">
        <v>11</v>
      </c>
    </row>
    <row r="4222" spans="1:5" ht="15.75" customHeight="1">
      <c r="A4222" s="1">
        <v>847340</v>
      </c>
      <c r="B4222" s="1" t="s">
        <v>4248</v>
      </c>
      <c r="C4222" s="1" t="str">
        <f ca="1">IFERROR(__xludf.DUMMYFUNCTION("REGEXEXTRACT(B4222, ""^([^:]+)"")"),"Machinery")</f>
        <v>Machinery</v>
      </c>
      <c r="D4222" s="1" t="s">
        <v>11</v>
      </c>
      <c r="E4222" s="1" t="s">
        <v>11</v>
      </c>
    </row>
    <row r="4223" spans="1:5" ht="15.75" customHeight="1">
      <c r="A4223" s="1">
        <v>847350</v>
      </c>
      <c r="B4223" s="1" t="s">
        <v>4249</v>
      </c>
      <c r="C4223" s="1" t="str">
        <f ca="1">IFERROR(__xludf.DUMMYFUNCTION("REGEXEXTRACT(B4223, ""^([^:]+)"")"),"Machines")</f>
        <v>Machines</v>
      </c>
      <c r="D4223" s="1" t="s">
        <v>11</v>
      </c>
      <c r="E4223" s="1" t="s">
        <v>11</v>
      </c>
    </row>
    <row r="4224" spans="1:5" ht="15.75" customHeight="1">
      <c r="A4224" s="1">
        <v>847410</v>
      </c>
      <c r="B4224" s="1" t="s">
        <v>4250</v>
      </c>
      <c r="C4224" s="1" t="str">
        <f ca="1">IFERROR(__xludf.DUMMYFUNCTION("REGEXEXTRACT(B4224, ""^([^:]+)"")"),"Machines")</f>
        <v>Machines</v>
      </c>
      <c r="D4224" s="1" t="s">
        <v>11</v>
      </c>
      <c r="E4224" s="1" t="s">
        <v>11</v>
      </c>
    </row>
    <row r="4225" spans="1:5" ht="15.75" customHeight="1">
      <c r="A4225" s="1">
        <v>847420</v>
      </c>
      <c r="B4225" s="1" t="s">
        <v>4251</v>
      </c>
      <c r="C4225" s="1" t="str">
        <f ca="1">IFERROR(__xludf.DUMMYFUNCTION("REGEXEXTRACT(B4225, ""^([^:]+)"")"),"Machines")</f>
        <v>Machines</v>
      </c>
      <c r="D4225" s="1" t="s">
        <v>11</v>
      </c>
      <c r="E4225" s="1" t="s">
        <v>11</v>
      </c>
    </row>
    <row r="4226" spans="1:5" ht="15.75" customHeight="1">
      <c r="A4226" s="1">
        <v>847431</v>
      </c>
      <c r="B4226" s="1" t="s">
        <v>4252</v>
      </c>
      <c r="C4226" s="1" t="str">
        <f ca="1">IFERROR(__xludf.DUMMYFUNCTION("REGEXEXTRACT(B4226, ""^([^:]+)"")"),"Machines")</f>
        <v>Machines</v>
      </c>
      <c r="D4226" s="1" t="s">
        <v>11</v>
      </c>
      <c r="E4226" s="1" t="s">
        <v>11</v>
      </c>
    </row>
    <row r="4227" spans="1:5" ht="15.75" customHeight="1">
      <c r="A4227" s="1">
        <v>847432</v>
      </c>
      <c r="B4227" s="1" t="s">
        <v>4253</v>
      </c>
      <c r="C4227" s="1" t="str">
        <f ca="1">IFERROR(__xludf.DUMMYFUNCTION("REGEXEXTRACT(B4227, ""^([^:]+)"")"),"Machines")</f>
        <v>Machines</v>
      </c>
      <c r="D4227" s="1" t="s">
        <v>11</v>
      </c>
      <c r="E4227" s="1" t="s">
        <v>11</v>
      </c>
    </row>
    <row r="4228" spans="1:5" ht="15.75" customHeight="1">
      <c r="A4228" s="1">
        <v>847439</v>
      </c>
      <c r="B4228" s="1" t="s">
        <v>4254</v>
      </c>
      <c r="C4228" s="1" t="str">
        <f ca="1">IFERROR(__xludf.DUMMYFUNCTION("REGEXEXTRACT(B4228, ""^([^:]+)"")"),"Machines")</f>
        <v>Machines</v>
      </c>
      <c r="D4228" s="1" t="s">
        <v>11</v>
      </c>
      <c r="E4228" s="1" t="s">
        <v>11</v>
      </c>
    </row>
    <row r="4229" spans="1:5" ht="15.75" customHeight="1">
      <c r="A4229" s="1">
        <v>847480</v>
      </c>
      <c r="B4229" s="1" t="s">
        <v>4255</v>
      </c>
      <c r="C4229" s="1" t="str">
        <f ca="1">IFERROR(__xludf.DUMMYFUNCTION("REGEXEXTRACT(B4229, ""^([^:]+)"")"),"Machines")</f>
        <v>Machines</v>
      </c>
      <c r="D4229" s="1" t="s">
        <v>11</v>
      </c>
      <c r="E4229" s="1" t="s">
        <v>11</v>
      </c>
    </row>
    <row r="4230" spans="1:5" ht="15.75" customHeight="1">
      <c r="A4230" s="1">
        <v>847490</v>
      </c>
      <c r="B4230" s="1" t="s">
        <v>4256</v>
      </c>
      <c r="C4230" s="1" t="str">
        <f ca="1">IFERROR(__xludf.DUMMYFUNCTION("REGEXEXTRACT(B4230, ""^([^:]+)"")"),"Machines, for sorting, screening, separating, washing, crushing etc mineral substances, for agglomerating, shaping or moulding solid fuels, ceramic pastes etc, for forming foundry moulds of sand")</f>
        <v>Machines, for sorting, screening, separating, washing, crushing etc mineral substances, for agglomerating, shaping or moulding solid fuels, ceramic pastes etc, for forming foundry moulds of sand</v>
      </c>
      <c r="D4230" s="1" t="s">
        <v>11</v>
      </c>
      <c r="E4230" s="1" t="s">
        <v>11</v>
      </c>
    </row>
    <row r="4231" spans="1:5" ht="15.75" customHeight="1">
      <c r="A4231" s="1">
        <v>847510</v>
      </c>
      <c r="B4231" s="1" t="s">
        <v>4257</v>
      </c>
      <c r="C4231" s="1" t="str">
        <f ca="1">IFERROR(__xludf.DUMMYFUNCTION("REGEXEXTRACT(B4231, ""^([^:]+)"")"),"Machines")</f>
        <v>Machines</v>
      </c>
      <c r="D4231" s="1" t="s">
        <v>11</v>
      </c>
      <c r="E4231" s="1" t="s">
        <v>11</v>
      </c>
    </row>
    <row r="4232" spans="1:5" ht="15.75" customHeight="1">
      <c r="A4232" s="1">
        <v>847521</v>
      </c>
      <c r="B4232" s="1" t="s">
        <v>4258</v>
      </c>
      <c r="C4232" s="1" t="str">
        <f ca="1">IFERROR(__xludf.DUMMYFUNCTION("REGEXEXTRACT(B4232, ""^([^:]+)"")"),"Machines")</f>
        <v>Machines</v>
      </c>
      <c r="D4232" s="1" t="s">
        <v>11</v>
      </c>
      <c r="E4232" s="1" t="s">
        <v>11</v>
      </c>
    </row>
    <row r="4233" spans="1:5" ht="15.75" customHeight="1">
      <c r="A4233" s="1">
        <v>847529</v>
      </c>
      <c r="B4233" s="1" t="s">
        <v>4259</v>
      </c>
      <c r="C4233" s="1" t="str">
        <f ca="1">IFERROR(__xludf.DUMMYFUNCTION("REGEXEXTRACT(B4233, ""^([^:]+)"")"),"Machines")</f>
        <v>Machines</v>
      </c>
      <c r="D4233" s="1" t="s">
        <v>11</v>
      </c>
      <c r="E4233" s="1" t="s">
        <v>11</v>
      </c>
    </row>
    <row r="4234" spans="1:5" ht="15.75" customHeight="1">
      <c r="A4234" s="1">
        <v>847590</v>
      </c>
      <c r="B4234" s="1" t="s">
        <v>4260</v>
      </c>
      <c r="C4234" s="1" t="str">
        <f ca="1">IFERROR(__xludf.DUMMYFUNCTION("REGEXEXTRACT(B4234, ""^([^:]+)"")"),"Machines")</f>
        <v>Machines</v>
      </c>
      <c r="D4234" s="1" t="s">
        <v>11</v>
      </c>
      <c r="E4234" s="1" t="s">
        <v>11</v>
      </c>
    </row>
    <row r="4235" spans="1:5" ht="15.75" customHeight="1">
      <c r="A4235" s="1">
        <v>847621</v>
      </c>
      <c r="B4235" s="1" t="s">
        <v>4261</v>
      </c>
      <c r="C4235" s="1" t="str">
        <f ca="1">IFERROR(__xludf.DUMMYFUNCTION("REGEXEXTRACT(B4235, ""^([^:]+)"")"),"Machines")</f>
        <v>Machines</v>
      </c>
      <c r="D4235" s="1" t="s">
        <v>11</v>
      </c>
      <c r="E4235" s="1" t="s">
        <v>11</v>
      </c>
    </row>
    <row r="4236" spans="1:5" ht="15.75" customHeight="1">
      <c r="A4236" s="1">
        <v>847629</v>
      </c>
      <c r="B4236" s="1" t="s">
        <v>4262</v>
      </c>
      <c r="C4236" s="1" t="str">
        <f ca="1">IFERROR(__xludf.DUMMYFUNCTION("REGEXEXTRACT(B4236, ""^([^:]+)"")"),"Machines")</f>
        <v>Machines</v>
      </c>
      <c r="D4236" s="1" t="s">
        <v>11</v>
      </c>
      <c r="E4236" s="1" t="s">
        <v>11</v>
      </c>
    </row>
    <row r="4237" spans="1:5" ht="15.75" customHeight="1">
      <c r="A4237" s="1">
        <v>847681</v>
      </c>
      <c r="B4237" s="1" t="s">
        <v>4263</v>
      </c>
      <c r="C4237" s="1" t="str">
        <f ca="1">IFERROR(__xludf.DUMMYFUNCTION("REGEXEXTRACT(B4237, ""^([^:]+)"")"),"Machines")</f>
        <v>Machines</v>
      </c>
      <c r="D4237" s="1" t="s">
        <v>11</v>
      </c>
      <c r="E4237" s="1" t="s">
        <v>11</v>
      </c>
    </row>
    <row r="4238" spans="1:5" ht="15.75" customHeight="1">
      <c r="A4238" s="1">
        <v>847689</v>
      </c>
      <c r="B4238" s="1" t="s">
        <v>4264</v>
      </c>
      <c r="C4238" s="1" t="str">
        <f ca="1">IFERROR(__xludf.DUMMYFUNCTION("REGEXEXTRACT(B4238, ""^([^:]+)"")"),"Machines")</f>
        <v>Machines</v>
      </c>
      <c r="D4238" s="1" t="s">
        <v>11</v>
      </c>
      <c r="E4238" s="1" t="s">
        <v>11</v>
      </c>
    </row>
    <row r="4239" spans="1:5" ht="15.75" customHeight="1">
      <c r="A4239" s="1">
        <v>847690</v>
      </c>
      <c r="B4239" s="1" t="s">
        <v>4265</v>
      </c>
      <c r="C4239" s="1" t="str">
        <f ca="1">IFERROR(__xludf.DUMMYFUNCTION("REGEXEXTRACT(B4239, ""^([^:]+)"")"),"Machines")</f>
        <v>Machines</v>
      </c>
      <c r="D4239" s="1" t="s">
        <v>11</v>
      </c>
      <c r="E4239" s="1" t="s">
        <v>11</v>
      </c>
    </row>
    <row r="4240" spans="1:5" ht="15.75" customHeight="1">
      <c r="A4240" s="1">
        <v>847710</v>
      </c>
      <c r="B4240" s="1" t="s">
        <v>4266</v>
      </c>
      <c r="C4240" s="1" t="str">
        <f ca="1">IFERROR(__xludf.DUMMYFUNCTION("REGEXEXTRACT(B4240, ""^([^:]+)"")"),"Machinery")</f>
        <v>Machinery</v>
      </c>
      <c r="D4240" s="1" t="s">
        <v>11</v>
      </c>
      <c r="E4240" s="1" t="s">
        <v>11</v>
      </c>
    </row>
    <row r="4241" spans="1:5" ht="15.75" customHeight="1">
      <c r="A4241" s="1">
        <v>847720</v>
      </c>
      <c r="B4241" s="1" t="s">
        <v>4267</v>
      </c>
      <c r="C4241" s="1" t="str">
        <f ca="1">IFERROR(__xludf.DUMMYFUNCTION("REGEXEXTRACT(B4241, ""^([^:]+)"")"),"Machinery")</f>
        <v>Machinery</v>
      </c>
      <c r="D4241" s="1" t="s">
        <v>11</v>
      </c>
      <c r="E4241" s="1" t="s">
        <v>11</v>
      </c>
    </row>
    <row r="4242" spans="1:5" ht="15.75" customHeight="1">
      <c r="A4242" s="1">
        <v>847730</v>
      </c>
      <c r="B4242" s="1" t="s">
        <v>4268</v>
      </c>
      <c r="C4242" s="1" t="str">
        <f ca="1">IFERROR(__xludf.DUMMYFUNCTION("REGEXEXTRACT(B4242, ""^([^:]+)"")"),"Machinery")</f>
        <v>Machinery</v>
      </c>
      <c r="D4242" s="1" t="s">
        <v>11</v>
      </c>
      <c r="E4242" s="1" t="s">
        <v>11</v>
      </c>
    </row>
    <row r="4243" spans="1:5" ht="15.75" customHeight="1">
      <c r="A4243" s="1">
        <v>847740</v>
      </c>
      <c r="B4243" s="1" t="s">
        <v>4269</v>
      </c>
      <c r="C4243" s="1" t="str">
        <f ca="1">IFERROR(__xludf.DUMMYFUNCTION("REGEXEXTRACT(B4243, ""^([^:]+)"")"),"Machinery")</f>
        <v>Machinery</v>
      </c>
      <c r="D4243" s="1" t="s">
        <v>11</v>
      </c>
      <c r="E4243" s="1" t="s">
        <v>11</v>
      </c>
    </row>
    <row r="4244" spans="1:5" ht="15.75" customHeight="1">
      <c r="A4244" s="1">
        <v>847751</v>
      </c>
      <c r="B4244" s="1" t="s">
        <v>4270</v>
      </c>
      <c r="C4244" s="1" t="str">
        <f ca="1">IFERROR(__xludf.DUMMYFUNCTION("REGEXEXTRACT(B4244, ""^([^:]+)"")"),"Machinery")</f>
        <v>Machinery</v>
      </c>
      <c r="D4244" s="1" t="s">
        <v>11</v>
      </c>
      <c r="E4244" s="1" t="s">
        <v>11</v>
      </c>
    </row>
    <row r="4245" spans="1:5" ht="15.75" customHeight="1">
      <c r="A4245" s="1">
        <v>847759</v>
      </c>
      <c r="B4245" s="1" t="s">
        <v>4271</v>
      </c>
      <c r="C4245" s="1" t="str">
        <f ca="1">IFERROR(__xludf.DUMMYFUNCTION("REGEXEXTRACT(B4245, ""^([^:]+)"")"),"Machinery")</f>
        <v>Machinery</v>
      </c>
      <c r="D4245" s="1" t="s">
        <v>11</v>
      </c>
      <c r="E4245" s="1" t="s">
        <v>11</v>
      </c>
    </row>
    <row r="4246" spans="1:5" ht="15.75" customHeight="1">
      <c r="A4246" s="1">
        <v>847780</v>
      </c>
      <c r="B4246" s="1" t="s">
        <v>4272</v>
      </c>
      <c r="C4246" s="1" t="str">
        <f ca="1">IFERROR(__xludf.DUMMYFUNCTION("REGEXEXTRACT(B4246, ""^([^:]+)"")"),"Machinery")</f>
        <v>Machinery</v>
      </c>
      <c r="D4246" s="1" t="s">
        <v>11</v>
      </c>
      <c r="E4246" s="1" t="s">
        <v>11</v>
      </c>
    </row>
    <row r="4247" spans="1:5" ht="15.75" customHeight="1">
      <c r="A4247" s="1">
        <v>847790</v>
      </c>
      <c r="B4247" s="1" t="s">
        <v>4273</v>
      </c>
      <c r="C4247" s="1" t="str">
        <f ca="1">IFERROR(__xludf.DUMMYFUNCTION("REGEXEXTRACT(B4247, ""^([^:]+)"")"),"Machinery")</f>
        <v>Machinery</v>
      </c>
      <c r="D4247" s="1" t="s">
        <v>11</v>
      </c>
      <c r="E4247" s="1" t="s">
        <v>11</v>
      </c>
    </row>
    <row r="4248" spans="1:5" ht="15.75" customHeight="1">
      <c r="A4248" s="1">
        <v>847810</v>
      </c>
      <c r="B4248" s="1" t="s">
        <v>4274</v>
      </c>
      <c r="C4248" s="1" t="str">
        <f ca="1">IFERROR(__xludf.DUMMYFUNCTION("REGEXEXTRACT(B4248, ""^([^:]+)"")"),"Machinery")</f>
        <v>Machinery</v>
      </c>
      <c r="D4248" s="1" t="s">
        <v>11</v>
      </c>
      <c r="E4248" s="1" t="s">
        <v>11</v>
      </c>
    </row>
    <row r="4249" spans="1:5" ht="15.75" customHeight="1">
      <c r="A4249" s="1">
        <v>847890</v>
      </c>
      <c r="B4249" s="1" t="s">
        <v>4275</v>
      </c>
      <c r="C4249" s="1" t="str">
        <f ca="1">IFERROR(__xludf.DUMMYFUNCTION("REGEXEXTRACT(B4249, ""^([^:]+)"")"),"Machinery")</f>
        <v>Machinery</v>
      </c>
      <c r="D4249" s="1" t="s">
        <v>11</v>
      </c>
      <c r="E4249" s="1" t="s">
        <v>11</v>
      </c>
    </row>
    <row r="4250" spans="1:5" ht="15.75" customHeight="1">
      <c r="A4250" s="1">
        <v>847910</v>
      </c>
      <c r="B4250" s="1" t="s">
        <v>4276</v>
      </c>
      <c r="C4250" s="1" t="str">
        <f ca="1">IFERROR(__xludf.DUMMYFUNCTION("REGEXEXTRACT(B4250, ""^([^:]+)"")"),"Machinery and mechanical appliances")</f>
        <v>Machinery and mechanical appliances</v>
      </c>
      <c r="D4250" s="1" t="s">
        <v>11</v>
      </c>
      <c r="E4250" s="1" t="s">
        <v>11</v>
      </c>
    </row>
    <row r="4251" spans="1:5" ht="15.75" customHeight="1">
      <c r="A4251" s="1">
        <v>847920</v>
      </c>
      <c r="B4251" s="1" t="s">
        <v>4277</v>
      </c>
      <c r="C4251" s="1" t="str">
        <f ca="1">IFERROR(__xludf.DUMMYFUNCTION("REGEXEXTRACT(B4251, ""^([^:]+)"")"),"Machinery")</f>
        <v>Machinery</v>
      </c>
      <c r="D4251" s="1" t="s">
        <v>11</v>
      </c>
      <c r="E4251" s="1" t="s">
        <v>11</v>
      </c>
    </row>
    <row r="4252" spans="1:5" ht="15.75" customHeight="1">
      <c r="A4252" s="1">
        <v>847930</v>
      </c>
      <c r="B4252" s="1" t="s">
        <v>4278</v>
      </c>
      <c r="C4252" s="1" t="str">
        <f ca="1">IFERROR(__xludf.DUMMYFUNCTION("REGEXEXTRACT(B4252, ""^([^:]+)"")"),"Machinery and mechanical appliances")</f>
        <v>Machinery and mechanical appliances</v>
      </c>
      <c r="D4252" s="1" t="s">
        <v>11</v>
      </c>
      <c r="E4252" s="1" t="s">
        <v>11</v>
      </c>
    </row>
    <row r="4253" spans="1:5" ht="15.75" customHeight="1">
      <c r="A4253" s="1">
        <v>847940</v>
      </c>
      <c r="B4253" s="1" t="s">
        <v>4279</v>
      </c>
      <c r="C4253" s="1" t="str">
        <f ca="1">IFERROR(__xludf.DUMMYFUNCTION("REGEXEXTRACT(B4253, ""^([^:]+)"")"),"Machines")</f>
        <v>Machines</v>
      </c>
      <c r="D4253" s="1" t="s">
        <v>11</v>
      </c>
      <c r="E4253" s="1" t="s">
        <v>11</v>
      </c>
    </row>
    <row r="4254" spans="1:5" ht="15.75" customHeight="1">
      <c r="A4254" s="1">
        <v>847950</v>
      </c>
      <c r="B4254" s="1" t="s">
        <v>4280</v>
      </c>
      <c r="C4254" s="1" t="str">
        <f ca="1">IFERROR(__xludf.DUMMYFUNCTION("REGEXEXTRACT(B4254, ""^([^:]+)"")"),"Machinery and mechanical appliances")</f>
        <v>Machinery and mechanical appliances</v>
      </c>
      <c r="D4254" s="1" t="s">
        <v>11</v>
      </c>
      <c r="E4254" s="1" t="s">
        <v>11</v>
      </c>
    </row>
    <row r="4255" spans="1:5" ht="15.75" customHeight="1">
      <c r="A4255" s="1">
        <v>847960</v>
      </c>
      <c r="B4255" s="1" t="s">
        <v>4281</v>
      </c>
      <c r="C4255" s="1" t="str">
        <f ca="1">IFERROR(__xludf.DUMMYFUNCTION("REGEXEXTRACT(B4255, ""^([^:]+)"")"),"Machinery and mechanical appliances")</f>
        <v>Machinery and mechanical appliances</v>
      </c>
      <c r="D4255" s="1" t="s">
        <v>11</v>
      </c>
      <c r="E4255" s="1" t="s">
        <v>11</v>
      </c>
    </row>
    <row r="4256" spans="1:5" ht="15.75" customHeight="1">
      <c r="A4256" s="1">
        <v>847981</v>
      </c>
      <c r="B4256" s="1" t="s">
        <v>4282</v>
      </c>
      <c r="C4256" s="1" t="str">
        <f ca="1">IFERROR(__xludf.DUMMYFUNCTION("REGEXEXTRACT(B4256, ""^([^:]+)"")"),"Machines and mechanical appliances")</f>
        <v>Machines and mechanical appliances</v>
      </c>
      <c r="D4256" s="1" t="s">
        <v>11</v>
      </c>
      <c r="E4256" s="1" t="s">
        <v>11</v>
      </c>
    </row>
    <row r="4257" spans="1:5" ht="15.75" customHeight="1">
      <c r="A4257" s="1">
        <v>847982</v>
      </c>
      <c r="B4257" s="1" t="s">
        <v>4283</v>
      </c>
      <c r="C4257" s="1" t="str">
        <f ca="1">IFERROR(__xludf.DUMMYFUNCTION("REGEXEXTRACT(B4257, ""^([^:]+)"")"),"Machines")</f>
        <v>Machines</v>
      </c>
      <c r="D4257" s="1" t="s">
        <v>11</v>
      </c>
      <c r="E4257" s="1" t="s">
        <v>11</v>
      </c>
    </row>
    <row r="4258" spans="1:5" ht="15.75" customHeight="1">
      <c r="A4258" s="1">
        <v>847989</v>
      </c>
      <c r="B4258" s="1" t="s">
        <v>4284</v>
      </c>
      <c r="C4258" s="1" t="str">
        <f ca="1">IFERROR(__xludf.DUMMYFUNCTION("REGEXEXTRACT(B4258, ""^([^:]+)"")"),"Machines and mechanical appliances")</f>
        <v>Machines and mechanical appliances</v>
      </c>
      <c r="D4258" s="1" t="s">
        <v>11</v>
      </c>
      <c r="E4258" s="1" t="s">
        <v>11</v>
      </c>
    </row>
    <row r="4259" spans="1:5" ht="15.75" customHeight="1">
      <c r="A4259" s="1">
        <v>847990</v>
      </c>
      <c r="B4259" s="1" t="s">
        <v>4285</v>
      </c>
      <c r="C4259" s="1" t="str">
        <f ca="1">IFERROR(__xludf.DUMMYFUNCTION("REGEXEXTRACT(B4259, ""^([^:]+)"")"),"Machines and mechanical appliances")</f>
        <v>Machines and mechanical appliances</v>
      </c>
      <c r="D4259" s="1" t="s">
        <v>11</v>
      </c>
      <c r="E4259" s="1" t="s">
        <v>11</v>
      </c>
    </row>
    <row r="4260" spans="1:5" ht="15.75" customHeight="1">
      <c r="A4260" s="1">
        <v>848010</v>
      </c>
      <c r="B4260" s="1" t="s">
        <v>4286</v>
      </c>
      <c r="C4260" s="1" t="str">
        <f ca="1">IFERROR(__xludf.DUMMYFUNCTION("REGEXEXTRACT(B4260, ""^([^:]+)"")"),"Moulding boxes")</f>
        <v>Moulding boxes</v>
      </c>
      <c r="D4260" s="1" t="s">
        <v>11</v>
      </c>
      <c r="E4260" s="1" t="s">
        <v>11</v>
      </c>
    </row>
    <row r="4261" spans="1:5" ht="15.75" customHeight="1">
      <c r="A4261" s="1">
        <v>848020</v>
      </c>
      <c r="B4261" s="1" t="s">
        <v>4287</v>
      </c>
      <c r="C4261" s="1" t="str">
        <f ca="1">IFERROR(__xludf.DUMMYFUNCTION("REGEXEXTRACT(B4261, ""^([^:]+)"")"),"Mould bases")</f>
        <v>Mould bases</v>
      </c>
      <c r="D4261" s="1" t="s">
        <v>11</v>
      </c>
      <c r="E4261" s="1" t="s">
        <v>11</v>
      </c>
    </row>
    <row r="4262" spans="1:5" ht="15.75" customHeight="1">
      <c r="A4262" s="1">
        <v>848030</v>
      </c>
      <c r="B4262" s="1" t="s">
        <v>4288</v>
      </c>
      <c r="C4262" s="1" t="str">
        <f ca="1">IFERROR(__xludf.DUMMYFUNCTION("REGEXEXTRACT(B4262, ""^([^:]+)"")"),"Moulding patterns")</f>
        <v>Moulding patterns</v>
      </c>
      <c r="D4262" s="1" t="s">
        <v>11</v>
      </c>
      <c r="E4262" s="1" t="s">
        <v>11</v>
      </c>
    </row>
    <row r="4263" spans="1:5" ht="15.75" customHeight="1">
      <c r="A4263" s="1">
        <v>848041</v>
      </c>
      <c r="B4263" s="1" t="s">
        <v>4289</v>
      </c>
      <c r="C4263" s="1" t="str">
        <f ca="1">IFERROR(__xludf.DUMMYFUNCTION("REGEXEXTRACT(B4263, ""^([^:]+)"")"),"Moulds")</f>
        <v>Moulds</v>
      </c>
      <c r="D4263" s="1" t="s">
        <v>11</v>
      </c>
      <c r="E4263" s="1" t="s">
        <v>11</v>
      </c>
    </row>
    <row r="4264" spans="1:5" ht="15.75" customHeight="1">
      <c r="A4264" s="1">
        <v>848049</v>
      </c>
      <c r="B4264" s="1" t="s">
        <v>4290</v>
      </c>
      <c r="C4264" s="1" t="str">
        <f ca="1">IFERROR(__xludf.DUMMYFUNCTION("REGEXEXTRACT(B4264, ""^([^:]+)"")"),"Moulds")</f>
        <v>Moulds</v>
      </c>
      <c r="D4264" s="1" t="s">
        <v>11</v>
      </c>
      <c r="E4264" s="1" t="s">
        <v>11</v>
      </c>
    </row>
    <row r="4265" spans="1:5" ht="15.75" customHeight="1">
      <c r="A4265" s="1">
        <v>848050</v>
      </c>
      <c r="B4265" s="1" t="s">
        <v>4291</v>
      </c>
      <c r="C4265" s="1" t="str">
        <f ca="1">IFERROR(__xludf.DUMMYFUNCTION("REGEXEXTRACT(B4265, ""^([^:]+)"")"),"Moulds")</f>
        <v>Moulds</v>
      </c>
      <c r="D4265" s="1" t="s">
        <v>11</v>
      </c>
      <c r="E4265" s="1" t="s">
        <v>11</v>
      </c>
    </row>
    <row r="4266" spans="1:5" ht="15.75" customHeight="1">
      <c r="A4266" s="1">
        <v>848060</v>
      </c>
      <c r="B4266" s="1" t="s">
        <v>4292</v>
      </c>
      <c r="C4266" s="1" t="str">
        <f ca="1">IFERROR(__xludf.DUMMYFUNCTION("REGEXEXTRACT(B4266, ""^([^:]+)"")"),"Moulds")</f>
        <v>Moulds</v>
      </c>
      <c r="D4266" s="1" t="s">
        <v>11</v>
      </c>
      <c r="E4266" s="1" t="s">
        <v>11</v>
      </c>
    </row>
    <row r="4267" spans="1:5" ht="15.75" customHeight="1">
      <c r="A4267" s="1">
        <v>848071</v>
      </c>
      <c r="B4267" s="1" t="s">
        <v>4293</v>
      </c>
      <c r="C4267" s="1" t="str">
        <f ca="1">IFERROR(__xludf.DUMMYFUNCTION("REGEXEXTRACT(B4267, ""^([^:]+)"")"),"Moulds")</f>
        <v>Moulds</v>
      </c>
      <c r="D4267" s="1" t="s">
        <v>11</v>
      </c>
      <c r="E4267" s="1" t="s">
        <v>11</v>
      </c>
    </row>
    <row r="4268" spans="1:5" ht="15.75" customHeight="1">
      <c r="A4268" s="1">
        <v>848079</v>
      </c>
      <c r="B4268" s="1" t="s">
        <v>4294</v>
      </c>
      <c r="C4268" s="1" t="str">
        <f ca="1">IFERROR(__xludf.DUMMYFUNCTION("REGEXEXTRACT(B4268, ""^([^:]+)"")"),"Moulds")</f>
        <v>Moulds</v>
      </c>
      <c r="D4268" s="1" t="s">
        <v>11</v>
      </c>
      <c r="E4268" s="1" t="s">
        <v>11</v>
      </c>
    </row>
    <row r="4269" spans="1:5" ht="15.75" customHeight="1">
      <c r="A4269" s="1">
        <v>848110</v>
      </c>
      <c r="B4269" s="1" t="s">
        <v>4295</v>
      </c>
      <c r="C4269" s="1" t="str">
        <f ca="1">IFERROR(__xludf.DUMMYFUNCTION("REGEXEXTRACT(B4269, ""^([^:]+)"")"),"Valves")</f>
        <v>Valves</v>
      </c>
      <c r="D4269" s="1" t="s">
        <v>11</v>
      </c>
      <c r="E4269" s="1" t="s">
        <v>11</v>
      </c>
    </row>
    <row r="4270" spans="1:5" ht="15.75" customHeight="1">
      <c r="A4270" s="1">
        <v>848120</v>
      </c>
      <c r="B4270" s="1" t="s">
        <v>4296</v>
      </c>
      <c r="C4270" s="1" t="str">
        <f ca="1">IFERROR(__xludf.DUMMYFUNCTION("REGEXEXTRACT(B4270, ""^([^:]+)"")"),"Valves")</f>
        <v>Valves</v>
      </c>
      <c r="D4270" s="1" t="s">
        <v>11</v>
      </c>
      <c r="E4270" s="1" t="s">
        <v>11</v>
      </c>
    </row>
    <row r="4271" spans="1:5" ht="15.75" customHeight="1">
      <c r="A4271" s="1">
        <v>848130</v>
      </c>
      <c r="B4271" s="1" t="s">
        <v>4297</v>
      </c>
      <c r="C4271" s="1" t="str">
        <f ca="1">IFERROR(__xludf.DUMMYFUNCTION("REGEXEXTRACT(B4271, ""^([^:]+)"")"),"Valves")</f>
        <v>Valves</v>
      </c>
      <c r="D4271" s="1" t="s">
        <v>11</v>
      </c>
      <c r="E4271" s="1" t="s">
        <v>11</v>
      </c>
    </row>
    <row r="4272" spans="1:5" ht="15.75" customHeight="1">
      <c r="A4272" s="1">
        <v>848140</v>
      </c>
      <c r="B4272" s="1" t="s">
        <v>4298</v>
      </c>
      <c r="C4272" s="1" t="str">
        <f ca="1">IFERROR(__xludf.DUMMYFUNCTION("REGEXEXTRACT(B4272, ""^([^:]+)"")"),"Valves")</f>
        <v>Valves</v>
      </c>
      <c r="D4272" s="1" t="s">
        <v>11</v>
      </c>
      <c r="E4272" s="1" t="s">
        <v>11</v>
      </c>
    </row>
    <row r="4273" spans="1:5" ht="15.75" customHeight="1">
      <c r="A4273" s="1">
        <v>848180</v>
      </c>
      <c r="B4273" s="1" t="s">
        <v>4299</v>
      </c>
      <c r="C4273" s="1" t="str">
        <f ca="1">IFERROR(__xludf.DUMMYFUNCTION("REGEXEXTRACT(B4273, ""^([^:]+)"")"),"Taps, cocks, valves and similar appliances")</f>
        <v>Taps, cocks, valves and similar appliances</v>
      </c>
      <c r="D4273" s="1" t="s">
        <v>11</v>
      </c>
      <c r="E4273" s="1" t="s">
        <v>11</v>
      </c>
    </row>
    <row r="4274" spans="1:5" ht="15.75" customHeight="1">
      <c r="A4274" s="1">
        <v>848190</v>
      </c>
      <c r="B4274" s="1" t="s">
        <v>4300</v>
      </c>
      <c r="C4274" s="1" t="str">
        <f ca="1">IFERROR(__xludf.DUMMYFUNCTION("REGEXEXTRACT(B4274, ""^([^:]+)"")"),"Taps, cocks, valves and similar appliances")</f>
        <v>Taps, cocks, valves and similar appliances</v>
      </c>
      <c r="D4274" s="1" t="s">
        <v>11</v>
      </c>
      <c r="E4274" s="1" t="s">
        <v>11</v>
      </c>
    </row>
    <row r="4275" spans="1:5" ht="15.75" customHeight="1">
      <c r="A4275" s="1">
        <v>848210</v>
      </c>
      <c r="B4275" s="1" t="s">
        <v>4301</v>
      </c>
      <c r="C4275" s="1" t="str">
        <f ca="1">IFERROR(__xludf.DUMMYFUNCTION("REGEXEXTRACT(B4275, ""^([^:]+)"")"),"Ball bearings")</f>
        <v>Ball bearings</v>
      </c>
      <c r="D4275" s="1" t="s">
        <v>11</v>
      </c>
      <c r="E4275" s="1" t="s">
        <v>11</v>
      </c>
    </row>
    <row r="4276" spans="1:5" ht="15.75" customHeight="1">
      <c r="A4276" s="1">
        <v>848220</v>
      </c>
      <c r="B4276" s="1" t="s">
        <v>4302</v>
      </c>
      <c r="C4276" s="1" t="str">
        <f ca="1">IFERROR(__xludf.DUMMYFUNCTION("REGEXEXTRACT(B4276, ""^([^:]+)"")"),"Bearings")</f>
        <v>Bearings</v>
      </c>
      <c r="D4276" s="1" t="s">
        <v>11</v>
      </c>
      <c r="E4276" s="1" t="s">
        <v>11</v>
      </c>
    </row>
    <row r="4277" spans="1:5" ht="15.75" customHeight="1">
      <c r="A4277" s="1">
        <v>848230</v>
      </c>
      <c r="B4277" s="1" t="s">
        <v>4303</v>
      </c>
      <c r="C4277" s="1" t="str">
        <f ca="1">IFERROR(__xludf.DUMMYFUNCTION("REGEXEXTRACT(B4277, ""^([^:]+)"")"),"Bearings")</f>
        <v>Bearings</v>
      </c>
      <c r="D4277" s="1" t="s">
        <v>11</v>
      </c>
      <c r="E4277" s="1" t="s">
        <v>11</v>
      </c>
    </row>
    <row r="4278" spans="1:5" ht="15.75" customHeight="1">
      <c r="A4278" s="1">
        <v>848240</v>
      </c>
      <c r="B4278" s="1" t="s">
        <v>4304</v>
      </c>
      <c r="C4278" s="1" t="str">
        <f ca="1">IFERROR(__xludf.DUMMYFUNCTION("REGEXEXTRACT(B4278, ""^([^:]+)"")"),"Bearings")</f>
        <v>Bearings</v>
      </c>
      <c r="D4278" s="1" t="s">
        <v>11</v>
      </c>
      <c r="E4278" s="1" t="s">
        <v>11</v>
      </c>
    </row>
    <row r="4279" spans="1:5" ht="15.75" customHeight="1">
      <c r="A4279" s="1">
        <v>848250</v>
      </c>
      <c r="B4279" s="1" t="s">
        <v>4305</v>
      </c>
      <c r="C4279" s="1" t="str">
        <f ca="1">IFERROR(__xludf.DUMMYFUNCTION("REGEXEXTRACT(B4279, ""^([^:]+)"")"),"Bearings")</f>
        <v>Bearings</v>
      </c>
      <c r="D4279" s="1" t="s">
        <v>11</v>
      </c>
      <c r="E4279" s="1" t="s">
        <v>11</v>
      </c>
    </row>
    <row r="4280" spans="1:5" ht="15.75" customHeight="1">
      <c r="A4280" s="1">
        <v>848280</v>
      </c>
      <c r="B4280" s="1" t="s">
        <v>4306</v>
      </c>
      <c r="C4280" s="1" t="str">
        <f ca="1">IFERROR(__xludf.DUMMYFUNCTION("REGEXEXTRACT(B4280, ""^([^:]+)"")"),"Bearings")</f>
        <v>Bearings</v>
      </c>
      <c r="D4280" s="1" t="s">
        <v>11</v>
      </c>
      <c r="E4280" s="1" t="s">
        <v>11</v>
      </c>
    </row>
    <row r="4281" spans="1:5" ht="15.75" customHeight="1">
      <c r="A4281" s="1">
        <v>848291</v>
      </c>
      <c r="B4281" s="1" t="s">
        <v>4307</v>
      </c>
      <c r="C4281" s="1" t="str">
        <f ca="1">IFERROR(__xludf.DUMMYFUNCTION("REGEXEXTRACT(B4281, ""^([^:]+)"")"),"Bearings")</f>
        <v>Bearings</v>
      </c>
      <c r="D4281" s="1" t="s">
        <v>11</v>
      </c>
      <c r="E4281" s="1" t="s">
        <v>11</v>
      </c>
    </row>
    <row r="4282" spans="1:5" ht="15.75" customHeight="1">
      <c r="A4282" s="1">
        <v>848299</v>
      </c>
      <c r="B4282" s="1" t="s">
        <v>4308</v>
      </c>
      <c r="C4282" s="1" t="str">
        <f ca="1">IFERROR(__xludf.DUMMYFUNCTION("REGEXEXTRACT(B4282, ""^([^:]+)"")"),"Bearings")</f>
        <v>Bearings</v>
      </c>
      <c r="D4282" s="1" t="s">
        <v>11</v>
      </c>
      <c r="E4282" s="1" t="s">
        <v>11</v>
      </c>
    </row>
    <row r="4283" spans="1:5" ht="15.75" customHeight="1">
      <c r="A4283" s="1">
        <v>848310</v>
      </c>
      <c r="B4283" s="1" t="s">
        <v>4309</v>
      </c>
      <c r="C4283" s="1" t="str">
        <f ca="1">IFERROR(__xludf.DUMMYFUNCTION("REGEXEXTRACT(B4283, ""^([^:]+)"")"),"Transmission shafts (including cam shafts and crank shafts) and cranks")</f>
        <v>Transmission shafts (including cam shafts and crank shafts) and cranks</v>
      </c>
      <c r="D4283" s="1" t="s">
        <v>11</v>
      </c>
      <c r="E4283" s="1" t="s">
        <v>11</v>
      </c>
    </row>
    <row r="4284" spans="1:5" ht="15.75" customHeight="1">
      <c r="A4284" s="1">
        <v>848320</v>
      </c>
      <c r="B4284" s="1" t="s">
        <v>4310</v>
      </c>
      <c r="C4284" s="1" t="str">
        <f ca="1">IFERROR(__xludf.DUMMYFUNCTION("REGEXEXTRACT(B4284, ""^([^:]+)"")"),"Bearing housings, incorporating ball or roller bearings")</f>
        <v>Bearing housings, incorporating ball or roller bearings</v>
      </c>
      <c r="D4284" s="1" t="s">
        <v>11</v>
      </c>
      <c r="E4284" s="1" t="s">
        <v>11</v>
      </c>
    </row>
    <row r="4285" spans="1:5" ht="15.75" customHeight="1">
      <c r="A4285" s="1">
        <v>848330</v>
      </c>
      <c r="B4285" s="1" t="s">
        <v>4311</v>
      </c>
      <c r="C4285" s="1" t="str">
        <f ca="1">IFERROR(__xludf.DUMMYFUNCTION("REGEXEXTRACT(B4285, ""^([^:]+)"")"),"Bearing housings, not incorporating ball or roller bearings and plain shaft bearings")</f>
        <v>Bearing housings, not incorporating ball or roller bearings and plain shaft bearings</v>
      </c>
      <c r="D4285" s="1" t="s">
        <v>11</v>
      </c>
      <c r="E4285" s="1" t="s">
        <v>11</v>
      </c>
    </row>
    <row r="4286" spans="1:5" ht="15.75" customHeight="1">
      <c r="A4286" s="1">
        <v>848340</v>
      </c>
      <c r="B4286" s="1" t="s">
        <v>4312</v>
      </c>
      <c r="C4286" s="1" t="str">
        <f ca="1">IFERROR(__xludf.DUMMYFUNCTION("REGEXEXTRACT(B4286, ""^([^:]+)"")"),"Gears and gearing")</f>
        <v>Gears and gearing</v>
      </c>
      <c r="D4286" s="1" t="s">
        <v>11</v>
      </c>
      <c r="E4286" s="1" t="s">
        <v>11</v>
      </c>
    </row>
    <row r="4287" spans="1:5" ht="15.75" customHeight="1">
      <c r="A4287" s="1">
        <v>848350</v>
      </c>
      <c r="B4287" s="1" t="s">
        <v>4313</v>
      </c>
      <c r="C4287" s="1" t="str">
        <f ca="1">IFERROR(__xludf.DUMMYFUNCTION("REGEXEXTRACT(B4287, ""^([^:]+)"")"),"Pulleys and flywheels, including pulley blocks")</f>
        <v>Pulleys and flywheels, including pulley blocks</v>
      </c>
      <c r="D4287" s="1" t="s">
        <v>11</v>
      </c>
      <c r="E4287" s="1" t="s">
        <v>11</v>
      </c>
    </row>
    <row r="4288" spans="1:5" ht="15.75" customHeight="1">
      <c r="A4288" s="1">
        <v>848360</v>
      </c>
      <c r="B4288" s="1" t="s">
        <v>4314</v>
      </c>
      <c r="C4288" s="1" t="str">
        <f ca="1">IFERROR(__xludf.DUMMYFUNCTION("REGEXEXTRACT(B4288, ""^([^:]+)"")"),"Clutches and shaft couplings (including universal joints)")</f>
        <v>Clutches and shaft couplings (including universal joints)</v>
      </c>
      <c r="D4288" s="1" t="s">
        <v>11</v>
      </c>
      <c r="E4288" s="1" t="s">
        <v>11</v>
      </c>
    </row>
    <row r="4289" spans="1:5" ht="15.75" customHeight="1">
      <c r="A4289" s="1">
        <v>848390</v>
      </c>
      <c r="B4289" s="1" t="s">
        <v>4315</v>
      </c>
      <c r="C4289" s="1" t="str">
        <f ca="1">IFERROR(__xludf.DUMMYFUNCTION("REGEXEXTRACT(B4289, ""^([^:]+)"")"),"Transmission components")</f>
        <v>Transmission components</v>
      </c>
      <c r="D4289" s="1" t="s">
        <v>11</v>
      </c>
      <c r="E4289" s="1" t="s">
        <v>11</v>
      </c>
    </row>
    <row r="4290" spans="1:5" ht="15.75" customHeight="1">
      <c r="A4290" s="1">
        <v>848410</v>
      </c>
      <c r="B4290" s="1" t="s">
        <v>4316</v>
      </c>
      <c r="C4290" s="1" t="str">
        <f ca="1">IFERROR(__xludf.DUMMYFUNCTION("REGEXEXTRACT(B4290, ""^([^:]+)"")"),"Gaskets and similar joints")</f>
        <v>Gaskets and similar joints</v>
      </c>
      <c r="D4290" s="1" t="s">
        <v>11</v>
      </c>
      <c r="E4290" s="1" t="s">
        <v>11</v>
      </c>
    </row>
    <row r="4291" spans="1:5" ht="15.75" customHeight="1">
      <c r="A4291" s="1">
        <v>848420</v>
      </c>
      <c r="B4291" s="1" t="s">
        <v>4317</v>
      </c>
      <c r="C4291" s="1" t="str">
        <f ca="1">IFERROR(__xludf.DUMMYFUNCTION("REGEXEXTRACT(B4291, ""^([^:]+)"")"),"Seals")</f>
        <v>Seals</v>
      </c>
      <c r="D4291" s="1" t="s">
        <v>11</v>
      </c>
      <c r="E4291" s="1" t="s">
        <v>11</v>
      </c>
    </row>
    <row r="4292" spans="1:5" ht="15.75" customHeight="1">
      <c r="A4292" s="1">
        <v>848490</v>
      </c>
      <c r="B4292" s="1" t="s">
        <v>4318</v>
      </c>
      <c r="C4292" s="1" t="str">
        <f ca="1">IFERROR(__xludf.DUMMYFUNCTION("REGEXEXTRACT(B4292, ""^([^:]+)"")"),"Gasket sets or assortments of gaskets and similar joints")</f>
        <v>Gasket sets or assortments of gaskets and similar joints</v>
      </c>
      <c r="D4292" s="1" t="s">
        <v>11</v>
      </c>
      <c r="E4292" s="1" t="s">
        <v>11</v>
      </c>
    </row>
    <row r="4293" spans="1:5" ht="15.75" customHeight="1">
      <c r="A4293" s="1">
        <v>848610</v>
      </c>
      <c r="B4293" s="1" t="s">
        <v>4319</v>
      </c>
      <c r="C4293" s="1" t="str">
        <f ca="1">IFERROR(__xludf.DUMMYFUNCTION("REGEXEXTRACT(B4293, ""^([^:]+)"")"),"Machines and apparatus of a kind used solely or principally for the manufacture of semiconductor boules or wafers")</f>
        <v>Machines and apparatus of a kind used solely or principally for the manufacture of semiconductor boules or wafers</v>
      </c>
      <c r="D4293" s="1" t="s">
        <v>11</v>
      </c>
      <c r="E4293" s="1" t="s">
        <v>11</v>
      </c>
    </row>
    <row r="4294" spans="1:5" ht="15.75" customHeight="1">
      <c r="A4294" s="1">
        <v>848620</v>
      </c>
      <c r="B4294" s="1" t="s">
        <v>4320</v>
      </c>
      <c r="C4294" s="1" t="str">
        <f ca="1">IFERROR(__xludf.DUMMYFUNCTION("REGEXEXTRACT(B4294, ""^([^:]+)"")"),"Machines and apparatus of a kind used solely or principally for the manufacture of semiconductor devices or of electronic integrated circuits")</f>
        <v>Machines and apparatus of a kind used solely or principally for the manufacture of semiconductor devices or of electronic integrated circuits</v>
      </c>
      <c r="D4294" s="1" t="s">
        <v>11</v>
      </c>
      <c r="E4294" s="1" t="s">
        <v>11</v>
      </c>
    </row>
    <row r="4295" spans="1:5" ht="15.75" customHeight="1">
      <c r="A4295" s="1">
        <v>848630</v>
      </c>
      <c r="B4295" s="1" t="s">
        <v>4321</v>
      </c>
      <c r="C4295" s="1" t="str">
        <f ca="1">IFERROR(__xludf.DUMMYFUNCTION("REGEXEXTRACT(B4295, ""^([^:]+)"")"),"Machines and apparatus of a kind used solely or principally for the manufacture of flat panel displays")</f>
        <v>Machines and apparatus of a kind used solely or principally for the manufacture of flat panel displays</v>
      </c>
      <c r="D4295" s="1" t="s">
        <v>11</v>
      </c>
      <c r="E4295" s="1" t="s">
        <v>11</v>
      </c>
    </row>
    <row r="4296" spans="1:5" ht="15.75" customHeight="1">
      <c r="A4296" s="1">
        <v>848640</v>
      </c>
      <c r="B4296" s="1" t="s">
        <v>4322</v>
      </c>
      <c r="C4296" s="1" t="str">
        <f ca="1">IFERROR(__xludf.DUMMYFUNCTION("REGEXEXTRACT(B4296, ""^([^:]+)"")"),"Machines and apparatus of a kind used solely or principally for the manufacture or repair of masks and reticles, assembling semiconductor devices or electronic integrated circuits, or for lifting, handling, loading or unloading items of heading 8486")</f>
        <v>Machines and apparatus of a kind used solely or principally for the manufacture or repair of masks and reticles, assembling semiconductor devices or electronic integrated circuits, or for lifting, handling, loading or unloading items of heading 8486</v>
      </c>
      <c r="D4296" s="1" t="s">
        <v>11</v>
      </c>
      <c r="E4296" s="1" t="s">
        <v>11</v>
      </c>
    </row>
    <row r="4297" spans="1:5" ht="15.75" customHeight="1">
      <c r="A4297" s="1">
        <v>848690</v>
      </c>
      <c r="B4297" s="1" t="s">
        <v>4323</v>
      </c>
      <c r="C4297" s="1" t="str">
        <f ca="1">IFERROR(__xludf.DUMMYFUNCTION("REGEXEXTRACT(B4297, ""^([^:]+)"")"),"Machines and apparatus of heading 8486")</f>
        <v>Machines and apparatus of heading 8486</v>
      </c>
      <c r="D4297" s="1" t="s">
        <v>11</v>
      </c>
      <c r="E4297" s="1" t="s">
        <v>11</v>
      </c>
    </row>
    <row r="4298" spans="1:5" ht="15.75" customHeight="1">
      <c r="A4298" s="1">
        <v>848710</v>
      </c>
      <c r="B4298" s="1" t="s">
        <v>4324</v>
      </c>
      <c r="C4298" s="1" t="str">
        <f ca="1">IFERROR(__xludf.DUMMYFUNCTION("REGEXEXTRACT(B4298, ""^([^:]+)"")"),"Ships' or boats' propellers and blades therefor")</f>
        <v>Ships' or boats' propellers and blades therefor</v>
      </c>
      <c r="D4298" s="1" t="s">
        <v>11</v>
      </c>
      <c r="E4298" s="1" t="s">
        <v>11</v>
      </c>
    </row>
    <row r="4299" spans="1:5" ht="15.75" customHeight="1">
      <c r="A4299" s="1">
        <v>848790</v>
      </c>
      <c r="B4299" s="1" t="s">
        <v>4325</v>
      </c>
      <c r="C4299" s="1" t="str">
        <f ca="1">IFERROR(__xludf.DUMMYFUNCTION("REGEXEXTRACT(B4299, ""^([^:]+)"")"),"Machinery parts")</f>
        <v>Machinery parts</v>
      </c>
      <c r="D4299" s="1" t="s">
        <v>11</v>
      </c>
      <c r="E4299" s="1" t="s">
        <v>11</v>
      </c>
    </row>
    <row r="4300" spans="1:5" ht="15.75" customHeight="1">
      <c r="A4300" s="1">
        <v>850110</v>
      </c>
      <c r="B4300" s="1" t="s">
        <v>4326</v>
      </c>
      <c r="C4300" s="1" t="str">
        <f ca="1">IFERROR(__xludf.DUMMYFUNCTION("REGEXEXTRACT(B4300, ""^([^:]+)"")"),"Electric motors")</f>
        <v>Electric motors</v>
      </c>
      <c r="D4300" s="1" t="s">
        <v>11</v>
      </c>
      <c r="E4300" s="1" t="s">
        <v>11</v>
      </c>
    </row>
    <row r="4301" spans="1:5" ht="15.75" customHeight="1">
      <c r="A4301" s="1">
        <v>850120</v>
      </c>
      <c r="B4301" s="1" t="s">
        <v>4327</v>
      </c>
      <c r="C4301" s="1" t="str">
        <f ca="1">IFERROR(__xludf.DUMMYFUNCTION("REGEXEXTRACT(B4301, ""^([^:]+)"")"),"Electric motors")</f>
        <v>Electric motors</v>
      </c>
      <c r="D4301" s="1" t="s">
        <v>11</v>
      </c>
      <c r="E4301" s="1" t="s">
        <v>11</v>
      </c>
    </row>
    <row r="4302" spans="1:5" ht="15.75" customHeight="1">
      <c r="A4302" s="1">
        <v>850131</v>
      </c>
      <c r="B4302" s="1" t="s">
        <v>4328</v>
      </c>
      <c r="C4302" s="1" t="str">
        <f ca="1">IFERROR(__xludf.DUMMYFUNCTION("REGEXEXTRACT(B4302, ""^([^:]+)"")"),"Electric motors and generators")</f>
        <v>Electric motors and generators</v>
      </c>
      <c r="D4302" s="1" t="s">
        <v>11</v>
      </c>
      <c r="E4302" s="1" t="s">
        <v>11</v>
      </c>
    </row>
    <row r="4303" spans="1:5" ht="15.75" customHeight="1">
      <c r="A4303" s="1">
        <v>850132</v>
      </c>
      <c r="B4303" s="1" t="s">
        <v>4329</v>
      </c>
      <c r="C4303" s="1" t="str">
        <f ca="1">IFERROR(__xludf.DUMMYFUNCTION("REGEXEXTRACT(B4303, ""^([^:]+)"")"),"Electric motors and generators")</f>
        <v>Electric motors and generators</v>
      </c>
      <c r="D4303" s="1" t="s">
        <v>11</v>
      </c>
      <c r="E4303" s="1" t="s">
        <v>11</v>
      </c>
    </row>
    <row r="4304" spans="1:5" ht="15.75" customHeight="1">
      <c r="A4304" s="1">
        <v>850133</v>
      </c>
      <c r="B4304" s="1" t="s">
        <v>4330</v>
      </c>
      <c r="C4304" s="1" t="str">
        <f ca="1">IFERROR(__xludf.DUMMYFUNCTION("REGEXEXTRACT(B4304, ""^([^:]+)"")"),"Electric motors and generators")</f>
        <v>Electric motors and generators</v>
      </c>
      <c r="D4304" s="1" t="s">
        <v>11</v>
      </c>
      <c r="E4304" s="1" t="s">
        <v>11</v>
      </c>
    </row>
    <row r="4305" spans="1:5" ht="15.75" customHeight="1">
      <c r="A4305" s="1">
        <v>850134</v>
      </c>
      <c r="B4305" s="1" t="s">
        <v>4331</v>
      </c>
      <c r="C4305" s="1" t="str">
        <f ca="1">IFERROR(__xludf.DUMMYFUNCTION("REGEXEXTRACT(B4305, ""^([^:]+)"")"),"Electric motors and generators")</f>
        <v>Electric motors and generators</v>
      </c>
      <c r="D4305" s="1" t="s">
        <v>11</v>
      </c>
      <c r="E4305" s="1" t="s">
        <v>11</v>
      </c>
    </row>
    <row r="4306" spans="1:5" ht="15.75" customHeight="1">
      <c r="A4306" s="1">
        <v>850140</v>
      </c>
      <c r="B4306" s="1" t="s">
        <v>4332</v>
      </c>
      <c r="C4306" s="1" t="str">
        <f ca="1">IFERROR(__xludf.DUMMYFUNCTION("REGEXEXTRACT(B4306, ""^([^:]+)"")"),"Electric motors")</f>
        <v>Electric motors</v>
      </c>
      <c r="D4306" s="1" t="s">
        <v>11</v>
      </c>
      <c r="E4306" s="1" t="s">
        <v>11</v>
      </c>
    </row>
    <row r="4307" spans="1:5" ht="15.75" customHeight="1">
      <c r="A4307" s="1">
        <v>850151</v>
      </c>
      <c r="B4307" s="1" t="s">
        <v>4333</v>
      </c>
      <c r="C4307" s="1" t="str">
        <f ca="1">IFERROR(__xludf.DUMMYFUNCTION("REGEXEXTRACT(B4307, ""^([^:]+)"")"),"Electric motors")</f>
        <v>Electric motors</v>
      </c>
      <c r="D4307" s="1" t="s">
        <v>11</v>
      </c>
      <c r="E4307" s="1" t="s">
        <v>11</v>
      </c>
    </row>
    <row r="4308" spans="1:5" ht="15.75" customHeight="1">
      <c r="A4308" s="1">
        <v>850152</v>
      </c>
      <c r="B4308" s="1" t="s">
        <v>4334</v>
      </c>
      <c r="C4308" s="1" t="str">
        <f ca="1">IFERROR(__xludf.DUMMYFUNCTION("REGEXEXTRACT(B4308, ""^([^:]+)"")"),"Electric motors")</f>
        <v>Electric motors</v>
      </c>
      <c r="D4308" s="1" t="s">
        <v>11</v>
      </c>
      <c r="E4308" s="1" t="s">
        <v>11</v>
      </c>
    </row>
    <row r="4309" spans="1:5" ht="15.75" customHeight="1">
      <c r="A4309" s="1">
        <v>850153</v>
      </c>
      <c r="B4309" s="1" t="s">
        <v>4335</v>
      </c>
      <c r="C4309" s="1" t="str">
        <f ca="1">IFERROR(__xludf.DUMMYFUNCTION("REGEXEXTRACT(B4309, ""^([^:]+)"")"),"Electric motors")</f>
        <v>Electric motors</v>
      </c>
      <c r="D4309" s="1" t="s">
        <v>11</v>
      </c>
      <c r="E4309" s="1" t="s">
        <v>11</v>
      </c>
    </row>
    <row r="4310" spans="1:5" ht="15.75" customHeight="1">
      <c r="A4310" s="1">
        <v>850161</v>
      </c>
      <c r="B4310" s="1" t="s">
        <v>4336</v>
      </c>
      <c r="C4310" s="1" t="str">
        <f ca="1">IFERROR(__xludf.DUMMYFUNCTION("REGEXEXTRACT(B4310, ""^([^:]+)"")"),"Generators")</f>
        <v>Generators</v>
      </c>
      <c r="D4310" s="1" t="s">
        <v>11</v>
      </c>
      <c r="E4310" s="1" t="s">
        <v>11</v>
      </c>
    </row>
    <row r="4311" spans="1:5" ht="15.75" customHeight="1">
      <c r="A4311" s="1">
        <v>850162</v>
      </c>
      <c r="B4311" s="1" t="s">
        <v>4337</v>
      </c>
      <c r="C4311" s="1" t="str">
        <f ca="1">IFERROR(__xludf.DUMMYFUNCTION("REGEXEXTRACT(B4311, ""^([^:]+)"")"),"Electric generators")</f>
        <v>Electric generators</v>
      </c>
      <c r="D4311" s="1" t="s">
        <v>11</v>
      </c>
      <c r="E4311" s="1" t="s">
        <v>11</v>
      </c>
    </row>
    <row r="4312" spans="1:5" ht="15.75" customHeight="1">
      <c r="A4312" s="1">
        <v>850163</v>
      </c>
      <c r="B4312" s="1" t="s">
        <v>4338</v>
      </c>
      <c r="C4312" s="1" t="str">
        <f ca="1">IFERROR(__xludf.DUMMYFUNCTION("REGEXEXTRACT(B4312, ""^([^:]+)"")"),"Electric generators")</f>
        <v>Electric generators</v>
      </c>
      <c r="D4312" s="1" t="s">
        <v>11</v>
      </c>
      <c r="E4312" s="1" t="s">
        <v>11</v>
      </c>
    </row>
    <row r="4313" spans="1:5" ht="15.75" customHeight="1">
      <c r="A4313" s="1">
        <v>850164</v>
      </c>
      <c r="B4313" s="1" t="s">
        <v>4339</v>
      </c>
      <c r="C4313" s="1" t="str">
        <f ca="1">IFERROR(__xludf.DUMMYFUNCTION("REGEXEXTRACT(B4313, ""^([^:]+)"")"),"Electric generators")</f>
        <v>Electric generators</v>
      </c>
      <c r="D4313" s="1" t="s">
        <v>11</v>
      </c>
      <c r="E4313" s="1" t="s">
        <v>11</v>
      </c>
    </row>
    <row r="4314" spans="1:5" ht="15.75" customHeight="1">
      <c r="A4314" s="1">
        <v>850211</v>
      </c>
      <c r="B4314" s="1" t="s">
        <v>4340</v>
      </c>
      <c r="C4314" s="1" t="str">
        <f ca="1">IFERROR(__xludf.DUMMYFUNCTION("REGEXEXTRACT(B4314, ""^([^:]+)"")"),"Electric generating sets")</f>
        <v>Electric generating sets</v>
      </c>
      <c r="D4314" s="1" t="s">
        <v>11</v>
      </c>
      <c r="E4314" s="1" t="s">
        <v>11</v>
      </c>
    </row>
    <row r="4315" spans="1:5" ht="15.75" customHeight="1">
      <c r="A4315" s="1">
        <v>850212</v>
      </c>
      <c r="B4315" s="1" t="s">
        <v>4341</v>
      </c>
      <c r="C4315" s="1" t="str">
        <f ca="1">IFERROR(__xludf.DUMMYFUNCTION("REGEXEXTRACT(B4315, ""^([^:]+)"")"),"Electric generating sets")</f>
        <v>Electric generating sets</v>
      </c>
      <c r="D4315" s="1" t="s">
        <v>11</v>
      </c>
      <c r="E4315" s="1" t="s">
        <v>11</v>
      </c>
    </row>
    <row r="4316" spans="1:5" ht="15.75" customHeight="1">
      <c r="A4316" s="1">
        <v>850213</v>
      </c>
      <c r="B4316" s="1" t="s">
        <v>4342</v>
      </c>
      <c r="C4316" s="1" t="str">
        <f ca="1">IFERROR(__xludf.DUMMYFUNCTION("REGEXEXTRACT(B4316, ""^([^:]+)"")"),"Electric generating sets")</f>
        <v>Electric generating sets</v>
      </c>
      <c r="D4316" s="1" t="s">
        <v>11</v>
      </c>
      <c r="E4316" s="1" t="s">
        <v>11</v>
      </c>
    </row>
    <row r="4317" spans="1:5" ht="15.75" customHeight="1">
      <c r="A4317" s="1">
        <v>850220</v>
      </c>
      <c r="B4317" s="1" t="s">
        <v>4343</v>
      </c>
      <c r="C4317" s="1" t="str">
        <f ca="1">IFERROR(__xludf.DUMMYFUNCTION("REGEXEXTRACT(B4317, ""^([^:]+)"")"),"Electric generating sets")</f>
        <v>Electric generating sets</v>
      </c>
      <c r="D4317" s="1" t="s">
        <v>11</v>
      </c>
      <c r="E4317" s="1" t="s">
        <v>11</v>
      </c>
    </row>
    <row r="4318" spans="1:5" ht="15.75" customHeight="1">
      <c r="A4318" s="1">
        <v>850231</v>
      </c>
      <c r="B4318" s="1" t="s">
        <v>4344</v>
      </c>
      <c r="C4318" s="1" t="str">
        <f ca="1">IFERROR(__xludf.DUMMYFUNCTION("REGEXEXTRACT(B4318, ""^([^:]+)"")"),"Electric generating sets")</f>
        <v>Electric generating sets</v>
      </c>
      <c r="D4318" s="1" t="s">
        <v>11</v>
      </c>
      <c r="E4318" s="1" t="s">
        <v>11</v>
      </c>
    </row>
    <row r="4319" spans="1:5" ht="15.75" customHeight="1">
      <c r="A4319" s="1">
        <v>850239</v>
      </c>
      <c r="B4319" s="1" t="s">
        <v>4345</v>
      </c>
      <c r="C4319" s="1" t="str">
        <f ca="1">IFERROR(__xludf.DUMMYFUNCTION("REGEXEXTRACT(B4319, ""^([^:]+)"")"),"Electric generating sets")</f>
        <v>Electric generating sets</v>
      </c>
      <c r="D4319" s="1" t="s">
        <v>11</v>
      </c>
      <c r="E4319" s="1" t="s">
        <v>11</v>
      </c>
    </row>
    <row r="4320" spans="1:5" ht="15.75" customHeight="1">
      <c r="A4320" s="1">
        <v>850240</v>
      </c>
      <c r="B4320" s="1" t="s">
        <v>4346</v>
      </c>
      <c r="C4320" s="1" t="str">
        <f ca="1">IFERROR(__xludf.DUMMYFUNCTION("REGEXEXTRACT(B4320, ""^([^:]+)"")"),"Electric rotary converters")</f>
        <v>Electric rotary converters</v>
      </c>
      <c r="D4320" s="1" t="s">
        <v>11</v>
      </c>
      <c r="E4320" s="1" t="s">
        <v>11</v>
      </c>
    </row>
    <row r="4321" spans="1:5" ht="15.75" customHeight="1">
      <c r="A4321" s="1">
        <v>850300</v>
      </c>
      <c r="B4321" s="1" t="s">
        <v>4347</v>
      </c>
      <c r="C4321" s="1" t="str">
        <f ca="1">IFERROR(__xludf.DUMMYFUNCTION("REGEXEXTRACT(B4321, ""^([^:]+)"")"),"Electric motors and generators")</f>
        <v>Electric motors and generators</v>
      </c>
      <c r="D4321" s="1" t="s">
        <v>11</v>
      </c>
      <c r="E4321" s="1" t="s">
        <v>11</v>
      </c>
    </row>
    <row r="4322" spans="1:5" ht="15.75" customHeight="1">
      <c r="A4322" s="1">
        <v>850410</v>
      </c>
      <c r="B4322" s="1" t="s">
        <v>4348</v>
      </c>
      <c r="C4322" s="1" t="str">
        <f ca="1">IFERROR(__xludf.DUMMYFUNCTION("REGEXEXTRACT(B4322, ""^([^:]+)"")"),"Discharge lamps or tubes")</f>
        <v>Discharge lamps or tubes</v>
      </c>
      <c r="D4322" s="1" t="s">
        <v>11</v>
      </c>
      <c r="E4322" s="1" t="s">
        <v>11</v>
      </c>
    </row>
    <row r="4323" spans="1:5" ht="15.75" customHeight="1">
      <c r="A4323" s="1">
        <v>850421</v>
      </c>
      <c r="B4323" s="1" t="s">
        <v>4349</v>
      </c>
      <c r="C4323" s="1" t="str">
        <f ca="1">IFERROR(__xludf.DUMMYFUNCTION("REGEXEXTRACT(B4323, ""^([^:]+)"")"),"Electrical transformers")</f>
        <v>Electrical transformers</v>
      </c>
      <c r="D4323" s="1" t="s">
        <v>11</v>
      </c>
      <c r="E4323" s="1" t="s">
        <v>11</v>
      </c>
    </row>
    <row r="4324" spans="1:5" ht="15.75" customHeight="1">
      <c r="A4324" s="1">
        <v>850422</v>
      </c>
      <c r="B4324" s="1" t="s">
        <v>4350</v>
      </c>
      <c r="C4324" s="1" t="str">
        <f ca="1">IFERROR(__xludf.DUMMYFUNCTION("REGEXEXTRACT(B4324, ""^([^:]+)"")"),"Electrical transformers")</f>
        <v>Electrical transformers</v>
      </c>
      <c r="D4324" s="1" t="s">
        <v>11</v>
      </c>
      <c r="E4324" s="1" t="s">
        <v>11</v>
      </c>
    </row>
    <row r="4325" spans="1:5" ht="15.75" customHeight="1">
      <c r="A4325" s="1">
        <v>850423</v>
      </c>
      <c r="B4325" s="1" t="s">
        <v>4351</v>
      </c>
      <c r="C4325" s="1" t="str">
        <f ca="1">IFERROR(__xludf.DUMMYFUNCTION("REGEXEXTRACT(B4325, ""^([^:]+)"")"),"Electrical transformers")</f>
        <v>Electrical transformers</v>
      </c>
      <c r="D4325" s="1" t="s">
        <v>11</v>
      </c>
      <c r="E4325" s="1" t="s">
        <v>11</v>
      </c>
    </row>
    <row r="4326" spans="1:5" ht="15.75" customHeight="1">
      <c r="A4326" s="1">
        <v>850431</v>
      </c>
      <c r="B4326" s="1" t="s">
        <v>4352</v>
      </c>
      <c r="C4326" s="1" t="str">
        <f ca="1">IFERROR(__xludf.DUMMYFUNCTION("REGEXEXTRACT(B4326, ""^([^:]+)"")"),"Electrical transformers")</f>
        <v>Electrical transformers</v>
      </c>
      <c r="D4326" s="1" t="s">
        <v>11</v>
      </c>
      <c r="E4326" s="1" t="s">
        <v>11</v>
      </c>
    </row>
    <row r="4327" spans="1:5" ht="15.75" customHeight="1">
      <c r="A4327" s="1">
        <v>850432</v>
      </c>
      <c r="B4327" s="1" t="s">
        <v>4353</v>
      </c>
      <c r="C4327" s="1" t="str">
        <f ca="1">IFERROR(__xludf.DUMMYFUNCTION("REGEXEXTRACT(B4327, ""^([^:]+)"")"),"Transformers")</f>
        <v>Transformers</v>
      </c>
      <c r="D4327" s="1" t="s">
        <v>11</v>
      </c>
      <c r="E4327" s="1" t="s">
        <v>11</v>
      </c>
    </row>
    <row r="4328" spans="1:5" ht="15.75" customHeight="1">
      <c r="A4328" s="1">
        <v>850433</v>
      </c>
      <c r="B4328" s="1" t="s">
        <v>4354</v>
      </c>
      <c r="C4328" s="1" t="str">
        <f ca="1">IFERROR(__xludf.DUMMYFUNCTION("REGEXEXTRACT(B4328, ""^([^:]+)"")"),"Transformers")</f>
        <v>Transformers</v>
      </c>
      <c r="D4328" s="1" t="s">
        <v>11</v>
      </c>
      <c r="E4328" s="1" t="s">
        <v>11</v>
      </c>
    </row>
    <row r="4329" spans="1:5" ht="15.75" customHeight="1">
      <c r="A4329" s="1">
        <v>850434</v>
      </c>
      <c r="B4329" s="1" t="s">
        <v>4355</v>
      </c>
      <c r="C4329" s="1" t="str">
        <f ca="1">IFERROR(__xludf.DUMMYFUNCTION("REGEXEXTRACT(B4329, ""^([^:]+)"")"),"Transformers")</f>
        <v>Transformers</v>
      </c>
      <c r="D4329" s="1" t="s">
        <v>11</v>
      </c>
      <c r="E4329" s="1" t="s">
        <v>11</v>
      </c>
    </row>
    <row r="4330" spans="1:5" ht="15.75" customHeight="1">
      <c r="A4330" s="1">
        <v>850440</v>
      </c>
      <c r="B4330" s="1" t="s">
        <v>4356</v>
      </c>
      <c r="C4330" s="1" t="str">
        <f ca="1">IFERROR(__xludf.DUMMYFUNCTION("REGEXEXTRACT(B4330, ""^([^:]+)"")"),"Electrical static converters")</f>
        <v>Electrical static converters</v>
      </c>
      <c r="D4330" s="1" t="s">
        <v>11</v>
      </c>
      <c r="E4330" s="1" t="s">
        <v>11</v>
      </c>
    </row>
    <row r="4331" spans="1:5" ht="15.75" customHeight="1">
      <c r="A4331" s="1">
        <v>850450</v>
      </c>
      <c r="B4331" s="1" t="s">
        <v>4357</v>
      </c>
      <c r="C4331" s="1" t="str">
        <f ca="1">IFERROR(__xludf.DUMMYFUNCTION("REGEXEXTRACT(B4331, ""^([^:]+)"")"),"Electrical inductors")</f>
        <v>Electrical inductors</v>
      </c>
      <c r="D4331" s="1" t="s">
        <v>11</v>
      </c>
      <c r="E4331" s="1" t="s">
        <v>11</v>
      </c>
    </row>
    <row r="4332" spans="1:5" ht="15.75" customHeight="1">
      <c r="A4332" s="1">
        <v>850490</v>
      </c>
      <c r="B4332" s="1" t="s">
        <v>4358</v>
      </c>
      <c r="C4332" s="1" t="str">
        <f ca="1">IFERROR(__xludf.DUMMYFUNCTION("REGEXEXTRACT(B4332, ""^([^:]+)"")"),"Electrical transformers, static converters and inductors")</f>
        <v>Electrical transformers, static converters and inductors</v>
      </c>
      <c r="D4332" s="1" t="s">
        <v>11</v>
      </c>
      <c r="E4332" s="1" t="s">
        <v>11</v>
      </c>
    </row>
    <row r="4333" spans="1:5" ht="15.75" customHeight="1">
      <c r="A4333" s="1">
        <v>850511</v>
      </c>
      <c r="B4333" s="1" t="s">
        <v>4359</v>
      </c>
      <c r="C4333" s="1" t="str">
        <f ca="1">IFERROR(__xludf.DUMMYFUNCTION("REGEXEXTRACT(B4333, ""^([^:]+)"")"),"Magnets")</f>
        <v>Magnets</v>
      </c>
      <c r="D4333" s="1" t="s">
        <v>11</v>
      </c>
      <c r="E4333" s="1" t="s">
        <v>11</v>
      </c>
    </row>
    <row r="4334" spans="1:5" ht="15.75" customHeight="1">
      <c r="A4334" s="1">
        <v>850519</v>
      </c>
      <c r="B4334" s="1" t="s">
        <v>4360</v>
      </c>
      <c r="C4334" s="1" t="str">
        <f ca="1">IFERROR(__xludf.DUMMYFUNCTION("REGEXEXTRACT(B4334, ""^([^:]+)"")"),"Magnets")</f>
        <v>Magnets</v>
      </c>
      <c r="D4334" s="1" t="s">
        <v>11</v>
      </c>
      <c r="E4334" s="1" t="s">
        <v>11</v>
      </c>
    </row>
    <row r="4335" spans="1:5" ht="15.75" customHeight="1">
      <c r="A4335" s="1">
        <v>850520</v>
      </c>
      <c r="B4335" s="1" t="s">
        <v>4361</v>
      </c>
      <c r="C4335" s="1" t="str">
        <f ca="1">IFERROR(__xludf.DUMMYFUNCTION("REGEXEXTRACT(B4335, ""^([^:]+)"")"),"Magnets")</f>
        <v>Magnets</v>
      </c>
      <c r="D4335" s="1" t="s">
        <v>11</v>
      </c>
      <c r="E4335" s="1" t="s">
        <v>11</v>
      </c>
    </row>
    <row r="4336" spans="1:5" ht="15.75" customHeight="1">
      <c r="A4336" s="1">
        <v>850590</v>
      </c>
      <c r="B4336" s="1" t="s">
        <v>4362</v>
      </c>
      <c r="C4336" s="1" t="str">
        <f ca="1">IFERROR(__xludf.DUMMYFUNCTION("REGEXEXTRACT(B4336, ""^([^:]+)"")"),"Magnets")</f>
        <v>Magnets</v>
      </c>
      <c r="D4336" s="1" t="s">
        <v>11</v>
      </c>
      <c r="E4336" s="1" t="s">
        <v>11</v>
      </c>
    </row>
    <row r="4337" spans="1:5" ht="15.75" customHeight="1">
      <c r="A4337" s="1">
        <v>850610</v>
      </c>
      <c r="B4337" s="1" t="s">
        <v>4363</v>
      </c>
      <c r="C4337" s="1" t="str">
        <f ca="1">IFERROR(__xludf.DUMMYFUNCTION("REGEXEXTRACT(B4337, ""^([^:]+)"")"),"Cells and batteries")</f>
        <v>Cells and batteries</v>
      </c>
      <c r="D4337" s="1" t="s">
        <v>11</v>
      </c>
      <c r="E4337" s="1" t="s">
        <v>11</v>
      </c>
    </row>
    <row r="4338" spans="1:5" ht="15.75" customHeight="1">
      <c r="A4338" s="1">
        <v>850630</v>
      </c>
      <c r="B4338" s="1" t="s">
        <v>4364</v>
      </c>
      <c r="C4338" s="1" t="str">
        <f ca="1">IFERROR(__xludf.DUMMYFUNCTION("REGEXEXTRACT(B4338, ""^([^:]+)"")"),"Cells and batteries")</f>
        <v>Cells and batteries</v>
      </c>
      <c r="D4338" s="1" t="s">
        <v>11</v>
      </c>
      <c r="E4338" s="1" t="s">
        <v>11</v>
      </c>
    </row>
    <row r="4339" spans="1:5" ht="15.75" customHeight="1">
      <c r="A4339" s="1">
        <v>850640</v>
      </c>
      <c r="B4339" s="1" t="s">
        <v>4365</v>
      </c>
      <c r="C4339" s="1" t="str">
        <f ca="1">IFERROR(__xludf.DUMMYFUNCTION("REGEXEXTRACT(B4339, ""^([^:]+)"")"),"Cells and batteries")</f>
        <v>Cells and batteries</v>
      </c>
      <c r="D4339" s="1" t="s">
        <v>11</v>
      </c>
      <c r="E4339" s="1" t="s">
        <v>11</v>
      </c>
    </row>
    <row r="4340" spans="1:5" ht="15.75" customHeight="1">
      <c r="A4340" s="1">
        <v>850650</v>
      </c>
      <c r="B4340" s="1" t="s">
        <v>4366</v>
      </c>
      <c r="C4340" s="1" t="str">
        <f ca="1">IFERROR(__xludf.DUMMYFUNCTION("REGEXEXTRACT(B4340, ""^([^:]+)"")"),"Cells and batteries")</f>
        <v>Cells and batteries</v>
      </c>
      <c r="D4340" s="1" t="s">
        <v>11</v>
      </c>
      <c r="E4340" s="1" t="s">
        <v>11</v>
      </c>
    </row>
    <row r="4341" spans="1:5" ht="15.75" customHeight="1">
      <c r="A4341" s="1">
        <v>850660</v>
      </c>
      <c r="B4341" s="1" t="s">
        <v>4367</v>
      </c>
      <c r="C4341" s="1" t="str">
        <f ca="1">IFERROR(__xludf.DUMMYFUNCTION("REGEXEXTRACT(B4341, ""^([^:]+)"")"),"Cells and batteries")</f>
        <v>Cells and batteries</v>
      </c>
      <c r="D4341" s="1" t="s">
        <v>11</v>
      </c>
      <c r="E4341" s="1" t="s">
        <v>11</v>
      </c>
    </row>
    <row r="4342" spans="1:5" ht="15.75" customHeight="1">
      <c r="A4342" s="1">
        <v>850680</v>
      </c>
      <c r="B4342" s="1" t="s">
        <v>4368</v>
      </c>
      <c r="C4342" s="1" t="str">
        <f ca="1">IFERROR(__xludf.DUMMYFUNCTION("REGEXEXTRACT(B4342, ""^([^:]+)"")"),"Cells and batteries")</f>
        <v>Cells and batteries</v>
      </c>
      <c r="D4342" s="1" t="s">
        <v>11</v>
      </c>
      <c r="E4342" s="1" t="s">
        <v>11</v>
      </c>
    </row>
    <row r="4343" spans="1:5" ht="15.75" customHeight="1">
      <c r="A4343" s="1">
        <v>850690</v>
      </c>
      <c r="B4343" s="1" t="s">
        <v>4369</v>
      </c>
      <c r="C4343" s="1" t="str">
        <f ca="1">IFERROR(__xludf.DUMMYFUNCTION("REGEXEXTRACT(B4343, ""^([^:]+)"")"),"Cells and batteries")</f>
        <v>Cells and batteries</v>
      </c>
      <c r="D4343" s="1" t="s">
        <v>11</v>
      </c>
      <c r="E4343" s="1" t="s">
        <v>11</v>
      </c>
    </row>
    <row r="4344" spans="1:5" ht="15.75" customHeight="1">
      <c r="A4344" s="1">
        <v>850710</v>
      </c>
      <c r="B4344" s="1" t="s">
        <v>4370</v>
      </c>
      <c r="C4344" s="1" t="str">
        <f ca="1">IFERROR(__xludf.DUMMYFUNCTION("REGEXEXTRACT(B4344, ""^([^:]+)"")"),"Electric accumulators")</f>
        <v>Electric accumulators</v>
      </c>
      <c r="D4344" s="1" t="s">
        <v>11</v>
      </c>
      <c r="E4344" s="1" t="s">
        <v>11</v>
      </c>
    </row>
    <row r="4345" spans="1:5" ht="15.75" customHeight="1">
      <c r="A4345" s="1">
        <v>850720</v>
      </c>
      <c r="B4345" s="1" t="s">
        <v>4371</v>
      </c>
      <c r="C4345" s="1" t="str">
        <f ca="1">IFERROR(__xludf.DUMMYFUNCTION("REGEXEXTRACT(B4345, ""^([^:]+)"")"),"Electric accumulators")</f>
        <v>Electric accumulators</v>
      </c>
      <c r="D4345" s="1" t="s">
        <v>11</v>
      </c>
      <c r="E4345" s="1" t="s">
        <v>11</v>
      </c>
    </row>
    <row r="4346" spans="1:5" ht="15.75" customHeight="1">
      <c r="A4346" s="1">
        <v>850730</v>
      </c>
      <c r="B4346" s="1" t="s">
        <v>4372</v>
      </c>
      <c r="C4346" s="1" t="str">
        <f ca="1">IFERROR(__xludf.DUMMYFUNCTION("REGEXEXTRACT(B4346, ""^([^:]+)"")"),"Electric accumulators")</f>
        <v>Electric accumulators</v>
      </c>
      <c r="D4346" s="1" t="s">
        <v>11</v>
      </c>
      <c r="E4346" s="1" t="s">
        <v>11</v>
      </c>
    </row>
    <row r="4347" spans="1:5" ht="15.75" customHeight="1">
      <c r="A4347" s="1">
        <v>850740</v>
      </c>
      <c r="B4347" s="1" t="s">
        <v>4373</v>
      </c>
      <c r="C4347" s="1" t="str">
        <f ca="1">IFERROR(__xludf.DUMMYFUNCTION("REGEXEXTRACT(B4347, ""^([^:]+)"")"),"Electric accumulators")</f>
        <v>Electric accumulators</v>
      </c>
      <c r="D4347" s="1" t="s">
        <v>11</v>
      </c>
      <c r="E4347" s="1" t="s">
        <v>11</v>
      </c>
    </row>
    <row r="4348" spans="1:5" ht="15.75" customHeight="1">
      <c r="A4348" s="1">
        <v>850780</v>
      </c>
      <c r="B4348" s="1" t="s">
        <v>4374</v>
      </c>
      <c r="C4348" s="1" t="str">
        <f ca="1">IFERROR(__xludf.DUMMYFUNCTION("REGEXEXTRACT(B4348, ""^([^:]+)"")"),"Electric accumulators")</f>
        <v>Electric accumulators</v>
      </c>
      <c r="D4348" s="1" t="s">
        <v>11</v>
      </c>
      <c r="E4348" s="1" t="s">
        <v>11</v>
      </c>
    </row>
    <row r="4349" spans="1:5" ht="15.75" customHeight="1">
      <c r="A4349" s="1">
        <v>850790</v>
      </c>
      <c r="B4349" s="1" t="s">
        <v>4375</v>
      </c>
      <c r="C4349" s="1" t="str">
        <f ca="1">IFERROR(__xludf.DUMMYFUNCTION("REGEXEXTRACT(B4349, ""^([^:]+)"")"),"Electric accumulators")</f>
        <v>Electric accumulators</v>
      </c>
      <c r="D4349" s="1" t="s">
        <v>11</v>
      </c>
      <c r="E4349" s="1" t="s">
        <v>11</v>
      </c>
    </row>
    <row r="4350" spans="1:5" ht="15.75" customHeight="1">
      <c r="A4350" s="1">
        <v>850811</v>
      </c>
      <c r="B4350" s="1" t="s">
        <v>4376</v>
      </c>
      <c r="C4350" s="1" t="str">
        <f ca="1">IFERROR(__xludf.DUMMYFUNCTION("REGEXEXTRACT(B4350, ""^([^:]+)"")"),"Vacuum cleaners, with self-contained electric motor, of a power not exceeding 1,500 W and having a dust bag or other receptacle capacity not exceeding 20L")</f>
        <v>Vacuum cleaners, with self-contained electric motor, of a power not exceeding 1,500 W and having a dust bag or other receptacle capacity not exceeding 20L</v>
      </c>
      <c r="D4350" s="1" t="s">
        <v>11</v>
      </c>
      <c r="E4350" s="1" t="s">
        <v>11</v>
      </c>
    </row>
    <row r="4351" spans="1:5" ht="15.75" customHeight="1">
      <c r="A4351" s="1">
        <v>850819</v>
      </c>
      <c r="B4351" s="1" t="s">
        <v>4377</v>
      </c>
      <c r="C4351" s="1" t="str">
        <f ca="1">IFERROR(__xludf.DUMMYFUNCTION("REGEXEXTRACT(B4351, ""^([^:]+)"")"),"Vacuum cleaners, with self-contained electric motor, n.e.c. in item no. 8508.1")</f>
        <v>Vacuum cleaners, with self-contained electric motor, n.e.c. in item no. 8508.1</v>
      </c>
      <c r="D4351" s="1" t="s">
        <v>11</v>
      </c>
      <c r="E4351" s="1" t="s">
        <v>11</v>
      </c>
    </row>
    <row r="4352" spans="1:5" ht="15.75" customHeight="1">
      <c r="A4352" s="1">
        <v>850860</v>
      </c>
      <c r="B4352" s="1" t="s">
        <v>4378</v>
      </c>
      <c r="C4352" s="1" t="str">
        <f ca="1">IFERROR(__xludf.DUMMYFUNCTION("REGEXEXTRACT(B4352, ""^([^:]+)"")"),"Vacuum cleaners, other than with a self-contained electric motor")</f>
        <v>Vacuum cleaners, other than with a self-contained electric motor</v>
      </c>
      <c r="D4352" s="1" t="s">
        <v>11</v>
      </c>
      <c r="E4352" s="1" t="s">
        <v>11</v>
      </c>
    </row>
    <row r="4353" spans="1:5" ht="15.75" customHeight="1">
      <c r="A4353" s="1">
        <v>850870</v>
      </c>
      <c r="B4353" s="1" t="s">
        <v>4379</v>
      </c>
      <c r="C4353" s="1" t="str">
        <f ca="1">IFERROR(__xludf.DUMMYFUNCTION("REGEXEXTRACT(B4353, ""^([^:]+)"")"),"Parts of vacuum cleaners")</f>
        <v>Parts of vacuum cleaners</v>
      </c>
      <c r="D4353" s="1" t="s">
        <v>11</v>
      </c>
      <c r="E4353" s="1" t="s">
        <v>11</v>
      </c>
    </row>
    <row r="4354" spans="1:5" ht="15.75" customHeight="1">
      <c r="A4354" s="1">
        <v>850940</v>
      </c>
      <c r="B4354" s="1" t="s">
        <v>4380</v>
      </c>
      <c r="C4354" s="1" t="str">
        <f ca="1">IFERROR(__xludf.DUMMYFUNCTION("REGEXEXTRACT(B4354, ""^([^:]+)"")"),"Electro-mechanical domestic appliances")</f>
        <v>Electro-mechanical domestic appliances</v>
      </c>
      <c r="D4354" s="1" t="s">
        <v>11</v>
      </c>
      <c r="E4354" s="1" t="s">
        <v>11</v>
      </c>
    </row>
    <row r="4355" spans="1:5" ht="15.75" customHeight="1">
      <c r="A4355" s="1">
        <v>850980</v>
      </c>
      <c r="B4355" s="1" t="s">
        <v>4381</v>
      </c>
      <c r="C4355" s="1" t="str">
        <f ca="1">IFERROR(__xludf.DUMMYFUNCTION("REGEXEXTRACT(B4355, ""^([^:]+)"")"),"Electro-mechanical domestic appliances")</f>
        <v>Electro-mechanical domestic appliances</v>
      </c>
      <c r="D4355" s="1" t="s">
        <v>11</v>
      </c>
      <c r="E4355" s="1" t="s">
        <v>11</v>
      </c>
    </row>
    <row r="4356" spans="1:5" ht="15.75" customHeight="1">
      <c r="A4356" s="1">
        <v>850990</v>
      </c>
      <c r="B4356" s="1" t="s">
        <v>4382</v>
      </c>
      <c r="C4356" s="1" t="str">
        <f ca="1">IFERROR(__xludf.DUMMYFUNCTION("REGEXEXTRACT(B4356, ""^([^:]+)"")"),"Electro-mechanical domestic appliances")</f>
        <v>Electro-mechanical domestic appliances</v>
      </c>
      <c r="D4356" s="1" t="s">
        <v>11</v>
      </c>
      <c r="E4356" s="1" t="s">
        <v>11</v>
      </c>
    </row>
    <row r="4357" spans="1:5" ht="15.75" customHeight="1">
      <c r="A4357" s="1">
        <v>851010</v>
      </c>
      <c r="B4357" s="1" t="s">
        <v>4383</v>
      </c>
      <c r="C4357" s="1" t="str">
        <f ca="1">IFERROR(__xludf.DUMMYFUNCTION("REGEXEXTRACT(B4357, ""^([^:]+)"")"),"Shavers")</f>
        <v>Shavers</v>
      </c>
      <c r="D4357" s="1" t="s">
        <v>11</v>
      </c>
      <c r="E4357" s="1" t="s">
        <v>11</v>
      </c>
    </row>
    <row r="4358" spans="1:5" ht="15.75" customHeight="1">
      <c r="A4358" s="1">
        <v>851020</v>
      </c>
      <c r="B4358" s="1" t="s">
        <v>4384</v>
      </c>
      <c r="C4358" s="1" t="str">
        <f ca="1">IFERROR(__xludf.DUMMYFUNCTION("REGEXEXTRACT(B4358, ""^([^:]+)"")"),"Hair clippers")</f>
        <v>Hair clippers</v>
      </c>
      <c r="D4358" s="1" t="s">
        <v>11</v>
      </c>
      <c r="E4358" s="1" t="s">
        <v>11</v>
      </c>
    </row>
    <row r="4359" spans="1:5" ht="15.75" customHeight="1">
      <c r="A4359" s="1">
        <v>851030</v>
      </c>
      <c r="B4359" s="1" t="s">
        <v>4385</v>
      </c>
      <c r="C4359" s="1" t="str">
        <f ca="1">IFERROR(__xludf.DUMMYFUNCTION("REGEXEXTRACT(B4359, ""^([^:]+)"")"),"Hair-removing appliances")</f>
        <v>Hair-removing appliances</v>
      </c>
      <c r="D4359" s="1" t="s">
        <v>11</v>
      </c>
      <c r="E4359" s="1" t="s">
        <v>11</v>
      </c>
    </row>
    <row r="4360" spans="1:5" ht="15.75" customHeight="1">
      <c r="A4360" s="1">
        <v>851090</v>
      </c>
      <c r="B4360" s="1" t="s">
        <v>4386</v>
      </c>
      <c r="C4360" s="1" t="str">
        <f ca="1">IFERROR(__xludf.DUMMYFUNCTION("REGEXEXTRACT(B4360, ""^([^:]+)"")"),"Shavers and hair clippers")</f>
        <v>Shavers and hair clippers</v>
      </c>
      <c r="D4360" s="1" t="s">
        <v>11</v>
      </c>
      <c r="E4360" s="1" t="s">
        <v>11</v>
      </c>
    </row>
    <row r="4361" spans="1:5" ht="15.75" customHeight="1">
      <c r="A4361" s="1">
        <v>851110</v>
      </c>
      <c r="B4361" s="1" t="s">
        <v>4387</v>
      </c>
      <c r="C4361" s="1" t="str">
        <f ca="1">IFERROR(__xludf.DUMMYFUNCTION("REGEXEXTRACT(B4361, ""^([^:]+)"")"),"Ignition or starting equipment")</f>
        <v>Ignition or starting equipment</v>
      </c>
      <c r="D4361" s="1" t="s">
        <v>11</v>
      </c>
      <c r="E4361" s="1" t="s">
        <v>11</v>
      </c>
    </row>
    <row r="4362" spans="1:5" ht="15.75" customHeight="1">
      <c r="A4362" s="1">
        <v>851120</v>
      </c>
      <c r="B4362" s="1" t="s">
        <v>4388</v>
      </c>
      <c r="C4362" s="1" t="str">
        <f ca="1">IFERROR(__xludf.DUMMYFUNCTION("REGEXEXTRACT(B4362, ""^([^:]+)"")"),"Ignition or starting equipment")</f>
        <v>Ignition or starting equipment</v>
      </c>
      <c r="D4362" s="1" t="s">
        <v>11</v>
      </c>
      <c r="E4362" s="1" t="s">
        <v>11</v>
      </c>
    </row>
    <row r="4363" spans="1:5" ht="15.75" customHeight="1">
      <c r="A4363" s="1">
        <v>851130</v>
      </c>
      <c r="B4363" s="1" t="s">
        <v>4389</v>
      </c>
      <c r="C4363" s="1" t="str">
        <f ca="1">IFERROR(__xludf.DUMMYFUNCTION("REGEXEXTRACT(B4363, ""^([^:]+)"")"),"Ignition or starting equipment")</f>
        <v>Ignition or starting equipment</v>
      </c>
      <c r="D4363" s="1" t="s">
        <v>11</v>
      </c>
      <c r="E4363" s="1" t="s">
        <v>11</v>
      </c>
    </row>
    <row r="4364" spans="1:5" ht="15.75" customHeight="1">
      <c r="A4364" s="1">
        <v>851140</v>
      </c>
      <c r="B4364" s="1" t="s">
        <v>4390</v>
      </c>
      <c r="C4364" s="1" t="str">
        <f ca="1">IFERROR(__xludf.DUMMYFUNCTION("REGEXEXTRACT(B4364, ""^([^:]+)"")"),"Ignition or starting equipment")</f>
        <v>Ignition or starting equipment</v>
      </c>
      <c r="D4364" s="1" t="s">
        <v>11</v>
      </c>
      <c r="E4364" s="1" t="s">
        <v>11</v>
      </c>
    </row>
    <row r="4365" spans="1:5" ht="15.75" customHeight="1">
      <c r="A4365" s="1">
        <v>851150</v>
      </c>
      <c r="B4365" s="1" t="s">
        <v>4391</v>
      </c>
      <c r="C4365" s="1" t="str">
        <f ca="1">IFERROR(__xludf.DUMMYFUNCTION("REGEXEXTRACT(B4365, ""^([^:]+)"")"),"Ignition or starting equipment")</f>
        <v>Ignition or starting equipment</v>
      </c>
      <c r="D4365" s="1" t="s">
        <v>11</v>
      </c>
      <c r="E4365" s="1" t="s">
        <v>11</v>
      </c>
    </row>
    <row r="4366" spans="1:5" ht="15.75" customHeight="1">
      <c r="A4366" s="1">
        <v>851180</v>
      </c>
      <c r="B4366" s="1" t="s">
        <v>4392</v>
      </c>
      <c r="C4366" s="1" t="str">
        <f ca="1">IFERROR(__xludf.DUMMYFUNCTION("REGEXEXTRACT(B4366, ""^([^:]+)"")"),"Ignition or starting equipment")</f>
        <v>Ignition or starting equipment</v>
      </c>
      <c r="D4366" s="1" t="s">
        <v>11</v>
      </c>
      <c r="E4366" s="1" t="s">
        <v>11</v>
      </c>
    </row>
    <row r="4367" spans="1:5" ht="15.75" customHeight="1">
      <c r="A4367" s="1">
        <v>851190</v>
      </c>
      <c r="B4367" s="1" t="s">
        <v>4393</v>
      </c>
      <c r="C4367" s="1" t="str">
        <f ca="1">IFERROR(__xludf.DUMMYFUNCTION("REGEXEXTRACT(B4367, ""^([^:]+)"")"),"Ignition or starting equipment")</f>
        <v>Ignition or starting equipment</v>
      </c>
      <c r="D4367" s="1" t="s">
        <v>11</v>
      </c>
      <c r="E4367" s="1" t="s">
        <v>11</v>
      </c>
    </row>
    <row r="4368" spans="1:5" ht="15.75" customHeight="1">
      <c r="A4368" s="1">
        <v>851210</v>
      </c>
      <c r="B4368" s="1" t="s">
        <v>4394</v>
      </c>
      <c r="C4368" s="1" t="str">
        <f ca="1">IFERROR(__xludf.DUMMYFUNCTION("REGEXEXTRACT(B4368, ""^([^:]+)"")"),"Lighting or visual signalling equipment")</f>
        <v>Lighting or visual signalling equipment</v>
      </c>
      <c r="D4368" s="1" t="s">
        <v>11</v>
      </c>
      <c r="E4368" s="1" t="s">
        <v>11</v>
      </c>
    </row>
    <row r="4369" spans="1:5" ht="15.75" customHeight="1">
      <c r="A4369" s="1">
        <v>851220</v>
      </c>
      <c r="B4369" s="1" t="s">
        <v>4395</v>
      </c>
      <c r="C4369" s="1" t="str">
        <f ca="1">IFERROR(__xludf.DUMMYFUNCTION("REGEXEXTRACT(B4369, ""^([^:]+)"")"),"Lighting or visual signalling equipment")</f>
        <v>Lighting or visual signalling equipment</v>
      </c>
      <c r="D4369" s="1" t="s">
        <v>11</v>
      </c>
      <c r="E4369" s="1" t="s">
        <v>11</v>
      </c>
    </row>
    <row r="4370" spans="1:5" ht="15.75" customHeight="1">
      <c r="A4370" s="1">
        <v>851230</v>
      </c>
      <c r="B4370" s="1" t="s">
        <v>4396</v>
      </c>
      <c r="C4370" s="1" t="str">
        <f ca="1">IFERROR(__xludf.DUMMYFUNCTION("REGEXEXTRACT(B4370, ""^([^:]+)"")"),"Sound signalling equipment")</f>
        <v>Sound signalling equipment</v>
      </c>
      <c r="D4370" s="1" t="s">
        <v>11</v>
      </c>
      <c r="E4370" s="1" t="s">
        <v>11</v>
      </c>
    </row>
    <row r="4371" spans="1:5" ht="15.75" customHeight="1">
      <c r="A4371" s="1">
        <v>851240</v>
      </c>
      <c r="B4371" s="1" t="s">
        <v>4397</v>
      </c>
      <c r="C4371" s="1" t="str">
        <f ca="1">IFERROR(__xludf.DUMMYFUNCTION("REGEXEXTRACT(B4371, ""^([^:]+)"")"),"Windscreen wipers, defrosters and demisters")</f>
        <v>Windscreen wipers, defrosters and demisters</v>
      </c>
      <c r="D4371" s="1" t="s">
        <v>11</v>
      </c>
      <c r="E4371" s="1" t="s">
        <v>11</v>
      </c>
    </row>
    <row r="4372" spans="1:5" ht="15.75" customHeight="1">
      <c r="A4372" s="1">
        <v>851290</v>
      </c>
      <c r="B4372" s="1" t="s">
        <v>4398</v>
      </c>
      <c r="C4372" s="1" t="str">
        <f ca="1">IFERROR(__xludf.DUMMYFUNCTION("REGEXEXTRACT(B4372, ""^([^:]+)"")"),"Lighting or signalling equipment")</f>
        <v>Lighting or signalling equipment</v>
      </c>
      <c r="D4372" s="1" t="s">
        <v>11</v>
      </c>
      <c r="E4372" s="1" t="s">
        <v>11</v>
      </c>
    </row>
    <row r="4373" spans="1:5" ht="15.75" customHeight="1">
      <c r="A4373" s="1">
        <v>851310</v>
      </c>
      <c r="B4373" s="1" t="s">
        <v>4399</v>
      </c>
      <c r="C4373" s="1" t="str">
        <f ca="1">IFERROR(__xludf.DUMMYFUNCTION("REGEXEXTRACT(B4373, ""^([^:]+)"")"),"Lamps")</f>
        <v>Lamps</v>
      </c>
      <c r="D4373" s="1" t="s">
        <v>11</v>
      </c>
      <c r="E4373" s="1" t="s">
        <v>11</v>
      </c>
    </row>
    <row r="4374" spans="1:5" ht="15.75" customHeight="1">
      <c r="A4374" s="1">
        <v>851390</v>
      </c>
      <c r="B4374" s="1" t="s">
        <v>4400</v>
      </c>
      <c r="C4374" s="1" t="str">
        <f ca="1">IFERROR(__xludf.DUMMYFUNCTION("REGEXEXTRACT(B4374, ""^([^:]+)"")"),"Lamps")</f>
        <v>Lamps</v>
      </c>
      <c r="D4374" s="1" t="s">
        <v>11</v>
      </c>
      <c r="E4374" s="1" t="s">
        <v>11</v>
      </c>
    </row>
    <row r="4375" spans="1:5" ht="15.75" customHeight="1">
      <c r="A4375" s="1">
        <v>851410</v>
      </c>
      <c r="B4375" s="1" t="s">
        <v>4401</v>
      </c>
      <c r="C4375" s="1" t="str">
        <f ca="1">IFERROR(__xludf.DUMMYFUNCTION("REGEXEXTRACT(B4375, ""^([^:]+)"")"),"Furnaces and ovens")</f>
        <v>Furnaces and ovens</v>
      </c>
      <c r="D4375" s="1" t="s">
        <v>11</v>
      </c>
      <c r="E4375" s="1" t="s">
        <v>11</v>
      </c>
    </row>
    <row r="4376" spans="1:5" ht="15.75" customHeight="1">
      <c r="A4376" s="1">
        <v>851420</v>
      </c>
      <c r="B4376" s="1" t="s">
        <v>4402</v>
      </c>
      <c r="C4376" s="1" t="str">
        <f ca="1">IFERROR(__xludf.DUMMYFUNCTION("REGEXEXTRACT(B4376, ""^([^:]+)"")"),"Furnaces and ovens")</f>
        <v>Furnaces and ovens</v>
      </c>
      <c r="D4376" s="1" t="s">
        <v>11</v>
      </c>
      <c r="E4376" s="1" t="s">
        <v>11</v>
      </c>
    </row>
    <row r="4377" spans="1:5" ht="15.75" customHeight="1">
      <c r="A4377" s="1">
        <v>851430</v>
      </c>
      <c r="B4377" s="1" t="s">
        <v>4403</v>
      </c>
      <c r="C4377" s="1" t="str">
        <f ca="1">IFERROR(__xludf.DUMMYFUNCTION("REGEXEXTRACT(B4377, ""^([^:]+)"")"),"Furnaces and ovens")</f>
        <v>Furnaces and ovens</v>
      </c>
      <c r="D4377" s="1" t="s">
        <v>11</v>
      </c>
      <c r="E4377" s="1" t="s">
        <v>11</v>
      </c>
    </row>
    <row r="4378" spans="1:5" ht="15.75" customHeight="1">
      <c r="A4378" s="1">
        <v>851440</v>
      </c>
      <c r="B4378" s="1" t="s">
        <v>4404</v>
      </c>
      <c r="C4378" s="1" t="str">
        <f ca="1">IFERROR(__xludf.DUMMYFUNCTION("REGEXEXTRACT(B4378, ""^([^:]+)"")"),"Heating equipment")</f>
        <v>Heating equipment</v>
      </c>
      <c r="D4378" s="1" t="s">
        <v>11</v>
      </c>
      <c r="E4378" s="1" t="s">
        <v>11</v>
      </c>
    </row>
    <row r="4379" spans="1:5" ht="15.75" customHeight="1">
      <c r="A4379" s="1">
        <v>851490</v>
      </c>
      <c r="B4379" s="1" t="s">
        <v>4405</v>
      </c>
      <c r="C4379" s="1" t="str">
        <f ca="1">IFERROR(__xludf.DUMMYFUNCTION("REGEXEXTRACT(B4379, ""^([^:]+)"")"),"Furnaces, ovens and heating equipment")</f>
        <v>Furnaces, ovens and heating equipment</v>
      </c>
      <c r="D4379" s="1" t="s">
        <v>11</v>
      </c>
      <c r="E4379" s="1" t="s">
        <v>11</v>
      </c>
    </row>
    <row r="4380" spans="1:5" ht="15.75" customHeight="1">
      <c r="A4380" s="1">
        <v>851511</v>
      </c>
      <c r="B4380" s="1" t="s">
        <v>4406</v>
      </c>
      <c r="C4380" s="1" t="str">
        <f ca="1">IFERROR(__xludf.DUMMYFUNCTION("REGEXEXTRACT(B4380, ""^([^:]+)"")"),"Brazing or soldering machines and apparatus")</f>
        <v>Brazing or soldering machines and apparatus</v>
      </c>
      <c r="D4380" s="1" t="s">
        <v>11</v>
      </c>
      <c r="E4380" s="1" t="s">
        <v>11</v>
      </c>
    </row>
    <row r="4381" spans="1:5" ht="15.75" customHeight="1">
      <c r="A4381" s="1">
        <v>851519</v>
      </c>
      <c r="B4381" s="1" t="s">
        <v>4407</v>
      </c>
      <c r="C4381" s="1" t="str">
        <f ca="1">IFERROR(__xludf.DUMMYFUNCTION("REGEXEXTRACT(B4381, ""^([^:]+)"")"),"Brazing or soldering machines and apparatus")</f>
        <v>Brazing or soldering machines and apparatus</v>
      </c>
      <c r="D4381" s="1" t="s">
        <v>11</v>
      </c>
      <c r="E4381" s="1" t="s">
        <v>11</v>
      </c>
    </row>
    <row r="4382" spans="1:5" ht="15.75" customHeight="1">
      <c r="A4382" s="1">
        <v>851521</v>
      </c>
      <c r="B4382" s="1" t="s">
        <v>4408</v>
      </c>
      <c r="C4382" s="1" t="str">
        <f ca="1">IFERROR(__xludf.DUMMYFUNCTION("REGEXEXTRACT(B4382, ""^([^:]+)"")"),"Welding machines and apparatus")</f>
        <v>Welding machines and apparatus</v>
      </c>
      <c r="D4382" s="1" t="s">
        <v>11</v>
      </c>
      <c r="E4382" s="1" t="s">
        <v>11</v>
      </c>
    </row>
    <row r="4383" spans="1:5" ht="15.75" customHeight="1">
      <c r="A4383" s="1">
        <v>851529</v>
      </c>
      <c r="B4383" s="1" t="s">
        <v>4409</v>
      </c>
      <c r="C4383" s="1" t="str">
        <f ca="1">IFERROR(__xludf.DUMMYFUNCTION("REGEXEXTRACT(B4383, ""^([^:]+)"")"),"Welding machines and apparatus")</f>
        <v>Welding machines and apparatus</v>
      </c>
      <c r="D4383" s="1" t="s">
        <v>11</v>
      </c>
      <c r="E4383" s="1" t="s">
        <v>11</v>
      </c>
    </row>
    <row r="4384" spans="1:5" ht="15.75" customHeight="1">
      <c r="A4384" s="1">
        <v>851531</v>
      </c>
      <c r="B4384" s="1" t="s">
        <v>4410</v>
      </c>
      <c r="C4384" s="1" t="str">
        <f ca="1">IFERROR(__xludf.DUMMYFUNCTION("REGEXEXTRACT(B4384, ""^([^:]+)"")"),"Welding machines and apparatus")</f>
        <v>Welding machines and apparatus</v>
      </c>
      <c r="D4384" s="1" t="s">
        <v>11</v>
      </c>
      <c r="E4384" s="1" t="s">
        <v>11</v>
      </c>
    </row>
    <row r="4385" spans="1:5" ht="15.75" customHeight="1">
      <c r="A4385" s="1">
        <v>851539</v>
      </c>
      <c r="B4385" s="1" t="s">
        <v>4411</v>
      </c>
      <c r="C4385" s="1" t="str">
        <f ca="1">IFERROR(__xludf.DUMMYFUNCTION("REGEXEXTRACT(B4385, ""^([^:]+)"")"),"Welding machines and apparatus")</f>
        <v>Welding machines and apparatus</v>
      </c>
      <c r="D4385" s="1" t="s">
        <v>11</v>
      </c>
      <c r="E4385" s="1" t="s">
        <v>11</v>
      </c>
    </row>
    <row r="4386" spans="1:5" ht="15.75" customHeight="1">
      <c r="A4386" s="1">
        <v>851580</v>
      </c>
      <c r="B4386" s="1" t="s">
        <v>4412</v>
      </c>
      <c r="C4386" s="1" t="str">
        <f ca="1">IFERROR(__xludf.DUMMYFUNCTION("REGEXEXTRACT(B4386, ""^([^:]+)"")"),"Welding machines and apparatus")</f>
        <v>Welding machines and apparatus</v>
      </c>
      <c r="D4386" s="1" t="s">
        <v>11</v>
      </c>
      <c r="E4386" s="1" t="s">
        <v>11</v>
      </c>
    </row>
    <row r="4387" spans="1:5" ht="15.75" customHeight="1">
      <c r="A4387" s="1">
        <v>851590</v>
      </c>
      <c r="B4387" s="1" t="s">
        <v>4413</v>
      </c>
      <c r="C4387" s="1" t="str">
        <f ca="1">IFERROR(__xludf.DUMMYFUNCTION("REGEXEXTRACT(B4387, ""^([^:]+)"")"),"Welding, brazing or soldering machines")</f>
        <v>Welding, brazing or soldering machines</v>
      </c>
      <c r="D4387" s="1" t="s">
        <v>11</v>
      </c>
      <c r="E4387" s="1" t="s">
        <v>11</v>
      </c>
    </row>
    <row r="4388" spans="1:5" ht="15.75" customHeight="1">
      <c r="A4388" s="1">
        <v>851610</v>
      </c>
      <c r="B4388" s="1" t="s">
        <v>4414</v>
      </c>
      <c r="C4388" s="1" t="str">
        <f ca="1">IFERROR(__xludf.DUMMYFUNCTION("REGEXEXTRACT(B4388, ""^([^:]+)"")"),"Heaters")</f>
        <v>Heaters</v>
      </c>
      <c r="D4388" s="1" t="s">
        <v>11</v>
      </c>
      <c r="E4388" s="1" t="s">
        <v>11</v>
      </c>
    </row>
    <row r="4389" spans="1:5" ht="15.75" customHeight="1">
      <c r="A4389" s="1">
        <v>851621</v>
      </c>
      <c r="B4389" s="1" t="s">
        <v>4415</v>
      </c>
      <c r="C4389" s="1" t="str">
        <f ca="1">IFERROR(__xludf.DUMMYFUNCTION("REGEXEXTRACT(B4389, ""^([^:]+)"")"),"Heating apparatus")</f>
        <v>Heating apparatus</v>
      </c>
      <c r="D4389" s="1" t="s">
        <v>11</v>
      </c>
      <c r="E4389" s="1" t="s">
        <v>11</v>
      </c>
    </row>
    <row r="4390" spans="1:5" ht="15.75" customHeight="1">
      <c r="A4390" s="1">
        <v>851629</v>
      </c>
      <c r="B4390" s="1" t="s">
        <v>4416</v>
      </c>
      <c r="C4390" s="1" t="str">
        <f ca="1">IFERROR(__xludf.DUMMYFUNCTION("REGEXEXTRACT(B4390, ""^([^:]+)"")"),"Heating apparatus")</f>
        <v>Heating apparatus</v>
      </c>
      <c r="D4390" s="1" t="s">
        <v>11</v>
      </c>
      <c r="E4390" s="1" t="s">
        <v>11</v>
      </c>
    </row>
    <row r="4391" spans="1:5" ht="15.75" customHeight="1">
      <c r="A4391" s="1">
        <v>851631</v>
      </c>
      <c r="B4391" s="1" t="s">
        <v>4417</v>
      </c>
      <c r="C4391" s="1" t="str">
        <f ca="1">IFERROR(__xludf.DUMMYFUNCTION("REGEXEXTRACT(B4391, ""^([^:]+)"")"),"Hair-dressing apparatus")</f>
        <v>Hair-dressing apparatus</v>
      </c>
      <c r="D4391" s="1" t="s">
        <v>11</v>
      </c>
      <c r="E4391" s="1" t="s">
        <v>11</v>
      </c>
    </row>
    <row r="4392" spans="1:5" ht="15.75" customHeight="1">
      <c r="A4392" s="1">
        <v>851632</v>
      </c>
      <c r="B4392" s="1" t="s">
        <v>4418</v>
      </c>
      <c r="C4392" s="1" t="str">
        <f ca="1">IFERROR(__xludf.DUMMYFUNCTION("REGEXEXTRACT(B4392, ""^([^:]+)"")"),"Hair-dressing apparatus")</f>
        <v>Hair-dressing apparatus</v>
      </c>
      <c r="D4392" s="1" t="s">
        <v>11</v>
      </c>
      <c r="E4392" s="1" t="s">
        <v>11</v>
      </c>
    </row>
    <row r="4393" spans="1:5" ht="15.75" customHeight="1">
      <c r="A4393" s="1">
        <v>851633</v>
      </c>
      <c r="B4393" s="1" t="s">
        <v>4419</v>
      </c>
      <c r="C4393" s="1" t="str">
        <f ca="1">IFERROR(__xludf.DUMMYFUNCTION("REGEXEXTRACT(B4393, ""^([^:]+)"")"),"Hand-drying apparatus")</f>
        <v>Hand-drying apparatus</v>
      </c>
      <c r="D4393" s="1" t="s">
        <v>11</v>
      </c>
      <c r="E4393" s="1" t="s">
        <v>11</v>
      </c>
    </row>
    <row r="4394" spans="1:5" ht="15.75" customHeight="1">
      <c r="A4394" s="1">
        <v>851640</v>
      </c>
      <c r="B4394" s="1" t="s">
        <v>4420</v>
      </c>
      <c r="C4394" s="1" t="str">
        <f ca="1">IFERROR(__xludf.DUMMYFUNCTION("REGEXEXTRACT(B4394, ""^([^:]+)"")"),"Smoothing irons")</f>
        <v>Smoothing irons</v>
      </c>
      <c r="D4394" s="1" t="s">
        <v>11</v>
      </c>
      <c r="E4394" s="1" t="s">
        <v>11</v>
      </c>
    </row>
    <row r="4395" spans="1:5" ht="15.75" customHeight="1">
      <c r="A4395" s="1">
        <v>851650</v>
      </c>
      <c r="B4395" s="1" t="s">
        <v>4421</v>
      </c>
      <c r="C4395" s="1" t="str">
        <f ca="1">IFERROR(__xludf.DUMMYFUNCTION("REGEXEXTRACT(B4395, ""^([^:]+)"")"),"Ovens")</f>
        <v>Ovens</v>
      </c>
      <c r="D4395" s="1" t="s">
        <v>11</v>
      </c>
      <c r="E4395" s="1" t="s">
        <v>11</v>
      </c>
    </row>
    <row r="4396" spans="1:5" ht="15.75" customHeight="1">
      <c r="A4396" s="1">
        <v>851660</v>
      </c>
      <c r="B4396" s="1" t="s">
        <v>4422</v>
      </c>
      <c r="C4396" s="1" t="str">
        <f ca="1">IFERROR(__xludf.DUMMYFUNCTION("REGEXEXTRACT(B4396, ""^([^:]+)"")"),"Ovens, cookers, cooking plates, boiling rings, grillers and roasters")</f>
        <v>Ovens, cookers, cooking plates, boiling rings, grillers and roasters</v>
      </c>
      <c r="D4396" s="1" t="s">
        <v>11</v>
      </c>
      <c r="E4396" s="1" t="s">
        <v>11</v>
      </c>
    </row>
    <row r="4397" spans="1:5" ht="15.75" customHeight="1">
      <c r="A4397" s="1">
        <v>851671</v>
      </c>
      <c r="B4397" s="1" t="s">
        <v>4423</v>
      </c>
      <c r="C4397" s="1" t="str">
        <f ca="1">IFERROR(__xludf.DUMMYFUNCTION("REGEXEXTRACT(B4397, ""^([^:]+)"")"),"Electro-thermic appliances")</f>
        <v>Electro-thermic appliances</v>
      </c>
      <c r="D4397" s="1" t="s">
        <v>11</v>
      </c>
      <c r="E4397" s="1" t="s">
        <v>11</v>
      </c>
    </row>
    <row r="4398" spans="1:5" ht="15.75" customHeight="1">
      <c r="A4398" s="1">
        <v>851672</v>
      </c>
      <c r="B4398" s="1" t="s">
        <v>4424</v>
      </c>
      <c r="C4398" s="1" t="str">
        <f ca="1">IFERROR(__xludf.DUMMYFUNCTION("REGEXEXTRACT(B4398, ""^([^:]+)"")"),"Electro-thermic appliances")</f>
        <v>Electro-thermic appliances</v>
      </c>
      <c r="D4398" s="1" t="s">
        <v>11</v>
      </c>
      <c r="E4398" s="1" t="s">
        <v>11</v>
      </c>
    </row>
    <row r="4399" spans="1:5" ht="15.75" customHeight="1">
      <c r="A4399" s="1">
        <v>851679</v>
      </c>
      <c r="B4399" s="1" t="s">
        <v>4425</v>
      </c>
      <c r="C4399" s="1" t="str">
        <f ca="1">IFERROR(__xludf.DUMMYFUNCTION("REGEXEXTRACT(B4399, ""^([^:]+)"")"),"Electro-thermic appliances")</f>
        <v>Electro-thermic appliances</v>
      </c>
      <c r="D4399" s="1" t="s">
        <v>11</v>
      </c>
      <c r="E4399" s="1" t="s">
        <v>11</v>
      </c>
    </row>
    <row r="4400" spans="1:5" ht="15.75" customHeight="1">
      <c r="A4400" s="1">
        <v>851680</v>
      </c>
      <c r="B4400" s="1" t="s">
        <v>4426</v>
      </c>
      <c r="C4400" s="1" t="str">
        <f ca="1">IFERROR(__xludf.DUMMYFUNCTION("REGEXEXTRACT(B4400, ""^([^:]+)"")"),"Resistors")</f>
        <v>Resistors</v>
      </c>
      <c r="D4400" s="1" t="s">
        <v>11</v>
      </c>
      <c r="E4400" s="1" t="s">
        <v>11</v>
      </c>
    </row>
    <row r="4401" spans="1:5" ht="15.75" customHeight="1">
      <c r="A4401" s="1">
        <v>851690</v>
      </c>
      <c r="B4401" s="1" t="s">
        <v>4427</v>
      </c>
      <c r="C4401" s="1" t="str">
        <f ca="1">IFERROR(__xludf.DUMMYFUNCTION("REGEXEXTRACT(B4401, ""^([^:]+)"")"),"Electro-thermic appliances")</f>
        <v>Electro-thermic appliances</v>
      </c>
      <c r="D4401" s="1" t="s">
        <v>11</v>
      </c>
      <c r="E4401" s="1" t="s">
        <v>11</v>
      </c>
    </row>
    <row r="4402" spans="1:5" ht="15.75" customHeight="1">
      <c r="A4402" s="1">
        <v>851711</v>
      </c>
      <c r="B4402" s="1" t="s">
        <v>4428</v>
      </c>
      <c r="C4402" s="1" t="str">
        <f ca="1">IFERROR(__xludf.DUMMYFUNCTION("REGEXEXTRACT(B4402, ""^([^:]+)"")"),"Line telephone sets with cordless handsets")</f>
        <v>Line telephone sets with cordless handsets</v>
      </c>
      <c r="D4402" s="1" t="s">
        <v>11</v>
      </c>
      <c r="E4402" s="1" t="s">
        <v>11</v>
      </c>
    </row>
    <row r="4403" spans="1:5" ht="15.75" customHeight="1">
      <c r="A4403" s="1">
        <v>851712</v>
      </c>
      <c r="B4403" s="1" t="s">
        <v>4429</v>
      </c>
      <c r="C4403" s="1" t="str">
        <f ca="1">IFERROR(__xludf.DUMMYFUNCTION("REGEXEXTRACT(B4403, ""^([^:]+)"")"),"Telephones for cellular networks or for other wireless networks")</f>
        <v>Telephones for cellular networks or for other wireless networks</v>
      </c>
      <c r="D4403" s="1" t="s">
        <v>11</v>
      </c>
      <c r="E4403" s="1" t="s">
        <v>11</v>
      </c>
    </row>
    <row r="4404" spans="1:5" ht="15.75" customHeight="1">
      <c r="A4404" s="1">
        <v>851718</v>
      </c>
      <c r="B4404" s="1" t="s">
        <v>4430</v>
      </c>
      <c r="C4404" s="1" t="str">
        <f ca="1">IFERROR(__xludf.DUMMYFUNCTION("REGEXEXTRACT(B4404, ""^([^:]+)"")"),"Telephone sets n.e.c. in item no. 8517.1")</f>
        <v>Telephone sets n.e.c. in item no. 8517.1</v>
      </c>
      <c r="D4404" s="1" t="s">
        <v>11</v>
      </c>
      <c r="E4404" s="1" t="s">
        <v>11</v>
      </c>
    </row>
    <row r="4405" spans="1:5" ht="15.75" customHeight="1">
      <c r="A4405" s="1">
        <v>851761</v>
      </c>
      <c r="B4405" s="1" t="s">
        <v>4431</v>
      </c>
      <c r="C4405" s="1" t="str">
        <f ca="1">IFERROR(__xludf.DUMMYFUNCTION("REGEXEXTRACT(B4405, ""^([^:]+)"")"),"Base stations")</f>
        <v>Base stations</v>
      </c>
      <c r="D4405" s="1" t="s">
        <v>11</v>
      </c>
      <c r="E4405" s="1" t="s">
        <v>11</v>
      </c>
    </row>
    <row r="4406" spans="1:5" ht="15.75" customHeight="1">
      <c r="A4406" s="1">
        <v>851762</v>
      </c>
      <c r="B4406" s="1" t="s">
        <v>4432</v>
      </c>
      <c r="C4406" s="1" t="str">
        <f ca="1">IFERROR(__xludf.DUMMYFUNCTION("REGEXEXTRACT(B4406, ""^([^:]+)"")"),"Communication apparatus (excluding telephone sets or base stations)")</f>
        <v>Communication apparatus (excluding telephone sets or base stations)</v>
      </c>
      <c r="D4406" s="1" t="s">
        <v>11</v>
      </c>
      <c r="E4406" s="1" t="s">
        <v>11</v>
      </c>
    </row>
    <row r="4407" spans="1:5" ht="15.75" customHeight="1">
      <c r="A4407" s="1">
        <v>851769</v>
      </c>
      <c r="B4407" s="1" t="s">
        <v>4433</v>
      </c>
      <c r="C4407" s="1" t="str">
        <f ca="1">IFERROR(__xludf.DUMMYFUNCTION("REGEXEXTRACT(B4407, ""^([^:]+)"")"),"Communication apparatus (excluding telephone sets or base stations)")</f>
        <v>Communication apparatus (excluding telephone sets or base stations)</v>
      </c>
      <c r="D4407" s="1" t="s">
        <v>11</v>
      </c>
      <c r="E4407" s="1" t="s">
        <v>11</v>
      </c>
    </row>
    <row r="4408" spans="1:5" ht="15.75" customHeight="1">
      <c r="A4408" s="1">
        <v>851770</v>
      </c>
      <c r="B4408" s="1" t="s">
        <v>4434</v>
      </c>
      <c r="C4408" s="1" t="str">
        <f ca="1">IFERROR(__xludf.DUMMYFUNCTION("REGEXEXTRACT(B4408, ""^([^:]+)"")"),"Telephone sets and other apparatus for the transmission or reception of voice, images or other data, via a wired or wireless network")</f>
        <v>Telephone sets and other apparatus for the transmission or reception of voice, images or other data, via a wired or wireless network</v>
      </c>
      <c r="D4408" s="1" t="s">
        <v>11</v>
      </c>
      <c r="E4408" s="1" t="s">
        <v>11</v>
      </c>
    </row>
    <row r="4409" spans="1:5" ht="15.75" customHeight="1">
      <c r="A4409" s="1">
        <v>851810</v>
      </c>
      <c r="B4409" s="1" t="s">
        <v>4435</v>
      </c>
      <c r="C4409" s="1" t="str">
        <f ca="1">IFERROR(__xludf.DUMMYFUNCTION("REGEXEXTRACT(B4409, ""^([^:]+)"")"),"Microphones and stands therefor")</f>
        <v>Microphones and stands therefor</v>
      </c>
      <c r="D4409" s="1" t="s">
        <v>11</v>
      </c>
      <c r="E4409" s="1" t="s">
        <v>11</v>
      </c>
    </row>
    <row r="4410" spans="1:5" ht="15.75" customHeight="1">
      <c r="A4410" s="1">
        <v>851821</v>
      </c>
      <c r="B4410" s="1" t="s">
        <v>4436</v>
      </c>
      <c r="C4410" s="1" t="str">
        <f ca="1">IFERROR(__xludf.DUMMYFUNCTION("REGEXEXTRACT(B4410, ""^([^:]+)"")"),"Loudspeakers")</f>
        <v>Loudspeakers</v>
      </c>
      <c r="D4410" s="1" t="s">
        <v>11</v>
      </c>
      <c r="E4410" s="1" t="s">
        <v>11</v>
      </c>
    </row>
    <row r="4411" spans="1:5" ht="15.75" customHeight="1">
      <c r="A4411" s="1">
        <v>851822</v>
      </c>
      <c r="B4411" s="1" t="s">
        <v>4437</v>
      </c>
      <c r="C4411" s="1" t="str">
        <f ca="1">IFERROR(__xludf.DUMMYFUNCTION("REGEXEXTRACT(B4411, ""^([^:]+)"")"),"Loudspeakers")</f>
        <v>Loudspeakers</v>
      </c>
      <c r="D4411" s="1" t="s">
        <v>11</v>
      </c>
      <c r="E4411" s="1" t="s">
        <v>11</v>
      </c>
    </row>
    <row r="4412" spans="1:5" ht="15.75" customHeight="1">
      <c r="A4412" s="1">
        <v>851829</v>
      </c>
      <c r="B4412" s="1" t="s">
        <v>4438</v>
      </c>
      <c r="C4412" s="1" t="str">
        <f ca="1">IFERROR(__xludf.DUMMYFUNCTION("REGEXEXTRACT(B4412, ""^([^:]+)"")"),"Loudspeakers")</f>
        <v>Loudspeakers</v>
      </c>
      <c r="D4412" s="1" t="s">
        <v>11</v>
      </c>
      <c r="E4412" s="1" t="s">
        <v>11</v>
      </c>
    </row>
    <row r="4413" spans="1:5" ht="15.75" customHeight="1">
      <c r="A4413" s="1">
        <v>851830</v>
      </c>
      <c r="B4413" s="1" t="s">
        <v>4439</v>
      </c>
      <c r="C4413" s="1" t="str">
        <f ca="1">IFERROR(__xludf.DUMMYFUNCTION("REGEXEXTRACT(B4413, ""^([^:]+)"")"),"Headphones and earphones, whether or not combined with a microphone, and sets consisting of a microphone and one or more loudspeakers")</f>
        <v>Headphones and earphones, whether or not combined with a microphone, and sets consisting of a microphone and one or more loudspeakers</v>
      </c>
      <c r="D4413" s="1" t="s">
        <v>11</v>
      </c>
      <c r="E4413" s="1" t="s">
        <v>11</v>
      </c>
    </row>
    <row r="4414" spans="1:5" ht="15.75" customHeight="1">
      <c r="A4414" s="1">
        <v>851840</v>
      </c>
      <c r="B4414" s="1" t="s">
        <v>4440</v>
      </c>
      <c r="C4414" s="1" t="str">
        <f ca="1">IFERROR(__xludf.DUMMYFUNCTION("REGEXEXTRACT(B4414, ""^([^:]+)"")"),"Amplifiers")</f>
        <v>Amplifiers</v>
      </c>
      <c r="D4414" s="1" t="s">
        <v>11</v>
      </c>
      <c r="E4414" s="1" t="s">
        <v>11</v>
      </c>
    </row>
    <row r="4415" spans="1:5" ht="15.75" customHeight="1">
      <c r="A4415" s="1">
        <v>851850</v>
      </c>
      <c r="B4415" s="1" t="s">
        <v>4441</v>
      </c>
      <c r="C4415" s="1" t="str">
        <f ca="1">IFERROR(__xludf.DUMMYFUNCTION("REGEXEXTRACT(B4415, ""^([^:]+)"")"),"Amplifier sets")</f>
        <v>Amplifier sets</v>
      </c>
      <c r="D4415" s="1" t="s">
        <v>11</v>
      </c>
      <c r="E4415" s="1" t="s">
        <v>11</v>
      </c>
    </row>
    <row r="4416" spans="1:5" ht="15.75" customHeight="1">
      <c r="A4416" s="1">
        <v>851890</v>
      </c>
      <c r="B4416" s="1" t="s">
        <v>4442</v>
      </c>
      <c r="C4416" s="1" t="str">
        <f ca="1">IFERROR(__xludf.DUMMYFUNCTION("REGEXEXTRACT(B4416, ""^([^:]+)"")"),"Microphones, headphones, earphones, amplifier equipment")</f>
        <v>Microphones, headphones, earphones, amplifier equipment</v>
      </c>
      <c r="D4416" s="1" t="s">
        <v>11</v>
      </c>
      <c r="E4416" s="1" t="s">
        <v>11</v>
      </c>
    </row>
    <row r="4417" spans="1:5" ht="15.75" customHeight="1">
      <c r="A4417" s="1">
        <v>851920</v>
      </c>
      <c r="B4417" s="1" t="s">
        <v>4443</v>
      </c>
      <c r="C4417" s="1" t="str">
        <f ca="1">IFERROR(__xludf.DUMMYFUNCTION("REGEXEXTRACT(B4417, ""^([^:]+)"")"),"Sound recording or reproducing apparatus")</f>
        <v>Sound recording or reproducing apparatus</v>
      </c>
      <c r="D4417" s="1" t="s">
        <v>11</v>
      </c>
      <c r="E4417" s="1" t="s">
        <v>11</v>
      </c>
    </row>
    <row r="4418" spans="1:5" ht="15.75" customHeight="1">
      <c r="A4418" s="1">
        <v>851930</v>
      </c>
      <c r="B4418" s="1" t="s">
        <v>4444</v>
      </c>
      <c r="C4418" s="1" t="str">
        <f ca="1">IFERROR(__xludf.DUMMYFUNCTION("REGEXEXTRACT(B4418, ""^([^:]+)"")"),"Sound recording or reproducing apparatus")</f>
        <v>Sound recording or reproducing apparatus</v>
      </c>
      <c r="D4418" s="1" t="s">
        <v>11</v>
      </c>
      <c r="E4418" s="1" t="s">
        <v>11</v>
      </c>
    </row>
    <row r="4419" spans="1:5" ht="15.75" customHeight="1">
      <c r="A4419" s="1">
        <v>851950</v>
      </c>
      <c r="B4419" s="1" t="s">
        <v>4445</v>
      </c>
      <c r="C4419" s="1" t="str">
        <f ca="1">IFERROR(__xludf.DUMMYFUNCTION("REGEXEXTRACT(B4419, ""^([^:]+)"")"),"Sound recording or reproducing apparatus")</f>
        <v>Sound recording or reproducing apparatus</v>
      </c>
      <c r="D4419" s="1" t="s">
        <v>11</v>
      </c>
      <c r="E4419" s="1" t="s">
        <v>11</v>
      </c>
    </row>
    <row r="4420" spans="1:5" ht="15.75" customHeight="1">
      <c r="A4420" s="1">
        <v>851981</v>
      </c>
      <c r="B4420" s="1" t="s">
        <v>4446</v>
      </c>
      <c r="C4420" s="1" t="str">
        <f ca="1">IFERROR(__xludf.DUMMYFUNCTION("REGEXEXTRACT(B4420, ""^([^:]+)"")"),"Sound recording or reproducing apparatus")</f>
        <v>Sound recording or reproducing apparatus</v>
      </c>
      <c r="D4420" s="1" t="s">
        <v>11</v>
      </c>
      <c r="E4420" s="1" t="s">
        <v>11</v>
      </c>
    </row>
    <row r="4421" spans="1:5" ht="15.75" customHeight="1">
      <c r="A4421" s="1">
        <v>851989</v>
      </c>
      <c r="B4421" s="1" t="s">
        <v>4447</v>
      </c>
      <c r="C4421" s="1" t="str">
        <f ca="1">IFERROR(__xludf.DUMMYFUNCTION("REGEXEXTRACT(B4421, ""^([^:]+)"")"),"Sound recording or reproducing apparatus")</f>
        <v>Sound recording or reproducing apparatus</v>
      </c>
      <c r="D4421" s="1" t="s">
        <v>11</v>
      </c>
      <c r="E4421" s="1" t="s">
        <v>11</v>
      </c>
    </row>
    <row r="4422" spans="1:5" ht="15.75" customHeight="1">
      <c r="A4422" s="1">
        <v>852110</v>
      </c>
      <c r="B4422" s="1" t="s">
        <v>4448</v>
      </c>
      <c r="C4422" s="1" t="str">
        <f ca="1">IFERROR(__xludf.DUMMYFUNCTION("REGEXEXTRACT(B4422, ""^([^:]+)"")"),"Video recording or reproducing apparatus")</f>
        <v>Video recording or reproducing apparatus</v>
      </c>
      <c r="D4422" s="1" t="s">
        <v>11</v>
      </c>
      <c r="E4422" s="1" t="s">
        <v>11</v>
      </c>
    </row>
    <row r="4423" spans="1:5" ht="15.75" customHeight="1">
      <c r="A4423" s="1">
        <v>852190</v>
      </c>
      <c r="B4423" s="1" t="s">
        <v>4449</v>
      </c>
      <c r="C4423" s="1" t="str">
        <f ca="1">IFERROR(__xludf.DUMMYFUNCTION("REGEXEXTRACT(B4423, ""^([^:]+)"")"),"Video recording or reproducing apparatus")</f>
        <v>Video recording or reproducing apparatus</v>
      </c>
      <c r="D4423" s="1" t="s">
        <v>11</v>
      </c>
      <c r="E4423" s="1" t="s">
        <v>11</v>
      </c>
    </row>
    <row r="4424" spans="1:5" ht="15.75" customHeight="1">
      <c r="A4424" s="1">
        <v>852210</v>
      </c>
      <c r="B4424" s="1" t="s">
        <v>4450</v>
      </c>
      <c r="C4424" s="1" t="str">
        <f ca="1">IFERROR(__xludf.DUMMYFUNCTION("REGEXEXTRACT(B4424, ""^([^:]+)"")"),"Sound recording or reproducing apparatus")</f>
        <v>Sound recording or reproducing apparatus</v>
      </c>
      <c r="D4424" s="1" t="s">
        <v>11</v>
      </c>
      <c r="E4424" s="1" t="s">
        <v>11</v>
      </c>
    </row>
    <row r="4425" spans="1:5" ht="15.75" customHeight="1">
      <c r="A4425" s="1">
        <v>852290</v>
      </c>
      <c r="B4425" s="1" t="s">
        <v>4451</v>
      </c>
      <c r="C4425" s="1" t="str">
        <f ca="1">IFERROR(__xludf.DUMMYFUNCTION("REGEXEXTRACT(B4425, ""^([^:]+)"")"),"Sound recording or reproducing apparatus")</f>
        <v>Sound recording or reproducing apparatus</v>
      </c>
      <c r="D4425" s="1" t="s">
        <v>11</v>
      </c>
      <c r="E4425" s="1" t="s">
        <v>11</v>
      </c>
    </row>
    <row r="4426" spans="1:5" ht="15.75" customHeight="1">
      <c r="A4426" s="1">
        <v>852321</v>
      </c>
      <c r="B4426" s="1" t="s">
        <v>4452</v>
      </c>
      <c r="C4426" s="1" t="str">
        <f ca="1">IFERROR(__xludf.DUMMYFUNCTION("REGEXEXTRACT(B4426, ""^([^:]+)"")"),"Magnetic media")</f>
        <v>Magnetic media</v>
      </c>
      <c r="D4426" s="1" t="s">
        <v>11</v>
      </c>
      <c r="E4426" s="1" t="s">
        <v>11</v>
      </c>
    </row>
    <row r="4427" spans="1:5" ht="15.75" customHeight="1">
      <c r="A4427" s="1">
        <v>852329</v>
      </c>
      <c r="B4427" s="1" t="s">
        <v>4453</v>
      </c>
      <c r="C4427" s="1" t="str">
        <f ca="1">IFERROR(__xludf.DUMMYFUNCTION("REGEXEXTRACT(B4427, ""^([^:]+)"")"),"Magnetic media")</f>
        <v>Magnetic media</v>
      </c>
      <c r="D4427" s="1" t="s">
        <v>11</v>
      </c>
      <c r="E4427" s="1" t="s">
        <v>11</v>
      </c>
    </row>
    <row r="4428" spans="1:5" ht="15.75" customHeight="1">
      <c r="A4428" s="1">
        <v>852340</v>
      </c>
      <c r="B4428" s="1" t="s">
        <v>4454</v>
      </c>
      <c r="C4428" s="1" t="str">
        <f ca="1">IFERROR(__xludf.DUMMYFUNCTION("REGEXEXTRACT(B4428, ""^([^:]+)"")"),"Optical media, whether or not recorded, excluding products of Chapter 37")</f>
        <v>Optical media, whether or not recorded, excluding products of Chapter 37</v>
      </c>
      <c r="D4428" s="1" t="s">
        <v>11</v>
      </c>
      <c r="E4428" s="1" t="s">
        <v>11</v>
      </c>
    </row>
    <row r="4429" spans="1:5" ht="15.75" customHeight="1">
      <c r="A4429" s="1">
        <v>852351</v>
      </c>
      <c r="B4429" s="1" t="s">
        <v>4455</v>
      </c>
      <c r="C4429" s="1" t="str">
        <f ca="1">IFERROR(__xludf.DUMMYFUNCTION("REGEXEXTRACT(B4429, ""^([^:]+)"")"),"Semiconductor media")</f>
        <v>Semiconductor media</v>
      </c>
      <c r="D4429" s="1" t="s">
        <v>11</v>
      </c>
      <c r="E4429" s="1" t="s">
        <v>11</v>
      </c>
    </row>
    <row r="4430" spans="1:5" ht="15.75" customHeight="1">
      <c r="A4430" s="1">
        <v>852352</v>
      </c>
      <c r="B4430" s="1" t="s">
        <v>4456</v>
      </c>
      <c r="C4430" s="1" t="str">
        <f ca="1">IFERROR(__xludf.DUMMYFUNCTION("REGEXEXTRACT(B4430, ""^([^:]+)"")"),"Semiconductor media")</f>
        <v>Semiconductor media</v>
      </c>
      <c r="D4430" s="1" t="s">
        <v>11</v>
      </c>
      <c r="E4430" s="1" t="s">
        <v>11</v>
      </c>
    </row>
    <row r="4431" spans="1:5" ht="15.75" customHeight="1">
      <c r="A4431" s="1">
        <v>852359</v>
      </c>
      <c r="B4431" s="1" t="s">
        <v>4457</v>
      </c>
      <c r="C4431" s="1" t="str">
        <f ca="1">IFERROR(__xludf.DUMMYFUNCTION("REGEXEXTRACT(B4431, ""^([^:]+)"")"),"Semiconductor media")</f>
        <v>Semiconductor media</v>
      </c>
      <c r="D4431" s="1" t="s">
        <v>11</v>
      </c>
      <c r="E4431" s="1" t="s">
        <v>11</v>
      </c>
    </row>
    <row r="4432" spans="1:5" ht="15.75" customHeight="1">
      <c r="A4432" s="1">
        <v>852380</v>
      </c>
      <c r="B4432" s="1" t="s">
        <v>4458</v>
      </c>
      <c r="C4432" s="1" t="str">
        <f ca="1">IFERROR(__xludf.DUMMYFUNCTION("REGEXEXTRACT(B4432, ""^([^:]+)"")"),"Media n.e.c. in heading 8523, whether or not recorded, excluding products of Chapter 37")</f>
        <v>Media n.e.c. in heading 8523, whether or not recorded, excluding products of Chapter 37</v>
      </c>
      <c r="D4432" s="1" t="s">
        <v>11</v>
      </c>
      <c r="E4432" s="1" t="s">
        <v>11</v>
      </c>
    </row>
    <row r="4433" spans="1:5" ht="15.75" customHeight="1">
      <c r="A4433" s="1">
        <v>852550</v>
      </c>
      <c r="B4433" s="1" t="s">
        <v>4459</v>
      </c>
      <c r="C4433" s="1" t="str">
        <f ca="1">IFERROR(__xludf.DUMMYFUNCTION("REGEXEXTRACT(B4433, ""^([^:]+)"")"),"Transmission apparatus for radio-broadcasting or television, whether or not incorporating sound recording or reproducing apparatus, not incorporating reception apparatus")</f>
        <v>Transmission apparatus for radio-broadcasting or television, whether or not incorporating sound recording or reproducing apparatus, not incorporating reception apparatus</v>
      </c>
      <c r="D4433" s="1" t="s">
        <v>11</v>
      </c>
      <c r="E4433" s="1" t="s">
        <v>11</v>
      </c>
    </row>
    <row r="4434" spans="1:5" ht="15.75" customHeight="1">
      <c r="A4434" s="1">
        <v>852560</v>
      </c>
      <c r="B4434" s="1" t="s">
        <v>4460</v>
      </c>
      <c r="C4434" s="1" t="str">
        <f ca="1">IFERROR(__xludf.DUMMYFUNCTION("REGEXEXTRACT(B4434, ""^([^:]+)"")"),"Transmission apparatus for radio-broadcasting or television, whether or not incorporating sound recording or reproducing apparatus, incorporating reception apparatus")</f>
        <v>Transmission apparatus for radio-broadcasting or television, whether or not incorporating sound recording or reproducing apparatus, incorporating reception apparatus</v>
      </c>
      <c r="D4434" s="1" t="s">
        <v>11</v>
      </c>
      <c r="E4434" s="1" t="s">
        <v>11</v>
      </c>
    </row>
    <row r="4435" spans="1:5" ht="15.75" customHeight="1">
      <c r="A4435" s="1">
        <v>852580</v>
      </c>
      <c r="B4435" s="1" t="s">
        <v>4461</v>
      </c>
      <c r="C4435" s="1" t="str">
        <f ca="1">IFERROR(__xludf.DUMMYFUNCTION("REGEXEXTRACT(B4435, ""^([^:]+)"")"),"Television cameras, digital cameras and video camera recorders")</f>
        <v>Television cameras, digital cameras and video camera recorders</v>
      </c>
      <c r="D4435" s="1" t="s">
        <v>11</v>
      </c>
      <c r="E4435" s="1" t="s">
        <v>11</v>
      </c>
    </row>
    <row r="4436" spans="1:5" ht="15.75" customHeight="1">
      <c r="A4436" s="1">
        <v>852610</v>
      </c>
      <c r="B4436" s="1" t="s">
        <v>4462</v>
      </c>
      <c r="C4436" s="1" t="str">
        <f ca="1">IFERROR(__xludf.DUMMYFUNCTION("REGEXEXTRACT(B4436, ""^([^:]+)"")"),"Radar apparatus")</f>
        <v>Radar apparatus</v>
      </c>
      <c r="D4436" s="1" t="s">
        <v>11</v>
      </c>
      <c r="E4436" s="1" t="s">
        <v>11</v>
      </c>
    </row>
    <row r="4437" spans="1:5" ht="15.75" customHeight="1">
      <c r="A4437" s="1">
        <v>852691</v>
      </c>
      <c r="B4437" s="1" t="s">
        <v>4463</v>
      </c>
      <c r="C4437" s="1" t="str">
        <f ca="1">IFERROR(__xludf.DUMMYFUNCTION("REGEXEXTRACT(B4437, ""^([^:]+)"")"),"Radio navigational aid apparatus")</f>
        <v>Radio navigational aid apparatus</v>
      </c>
      <c r="D4437" s="1" t="s">
        <v>11</v>
      </c>
      <c r="E4437" s="1" t="s">
        <v>11</v>
      </c>
    </row>
    <row r="4438" spans="1:5" ht="15.75" customHeight="1">
      <c r="A4438" s="1">
        <v>852692</v>
      </c>
      <c r="B4438" s="1" t="s">
        <v>4464</v>
      </c>
      <c r="C4438" s="1" t="str">
        <f ca="1">IFERROR(__xludf.DUMMYFUNCTION("REGEXEXTRACT(B4438, ""^([^:]+)"")"),"Radio remote control apparatus")</f>
        <v>Radio remote control apparatus</v>
      </c>
      <c r="D4438" s="1" t="s">
        <v>11</v>
      </c>
      <c r="E4438" s="1" t="s">
        <v>11</v>
      </c>
    </row>
    <row r="4439" spans="1:5" ht="15.75" customHeight="1">
      <c r="A4439" s="1">
        <v>852712</v>
      </c>
      <c r="B4439" s="1" t="s">
        <v>4465</v>
      </c>
      <c r="C4439" s="1" t="str">
        <f ca="1">IFERROR(__xludf.DUMMYFUNCTION("REGEXEXTRACT(B4439, ""^([^:]+)"")"),"Radio broadcast receivers capable of operating without an external power source")</f>
        <v>Radio broadcast receivers capable of operating without an external power source</v>
      </c>
      <c r="D4439" s="1" t="s">
        <v>11</v>
      </c>
      <c r="E4439" s="1" t="s">
        <v>11</v>
      </c>
    </row>
    <row r="4440" spans="1:5" ht="15.75" customHeight="1">
      <c r="A4440" s="1">
        <v>852713</v>
      </c>
      <c r="B4440" s="1" t="s">
        <v>4466</v>
      </c>
      <c r="C4440" s="1" t="str">
        <f ca="1">IFERROR(__xludf.DUMMYFUNCTION("REGEXEXTRACT(B4440, ""^([^:]+)"")"),"Radio broadcast receivers capable of operating without an external power source")</f>
        <v>Radio broadcast receivers capable of operating without an external power source</v>
      </c>
      <c r="D4440" s="1" t="s">
        <v>11</v>
      </c>
      <c r="E4440" s="1" t="s">
        <v>11</v>
      </c>
    </row>
    <row r="4441" spans="1:5" ht="15.75" customHeight="1">
      <c r="A4441" s="1">
        <v>852719</v>
      </c>
      <c r="B4441" s="1" t="s">
        <v>4467</v>
      </c>
      <c r="C4441" s="1" t="str">
        <f ca="1">IFERROR(__xludf.DUMMYFUNCTION("REGEXEXTRACT(B4441, ""^([^:]+)"")"),"Radio broadcast receivers capable of operating without an external power source")</f>
        <v>Radio broadcast receivers capable of operating without an external power source</v>
      </c>
      <c r="D4441" s="1" t="s">
        <v>11</v>
      </c>
      <c r="E4441" s="1" t="s">
        <v>11</v>
      </c>
    </row>
    <row r="4442" spans="1:5" ht="15.75" customHeight="1">
      <c r="A4442" s="1">
        <v>852721</v>
      </c>
      <c r="B4442" s="1" t="s">
        <v>4468</v>
      </c>
      <c r="C4442" s="1" t="str">
        <f ca="1">IFERROR(__xludf.DUMMYFUNCTION("REGEXEXTRACT(B4442, ""^([^:]+)"")"),"Radio-broadcast receivers not capable of operating without an external source of power, of a kind used in motor vehicles")</f>
        <v>Radio-broadcast receivers not capable of operating without an external source of power, of a kind used in motor vehicles</v>
      </c>
      <c r="D4442" s="1" t="s">
        <v>11</v>
      </c>
      <c r="E4442" s="1" t="s">
        <v>11</v>
      </c>
    </row>
    <row r="4443" spans="1:5" ht="15.75" customHeight="1">
      <c r="A4443" s="1">
        <v>852729</v>
      </c>
      <c r="B4443" s="1" t="s">
        <v>4469</v>
      </c>
      <c r="C4443" s="1" t="str">
        <f ca="1">IFERROR(__xludf.DUMMYFUNCTION("REGEXEXTRACT(B4443, ""^([^:]+)"")"),"Radio-broadcast receivers not capable of operating without an external source of power, of a kind used in motor vehicles")</f>
        <v>Radio-broadcast receivers not capable of operating without an external source of power, of a kind used in motor vehicles</v>
      </c>
      <c r="D4443" s="1" t="s">
        <v>11</v>
      </c>
      <c r="E4443" s="1" t="s">
        <v>11</v>
      </c>
    </row>
    <row r="4444" spans="1:5" ht="15.75" customHeight="1">
      <c r="A4444" s="1">
        <v>852791</v>
      </c>
      <c r="B4444" s="1" t="s">
        <v>4470</v>
      </c>
      <c r="C4444" s="1" t="str">
        <f ca="1">IFERROR(__xludf.DUMMYFUNCTION("REGEXEXTRACT(B4444, ""^([^:]+)"")"),"Radio-broadcast receivers n.e.c. in heading no. 8527")</f>
        <v>Radio-broadcast receivers n.e.c. in heading no. 8527</v>
      </c>
      <c r="D4444" s="1" t="s">
        <v>11</v>
      </c>
      <c r="E4444" s="1" t="s">
        <v>11</v>
      </c>
    </row>
    <row r="4445" spans="1:5" ht="15.75" customHeight="1">
      <c r="A4445" s="1">
        <v>852792</v>
      </c>
      <c r="B4445" s="1" t="s">
        <v>4471</v>
      </c>
      <c r="C4445" s="1" t="str">
        <f ca="1">IFERROR(__xludf.DUMMYFUNCTION("REGEXEXTRACT(B4445, ""^([^:]+)"")"),"Radio-broadcast receivers n.e.c. in heading no. 8527")</f>
        <v>Radio-broadcast receivers n.e.c. in heading no. 8527</v>
      </c>
      <c r="D4445" s="1" t="s">
        <v>11</v>
      </c>
      <c r="E4445" s="1" t="s">
        <v>11</v>
      </c>
    </row>
    <row r="4446" spans="1:5" ht="15.75" customHeight="1">
      <c r="A4446" s="1">
        <v>852799</v>
      </c>
      <c r="B4446" s="1" t="s">
        <v>4472</v>
      </c>
      <c r="C4446" s="1" t="str">
        <f ca="1">IFERROR(__xludf.DUMMYFUNCTION("REGEXEXTRACT(B4446, ""^([^:]+)"")"),"Radio-broadcast receivers n.e.c. in heading no. 8527")</f>
        <v>Radio-broadcast receivers n.e.c. in heading no. 8527</v>
      </c>
      <c r="D4446" s="1" t="s">
        <v>11</v>
      </c>
      <c r="E4446" s="1" t="s">
        <v>11</v>
      </c>
    </row>
    <row r="4447" spans="1:5" ht="15.75" customHeight="1">
      <c r="A4447" s="1">
        <v>852841</v>
      </c>
      <c r="B4447" s="1" t="s">
        <v>4473</v>
      </c>
      <c r="C4447" s="1" t="str">
        <f ca="1">IFERROR(__xludf.DUMMYFUNCTION("REGEXEXTRACT(B4447, ""^([^:]+)"")"),"Cathode-ray tube monitors")</f>
        <v>Cathode-ray tube monitors</v>
      </c>
      <c r="D4447" s="1" t="s">
        <v>11</v>
      </c>
      <c r="E4447" s="1" t="s">
        <v>11</v>
      </c>
    </row>
    <row r="4448" spans="1:5" ht="15.75" customHeight="1">
      <c r="A4448" s="1">
        <v>852849</v>
      </c>
      <c r="B4448" s="1" t="s">
        <v>4474</v>
      </c>
      <c r="C4448" s="1" t="str">
        <f ca="1">IFERROR(__xludf.DUMMYFUNCTION("REGEXEXTRACT(B4448, ""^([^:]+)"")"),"Cathode-ray tube monitors")</f>
        <v>Cathode-ray tube monitors</v>
      </c>
      <c r="D4448" s="1" t="s">
        <v>11</v>
      </c>
      <c r="E4448" s="1" t="s">
        <v>11</v>
      </c>
    </row>
    <row r="4449" spans="1:5" ht="15.75" customHeight="1">
      <c r="A4449" s="1">
        <v>852851</v>
      </c>
      <c r="B4449" s="1" t="s">
        <v>4475</v>
      </c>
      <c r="C4449" s="1" t="str">
        <f ca="1">IFERROR(__xludf.DUMMYFUNCTION("REGEXEXTRACT(B4449, ""^([^:]+)"")"),"Monitors other than cathode-ray tube")</f>
        <v>Monitors other than cathode-ray tube</v>
      </c>
      <c r="D4449" s="1" t="s">
        <v>11</v>
      </c>
      <c r="E4449" s="1" t="s">
        <v>11</v>
      </c>
    </row>
    <row r="4450" spans="1:5" ht="15.75" customHeight="1">
      <c r="A4450" s="1">
        <v>852859</v>
      </c>
      <c r="B4450" s="1" t="s">
        <v>4476</v>
      </c>
      <c r="C4450" s="1" t="str">
        <f ca="1">IFERROR(__xludf.DUMMYFUNCTION("REGEXEXTRACT(B4450, ""^([^:]+)"")"),"Monitors other than cathode-ray tube")</f>
        <v>Monitors other than cathode-ray tube</v>
      </c>
      <c r="D4450" s="1" t="s">
        <v>11</v>
      </c>
      <c r="E4450" s="1" t="s">
        <v>11</v>
      </c>
    </row>
    <row r="4451" spans="1:5" ht="15.75" customHeight="1">
      <c r="A4451" s="1">
        <v>852861</v>
      </c>
      <c r="B4451" s="1" t="s">
        <v>4477</v>
      </c>
      <c r="C4451" s="1" t="str">
        <f ca="1">IFERROR(__xludf.DUMMYFUNCTION("REGEXEXTRACT(B4451, ""^([^:]+)"")"),"Projectors")</f>
        <v>Projectors</v>
      </c>
      <c r="D4451" s="1" t="s">
        <v>11</v>
      </c>
      <c r="E4451" s="1" t="s">
        <v>11</v>
      </c>
    </row>
    <row r="4452" spans="1:5" ht="15.75" customHeight="1">
      <c r="A4452" s="1">
        <v>852869</v>
      </c>
      <c r="B4452" s="1" t="s">
        <v>4478</v>
      </c>
      <c r="C4452" s="1" t="str">
        <f ca="1">IFERROR(__xludf.DUMMYFUNCTION("REGEXEXTRACT(B4452, ""^([^:]+)"")"),"Projectors")</f>
        <v>Projectors</v>
      </c>
      <c r="D4452" s="1" t="s">
        <v>11</v>
      </c>
      <c r="E4452" s="1" t="s">
        <v>11</v>
      </c>
    </row>
    <row r="4453" spans="1:5" ht="15.75" customHeight="1">
      <c r="A4453" s="1">
        <v>852871</v>
      </c>
      <c r="B4453" s="1" t="s">
        <v>4479</v>
      </c>
      <c r="C4453" s="1" t="str">
        <f ca="1">IFERROR(__xludf.DUMMYFUNCTION("REGEXEXTRACT(B4453, ""^([^:]+)"")"),"Reception apparatus for television, whether or not incorporating radio-broadcast receivers or sound or video recording or reproducing apparatus")</f>
        <v>Reception apparatus for television, whether or not incorporating radio-broadcast receivers or sound or video recording or reproducing apparatus</v>
      </c>
      <c r="D4453" s="1" t="s">
        <v>11</v>
      </c>
      <c r="E4453" s="1" t="s">
        <v>11</v>
      </c>
    </row>
    <row r="4454" spans="1:5" ht="15.75" customHeight="1">
      <c r="A4454" s="1">
        <v>852872</v>
      </c>
      <c r="B4454" s="1" t="s">
        <v>4480</v>
      </c>
      <c r="C4454" s="1" t="str">
        <f ca="1">IFERROR(__xludf.DUMMYFUNCTION("REGEXEXTRACT(B4454, ""^([^:]+)"")"),"Reception apparatus for television, whether or not incorporating radio-broadcast receivers or sound or video recording or reproducing apparatus")</f>
        <v>Reception apparatus for television, whether or not incorporating radio-broadcast receivers or sound or video recording or reproducing apparatus</v>
      </c>
      <c r="D4454" s="1" t="s">
        <v>11</v>
      </c>
      <c r="E4454" s="1" t="s">
        <v>11</v>
      </c>
    </row>
    <row r="4455" spans="1:5" ht="15.75" customHeight="1">
      <c r="A4455" s="1">
        <v>852873</v>
      </c>
      <c r="B4455" s="1" t="s">
        <v>4481</v>
      </c>
      <c r="C4455" s="1" t="str">
        <f ca="1">IFERROR(__xludf.DUMMYFUNCTION("REGEXEXTRACT(B4455, ""^([^:]+)"")"),"Reception apparatus for television, whether or not incorporating radio-broadcast receivers or sound or video recording or reproducing apparatus")</f>
        <v>Reception apparatus for television, whether or not incorporating radio-broadcast receivers or sound or video recording or reproducing apparatus</v>
      </c>
      <c r="D4455" s="1" t="s">
        <v>11</v>
      </c>
      <c r="E4455" s="1" t="s">
        <v>11</v>
      </c>
    </row>
    <row r="4456" spans="1:5" ht="15.75" customHeight="1">
      <c r="A4456" s="1">
        <v>852910</v>
      </c>
      <c r="B4456" s="1" t="s">
        <v>4482</v>
      </c>
      <c r="C4456" s="1" t="str">
        <f ca="1">IFERROR(__xludf.DUMMYFUNCTION("REGEXEXTRACT(B4456, ""^([^:]+)"")"),"Reception and transmission apparatus")</f>
        <v>Reception and transmission apparatus</v>
      </c>
      <c r="D4456" s="1" t="s">
        <v>11</v>
      </c>
      <c r="E4456" s="1" t="s">
        <v>11</v>
      </c>
    </row>
    <row r="4457" spans="1:5" ht="15.75" customHeight="1">
      <c r="A4457" s="1">
        <v>852990</v>
      </c>
      <c r="B4457" s="1" t="s">
        <v>4483</v>
      </c>
      <c r="C4457" s="1" t="str">
        <f ca="1">IFERROR(__xludf.DUMMYFUNCTION("REGEXEXTRACT(B4457, ""^([^:]+)"")"),"Reception and transmission apparatus")</f>
        <v>Reception and transmission apparatus</v>
      </c>
      <c r="D4457" s="1" t="s">
        <v>11</v>
      </c>
      <c r="E4457" s="1" t="s">
        <v>11</v>
      </c>
    </row>
    <row r="4458" spans="1:5" ht="15.75" customHeight="1">
      <c r="A4458" s="1">
        <v>853010</v>
      </c>
      <c r="B4458" s="1" t="s">
        <v>4484</v>
      </c>
      <c r="C4458" s="1" t="str">
        <f ca="1">IFERROR(__xludf.DUMMYFUNCTION("REGEXEXTRACT(B4458, ""^([^:]+)"")"),"Signalling, safety or traffic control equipment")</f>
        <v>Signalling, safety or traffic control equipment</v>
      </c>
      <c r="D4458" s="1" t="s">
        <v>11</v>
      </c>
      <c r="E4458" s="1" t="s">
        <v>11</v>
      </c>
    </row>
    <row r="4459" spans="1:5" ht="15.75" customHeight="1">
      <c r="A4459" s="1">
        <v>853080</v>
      </c>
      <c r="B4459" s="1" t="s">
        <v>4485</v>
      </c>
      <c r="C4459" s="1" t="str">
        <f ca="1">IFERROR(__xludf.DUMMYFUNCTION("REGEXEXTRACT(B4459, ""^([^:]+)"")"),"Signalling, safety or traffic control equipment")</f>
        <v>Signalling, safety or traffic control equipment</v>
      </c>
      <c r="D4459" s="1" t="s">
        <v>11</v>
      </c>
      <c r="E4459" s="1" t="s">
        <v>11</v>
      </c>
    </row>
    <row r="4460" spans="1:5" ht="15.75" customHeight="1">
      <c r="A4460" s="1">
        <v>853090</v>
      </c>
      <c r="B4460" s="1" t="s">
        <v>4486</v>
      </c>
      <c r="C4460" s="1" t="str">
        <f ca="1">IFERROR(__xludf.DUMMYFUNCTION("REGEXEXTRACT(B4460, ""^([^:]+)"")"),"Signalling apparatus")</f>
        <v>Signalling apparatus</v>
      </c>
      <c r="D4460" s="1" t="s">
        <v>11</v>
      </c>
      <c r="E4460" s="1" t="s">
        <v>11</v>
      </c>
    </row>
    <row r="4461" spans="1:5" ht="15.75" customHeight="1">
      <c r="A4461" s="1">
        <v>853110</v>
      </c>
      <c r="B4461" s="1" t="s">
        <v>4487</v>
      </c>
      <c r="C4461" s="1" t="str">
        <f ca="1">IFERROR(__xludf.DUMMYFUNCTION("REGEXEXTRACT(B4461, ""^([^:]+)"")"),"Signalling apparatus")</f>
        <v>Signalling apparatus</v>
      </c>
      <c r="D4461" s="1" t="s">
        <v>11</v>
      </c>
      <c r="E4461" s="1" t="s">
        <v>11</v>
      </c>
    </row>
    <row r="4462" spans="1:5" ht="15.75" customHeight="1">
      <c r="A4462" s="1">
        <v>853120</v>
      </c>
      <c r="B4462" s="1" t="s">
        <v>4488</v>
      </c>
      <c r="C4462" s="1" t="str">
        <f ca="1">IFERROR(__xludf.DUMMYFUNCTION("REGEXEXTRACT(B4462, ""^([^:]+)"")"),"Signalling apparatus")</f>
        <v>Signalling apparatus</v>
      </c>
      <c r="D4462" s="1" t="s">
        <v>11</v>
      </c>
      <c r="E4462" s="1" t="s">
        <v>11</v>
      </c>
    </row>
    <row r="4463" spans="1:5" ht="15.75" customHeight="1">
      <c r="A4463" s="1">
        <v>853180</v>
      </c>
      <c r="B4463" s="1" t="s">
        <v>4489</v>
      </c>
      <c r="C4463" s="1" t="str">
        <f ca="1">IFERROR(__xludf.DUMMYFUNCTION("REGEXEXTRACT(B4463, ""^([^:]+)"")"),"Signalling apparatus")</f>
        <v>Signalling apparatus</v>
      </c>
      <c r="D4463" s="1" t="s">
        <v>11</v>
      </c>
      <c r="E4463" s="1" t="s">
        <v>11</v>
      </c>
    </row>
    <row r="4464" spans="1:5" ht="15.75" customHeight="1">
      <c r="A4464" s="1">
        <v>853190</v>
      </c>
      <c r="B4464" s="1" t="s">
        <v>4490</v>
      </c>
      <c r="C4464" s="1" t="str">
        <f ca="1">IFERROR(__xludf.DUMMYFUNCTION("REGEXEXTRACT(B4464, ""^([^:]+)"")"),"Signalling apparatus")</f>
        <v>Signalling apparatus</v>
      </c>
      <c r="D4464" s="1" t="s">
        <v>11</v>
      </c>
      <c r="E4464" s="1" t="s">
        <v>11</v>
      </c>
    </row>
    <row r="4465" spans="1:5" ht="15.75" customHeight="1">
      <c r="A4465" s="1">
        <v>853210</v>
      </c>
      <c r="B4465" s="1" t="s">
        <v>4491</v>
      </c>
      <c r="C4465" s="1" t="str">
        <f ca="1">IFERROR(__xludf.DUMMYFUNCTION("REGEXEXTRACT(B4465, ""^([^:]+)"")"),"Electrical capacitors")</f>
        <v>Electrical capacitors</v>
      </c>
      <c r="D4465" s="1" t="s">
        <v>11</v>
      </c>
      <c r="E4465" s="1" t="s">
        <v>11</v>
      </c>
    </row>
    <row r="4466" spans="1:5" ht="15.75" customHeight="1">
      <c r="A4466" s="1">
        <v>853221</v>
      </c>
      <c r="B4466" s="1" t="s">
        <v>4492</v>
      </c>
      <c r="C4466" s="1" t="str">
        <f ca="1">IFERROR(__xludf.DUMMYFUNCTION("REGEXEXTRACT(B4466, ""^([^:]+)"")"),"Electrical capacitors")</f>
        <v>Electrical capacitors</v>
      </c>
      <c r="D4466" s="1" t="s">
        <v>11</v>
      </c>
      <c r="E4466" s="1" t="s">
        <v>11</v>
      </c>
    </row>
    <row r="4467" spans="1:5" ht="15.75" customHeight="1">
      <c r="A4467" s="1">
        <v>853222</v>
      </c>
      <c r="B4467" s="1" t="s">
        <v>4493</v>
      </c>
      <c r="C4467" s="1" t="str">
        <f ca="1">IFERROR(__xludf.DUMMYFUNCTION("REGEXEXTRACT(B4467, ""^([^:]+)"")"),"Electrical capacitors")</f>
        <v>Electrical capacitors</v>
      </c>
      <c r="D4467" s="1" t="s">
        <v>11</v>
      </c>
      <c r="E4467" s="1" t="s">
        <v>11</v>
      </c>
    </row>
    <row r="4468" spans="1:5" ht="15.75" customHeight="1">
      <c r="A4468" s="1">
        <v>853223</v>
      </c>
      <c r="B4468" s="1" t="s">
        <v>4494</v>
      </c>
      <c r="C4468" s="1" t="str">
        <f ca="1">IFERROR(__xludf.DUMMYFUNCTION("REGEXEXTRACT(B4468, ""^([^:]+)"")"),"Electrical capacitors")</f>
        <v>Electrical capacitors</v>
      </c>
      <c r="D4468" s="1" t="s">
        <v>11</v>
      </c>
      <c r="E4468" s="1" t="s">
        <v>11</v>
      </c>
    </row>
    <row r="4469" spans="1:5" ht="15.75" customHeight="1">
      <c r="A4469" s="1">
        <v>853224</v>
      </c>
      <c r="B4469" s="1" t="s">
        <v>4495</v>
      </c>
      <c r="C4469" s="1" t="str">
        <f ca="1">IFERROR(__xludf.DUMMYFUNCTION("REGEXEXTRACT(B4469, ""^([^:]+)"")"),"Electrical capacitors")</f>
        <v>Electrical capacitors</v>
      </c>
      <c r="D4469" s="1" t="s">
        <v>11</v>
      </c>
      <c r="E4469" s="1" t="s">
        <v>11</v>
      </c>
    </row>
    <row r="4470" spans="1:5" ht="15.75" customHeight="1">
      <c r="A4470" s="1">
        <v>853225</v>
      </c>
      <c r="B4470" s="1" t="s">
        <v>4496</v>
      </c>
      <c r="C4470" s="1" t="str">
        <f ca="1">IFERROR(__xludf.DUMMYFUNCTION("REGEXEXTRACT(B4470, ""^([^:]+)"")"),"Electrical capacitors")</f>
        <v>Electrical capacitors</v>
      </c>
      <c r="D4470" s="1" t="s">
        <v>11</v>
      </c>
      <c r="E4470" s="1" t="s">
        <v>11</v>
      </c>
    </row>
    <row r="4471" spans="1:5" ht="15.75" customHeight="1">
      <c r="A4471" s="1">
        <v>853229</v>
      </c>
      <c r="B4471" s="1" t="s">
        <v>4497</v>
      </c>
      <c r="C4471" s="1" t="str">
        <f ca="1">IFERROR(__xludf.DUMMYFUNCTION("REGEXEXTRACT(B4471, ""^([^:]+)"")"),"Electrical capacitors")</f>
        <v>Electrical capacitors</v>
      </c>
      <c r="D4471" s="1" t="s">
        <v>11</v>
      </c>
      <c r="E4471" s="1" t="s">
        <v>11</v>
      </c>
    </row>
    <row r="4472" spans="1:5" ht="15.75" customHeight="1">
      <c r="A4472" s="1">
        <v>853230</v>
      </c>
      <c r="B4472" s="1" t="s">
        <v>4498</v>
      </c>
      <c r="C4472" s="1" t="str">
        <f ca="1">IFERROR(__xludf.DUMMYFUNCTION("REGEXEXTRACT(B4472, ""^([^:]+)"")"),"Electrical capacitors")</f>
        <v>Electrical capacitors</v>
      </c>
      <c r="D4472" s="1" t="s">
        <v>11</v>
      </c>
      <c r="E4472" s="1" t="s">
        <v>11</v>
      </c>
    </row>
    <row r="4473" spans="1:5" ht="15.75" customHeight="1">
      <c r="A4473" s="1">
        <v>853290</v>
      </c>
      <c r="B4473" s="1" t="s">
        <v>4499</v>
      </c>
      <c r="C4473" s="1" t="str">
        <f ca="1">IFERROR(__xludf.DUMMYFUNCTION("REGEXEXTRACT(B4473, ""^([^:]+)"")"),"Electrical capacitors")</f>
        <v>Electrical capacitors</v>
      </c>
      <c r="D4473" s="1" t="s">
        <v>11</v>
      </c>
      <c r="E4473" s="1" t="s">
        <v>11</v>
      </c>
    </row>
    <row r="4474" spans="1:5" ht="15.75" customHeight="1">
      <c r="A4474" s="1">
        <v>853310</v>
      </c>
      <c r="B4474" s="1" t="s">
        <v>4500</v>
      </c>
      <c r="C4474" s="1" t="str">
        <f ca="1">IFERROR(__xludf.DUMMYFUNCTION("REGEXEXTRACT(B4474, ""^([^:]+)"")"),"Electrical resistors")</f>
        <v>Electrical resistors</v>
      </c>
      <c r="D4474" s="1" t="s">
        <v>11</v>
      </c>
      <c r="E4474" s="1" t="s">
        <v>11</v>
      </c>
    </row>
    <row r="4475" spans="1:5" ht="15.75" customHeight="1">
      <c r="A4475" s="1">
        <v>853321</v>
      </c>
      <c r="B4475" s="1" t="s">
        <v>4501</v>
      </c>
      <c r="C4475" s="1" t="str">
        <f ca="1">IFERROR(__xludf.DUMMYFUNCTION("REGEXEXTRACT(B4475, ""^([^:]+)"")"),"Electrical resistors")</f>
        <v>Electrical resistors</v>
      </c>
      <c r="D4475" s="1" t="s">
        <v>11</v>
      </c>
      <c r="E4475" s="1" t="s">
        <v>11</v>
      </c>
    </row>
    <row r="4476" spans="1:5" ht="15.75" customHeight="1">
      <c r="A4476" s="1">
        <v>853329</v>
      </c>
      <c r="B4476" s="1" t="s">
        <v>4502</v>
      </c>
      <c r="C4476" s="1" t="str">
        <f ca="1">IFERROR(__xludf.DUMMYFUNCTION("REGEXEXTRACT(B4476, ""^([^:]+)"")"),"Electrical resistors")</f>
        <v>Electrical resistors</v>
      </c>
      <c r="D4476" s="1" t="s">
        <v>11</v>
      </c>
      <c r="E4476" s="1" t="s">
        <v>11</v>
      </c>
    </row>
    <row r="4477" spans="1:5" ht="15.75" customHeight="1">
      <c r="A4477" s="1">
        <v>853331</v>
      </c>
      <c r="B4477" s="1" t="s">
        <v>4503</v>
      </c>
      <c r="C4477" s="1" t="str">
        <f ca="1">IFERROR(__xludf.DUMMYFUNCTION("REGEXEXTRACT(B4477, ""^([^:]+)"")"),"Electrical resistors")</f>
        <v>Electrical resistors</v>
      </c>
      <c r="D4477" s="1" t="s">
        <v>11</v>
      </c>
      <c r="E4477" s="1" t="s">
        <v>11</v>
      </c>
    </row>
    <row r="4478" spans="1:5" ht="15.75" customHeight="1">
      <c r="A4478" s="1">
        <v>853339</v>
      </c>
      <c r="B4478" s="1" t="s">
        <v>4504</v>
      </c>
      <c r="C4478" s="1" t="str">
        <f ca="1">IFERROR(__xludf.DUMMYFUNCTION("REGEXEXTRACT(B4478, ""^([^:]+)"")"),"Electrical resistors")</f>
        <v>Electrical resistors</v>
      </c>
      <c r="D4478" s="1" t="s">
        <v>11</v>
      </c>
      <c r="E4478" s="1" t="s">
        <v>11</v>
      </c>
    </row>
    <row r="4479" spans="1:5" ht="15.75" customHeight="1">
      <c r="A4479" s="1">
        <v>853340</v>
      </c>
      <c r="B4479" s="1" t="s">
        <v>4505</v>
      </c>
      <c r="C4479" s="1" t="str">
        <f ca="1">IFERROR(__xludf.DUMMYFUNCTION("REGEXEXTRACT(B4479, ""^([^:]+)"")"),"Electrical resistors")</f>
        <v>Electrical resistors</v>
      </c>
      <c r="D4479" s="1" t="s">
        <v>11</v>
      </c>
      <c r="E4479" s="1" t="s">
        <v>11</v>
      </c>
    </row>
    <row r="4480" spans="1:5" ht="15.75" customHeight="1">
      <c r="A4480" s="1">
        <v>853390</v>
      </c>
      <c r="B4480" s="1" t="s">
        <v>4506</v>
      </c>
      <c r="C4480" s="1" t="str">
        <f ca="1">IFERROR(__xludf.DUMMYFUNCTION("REGEXEXTRACT(B4480, ""^([^:]+)"")"),"Resistors")</f>
        <v>Resistors</v>
      </c>
      <c r="D4480" s="1" t="s">
        <v>11</v>
      </c>
      <c r="E4480" s="1" t="s">
        <v>11</v>
      </c>
    </row>
    <row r="4481" spans="1:5" ht="15.75" customHeight="1">
      <c r="A4481" s="1">
        <v>853400</v>
      </c>
      <c r="B4481" s="1" t="s">
        <v>4507</v>
      </c>
      <c r="C4481" s="1" t="str">
        <f ca="1">IFERROR(__xludf.DUMMYFUNCTION("REGEXEXTRACT(B4481, ""^([^:]+)"")"),"Circuits")</f>
        <v>Circuits</v>
      </c>
      <c r="D4481" s="1" t="s">
        <v>11</v>
      </c>
      <c r="E4481" s="1" t="s">
        <v>11</v>
      </c>
    </row>
    <row r="4482" spans="1:5" ht="15.75" customHeight="1">
      <c r="A4482" s="1">
        <v>853510</v>
      </c>
      <c r="B4482" s="1" t="s">
        <v>4508</v>
      </c>
      <c r="C4482" s="1" t="str">
        <f ca="1">IFERROR(__xludf.DUMMYFUNCTION("REGEXEXTRACT(B4482, ""^([^:]+)"")"),"Electrical apparatus")</f>
        <v>Electrical apparatus</v>
      </c>
      <c r="D4482" s="1" t="s">
        <v>11</v>
      </c>
      <c r="E4482" s="1" t="s">
        <v>11</v>
      </c>
    </row>
    <row r="4483" spans="1:5" ht="15.75" customHeight="1">
      <c r="A4483" s="1">
        <v>853521</v>
      </c>
      <c r="B4483" s="1" t="s">
        <v>4509</v>
      </c>
      <c r="C4483" s="1" t="str">
        <f ca="1">IFERROR(__xludf.DUMMYFUNCTION("REGEXEXTRACT(B4483, ""^([^:]+)"")"),"Electrical apparatus")</f>
        <v>Electrical apparatus</v>
      </c>
      <c r="D4483" s="1" t="s">
        <v>11</v>
      </c>
      <c r="E4483" s="1" t="s">
        <v>11</v>
      </c>
    </row>
    <row r="4484" spans="1:5" ht="15.75" customHeight="1">
      <c r="A4484" s="1">
        <v>853529</v>
      </c>
      <c r="B4484" s="1" t="s">
        <v>4510</v>
      </c>
      <c r="C4484" s="1" t="str">
        <f ca="1">IFERROR(__xludf.DUMMYFUNCTION("REGEXEXTRACT(B4484, ""^([^:]+)"")"),"Electrical apparatus")</f>
        <v>Electrical apparatus</v>
      </c>
      <c r="D4484" s="1" t="s">
        <v>11</v>
      </c>
      <c r="E4484" s="1" t="s">
        <v>11</v>
      </c>
    </row>
    <row r="4485" spans="1:5" ht="15.75" customHeight="1">
      <c r="A4485" s="1">
        <v>853530</v>
      </c>
      <c r="B4485" s="1" t="s">
        <v>4511</v>
      </c>
      <c r="C4485" s="1" t="str">
        <f ca="1">IFERROR(__xludf.DUMMYFUNCTION("REGEXEXTRACT(B4485, ""^([^:]+)"")"),"Electrical apparatus")</f>
        <v>Electrical apparatus</v>
      </c>
      <c r="D4485" s="1" t="s">
        <v>11</v>
      </c>
      <c r="E4485" s="1" t="s">
        <v>11</v>
      </c>
    </row>
    <row r="4486" spans="1:5" ht="15.75" customHeight="1">
      <c r="A4486" s="1">
        <v>853540</v>
      </c>
      <c r="B4486" s="1" t="s">
        <v>4512</v>
      </c>
      <c r="C4486" s="1" t="str">
        <f ca="1">IFERROR(__xludf.DUMMYFUNCTION("REGEXEXTRACT(B4486, ""^([^:]+)"")"),"Electrical apparatus")</f>
        <v>Electrical apparatus</v>
      </c>
      <c r="D4486" s="1" t="s">
        <v>11</v>
      </c>
      <c r="E4486" s="1" t="s">
        <v>11</v>
      </c>
    </row>
    <row r="4487" spans="1:5" ht="15.75" customHeight="1">
      <c r="A4487" s="1">
        <v>853590</v>
      </c>
      <c r="B4487" s="1" t="s">
        <v>4513</v>
      </c>
      <c r="C4487" s="1" t="str">
        <f ca="1">IFERROR(__xludf.DUMMYFUNCTION("REGEXEXTRACT(B4487, ""^([^:]+)"")"),"Electrical apparatus")</f>
        <v>Electrical apparatus</v>
      </c>
      <c r="D4487" s="1" t="s">
        <v>11</v>
      </c>
      <c r="E4487" s="1" t="s">
        <v>11</v>
      </c>
    </row>
    <row r="4488" spans="1:5" ht="15.75" customHeight="1">
      <c r="A4488" s="1">
        <v>853610</v>
      </c>
      <c r="B4488" s="1" t="s">
        <v>4514</v>
      </c>
      <c r="C4488" s="1" t="str">
        <f ca="1">IFERROR(__xludf.DUMMYFUNCTION("REGEXEXTRACT(B4488, ""^([^:]+)"")"),"Electrical apparatus")</f>
        <v>Electrical apparatus</v>
      </c>
      <c r="D4488" s="1" t="s">
        <v>11</v>
      </c>
      <c r="E4488" s="1" t="s">
        <v>11</v>
      </c>
    </row>
    <row r="4489" spans="1:5" ht="15.75" customHeight="1">
      <c r="A4489" s="1">
        <v>853620</v>
      </c>
      <c r="B4489" s="1" t="s">
        <v>4515</v>
      </c>
      <c r="C4489" s="1" t="str">
        <f ca="1">IFERROR(__xludf.DUMMYFUNCTION("REGEXEXTRACT(B4489, ""^([^:]+)"")"),"Electrical apparatus")</f>
        <v>Electrical apparatus</v>
      </c>
      <c r="D4489" s="1" t="s">
        <v>11</v>
      </c>
      <c r="E4489" s="1" t="s">
        <v>11</v>
      </c>
    </row>
    <row r="4490" spans="1:5" ht="15.75" customHeight="1">
      <c r="A4490" s="1">
        <v>853630</v>
      </c>
      <c r="B4490" s="1" t="s">
        <v>4516</v>
      </c>
      <c r="C4490" s="1" t="str">
        <f ca="1">IFERROR(__xludf.DUMMYFUNCTION("REGEXEXTRACT(B4490, ""^([^:]+)"")"),"Electrical apparatus")</f>
        <v>Electrical apparatus</v>
      </c>
      <c r="D4490" s="1" t="s">
        <v>11</v>
      </c>
      <c r="E4490" s="1" t="s">
        <v>11</v>
      </c>
    </row>
    <row r="4491" spans="1:5" ht="15.75" customHeight="1">
      <c r="A4491" s="1">
        <v>853641</v>
      </c>
      <c r="B4491" s="1" t="s">
        <v>4517</v>
      </c>
      <c r="C4491" s="1" t="str">
        <f ca="1">IFERROR(__xludf.DUMMYFUNCTION("REGEXEXTRACT(B4491, ""^([^:]+)"")"),"Electrical apparatus")</f>
        <v>Electrical apparatus</v>
      </c>
      <c r="D4491" s="1" t="s">
        <v>11</v>
      </c>
      <c r="E4491" s="1" t="s">
        <v>11</v>
      </c>
    </row>
    <row r="4492" spans="1:5" ht="15.75" customHeight="1">
      <c r="A4492" s="1">
        <v>853649</v>
      </c>
      <c r="B4492" s="1" t="s">
        <v>4518</v>
      </c>
      <c r="C4492" s="1" t="str">
        <f ca="1">IFERROR(__xludf.DUMMYFUNCTION("REGEXEXTRACT(B4492, ""^([^:]+)"")"),"Electrical apparatus")</f>
        <v>Electrical apparatus</v>
      </c>
      <c r="D4492" s="1" t="s">
        <v>11</v>
      </c>
      <c r="E4492" s="1" t="s">
        <v>11</v>
      </c>
    </row>
    <row r="4493" spans="1:5" ht="15.75" customHeight="1">
      <c r="A4493" s="1">
        <v>853650</v>
      </c>
      <c r="B4493" s="1" t="s">
        <v>4519</v>
      </c>
      <c r="C4493" s="1" t="str">
        <f ca="1">IFERROR(__xludf.DUMMYFUNCTION("REGEXEXTRACT(B4493, ""^([^:]+)"")"),"Electrical apparatus")</f>
        <v>Electrical apparatus</v>
      </c>
      <c r="D4493" s="1" t="s">
        <v>11</v>
      </c>
      <c r="E4493" s="1" t="s">
        <v>11</v>
      </c>
    </row>
    <row r="4494" spans="1:5" ht="15.75" customHeight="1">
      <c r="A4494" s="1">
        <v>853661</v>
      </c>
      <c r="B4494" s="1" t="s">
        <v>4520</v>
      </c>
      <c r="C4494" s="1" t="str">
        <f ca="1">IFERROR(__xludf.DUMMYFUNCTION("REGEXEXTRACT(B4494, ""^([^:]+)"")"),"Electrical apparatus")</f>
        <v>Electrical apparatus</v>
      </c>
      <c r="D4494" s="1" t="s">
        <v>11</v>
      </c>
      <c r="E4494" s="1" t="s">
        <v>11</v>
      </c>
    </row>
    <row r="4495" spans="1:5" ht="15.75" customHeight="1">
      <c r="A4495" s="1">
        <v>853669</v>
      </c>
      <c r="B4495" s="1" t="s">
        <v>4521</v>
      </c>
      <c r="C4495" s="1" t="str">
        <f ca="1">IFERROR(__xludf.DUMMYFUNCTION("REGEXEXTRACT(B4495, ""^([^:]+)"")"),"Electrical apparatus")</f>
        <v>Electrical apparatus</v>
      </c>
      <c r="D4495" s="1" t="s">
        <v>11</v>
      </c>
      <c r="E4495" s="1" t="s">
        <v>11</v>
      </c>
    </row>
    <row r="4496" spans="1:5" ht="15.75" customHeight="1">
      <c r="A4496" s="1">
        <v>853670</v>
      </c>
      <c r="B4496" s="1" t="s">
        <v>4522</v>
      </c>
      <c r="C4496" s="1" t="str">
        <f ca="1">IFERROR(__xludf.DUMMYFUNCTION("REGEXEXTRACT(B4496, ""^([^:]+)"")"),"Connectors for optical fibres, optical fibre bundles or cables")</f>
        <v>Connectors for optical fibres, optical fibre bundles or cables</v>
      </c>
      <c r="D4496" s="1" t="s">
        <v>11</v>
      </c>
      <c r="E4496" s="1" t="s">
        <v>11</v>
      </c>
    </row>
    <row r="4497" spans="1:5" ht="15.75" customHeight="1">
      <c r="A4497" s="1">
        <v>853690</v>
      </c>
      <c r="B4497" s="1" t="s">
        <v>4523</v>
      </c>
      <c r="C4497" s="1" t="str">
        <f ca="1">IFERROR(__xludf.DUMMYFUNCTION("REGEXEXTRACT(B4497, ""^([^:]+)"")"),"Electrical apparatus")</f>
        <v>Electrical apparatus</v>
      </c>
      <c r="D4497" s="1" t="s">
        <v>11</v>
      </c>
      <c r="E4497" s="1" t="s">
        <v>11</v>
      </c>
    </row>
    <row r="4498" spans="1:5" ht="15.75" customHeight="1">
      <c r="A4498" s="1">
        <v>853710</v>
      </c>
      <c r="B4498" s="1" t="s">
        <v>4524</v>
      </c>
      <c r="C4498" s="1" t="str">
        <f ca="1">IFERROR(__xludf.DUMMYFUNCTION("REGEXEXTRACT(B4498, ""^([^:]+)"")"),"Boards, panels, consoles, desks and other bases")</f>
        <v>Boards, panels, consoles, desks and other bases</v>
      </c>
      <c r="D4498" s="1" t="s">
        <v>11</v>
      </c>
      <c r="E4498" s="1" t="s">
        <v>11</v>
      </c>
    </row>
    <row r="4499" spans="1:5" ht="15.75" customHeight="1">
      <c r="A4499" s="1">
        <v>853720</v>
      </c>
      <c r="B4499" s="1" t="s">
        <v>4525</v>
      </c>
      <c r="C4499" s="1" t="str">
        <f ca="1">IFERROR(__xludf.DUMMYFUNCTION("REGEXEXTRACT(B4499, ""^([^:]+)"")"),"Boards, panels, consoles, desks and other bases")</f>
        <v>Boards, panels, consoles, desks and other bases</v>
      </c>
      <c r="D4499" s="1" t="s">
        <v>11</v>
      </c>
      <c r="E4499" s="1" t="s">
        <v>11</v>
      </c>
    </row>
    <row r="4500" spans="1:5" ht="15.75" customHeight="1">
      <c r="A4500" s="1">
        <v>853810</v>
      </c>
      <c r="B4500" s="1" t="s">
        <v>4526</v>
      </c>
      <c r="C4500" s="1" t="str">
        <f ca="1">IFERROR(__xludf.DUMMYFUNCTION("REGEXEXTRACT(B4500, ""^([^:]+)"")"),"Electrical apparatus")</f>
        <v>Electrical apparatus</v>
      </c>
      <c r="D4500" s="1" t="s">
        <v>11</v>
      </c>
      <c r="E4500" s="1" t="s">
        <v>11</v>
      </c>
    </row>
    <row r="4501" spans="1:5" ht="15.75" customHeight="1">
      <c r="A4501" s="1">
        <v>853890</v>
      </c>
      <c r="B4501" s="1" t="s">
        <v>4527</v>
      </c>
      <c r="C4501" s="1" t="str">
        <f ca="1">IFERROR(__xludf.DUMMYFUNCTION("REGEXEXTRACT(B4501, ""^([^:]+)"")"),"Electrical apparatus")</f>
        <v>Electrical apparatus</v>
      </c>
      <c r="D4501" s="1" t="s">
        <v>11</v>
      </c>
      <c r="E4501" s="1" t="s">
        <v>11</v>
      </c>
    </row>
    <row r="4502" spans="1:5" ht="15.75" customHeight="1">
      <c r="A4502" s="1">
        <v>853910</v>
      </c>
      <c r="B4502" s="1" t="s">
        <v>4528</v>
      </c>
      <c r="C4502" s="1" t="str">
        <f ca="1">IFERROR(__xludf.DUMMYFUNCTION("REGEXEXTRACT(B4502, ""^([^:]+)"")"),"Lamps")</f>
        <v>Lamps</v>
      </c>
      <c r="D4502" s="1" t="s">
        <v>11</v>
      </c>
      <c r="E4502" s="1" t="s">
        <v>11</v>
      </c>
    </row>
    <row r="4503" spans="1:5" ht="15.75" customHeight="1">
      <c r="A4503" s="1">
        <v>853921</v>
      </c>
      <c r="B4503" s="1" t="s">
        <v>4529</v>
      </c>
      <c r="C4503" s="1" t="str">
        <f ca="1">IFERROR(__xludf.DUMMYFUNCTION("REGEXEXTRACT(B4503, ""^([^:]+)"")"),"Lamps")</f>
        <v>Lamps</v>
      </c>
      <c r="D4503" s="1" t="s">
        <v>11</v>
      </c>
      <c r="E4503" s="1" t="s">
        <v>11</v>
      </c>
    </row>
    <row r="4504" spans="1:5" ht="15.75" customHeight="1">
      <c r="A4504" s="1">
        <v>853922</v>
      </c>
      <c r="B4504" s="1" t="s">
        <v>4530</v>
      </c>
      <c r="C4504" s="1" t="str">
        <f ca="1">IFERROR(__xludf.DUMMYFUNCTION("REGEXEXTRACT(B4504, ""^([^:]+)"")"),"Lamps")</f>
        <v>Lamps</v>
      </c>
      <c r="D4504" s="1" t="s">
        <v>11</v>
      </c>
      <c r="E4504" s="1" t="s">
        <v>11</v>
      </c>
    </row>
    <row r="4505" spans="1:5" ht="15.75" customHeight="1">
      <c r="A4505" s="1">
        <v>853929</v>
      </c>
      <c r="B4505" s="1" t="s">
        <v>4531</v>
      </c>
      <c r="C4505" s="1" t="str">
        <f ca="1">IFERROR(__xludf.DUMMYFUNCTION("REGEXEXTRACT(B4505, ""^([^:]+)"")"),"Lamps")</f>
        <v>Lamps</v>
      </c>
      <c r="D4505" s="1" t="s">
        <v>11</v>
      </c>
      <c r="E4505" s="1" t="s">
        <v>11</v>
      </c>
    </row>
    <row r="4506" spans="1:5" ht="15.75" customHeight="1">
      <c r="A4506" s="1">
        <v>853931</v>
      </c>
      <c r="B4506" s="1" t="s">
        <v>4532</v>
      </c>
      <c r="C4506" s="1" t="str">
        <f ca="1">IFERROR(__xludf.DUMMYFUNCTION("REGEXEXTRACT(B4506, ""^([^:]+)"")"),"Lamps")</f>
        <v>Lamps</v>
      </c>
      <c r="D4506" s="1" t="s">
        <v>11</v>
      </c>
      <c r="E4506" s="1" t="s">
        <v>11</v>
      </c>
    </row>
    <row r="4507" spans="1:5" ht="15.75" customHeight="1">
      <c r="A4507" s="1">
        <v>853932</v>
      </c>
      <c r="B4507" s="1" t="s">
        <v>4533</v>
      </c>
      <c r="C4507" s="1" t="str">
        <f ca="1">IFERROR(__xludf.DUMMYFUNCTION("REGEXEXTRACT(B4507, ""^([^:]+)"")"),"Lamps")</f>
        <v>Lamps</v>
      </c>
      <c r="D4507" s="1" t="s">
        <v>11</v>
      </c>
      <c r="E4507" s="1" t="s">
        <v>11</v>
      </c>
    </row>
    <row r="4508" spans="1:5" ht="15.75" customHeight="1">
      <c r="A4508" s="1">
        <v>853939</v>
      </c>
      <c r="B4508" s="1" t="s">
        <v>4534</v>
      </c>
      <c r="C4508" s="1" t="str">
        <f ca="1">IFERROR(__xludf.DUMMYFUNCTION("REGEXEXTRACT(B4508, ""^([^:]+)"")"),"Lamps")</f>
        <v>Lamps</v>
      </c>
      <c r="D4508" s="1" t="s">
        <v>11</v>
      </c>
      <c r="E4508" s="1" t="s">
        <v>11</v>
      </c>
    </row>
    <row r="4509" spans="1:5" ht="15.75" customHeight="1">
      <c r="A4509" s="1">
        <v>853941</v>
      </c>
      <c r="B4509" s="1" t="s">
        <v>4535</v>
      </c>
      <c r="C4509" s="1" t="str">
        <f ca="1">IFERROR(__xludf.DUMMYFUNCTION("REGEXEXTRACT(B4509, ""^([^:]+)"")"),"Lamps")</f>
        <v>Lamps</v>
      </c>
      <c r="D4509" s="1" t="s">
        <v>11</v>
      </c>
      <c r="E4509" s="1" t="s">
        <v>11</v>
      </c>
    </row>
    <row r="4510" spans="1:5" ht="15.75" customHeight="1">
      <c r="A4510" s="1">
        <v>853949</v>
      </c>
      <c r="B4510" s="1" t="s">
        <v>4536</v>
      </c>
      <c r="C4510" s="1" t="str">
        <f ca="1">IFERROR(__xludf.DUMMYFUNCTION("REGEXEXTRACT(B4510, ""^([^:]+)"")"),"Lamps")</f>
        <v>Lamps</v>
      </c>
      <c r="D4510" s="1" t="s">
        <v>11</v>
      </c>
      <c r="E4510" s="1" t="s">
        <v>11</v>
      </c>
    </row>
    <row r="4511" spans="1:5" ht="15.75" customHeight="1">
      <c r="A4511" s="1">
        <v>853990</v>
      </c>
      <c r="B4511" s="1" t="s">
        <v>4537</v>
      </c>
      <c r="C4511" s="1" t="str">
        <f ca="1">IFERROR(__xludf.DUMMYFUNCTION("REGEXEXTRACT(B4511, ""^([^:]+)"")"),"Lamps")</f>
        <v>Lamps</v>
      </c>
      <c r="D4511" s="1" t="s">
        <v>11</v>
      </c>
      <c r="E4511" s="1" t="s">
        <v>11</v>
      </c>
    </row>
    <row r="4512" spans="1:5" ht="15.75" customHeight="1">
      <c r="A4512" s="1">
        <v>854011</v>
      </c>
      <c r="B4512" s="1" t="s">
        <v>4538</v>
      </c>
      <c r="C4512" s="1" t="str">
        <f ca="1">IFERROR(__xludf.DUMMYFUNCTION("REGEXEXTRACT(B4512, ""^([^:]+)"")"),"Tubes")</f>
        <v>Tubes</v>
      </c>
      <c r="D4512" s="1" t="s">
        <v>11</v>
      </c>
      <c r="E4512" s="1" t="s">
        <v>11</v>
      </c>
    </row>
    <row r="4513" spans="1:5" ht="15.75" customHeight="1">
      <c r="A4513" s="1">
        <v>854012</v>
      </c>
      <c r="B4513" s="1" t="s">
        <v>4539</v>
      </c>
      <c r="C4513" s="1" t="str">
        <f ca="1">IFERROR(__xludf.DUMMYFUNCTION("REGEXEXTRACT(B4513, ""^([^:]+)"")"),"Tubes")</f>
        <v>Tubes</v>
      </c>
      <c r="D4513" s="1" t="s">
        <v>11</v>
      </c>
      <c r="E4513" s="1" t="s">
        <v>11</v>
      </c>
    </row>
    <row r="4514" spans="1:5" ht="15.75" customHeight="1">
      <c r="A4514" s="1">
        <v>854020</v>
      </c>
      <c r="B4514" s="1" t="s">
        <v>4540</v>
      </c>
      <c r="C4514" s="1" t="str">
        <f ca="1">IFERROR(__xludf.DUMMYFUNCTION("REGEXEXTRACT(B4514, ""^([^:]+)"")"),"Tubes")</f>
        <v>Tubes</v>
      </c>
      <c r="D4514" s="1" t="s">
        <v>11</v>
      </c>
      <c r="E4514" s="1" t="s">
        <v>11</v>
      </c>
    </row>
    <row r="4515" spans="1:5" ht="15.75" customHeight="1">
      <c r="A4515" s="1">
        <v>854040</v>
      </c>
      <c r="B4515" s="1" t="s">
        <v>4541</v>
      </c>
      <c r="C4515" s="1" t="str">
        <f ca="1">IFERROR(__xludf.DUMMYFUNCTION("REGEXEXTRACT(B4515, ""^([^:]+)"")"),"Tubes")</f>
        <v>Tubes</v>
      </c>
      <c r="D4515" s="1" t="s">
        <v>11</v>
      </c>
      <c r="E4515" s="1" t="s">
        <v>11</v>
      </c>
    </row>
    <row r="4516" spans="1:5" ht="15.75" customHeight="1">
      <c r="A4516" s="1">
        <v>854050</v>
      </c>
      <c r="B4516" s="1" t="s">
        <v>4542</v>
      </c>
      <c r="C4516" s="1" t="str">
        <f ca="1">IFERROR(__xludf.DUMMYFUNCTION("REGEXEXTRACT(B4516, ""^([^:]+)"")"),"Tubes")</f>
        <v>Tubes</v>
      </c>
      <c r="D4516" s="1" t="s">
        <v>11</v>
      </c>
      <c r="E4516" s="1" t="s">
        <v>11</v>
      </c>
    </row>
    <row r="4517" spans="1:5" ht="15.75" customHeight="1">
      <c r="A4517" s="1">
        <v>854060</v>
      </c>
      <c r="B4517" s="1" t="s">
        <v>4543</v>
      </c>
      <c r="C4517" s="1" t="str">
        <f ca="1">IFERROR(__xludf.DUMMYFUNCTION("REGEXEXTRACT(B4517, ""^([^:]+)"")"),"Tubes")</f>
        <v>Tubes</v>
      </c>
      <c r="D4517" s="1" t="s">
        <v>11</v>
      </c>
      <c r="E4517" s="1" t="s">
        <v>11</v>
      </c>
    </row>
    <row r="4518" spans="1:5" ht="15.75" customHeight="1">
      <c r="A4518" s="1">
        <v>854071</v>
      </c>
      <c r="B4518" s="1" t="s">
        <v>4544</v>
      </c>
      <c r="C4518" s="1" t="str">
        <f ca="1">IFERROR(__xludf.DUMMYFUNCTION("REGEXEXTRACT(B4518, ""^([^:]+)"")"),"Tubes")</f>
        <v>Tubes</v>
      </c>
      <c r="D4518" s="1" t="s">
        <v>11</v>
      </c>
      <c r="E4518" s="1" t="s">
        <v>11</v>
      </c>
    </row>
    <row r="4519" spans="1:5" ht="15.75" customHeight="1">
      <c r="A4519" s="1">
        <v>854072</v>
      </c>
      <c r="B4519" s="1" t="s">
        <v>4545</v>
      </c>
      <c r="C4519" s="1" t="str">
        <f ca="1">IFERROR(__xludf.DUMMYFUNCTION("REGEXEXTRACT(B4519, ""^([^:]+)"")"),"Tubes")</f>
        <v>Tubes</v>
      </c>
      <c r="D4519" s="1" t="s">
        <v>11</v>
      </c>
      <c r="E4519" s="1" t="s">
        <v>11</v>
      </c>
    </row>
    <row r="4520" spans="1:5" ht="15.75" customHeight="1">
      <c r="A4520" s="1">
        <v>854079</v>
      </c>
      <c r="B4520" s="1" t="s">
        <v>4546</v>
      </c>
      <c r="C4520" s="1" t="str">
        <f ca="1">IFERROR(__xludf.DUMMYFUNCTION("REGEXEXTRACT(B4520, ""^([^:]+)"")"),"Tubes")</f>
        <v>Tubes</v>
      </c>
      <c r="D4520" s="1" t="s">
        <v>11</v>
      </c>
      <c r="E4520" s="1" t="s">
        <v>11</v>
      </c>
    </row>
    <row r="4521" spans="1:5" ht="15.75" customHeight="1">
      <c r="A4521" s="1">
        <v>854081</v>
      </c>
      <c r="B4521" s="1" t="s">
        <v>4547</v>
      </c>
      <c r="C4521" s="1" t="str">
        <f ca="1">IFERROR(__xludf.DUMMYFUNCTION("REGEXEXTRACT(B4521, ""^([^:]+)"")"),"Valves and tubes")</f>
        <v>Valves and tubes</v>
      </c>
      <c r="D4521" s="1" t="s">
        <v>11</v>
      </c>
      <c r="E4521" s="1" t="s">
        <v>11</v>
      </c>
    </row>
    <row r="4522" spans="1:5" ht="15.75" customHeight="1">
      <c r="A4522" s="1">
        <v>854089</v>
      </c>
      <c r="B4522" s="1" t="s">
        <v>4548</v>
      </c>
      <c r="C4522" s="1" t="str">
        <f ca="1">IFERROR(__xludf.DUMMYFUNCTION("REGEXEXTRACT(B4522, ""^([^:]+)"")"),"Valves and tubes")</f>
        <v>Valves and tubes</v>
      </c>
      <c r="D4522" s="1" t="s">
        <v>11</v>
      </c>
      <c r="E4522" s="1" t="s">
        <v>11</v>
      </c>
    </row>
    <row r="4523" spans="1:5" ht="15.75" customHeight="1">
      <c r="A4523" s="1">
        <v>854091</v>
      </c>
      <c r="B4523" s="1" t="s">
        <v>4549</v>
      </c>
      <c r="C4523" s="1" t="str">
        <f ca="1">IFERROR(__xludf.DUMMYFUNCTION("REGEXEXTRACT(B4523, ""^([^:]+)"")"),"Tubes")</f>
        <v>Tubes</v>
      </c>
      <c r="D4523" s="1" t="s">
        <v>11</v>
      </c>
      <c r="E4523" s="1" t="s">
        <v>11</v>
      </c>
    </row>
    <row r="4524" spans="1:5" ht="15.75" customHeight="1">
      <c r="A4524" s="1">
        <v>854099</v>
      </c>
      <c r="B4524" s="1" t="s">
        <v>4550</v>
      </c>
      <c r="C4524" s="1" t="str">
        <f ca="1">IFERROR(__xludf.DUMMYFUNCTION("REGEXEXTRACT(B4524, ""^([^:]+)"")"),"Valves and tubes")</f>
        <v>Valves and tubes</v>
      </c>
      <c r="D4524" s="1" t="s">
        <v>11</v>
      </c>
      <c r="E4524" s="1" t="s">
        <v>11</v>
      </c>
    </row>
    <row r="4525" spans="1:5" ht="15.75" customHeight="1">
      <c r="A4525" s="1">
        <v>854110</v>
      </c>
      <c r="B4525" s="1" t="s">
        <v>4551</v>
      </c>
      <c r="C4525" s="1" t="str">
        <f ca="1">IFERROR(__xludf.DUMMYFUNCTION("REGEXEXTRACT(B4525, ""^([^:]+)"")"),"Electrical apparatus")</f>
        <v>Electrical apparatus</v>
      </c>
      <c r="D4525" s="1" t="s">
        <v>11</v>
      </c>
      <c r="E4525" s="1" t="s">
        <v>11</v>
      </c>
    </row>
    <row r="4526" spans="1:5" ht="15.75" customHeight="1">
      <c r="A4526" s="1">
        <v>854121</v>
      </c>
      <c r="B4526" s="1" t="s">
        <v>4552</v>
      </c>
      <c r="C4526" s="1" t="str">
        <f ca="1">IFERROR(__xludf.DUMMYFUNCTION("REGEXEXTRACT(B4526, ""^([^:]+)"")"),"Electrical apparatus")</f>
        <v>Electrical apparatus</v>
      </c>
      <c r="D4526" s="1" t="s">
        <v>11</v>
      </c>
      <c r="E4526" s="1" t="s">
        <v>11</v>
      </c>
    </row>
    <row r="4527" spans="1:5" ht="15.75" customHeight="1">
      <c r="A4527" s="1">
        <v>854129</v>
      </c>
      <c r="B4527" s="1" t="s">
        <v>4553</v>
      </c>
      <c r="C4527" s="1" t="str">
        <f ca="1">IFERROR(__xludf.DUMMYFUNCTION("REGEXEXTRACT(B4527, ""^([^:]+)"")"),"Electrical apparatus")</f>
        <v>Electrical apparatus</v>
      </c>
      <c r="D4527" s="1" t="s">
        <v>11</v>
      </c>
      <c r="E4527" s="1" t="s">
        <v>11</v>
      </c>
    </row>
    <row r="4528" spans="1:5" ht="15.75" customHeight="1">
      <c r="A4528" s="1">
        <v>854130</v>
      </c>
      <c r="B4528" s="1" t="s">
        <v>4554</v>
      </c>
      <c r="C4528" s="1" t="str">
        <f ca="1">IFERROR(__xludf.DUMMYFUNCTION("REGEXEXTRACT(B4528, ""^([^:]+)"")"),"Electrical apparatus")</f>
        <v>Electrical apparatus</v>
      </c>
      <c r="D4528" s="1" t="s">
        <v>11</v>
      </c>
      <c r="E4528" s="1" t="s">
        <v>11</v>
      </c>
    </row>
    <row r="4529" spans="1:5" ht="15.75" customHeight="1">
      <c r="A4529" s="1">
        <v>854140</v>
      </c>
      <c r="B4529" s="1" t="s">
        <v>4555</v>
      </c>
      <c r="C4529" s="1" t="str">
        <f ca="1">IFERROR(__xludf.DUMMYFUNCTION("REGEXEXTRACT(B4529, ""^([^:]+)"")"),"Electrical apparatus")</f>
        <v>Electrical apparatus</v>
      </c>
      <c r="D4529" s="1" t="s">
        <v>11</v>
      </c>
      <c r="E4529" s="1" t="s">
        <v>11</v>
      </c>
    </row>
    <row r="4530" spans="1:5" ht="15.75" customHeight="1">
      <c r="A4530" s="1">
        <v>854150</v>
      </c>
      <c r="B4530" s="1" t="s">
        <v>4556</v>
      </c>
      <c r="C4530" s="1" t="str">
        <f ca="1">IFERROR(__xludf.DUMMYFUNCTION("REGEXEXTRACT(B4530, ""^([^:]+)"")"),"Electrical apparatus")</f>
        <v>Electrical apparatus</v>
      </c>
      <c r="D4530" s="1" t="s">
        <v>11</v>
      </c>
      <c r="E4530" s="1" t="s">
        <v>11</v>
      </c>
    </row>
    <row r="4531" spans="1:5" ht="15.75" customHeight="1">
      <c r="A4531" s="1">
        <v>854160</v>
      </c>
      <c r="B4531" s="1" t="s">
        <v>4557</v>
      </c>
      <c r="C4531" s="1" t="str">
        <f ca="1">IFERROR(__xludf.DUMMYFUNCTION("REGEXEXTRACT(B4531, ""^([^:]+)"")"),"Crystals")</f>
        <v>Crystals</v>
      </c>
      <c r="D4531" s="1" t="s">
        <v>11</v>
      </c>
      <c r="E4531" s="1" t="s">
        <v>11</v>
      </c>
    </row>
    <row r="4532" spans="1:5" ht="15.75" customHeight="1">
      <c r="A4532" s="1">
        <v>854190</v>
      </c>
      <c r="B4532" s="1" t="s">
        <v>4558</v>
      </c>
      <c r="C4532" s="1" t="str">
        <f ca="1">IFERROR(__xludf.DUMMYFUNCTION("REGEXEXTRACT(B4532, ""^([^:]+)"")"),"Electrical apparatus")</f>
        <v>Electrical apparatus</v>
      </c>
      <c r="D4532" s="1" t="s">
        <v>11</v>
      </c>
      <c r="E4532" s="1" t="s">
        <v>11</v>
      </c>
    </row>
    <row r="4533" spans="1:5" ht="15.75" customHeight="1">
      <c r="A4533" s="1">
        <v>854231</v>
      </c>
      <c r="B4533" s="1" t="s">
        <v>4559</v>
      </c>
      <c r="C4533" s="1" t="str">
        <f ca="1">IFERROR(__xludf.DUMMYFUNCTION("REGEXEXTRACT(B4533, ""^([^:]+)"")"),"Electronic integrated circuits")</f>
        <v>Electronic integrated circuits</v>
      </c>
      <c r="D4533" s="1" t="s">
        <v>11</v>
      </c>
      <c r="E4533" s="1" t="s">
        <v>11</v>
      </c>
    </row>
    <row r="4534" spans="1:5" ht="15.75" customHeight="1">
      <c r="A4534" s="1">
        <v>854232</v>
      </c>
      <c r="B4534" s="1" t="s">
        <v>4560</v>
      </c>
      <c r="C4534" s="1" t="str">
        <f ca="1">IFERROR(__xludf.DUMMYFUNCTION("REGEXEXTRACT(B4534, ""^([^:]+)"")"),"Electronic integrated circuits")</f>
        <v>Electronic integrated circuits</v>
      </c>
      <c r="D4534" s="1" t="s">
        <v>11</v>
      </c>
      <c r="E4534" s="1" t="s">
        <v>11</v>
      </c>
    </row>
    <row r="4535" spans="1:5" ht="15.75" customHeight="1">
      <c r="A4535" s="1">
        <v>854233</v>
      </c>
      <c r="B4535" s="1" t="s">
        <v>4561</v>
      </c>
      <c r="C4535" s="1" t="str">
        <f ca="1">IFERROR(__xludf.DUMMYFUNCTION("REGEXEXTRACT(B4535, ""^([^:]+)"")"),"Electronic integrated circuits")</f>
        <v>Electronic integrated circuits</v>
      </c>
      <c r="D4535" s="1" t="s">
        <v>11</v>
      </c>
      <c r="E4535" s="1" t="s">
        <v>11</v>
      </c>
    </row>
    <row r="4536" spans="1:5" ht="15.75" customHeight="1">
      <c r="A4536" s="1">
        <v>854239</v>
      </c>
      <c r="B4536" s="1" t="s">
        <v>4562</v>
      </c>
      <c r="C4536" s="1" t="str">
        <f ca="1">IFERROR(__xludf.DUMMYFUNCTION("REGEXEXTRACT(B4536, ""^([^:]+)"")"),"Electronic integrated circuits")</f>
        <v>Electronic integrated circuits</v>
      </c>
      <c r="D4536" s="1" t="s">
        <v>11</v>
      </c>
      <c r="E4536" s="1" t="s">
        <v>11</v>
      </c>
    </row>
    <row r="4537" spans="1:5" ht="15.75" customHeight="1">
      <c r="A4537" s="1">
        <v>854290</v>
      </c>
      <c r="B4537" s="1" t="s">
        <v>4563</v>
      </c>
      <c r="C4537" s="1" t="str">
        <f ca="1">IFERROR(__xludf.DUMMYFUNCTION("REGEXEXTRACT(B4537, ""^([^:]+)"")"),"Parts of electronic integrated circuits")</f>
        <v>Parts of electronic integrated circuits</v>
      </c>
      <c r="D4537" s="1" t="s">
        <v>11</v>
      </c>
      <c r="E4537" s="1" t="s">
        <v>11</v>
      </c>
    </row>
    <row r="4538" spans="1:5" ht="15.75" customHeight="1">
      <c r="A4538" s="1">
        <v>854310</v>
      </c>
      <c r="B4538" s="1" t="s">
        <v>4564</v>
      </c>
      <c r="C4538" s="1" t="str">
        <f ca="1">IFERROR(__xludf.DUMMYFUNCTION("REGEXEXTRACT(B4538, ""^([^:]+)"")"),"Electrical machines and apparatus")</f>
        <v>Electrical machines and apparatus</v>
      </c>
      <c r="D4538" s="1" t="s">
        <v>11</v>
      </c>
      <c r="E4538" s="1" t="s">
        <v>11</v>
      </c>
    </row>
    <row r="4539" spans="1:5" ht="15.75" customHeight="1">
      <c r="A4539" s="1">
        <v>854320</v>
      </c>
      <c r="B4539" s="1" t="s">
        <v>4565</v>
      </c>
      <c r="C4539" s="1" t="str">
        <f ca="1">IFERROR(__xludf.DUMMYFUNCTION("REGEXEXTRACT(B4539, ""^([^:]+)"")"),"Electrical machines and apparatus")</f>
        <v>Electrical machines and apparatus</v>
      </c>
      <c r="D4539" s="1" t="s">
        <v>11</v>
      </c>
      <c r="E4539" s="1" t="s">
        <v>11</v>
      </c>
    </row>
    <row r="4540" spans="1:5" ht="15.75" customHeight="1">
      <c r="A4540" s="1">
        <v>854330</v>
      </c>
      <c r="B4540" s="1" t="s">
        <v>4566</v>
      </c>
      <c r="C4540" s="1" t="str">
        <f ca="1">IFERROR(__xludf.DUMMYFUNCTION("REGEXEXTRACT(B4540, ""^([^:]+)"")"),"Electrical machines and apparatus")</f>
        <v>Electrical machines and apparatus</v>
      </c>
      <c r="D4540" s="1" t="s">
        <v>11</v>
      </c>
      <c r="E4540" s="1" t="s">
        <v>11</v>
      </c>
    </row>
    <row r="4541" spans="1:5" ht="15.75" customHeight="1">
      <c r="A4541" s="1">
        <v>854370</v>
      </c>
      <c r="B4541" s="1" t="s">
        <v>4567</v>
      </c>
      <c r="C4541" s="1" t="str">
        <f ca="1">IFERROR(__xludf.DUMMYFUNCTION("REGEXEXTRACT(B4541, ""^([^:]+)"")"),"Electrical machines and apparatus")</f>
        <v>Electrical machines and apparatus</v>
      </c>
      <c r="D4541" s="1" t="s">
        <v>11</v>
      </c>
      <c r="E4541" s="1" t="s">
        <v>11</v>
      </c>
    </row>
    <row r="4542" spans="1:5" ht="15.75" customHeight="1">
      <c r="A4542" s="1">
        <v>854390</v>
      </c>
      <c r="B4542" s="1" t="s">
        <v>4568</v>
      </c>
      <c r="C4542" s="1" t="str">
        <f ca="1">IFERROR(__xludf.DUMMYFUNCTION("REGEXEXTRACT(B4542, ""^([^:]+)"")"),"Electrical machines and apparatus")</f>
        <v>Electrical machines and apparatus</v>
      </c>
      <c r="D4542" s="1" t="s">
        <v>11</v>
      </c>
      <c r="E4542" s="1" t="s">
        <v>11</v>
      </c>
    </row>
    <row r="4543" spans="1:5" ht="15.75" customHeight="1">
      <c r="A4543" s="1">
        <v>854411</v>
      </c>
      <c r="B4543" s="1" t="s">
        <v>4569</v>
      </c>
      <c r="C4543" s="1" t="str">
        <f ca="1">IFERROR(__xludf.DUMMYFUNCTION("REGEXEXTRACT(B4543, ""^([^:]+)"")"),"Insulated electric conductors")</f>
        <v>Insulated electric conductors</v>
      </c>
      <c r="D4543" s="1" t="s">
        <v>11</v>
      </c>
      <c r="E4543" s="1" t="s">
        <v>11</v>
      </c>
    </row>
    <row r="4544" spans="1:5" ht="15.75" customHeight="1">
      <c r="A4544" s="1">
        <v>854419</v>
      </c>
      <c r="B4544" s="1" t="s">
        <v>4570</v>
      </c>
      <c r="C4544" s="1" t="str">
        <f ca="1">IFERROR(__xludf.DUMMYFUNCTION("REGEXEXTRACT(B4544, ""^([^:]+)"")"),"Insulated electric conductors")</f>
        <v>Insulated electric conductors</v>
      </c>
      <c r="D4544" s="1" t="s">
        <v>11</v>
      </c>
      <c r="E4544" s="1" t="s">
        <v>11</v>
      </c>
    </row>
    <row r="4545" spans="1:5" ht="15.75" customHeight="1">
      <c r="A4545" s="1">
        <v>854420</v>
      </c>
      <c r="B4545" s="1" t="s">
        <v>4571</v>
      </c>
      <c r="C4545" s="1" t="str">
        <f ca="1">IFERROR(__xludf.DUMMYFUNCTION("REGEXEXTRACT(B4545, ""^([^:]+)"")"),"Insulated electric conductors")</f>
        <v>Insulated electric conductors</v>
      </c>
      <c r="D4545" s="1" t="s">
        <v>11</v>
      </c>
      <c r="E4545" s="1" t="s">
        <v>11</v>
      </c>
    </row>
    <row r="4546" spans="1:5" ht="15.75" customHeight="1">
      <c r="A4546" s="1">
        <v>854430</v>
      </c>
      <c r="B4546" s="1" t="s">
        <v>4572</v>
      </c>
      <c r="C4546" s="1" t="str">
        <f ca="1">IFERROR(__xludf.DUMMYFUNCTION("REGEXEXTRACT(B4546, ""^([^:]+)"")"),"Insulated electric conductors")</f>
        <v>Insulated electric conductors</v>
      </c>
      <c r="D4546" s="1" t="s">
        <v>11</v>
      </c>
      <c r="E4546" s="1" t="s">
        <v>11</v>
      </c>
    </row>
    <row r="4547" spans="1:5" ht="15.75" customHeight="1">
      <c r="A4547" s="1">
        <v>854442</v>
      </c>
      <c r="B4547" s="1" t="s">
        <v>4573</v>
      </c>
      <c r="C4547" s="1" t="str">
        <f ca="1">IFERROR(__xludf.DUMMYFUNCTION("REGEXEXTRACT(B4547, ""^([^:]+)"")"),"Insulated electric conductors")</f>
        <v>Insulated electric conductors</v>
      </c>
      <c r="D4547" s="1" t="s">
        <v>11</v>
      </c>
      <c r="E4547" s="1" t="s">
        <v>11</v>
      </c>
    </row>
    <row r="4548" spans="1:5" ht="15.75" customHeight="1">
      <c r="A4548" s="1">
        <v>854449</v>
      </c>
      <c r="B4548" s="1" t="s">
        <v>4574</v>
      </c>
      <c r="C4548" s="1" t="str">
        <f ca="1">IFERROR(__xludf.DUMMYFUNCTION("REGEXEXTRACT(B4548, ""^([^:]+)"")"),"Insulated electric conductors")</f>
        <v>Insulated electric conductors</v>
      </c>
      <c r="D4548" s="1" t="s">
        <v>11</v>
      </c>
      <c r="E4548" s="1" t="s">
        <v>11</v>
      </c>
    </row>
    <row r="4549" spans="1:5" ht="15.75" customHeight="1">
      <c r="A4549" s="1">
        <v>854460</v>
      </c>
      <c r="B4549" s="1" t="s">
        <v>4575</v>
      </c>
      <c r="C4549" s="1" t="str">
        <f ca="1">IFERROR(__xludf.DUMMYFUNCTION("REGEXEXTRACT(B4549, ""^([^:]+)"")"),"Insulated electric conductors")</f>
        <v>Insulated electric conductors</v>
      </c>
      <c r="D4549" s="1" t="s">
        <v>11</v>
      </c>
      <c r="E4549" s="1" t="s">
        <v>11</v>
      </c>
    </row>
    <row r="4550" spans="1:5" ht="15.75" customHeight="1">
      <c r="A4550" s="1">
        <v>854470</v>
      </c>
      <c r="B4550" s="1" t="s">
        <v>4576</v>
      </c>
      <c r="C4550" s="1" t="str">
        <f ca="1">IFERROR(__xludf.DUMMYFUNCTION("REGEXEXTRACT(B4550, ""^([^:]+)"")"),"Insulated electric conductors")</f>
        <v>Insulated electric conductors</v>
      </c>
      <c r="D4550" s="1" t="s">
        <v>11</v>
      </c>
      <c r="E4550" s="1" t="s">
        <v>11</v>
      </c>
    </row>
    <row r="4551" spans="1:5" ht="15.75" customHeight="1">
      <c r="A4551" s="1">
        <v>854511</v>
      </c>
      <c r="B4551" s="1" t="s">
        <v>4577</v>
      </c>
      <c r="C4551" s="1" t="str">
        <f ca="1">IFERROR(__xludf.DUMMYFUNCTION("REGEXEXTRACT(B4551, ""^([^:]+)"")"),"Carbon electrodes")</f>
        <v>Carbon electrodes</v>
      </c>
      <c r="D4551" s="1" t="s">
        <v>11</v>
      </c>
      <c r="E4551" s="1" t="s">
        <v>11</v>
      </c>
    </row>
    <row r="4552" spans="1:5" ht="15.75" customHeight="1">
      <c r="A4552" s="1">
        <v>854519</v>
      </c>
      <c r="B4552" s="1" t="s">
        <v>4578</v>
      </c>
      <c r="C4552" s="1" t="str">
        <f ca="1">IFERROR(__xludf.DUMMYFUNCTION("REGEXEXTRACT(B4552, ""^([^:]+)"")"),"Carbon electrodes")</f>
        <v>Carbon electrodes</v>
      </c>
      <c r="D4552" s="1" t="s">
        <v>11</v>
      </c>
      <c r="E4552" s="1" t="s">
        <v>11</v>
      </c>
    </row>
    <row r="4553" spans="1:5" ht="15.75" customHeight="1">
      <c r="A4553" s="1">
        <v>854520</v>
      </c>
      <c r="B4553" s="1" t="s">
        <v>4579</v>
      </c>
      <c r="C4553" s="1" t="str">
        <f ca="1">IFERROR(__xludf.DUMMYFUNCTION("REGEXEXTRACT(B4553, ""^([^:]+)"")"),"Carbon brushes")</f>
        <v>Carbon brushes</v>
      </c>
      <c r="D4553" s="1" t="s">
        <v>11</v>
      </c>
      <c r="E4553" s="1" t="s">
        <v>11</v>
      </c>
    </row>
    <row r="4554" spans="1:5" ht="15.75" customHeight="1">
      <c r="A4554" s="1">
        <v>854590</v>
      </c>
      <c r="B4554" s="1" t="s">
        <v>4580</v>
      </c>
      <c r="C4554" s="1" t="str">
        <f ca="1">IFERROR(__xludf.DUMMYFUNCTION("REGEXEXTRACT(B4554, ""^([^:]+)"")"),"Carbon")</f>
        <v>Carbon</v>
      </c>
      <c r="D4554" s="1" t="s">
        <v>11</v>
      </c>
      <c r="E4554" s="1" t="s">
        <v>11</v>
      </c>
    </row>
    <row r="4555" spans="1:5" ht="15.75" customHeight="1">
      <c r="A4555" s="1">
        <v>854610</v>
      </c>
      <c r="B4555" s="1" t="s">
        <v>4581</v>
      </c>
      <c r="C4555" s="1" t="str">
        <f ca="1">IFERROR(__xludf.DUMMYFUNCTION("REGEXEXTRACT(B4555, ""^([^:]+)"")"),"Electrical insulators")</f>
        <v>Electrical insulators</v>
      </c>
      <c r="D4555" s="1" t="s">
        <v>11</v>
      </c>
      <c r="E4555" s="1" t="s">
        <v>11</v>
      </c>
    </row>
    <row r="4556" spans="1:5" ht="15.75" customHeight="1">
      <c r="A4556" s="1">
        <v>854620</v>
      </c>
      <c r="B4556" s="1" t="s">
        <v>4582</v>
      </c>
      <c r="C4556" s="1" t="str">
        <f ca="1">IFERROR(__xludf.DUMMYFUNCTION("REGEXEXTRACT(B4556, ""^([^:]+)"")"),"Electrical insulators")</f>
        <v>Electrical insulators</v>
      </c>
      <c r="D4556" s="1" t="s">
        <v>11</v>
      </c>
      <c r="E4556" s="1" t="s">
        <v>11</v>
      </c>
    </row>
    <row r="4557" spans="1:5" ht="15.75" customHeight="1">
      <c r="A4557" s="1">
        <v>854690</v>
      </c>
      <c r="B4557" s="1" t="s">
        <v>4583</v>
      </c>
      <c r="C4557" s="1" t="str">
        <f ca="1">IFERROR(__xludf.DUMMYFUNCTION("REGEXEXTRACT(B4557, ""^([^:]+)"")"),"Electrical insulators")</f>
        <v>Electrical insulators</v>
      </c>
      <c r="D4557" s="1" t="s">
        <v>11</v>
      </c>
      <c r="E4557" s="1" t="s">
        <v>11</v>
      </c>
    </row>
    <row r="4558" spans="1:5" ht="15.75" customHeight="1">
      <c r="A4558" s="1">
        <v>854710</v>
      </c>
      <c r="B4558" s="1" t="s">
        <v>4584</v>
      </c>
      <c r="C4558" s="1" t="str">
        <f ca="1">IFERROR(__xludf.DUMMYFUNCTION("REGEXEXTRACT(B4558, ""^([^:]+)"")"),"Insulating fittings")</f>
        <v>Insulating fittings</v>
      </c>
      <c r="D4558" s="1" t="s">
        <v>11</v>
      </c>
      <c r="E4558" s="1" t="s">
        <v>11</v>
      </c>
    </row>
    <row r="4559" spans="1:5" ht="15.75" customHeight="1">
      <c r="A4559" s="1">
        <v>854720</v>
      </c>
      <c r="B4559" s="1" t="s">
        <v>4585</v>
      </c>
      <c r="C4559" s="1" t="str">
        <f ca="1">IFERROR(__xludf.DUMMYFUNCTION("REGEXEXTRACT(B4559, ""^([^:]+)"")"),"Insulating fittings")</f>
        <v>Insulating fittings</v>
      </c>
      <c r="D4559" s="1" t="s">
        <v>11</v>
      </c>
      <c r="E4559" s="1" t="s">
        <v>11</v>
      </c>
    </row>
    <row r="4560" spans="1:5" ht="15.75" customHeight="1">
      <c r="A4560" s="1">
        <v>854790</v>
      </c>
      <c r="B4560" s="1" t="s">
        <v>4586</v>
      </c>
      <c r="C4560" s="1" t="str">
        <f ca="1">IFERROR(__xludf.DUMMYFUNCTION("REGEXEXTRACT(B4560, ""^([^:]+)"")"),"Insulating fittings")</f>
        <v>Insulating fittings</v>
      </c>
      <c r="D4560" s="1" t="s">
        <v>11</v>
      </c>
      <c r="E4560" s="1" t="s">
        <v>11</v>
      </c>
    </row>
    <row r="4561" spans="1:5" ht="15.75" customHeight="1">
      <c r="A4561" s="1">
        <v>854810</v>
      </c>
      <c r="B4561" s="1" t="s">
        <v>4587</v>
      </c>
      <c r="C4561" s="1" t="str">
        <f ca="1">IFERROR(__xludf.DUMMYFUNCTION("REGEXEXTRACT(B4561, ""^([^:]+)"")"),"Waste and scrap of primary cells, primary batteries and electric accumulators")</f>
        <v>Waste and scrap of primary cells, primary batteries and electric accumulators</v>
      </c>
      <c r="D4561" s="1" t="s">
        <v>11</v>
      </c>
      <c r="E4561" s="1" t="s">
        <v>11</v>
      </c>
    </row>
    <row r="4562" spans="1:5" ht="15.75" customHeight="1">
      <c r="A4562" s="1">
        <v>854890</v>
      </c>
      <c r="B4562" s="1" t="s">
        <v>4588</v>
      </c>
      <c r="C4562" s="1" t="str">
        <f ca="1">IFERROR(__xludf.DUMMYFUNCTION("REGEXEXTRACT(B4562, ""^([^:]+)"")"),"Electrical parts of machinery or apparatus")</f>
        <v>Electrical parts of machinery or apparatus</v>
      </c>
      <c r="D4562" s="1" t="s">
        <v>11</v>
      </c>
      <c r="E4562" s="1" t="s">
        <v>11</v>
      </c>
    </row>
    <row r="4563" spans="1:5" ht="15.75" customHeight="1">
      <c r="A4563" s="1">
        <v>860110</v>
      </c>
      <c r="B4563" s="1" t="s">
        <v>4589</v>
      </c>
      <c r="C4563" s="1" t="str">
        <f ca="1">IFERROR(__xludf.DUMMYFUNCTION("REGEXEXTRACT(B4563, ""^([^:]+)"")"),"Rail locomotives")</f>
        <v>Rail locomotives</v>
      </c>
      <c r="D4563" s="1" t="s">
        <v>11</v>
      </c>
      <c r="E4563" s="1" t="s">
        <v>11</v>
      </c>
    </row>
    <row r="4564" spans="1:5" ht="15.75" customHeight="1">
      <c r="A4564" s="1">
        <v>860120</v>
      </c>
      <c r="B4564" s="1" t="s">
        <v>4590</v>
      </c>
      <c r="C4564" s="1" t="str">
        <f ca="1">IFERROR(__xludf.DUMMYFUNCTION("REGEXEXTRACT(B4564, ""^([^:]+)"")"),"Rail locomotives")</f>
        <v>Rail locomotives</v>
      </c>
      <c r="D4564" s="1" t="s">
        <v>11</v>
      </c>
      <c r="E4564" s="1" t="s">
        <v>11</v>
      </c>
    </row>
    <row r="4565" spans="1:5" ht="15.75" customHeight="1">
      <c r="A4565" s="1">
        <v>860210</v>
      </c>
      <c r="B4565" s="1" t="s">
        <v>4591</v>
      </c>
      <c r="C4565" s="1" t="str">
        <f ca="1">IFERROR(__xludf.DUMMYFUNCTION("REGEXEXTRACT(B4565, ""^([^:]+)"")"),"Rail locomotives")</f>
        <v>Rail locomotives</v>
      </c>
      <c r="D4565" s="1" t="s">
        <v>11</v>
      </c>
      <c r="E4565" s="1" t="s">
        <v>11</v>
      </c>
    </row>
    <row r="4566" spans="1:5" ht="15.75" customHeight="1">
      <c r="A4566" s="1">
        <v>860290</v>
      </c>
      <c r="B4566" s="1" t="s">
        <v>4592</v>
      </c>
      <c r="C4566" s="1" t="str">
        <f ca="1">IFERROR(__xludf.DUMMYFUNCTION("REGEXEXTRACT(B4566, ""^([^:]+)"")"),"Rail locomotives and locomotive tenders")</f>
        <v>Rail locomotives and locomotive tenders</v>
      </c>
      <c r="D4566" s="1" t="s">
        <v>11</v>
      </c>
      <c r="E4566" s="1" t="s">
        <v>11</v>
      </c>
    </row>
    <row r="4567" spans="1:5" ht="15.75" customHeight="1">
      <c r="A4567" s="1">
        <v>860310</v>
      </c>
      <c r="B4567" s="1" t="s">
        <v>4593</v>
      </c>
      <c r="C4567" s="1" t="str">
        <f ca="1">IFERROR(__xludf.DUMMYFUNCTION("REGEXEXTRACT(B4567, ""^([^:]+)"")"),"Railway or tramway coaches, vans and trucks")</f>
        <v>Railway or tramway coaches, vans and trucks</v>
      </c>
      <c r="D4567" s="1" t="s">
        <v>11</v>
      </c>
      <c r="E4567" s="1" t="s">
        <v>11</v>
      </c>
    </row>
    <row r="4568" spans="1:5" ht="15.75" customHeight="1">
      <c r="A4568" s="1">
        <v>860390</v>
      </c>
      <c r="B4568" s="1" t="s">
        <v>4594</v>
      </c>
      <c r="C4568" s="1" t="str">
        <f ca="1">IFERROR(__xludf.DUMMYFUNCTION("REGEXEXTRACT(B4568, ""^([^:]+)"")"),"Railway or tramway coaches, vans and trucks")</f>
        <v>Railway or tramway coaches, vans and trucks</v>
      </c>
      <c r="D4568" s="1" t="s">
        <v>11</v>
      </c>
      <c r="E4568" s="1" t="s">
        <v>11</v>
      </c>
    </row>
    <row r="4569" spans="1:5" ht="15.75" customHeight="1">
      <c r="A4569" s="1">
        <v>860400</v>
      </c>
      <c r="B4569" s="1" t="s">
        <v>4595</v>
      </c>
      <c r="C4569" s="1" t="str">
        <f ca="1">IFERROR(__xludf.DUMMYFUNCTION("REGEXEXTRACT(B4569, ""^([^:]+)"")"),"Railway or tramway maintenance or service vehicles")</f>
        <v>Railway or tramway maintenance or service vehicles</v>
      </c>
      <c r="D4569" s="1" t="s">
        <v>11</v>
      </c>
      <c r="E4569" s="1" t="s">
        <v>11</v>
      </c>
    </row>
    <row r="4570" spans="1:5" ht="15.75" customHeight="1">
      <c r="A4570" s="1">
        <v>860500</v>
      </c>
      <c r="B4570" s="1" t="s">
        <v>4596</v>
      </c>
      <c r="C4570" s="1" t="str">
        <f ca="1">IFERROR(__xludf.DUMMYFUNCTION("REGEXEXTRACT(B4570, ""^([^:]+)"")"),"Railway or tramway coaches")</f>
        <v>Railway or tramway coaches</v>
      </c>
      <c r="D4570" s="1" t="s">
        <v>11</v>
      </c>
      <c r="E4570" s="1" t="s">
        <v>11</v>
      </c>
    </row>
    <row r="4571" spans="1:5" ht="15.75" customHeight="1">
      <c r="A4571" s="1">
        <v>860610</v>
      </c>
      <c r="B4571" s="1" t="s">
        <v>4597</v>
      </c>
      <c r="C4571" s="1" t="str">
        <f ca="1">IFERROR(__xludf.DUMMYFUNCTION("REGEXEXTRACT(B4571, ""^([^:]+)"")"),"Railway or tramway goods vans and wagons")</f>
        <v>Railway or tramway goods vans and wagons</v>
      </c>
      <c r="D4571" s="1" t="s">
        <v>11</v>
      </c>
      <c r="E4571" s="1" t="s">
        <v>11</v>
      </c>
    </row>
    <row r="4572" spans="1:5" ht="15.75" customHeight="1">
      <c r="A4572" s="1">
        <v>860630</v>
      </c>
      <c r="B4572" s="1" t="s">
        <v>4598</v>
      </c>
      <c r="C4572" s="1" t="str">
        <f ca="1">IFERROR(__xludf.DUMMYFUNCTION("REGEXEXTRACT(B4572, ""^([^:]+)"")"),"Railway or tramway goods vans and wagons")</f>
        <v>Railway or tramway goods vans and wagons</v>
      </c>
      <c r="D4572" s="1" t="s">
        <v>11</v>
      </c>
      <c r="E4572" s="1" t="s">
        <v>11</v>
      </c>
    </row>
    <row r="4573" spans="1:5" ht="15.75" customHeight="1">
      <c r="A4573" s="1">
        <v>860691</v>
      </c>
      <c r="B4573" s="1" t="s">
        <v>4599</v>
      </c>
      <c r="C4573" s="1" t="str">
        <f ca="1">IFERROR(__xludf.DUMMYFUNCTION("REGEXEXTRACT(B4573, ""^([^:]+)"")"),"Railway or tramway goods vans and wagons")</f>
        <v>Railway or tramway goods vans and wagons</v>
      </c>
      <c r="D4573" s="1" t="s">
        <v>11</v>
      </c>
      <c r="E4573" s="1" t="s">
        <v>11</v>
      </c>
    </row>
    <row r="4574" spans="1:5" ht="15.75" customHeight="1">
      <c r="A4574" s="1">
        <v>860692</v>
      </c>
      <c r="B4574" s="1" t="s">
        <v>4600</v>
      </c>
      <c r="C4574" s="1" t="str">
        <f ca="1">IFERROR(__xludf.DUMMYFUNCTION("REGEXEXTRACT(B4574, ""^([^:]+)"")"),"Railway or tramway goods vans and wagons")</f>
        <v>Railway or tramway goods vans and wagons</v>
      </c>
      <c r="D4574" s="1" t="s">
        <v>11</v>
      </c>
      <c r="E4574" s="1" t="s">
        <v>11</v>
      </c>
    </row>
    <row r="4575" spans="1:5" ht="15.75" customHeight="1">
      <c r="A4575" s="1">
        <v>860699</v>
      </c>
      <c r="B4575" s="1" t="s">
        <v>4601</v>
      </c>
      <c r="C4575" s="1" t="str">
        <f ca="1">IFERROR(__xludf.DUMMYFUNCTION("REGEXEXTRACT(B4575, ""^([^:]+)"")"),"Railway or tramway goods vans and wagons")</f>
        <v>Railway or tramway goods vans and wagons</v>
      </c>
      <c r="D4575" s="1" t="s">
        <v>11</v>
      </c>
      <c r="E4575" s="1" t="s">
        <v>11</v>
      </c>
    </row>
    <row r="4576" spans="1:5" ht="15.75" customHeight="1">
      <c r="A4576" s="1">
        <v>860711</v>
      </c>
      <c r="B4576" s="1" t="s">
        <v>4602</v>
      </c>
      <c r="C4576" s="1" t="str">
        <f ca="1">IFERROR(__xludf.DUMMYFUNCTION("REGEXEXTRACT(B4576, ""^([^:]+)"")"),"Railway or tramway locomotives or rolling stock")</f>
        <v>Railway or tramway locomotives or rolling stock</v>
      </c>
      <c r="D4576" s="1" t="s">
        <v>11</v>
      </c>
      <c r="E4576" s="1" t="s">
        <v>11</v>
      </c>
    </row>
    <row r="4577" spans="1:5" ht="15.75" customHeight="1">
      <c r="A4577" s="1">
        <v>860712</v>
      </c>
      <c r="B4577" s="1" t="s">
        <v>4603</v>
      </c>
      <c r="C4577" s="1" t="str">
        <f ca="1">IFERROR(__xludf.DUMMYFUNCTION("REGEXEXTRACT(B4577, ""^([^:]+)"")"),"Railway or tramway locomotives or rolling stock")</f>
        <v>Railway or tramway locomotives or rolling stock</v>
      </c>
      <c r="D4577" s="1" t="s">
        <v>11</v>
      </c>
      <c r="E4577" s="1" t="s">
        <v>11</v>
      </c>
    </row>
    <row r="4578" spans="1:5" ht="15.75" customHeight="1">
      <c r="A4578" s="1">
        <v>860719</v>
      </c>
      <c r="B4578" s="1" t="s">
        <v>4604</v>
      </c>
      <c r="C4578" s="1" t="str">
        <f ca="1">IFERROR(__xludf.DUMMYFUNCTION("REGEXEXTRACT(B4578, ""^([^:]+)"")"),"Railway or tramway locomotives or rolling stock")</f>
        <v>Railway or tramway locomotives or rolling stock</v>
      </c>
      <c r="D4578" s="1" t="s">
        <v>11</v>
      </c>
      <c r="E4578" s="1" t="s">
        <v>11</v>
      </c>
    </row>
    <row r="4579" spans="1:5" ht="15.75" customHeight="1">
      <c r="A4579" s="1">
        <v>860721</v>
      </c>
      <c r="B4579" s="1" t="s">
        <v>4605</v>
      </c>
      <c r="C4579" s="1" t="str">
        <f ca="1">IFERROR(__xludf.DUMMYFUNCTION("REGEXEXTRACT(B4579, ""^([^:]+)"")"),"Railway or tramway locomotives or rolling stock")</f>
        <v>Railway or tramway locomotives or rolling stock</v>
      </c>
      <c r="D4579" s="1" t="s">
        <v>11</v>
      </c>
      <c r="E4579" s="1" t="s">
        <v>11</v>
      </c>
    </row>
    <row r="4580" spans="1:5" ht="15.75" customHeight="1">
      <c r="A4580" s="1">
        <v>860729</v>
      </c>
      <c r="B4580" s="1" t="s">
        <v>4606</v>
      </c>
      <c r="C4580" s="1" t="str">
        <f ca="1">IFERROR(__xludf.DUMMYFUNCTION("REGEXEXTRACT(B4580, ""^([^:]+)"")"),"Railway or tramway locomotives or rolling stock")</f>
        <v>Railway or tramway locomotives or rolling stock</v>
      </c>
      <c r="D4580" s="1" t="s">
        <v>11</v>
      </c>
      <c r="E4580" s="1" t="s">
        <v>11</v>
      </c>
    </row>
    <row r="4581" spans="1:5" ht="15.75" customHeight="1">
      <c r="A4581" s="1">
        <v>860730</v>
      </c>
      <c r="B4581" s="1" t="s">
        <v>4607</v>
      </c>
      <c r="C4581" s="1" t="str">
        <f ca="1">IFERROR(__xludf.DUMMYFUNCTION("REGEXEXTRACT(B4581, ""^([^:]+)"")"),"Railway or tramway locomotives or rolling stock")</f>
        <v>Railway or tramway locomotives or rolling stock</v>
      </c>
      <c r="D4581" s="1" t="s">
        <v>11</v>
      </c>
      <c r="E4581" s="1" t="s">
        <v>11</v>
      </c>
    </row>
    <row r="4582" spans="1:5" ht="15.75" customHeight="1">
      <c r="A4582" s="1">
        <v>860791</v>
      </c>
      <c r="B4582" s="1" t="s">
        <v>4608</v>
      </c>
      <c r="C4582" s="1" t="str">
        <f ca="1">IFERROR(__xludf.DUMMYFUNCTION("REGEXEXTRACT(B4582, ""^([^:]+)"")"),"Railway or tramway locomotives")</f>
        <v>Railway or tramway locomotives</v>
      </c>
      <c r="D4582" s="1" t="s">
        <v>11</v>
      </c>
      <c r="E4582" s="1" t="s">
        <v>11</v>
      </c>
    </row>
    <row r="4583" spans="1:5" ht="15.75" customHeight="1">
      <c r="A4583" s="1">
        <v>860799</v>
      </c>
      <c r="B4583" s="1" t="s">
        <v>4609</v>
      </c>
      <c r="C4583" s="1" t="str">
        <f ca="1">IFERROR(__xludf.DUMMYFUNCTION("REGEXEXTRACT(B4583, ""^([^:]+)"")"),"Railway or tramway rolling stock")</f>
        <v>Railway or tramway rolling stock</v>
      </c>
      <c r="D4583" s="1" t="s">
        <v>11</v>
      </c>
      <c r="E4583" s="1" t="s">
        <v>11</v>
      </c>
    </row>
    <row r="4584" spans="1:5" ht="15.75" customHeight="1">
      <c r="A4584" s="1">
        <v>860800</v>
      </c>
      <c r="B4584" s="1" t="s">
        <v>4610</v>
      </c>
      <c r="C4584" s="1" t="str">
        <f ca="1">IFERROR(__xludf.DUMMYFUNCTION("REGEXEXTRACT(B4584, ""^([^:]+)"")"),"Railway or tramway track fixtures and fittings")</f>
        <v>Railway or tramway track fixtures and fittings</v>
      </c>
      <c r="D4584" s="1" t="s">
        <v>11</v>
      </c>
      <c r="E4584" s="1" t="s">
        <v>11</v>
      </c>
    </row>
    <row r="4585" spans="1:5" ht="15.75" customHeight="1">
      <c r="A4585" s="1">
        <v>860900</v>
      </c>
      <c r="B4585" s="1" t="s">
        <v>4611</v>
      </c>
      <c r="C4585" s="1" t="str">
        <f ca="1">IFERROR(__xludf.DUMMYFUNCTION("REGEXEXTRACT(B4585, ""^([^:]+)"")"),"Containers")</f>
        <v>Containers</v>
      </c>
      <c r="D4585" s="1" t="s">
        <v>11</v>
      </c>
      <c r="E4585" s="1" t="s">
        <v>11</v>
      </c>
    </row>
    <row r="4586" spans="1:5" ht="15.75" customHeight="1">
      <c r="A4586" s="1">
        <v>870110</v>
      </c>
      <c r="B4586" s="1" t="s">
        <v>4612</v>
      </c>
      <c r="C4586" s="1" t="str">
        <f ca="1">IFERROR(__xludf.DUMMYFUNCTION("REGEXEXTRACT(B4586, ""^([^:]+)"")"),"Tractors")</f>
        <v>Tractors</v>
      </c>
      <c r="D4586" s="1" t="s">
        <v>11</v>
      </c>
      <c r="E4586" s="1" t="s">
        <v>11</v>
      </c>
    </row>
    <row r="4587" spans="1:5" ht="15.75" customHeight="1">
      <c r="A4587" s="1">
        <v>870120</v>
      </c>
      <c r="B4587" s="1" t="s">
        <v>4613</v>
      </c>
      <c r="C4587" s="1" t="str">
        <f ca="1">IFERROR(__xludf.DUMMYFUNCTION("REGEXEXTRACT(B4587, ""^([^:]+)"")"),"Tractors")</f>
        <v>Tractors</v>
      </c>
      <c r="D4587" s="1" t="s">
        <v>11</v>
      </c>
      <c r="E4587" s="1" t="s">
        <v>11</v>
      </c>
    </row>
    <row r="4588" spans="1:5" ht="15.75" customHeight="1">
      <c r="A4588" s="1">
        <v>870130</v>
      </c>
      <c r="B4588" s="1" t="s">
        <v>4614</v>
      </c>
      <c r="C4588" s="1" t="str">
        <f ca="1">IFERROR(__xludf.DUMMYFUNCTION("REGEXEXTRACT(B4588, ""^([^:]+)"")"),"Tractors")</f>
        <v>Tractors</v>
      </c>
      <c r="D4588" s="1" t="s">
        <v>11</v>
      </c>
      <c r="E4588" s="1" t="s">
        <v>11</v>
      </c>
    </row>
    <row r="4589" spans="1:5" ht="15.75" customHeight="1">
      <c r="A4589" s="1">
        <v>870190</v>
      </c>
      <c r="B4589" s="1" t="s">
        <v>4615</v>
      </c>
      <c r="C4589" s="1" t="str">
        <f ca="1">IFERROR(__xludf.DUMMYFUNCTION("REGEXEXTRACT(B4589, ""^([^:]+)"")"),"Tractors")</f>
        <v>Tractors</v>
      </c>
      <c r="D4589" s="1" t="s">
        <v>11</v>
      </c>
      <c r="E4589" s="1" t="s">
        <v>11</v>
      </c>
    </row>
    <row r="4590" spans="1:5" ht="15.75" customHeight="1">
      <c r="A4590" s="1">
        <v>870210</v>
      </c>
      <c r="B4590" s="1" t="s">
        <v>4616</v>
      </c>
      <c r="C4590" s="1" t="str">
        <f ca="1">IFERROR(__xludf.DUMMYFUNCTION("REGEXEXTRACT(B4590, ""^([^:]+)"")"),"Vehicles")</f>
        <v>Vehicles</v>
      </c>
      <c r="D4590" s="1" t="s">
        <v>11</v>
      </c>
      <c r="E4590" s="1" t="s">
        <v>11</v>
      </c>
    </row>
    <row r="4591" spans="1:5" ht="15.75" customHeight="1">
      <c r="A4591" s="1">
        <v>870290</v>
      </c>
      <c r="B4591" s="1" t="s">
        <v>4617</v>
      </c>
      <c r="C4591" s="1" t="str">
        <f ca="1">IFERROR(__xludf.DUMMYFUNCTION("REGEXEXTRACT(B4591, ""^([^:]+)"")"),"Vehicles")</f>
        <v>Vehicles</v>
      </c>
      <c r="D4591" s="1" t="s">
        <v>11</v>
      </c>
      <c r="E4591" s="1" t="s">
        <v>11</v>
      </c>
    </row>
    <row r="4592" spans="1:5" ht="15.75" customHeight="1">
      <c r="A4592" s="1">
        <v>870310</v>
      </c>
      <c r="B4592" s="1" t="s">
        <v>4618</v>
      </c>
      <c r="C4592" s="1" t="str">
        <f ca="1">IFERROR(__xludf.DUMMYFUNCTION("REGEXEXTRACT(B4592, ""^([^:]+)"")"),"Vehicles")</f>
        <v>Vehicles</v>
      </c>
      <c r="D4592" s="1" t="s">
        <v>11</v>
      </c>
      <c r="E4592" s="1" t="s">
        <v>11</v>
      </c>
    </row>
    <row r="4593" spans="1:5" ht="15.75" customHeight="1">
      <c r="A4593" s="1">
        <v>870321</v>
      </c>
      <c r="B4593" s="1" t="s">
        <v>4619</v>
      </c>
      <c r="C4593" s="1" t="str">
        <f ca="1">IFERROR(__xludf.DUMMYFUNCTION("REGEXEXTRACT(B4593, ""^([^:]+)"")"),"Vehicles")</f>
        <v>Vehicles</v>
      </c>
      <c r="D4593" s="1" t="s">
        <v>11</v>
      </c>
      <c r="E4593" s="1" t="s">
        <v>11</v>
      </c>
    </row>
    <row r="4594" spans="1:5" ht="15.75" customHeight="1">
      <c r="A4594" s="1">
        <v>870322</v>
      </c>
      <c r="B4594" s="1" t="s">
        <v>4620</v>
      </c>
      <c r="C4594" s="1" t="str">
        <f ca="1">IFERROR(__xludf.DUMMYFUNCTION("REGEXEXTRACT(B4594, ""^([^:]+)"")"),"Vehicles")</f>
        <v>Vehicles</v>
      </c>
      <c r="D4594" s="1" t="s">
        <v>11</v>
      </c>
      <c r="E4594" s="1" t="s">
        <v>11</v>
      </c>
    </row>
    <row r="4595" spans="1:5" ht="15.75" customHeight="1">
      <c r="A4595" s="1">
        <v>870323</v>
      </c>
      <c r="B4595" s="1" t="s">
        <v>4621</v>
      </c>
      <c r="C4595" s="1" t="str">
        <f ca="1">IFERROR(__xludf.DUMMYFUNCTION("REGEXEXTRACT(B4595, ""^([^:]+)"")"),"Vehicles")</f>
        <v>Vehicles</v>
      </c>
      <c r="D4595" s="1" t="s">
        <v>11</v>
      </c>
      <c r="E4595" s="1" t="s">
        <v>11</v>
      </c>
    </row>
    <row r="4596" spans="1:5" ht="15.75" customHeight="1">
      <c r="A4596" s="1">
        <v>870324</v>
      </c>
      <c r="B4596" s="1" t="s">
        <v>4622</v>
      </c>
      <c r="C4596" s="1" t="str">
        <f ca="1">IFERROR(__xludf.DUMMYFUNCTION("REGEXEXTRACT(B4596, ""^([^:]+)"")"),"Vehicles")</f>
        <v>Vehicles</v>
      </c>
      <c r="D4596" s="1" t="s">
        <v>11</v>
      </c>
      <c r="E4596" s="1" t="s">
        <v>11</v>
      </c>
    </row>
    <row r="4597" spans="1:5" ht="15.75" customHeight="1">
      <c r="A4597" s="1">
        <v>870331</v>
      </c>
      <c r="B4597" s="1" t="s">
        <v>4623</v>
      </c>
      <c r="C4597" s="1" t="str">
        <f ca="1">IFERROR(__xludf.DUMMYFUNCTION("REGEXEXTRACT(B4597, ""^([^:]+)"")"),"Vehicles")</f>
        <v>Vehicles</v>
      </c>
      <c r="D4597" s="1" t="s">
        <v>11</v>
      </c>
      <c r="E4597" s="1" t="s">
        <v>11</v>
      </c>
    </row>
    <row r="4598" spans="1:5" ht="15.75" customHeight="1">
      <c r="A4598" s="1">
        <v>870332</v>
      </c>
      <c r="B4598" s="1" t="s">
        <v>4624</v>
      </c>
      <c r="C4598" s="1" t="str">
        <f ca="1">IFERROR(__xludf.DUMMYFUNCTION("REGEXEXTRACT(B4598, ""^([^:]+)"")"),"Vehicles")</f>
        <v>Vehicles</v>
      </c>
      <c r="D4598" s="1" t="s">
        <v>11</v>
      </c>
      <c r="E4598" s="1" t="s">
        <v>11</v>
      </c>
    </row>
    <row r="4599" spans="1:5" ht="15.75" customHeight="1">
      <c r="A4599" s="1">
        <v>870333</v>
      </c>
      <c r="B4599" s="1" t="s">
        <v>4625</v>
      </c>
      <c r="C4599" s="1" t="str">
        <f ca="1">IFERROR(__xludf.DUMMYFUNCTION("REGEXEXTRACT(B4599, ""^([^:]+)"")"),"Vehicles")</f>
        <v>Vehicles</v>
      </c>
      <c r="D4599" s="1" t="s">
        <v>11</v>
      </c>
      <c r="E4599" s="1" t="s">
        <v>11</v>
      </c>
    </row>
    <row r="4600" spans="1:5" ht="15.75" customHeight="1">
      <c r="A4600" s="1">
        <v>870390</v>
      </c>
      <c r="B4600" s="1" t="s">
        <v>4626</v>
      </c>
      <c r="C4600" s="1" t="str">
        <f ca="1">IFERROR(__xludf.DUMMYFUNCTION("REGEXEXTRACT(B4600, ""^([^:]+)"")"),"Vehicles")</f>
        <v>Vehicles</v>
      </c>
      <c r="D4600" s="1" t="s">
        <v>11</v>
      </c>
      <c r="E4600" s="1" t="s">
        <v>11</v>
      </c>
    </row>
    <row r="4601" spans="1:5" ht="15.75" customHeight="1">
      <c r="A4601" s="1">
        <v>870410</v>
      </c>
      <c r="B4601" s="1" t="s">
        <v>4627</v>
      </c>
      <c r="C4601" s="1" t="str">
        <f ca="1">IFERROR(__xludf.DUMMYFUNCTION("REGEXEXTRACT(B4601, ""^([^:]+)"")"),"Vehicles")</f>
        <v>Vehicles</v>
      </c>
      <c r="D4601" s="1" t="s">
        <v>11</v>
      </c>
      <c r="E4601" s="1" t="s">
        <v>11</v>
      </c>
    </row>
    <row r="4602" spans="1:5" ht="15.75" customHeight="1">
      <c r="A4602" s="1">
        <v>870421</v>
      </c>
      <c r="B4602" s="1" t="s">
        <v>4628</v>
      </c>
      <c r="C4602" s="1" t="str">
        <f ca="1">IFERROR(__xludf.DUMMYFUNCTION("REGEXEXTRACT(B4602, ""^([^:]+)"")"),"Vehicles")</f>
        <v>Vehicles</v>
      </c>
      <c r="D4602" s="1" t="s">
        <v>11</v>
      </c>
      <c r="E4602" s="1" t="s">
        <v>11</v>
      </c>
    </row>
    <row r="4603" spans="1:5" ht="15.75" customHeight="1">
      <c r="A4603" s="1">
        <v>870422</v>
      </c>
      <c r="B4603" s="1" t="s">
        <v>4629</v>
      </c>
      <c r="C4603" s="1" t="str">
        <f ca="1">IFERROR(__xludf.DUMMYFUNCTION("REGEXEXTRACT(B4603, ""^([^:]+)"")"),"Vehicles")</f>
        <v>Vehicles</v>
      </c>
      <c r="D4603" s="1" t="s">
        <v>11</v>
      </c>
      <c r="E4603" s="1" t="s">
        <v>11</v>
      </c>
    </row>
    <row r="4604" spans="1:5" ht="15.75" customHeight="1">
      <c r="A4604" s="1">
        <v>870423</v>
      </c>
      <c r="B4604" s="1" t="s">
        <v>4630</v>
      </c>
      <c r="C4604" s="1" t="str">
        <f ca="1">IFERROR(__xludf.DUMMYFUNCTION("REGEXEXTRACT(B4604, ""^([^:]+)"")"),"Vehicles")</f>
        <v>Vehicles</v>
      </c>
      <c r="D4604" s="1" t="s">
        <v>11</v>
      </c>
      <c r="E4604" s="1" t="s">
        <v>11</v>
      </c>
    </row>
    <row r="4605" spans="1:5" ht="15.75" customHeight="1">
      <c r="A4605" s="1">
        <v>870431</v>
      </c>
      <c r="B4605" s="1" t="s">
        <v>4631</v>
      </c>
      <c r="C4605" s="1" t="str">
        <f ca="1">IFERROR(__xludf.DUMMYFUNCTION("REGEXEXTRACT(B4605, ""^([^:]+)"")"),"Vehicles")</f>
        <v>Vehicles</v>
      </c>
      <c r="D4605" s="1" t="s">
        <v>11</v>
      </c>
      <c r="E4605" s="1" t="s">
        <v>11</v>
      </c>
    </row>
    <row r="4606" spans="1:5" ht="15.75" customHeight="1">
      <c r="A4606" s="1">
        <v>870432</v>
      </c>
      <c r="B4606" s="1" t="s">
        <v>4632</v>
      </c>
      <c r="C4606" s="1" t="str">
        <f ca="1">IFERROR(__xludf.DUMMYFUNCTION("REGEXEXTRACT(B4606, ""^([^:]+)"")"),"Vehicles")</f>
        <v>Vehicles</v>
      </c>
      <c r="D4606" s="1" t="s">
        <v>11</v>
      </c>
      <c r="E4606" s="1" t="s">
        <v>11</v>
      </c>
    </row>
    <row r="4607" spans="1:5" ht="15.75" customHeight="1">
      <c r="A4607" s="1">
        <v>870490</v>
      </c>
      <c r="B4607" s="1" t="s">
        <v>4633</v>
      </c>
      <c r="C4607" s="1" t="str">
        <f ca="1">IFERROR(__xludf.DUMMYFUNCTION("REGEXEXTRACT(B4607, ""^([^:]+)"")"),"Vehicles")</f>
        <v>Vehicles</v>
      </c>
      <c r="D4607" s="1" t="s">
        <v>11</v>
      </c>
      <c r="E4607" s="1" t="s">
        <v>11</v>
      </c>
    </row>
    <row r="4608" spans="1:5" ht="15.75" customHeight="1">
      <c r="A4608" s="1">
        <v>870510</v>
      </c>
      <c r="B4608" s="1" t="s">
        <v>4634</v>
      </c>
      <c r="C4608" s="1" t="str">
        <f ca="1">IFERROR(__xludf.DUMMYFUNCTION("REGEXEXTRACT(B4608, ""^([^:]+)"")"),"Vehicles")</f>
        <v>Vehicles</v>
      </c>
      <c r="D4608" s="1" t="s">
        <v>11</v>
      </c>
      <c r="E4608" s="1" t="s">
        <v>11</v>
      </c>
    </row>
    <row r="4609" spans="1:5" ht="15.75" customHeight="1">
      <c r="A4609" s="1">
        <v>870520</v>
      </c>
      <c r="B4609" s="1" t="s">
        <v>4635</v>
      </c>
      <c r="C4609" s="1" t="str">
        <f ca="1">IFERROR(__xludf.DUMMYFUNCTION("REGEXEXTRACT(B4609, ""^([^:]+)"")"),"Vehicles")</f>
        <v>Vehicles</v>
      </c>
      <c r="D4609" s="1" t="s">
        <v>11</v>
      </c>
      <c r="E4609" s="1" t="s">
        <v>11</v>
      </c>
    </row>
    <row r="4610" spans="1:5" ht="15.75" customHeight="1">
      <c r="A4610" s="1">
        <v>870530</v>
      </c>
      <c r="B4610" s="1" t="s">
        <v>4636</v>
      </c>
      <c r="C4610" s="1" t="str">
        <f ca="1">IFERROR(__xludf.DUMMYFUNCTION("REGEXEXTRACT(B4610, ""^([^:]+)"")"),"Vehicles")</f>
        <v>Vehicles</v>
      </c>
      <c r="D4610" s="1" t="s">
        <v>11</v>
      </c>
      <c r="E4610" s="1" t="s">
        <v>11</v>
      </c>
    </row>
    <row r="4611" spans="1:5" ht="15.75" customHeight="1">
      <c r="A4611" s="1">
        <v>870540</v>
      </c>
      <c r="B4611" s="1" t="s">
        <v>4637</v>
      </c>
      <c r="C4611" s="1" t="str">
        <f ca="1">IFERROR(__xludf.DUMMYFUNCTION("REGEXEXTRACT(B4611, ""^([^:]+)"")"),"Vehicles")</f>
        <v>Vehicles</v>
      </c>
      <c r="D4611" s="1" t="s">
        <v>11</v>
      </c>
      <c r="E4611" s="1" t="s">
        <v>11</v>
      </c>
    </row>
    <row r="4612" spans="1:5" ht="15.75" customHeight="1">
      <c r="A4612" s="1">
        <v>870590</v>
      </c>
      <c r="B4612" s="1" t="s">
        <v>4638</v>
      </c>
      <c r="C4612" s="1" t="str">
        <f ca="1">IFERROR(__xludf.DUMMYFUNCTION("REGEXEXTRACT(B4612, ""^([^:]+)"")"),"Vehicles")</f>
        <v>Vehicles</v>
      </c>
      <c r="D4612" s="1" t="s">
        <v>11</v>
      </c>
      <c r="E4612" s="1" t="s">
        <v>11</v>
      </c>
    </row>
    <row r="4613" spans="1:5" ht="15.75" customHeight="1">
      <c r="A4613" s="1">
        <v>870600</v>
      </c>
      <c r="B4613" s="1" t="s">
        <v>4639</v>
      </c>
      <c r="C4613" s="1" t="str">
        <f ca="1">IFERROR(__xludf.DUMMYFUNCTION("REGEXEXTRACT(B4613, ""^([^:]+)"")"),"Chassis")</f>
        <v>Chassis</v>
      </c>
      <c r="D4613" s="1" t="s">
        <v>11</v>
      </c>
      <c r="E4613" s="1" t="s">
        <v>11</v>
      </c>
    </row>
    <row r="4614" spans="1:5" ht="15.75" customHeight="1">
      <c r="A4614" s="1">
        <v>870710</v>
      </c>
      <c r="B4614" s="1" t="s">
        <v>4640</v>
      </c>
      <c r="C4614" s="1" t="str">
        <f ca="1">IFERROR(__xludf.DUMMYFUNCTION("REGEXEXTRACT(B4614, ""^([^:]+)"")"),"Vehicles")</f>
        <v>Vehicles</v>
      </c>
      <c r="D4614" s="1" t="s">
        <v>11</v>
      </c>
      <c r="E4614" s="1" t="s">
        <v>11</v>
      </c>
    </row>
    <row r="4615" spans="1:5" ht="15.75" customHeight="1">
      <c r="A4615" s="1">
        <v>870790</v>
      </c>
      <c r="B4615" s="1" t="s">
        <v>4641</v>
      </c>
      <c r="C4615" s="1" t="str">
        <f ca="1">IFERROR(__xludf.DUMMYFUNCTION("REGEXEXTRACT(B4615, ""^([^:]+)"")"),"Vehicles")</f>
        <v>Vehicles</v>
      </c>
      <c r="D4615" s="1" t="s">
        <v>11</v>
      </c>
      <c r="E4615" s="1" t="s">
        <v>11</v>
      </c>
    </row>
    <row r="4616" spans="1:5" ht="15.75" customHeight="1">
      <c r="A4616" s="1">
        <v>870810</v>
      </c>
      <c r="B4616" s="1" t="s">
        <v>4642</v>
      </c>
      <c r="C4616" s="1" t="str">
        <f ca="1">IFERROR(__xludf.DUMMYFUNCTION("REGEXEXTRACT(B4616, ""^([^:]+)"")"),"Vehicles")</f>
        <v>Vehicles</v>
      </c>
      <c r="D4616" s="1" t="s">
        <v>11</v>
      </c>
      <c r="E4616" s="1" t="s">
        <v>11</v>
      </c>
    </row>
    <row r="4617" spans="1:5" ht="15.75" customHeight="1">
      <c r="A4617" s="1">
        <v>870821</v>
      </c>
      <c r="B4617" s="1" t="s">
        <v>4643</v>
      </c>
      <c r="C4617" s="1" t="str">
        <f ca="1">IFERROR(__xludf.DUMMYFUNCTION("REGEXEXTRACT(B4617, ""^([^:]+)"")"),"Vehicles")</f>
        <v>Vehicles</v>
      </c>
      <c r="D4617" s="1" t="s">
        <v>11</v>
      </c>
      <c r="E4617" s="1" t="s">
        <v>11</v>
      </c>
    </row>
    <row r="4618" spans="1:5" ht="15.75" customHeight="1">
      <c r="A4618" s="1">
        <v>870829</v>
      </c>
      <c r="B4618" s="1" t="s">
        <v>4644</v>
      </c>
      <c r="C4618" s="1" t="str">
        <f ca="1">IFERROR(__xludf.DUMMYFUNCTION("REGEXEXTRACT(B4618, ""^([^:]+)"")"),"Vehicles")</f>
        <v>Vehicles</v>
      </c>
      <c r="D4618" s="1" t="s">
        <v>11</v>
      </c>
      <c r="E4618" s="1" t="s">
        <v>11</v>
      </c>
    </row>
    <row r="4619" spans="1:5" ht="15.75" customHeight="1">
      <c r="A4619" s="1">
        <v>870830</v>
      </c>
      <c r="B4619" s="1" t="s">
        <v>4645</v>
      </c>
      <c r="C4619" s="1" t="str">
        <f ca="1">IFERROR(__xludf.DUMMYFUNCTION("REGEXEXTRACT(B4619, ""^([^:]+)"")"),"Vehicle parts")</f>
        <v>Vehicle parts</v>
      </c>
      <c r="D4619" s="1" t="s">
        <v>11</v>
      </c>
      <c r="E4619" s="1" t="s">
        <v>11</v>
      </c>
    </row>
    <row r="4620" spans="1:5" ht="15.75" customHeight="1">
      <c r="A4620" s="1">
        <v>870840</v>
      </c>
      <c r="B4620" s="1" t="s">
        <v>4646</v>
      </c>
      <c r="C4620" s="1" t="str">
        <f ca="1">IFERROR(__xludf.DUMMYFUNCTION("REGEXEXTRACT(B4620, ""^([^:]+)"")"),"Vehicle parts")</f>
        <v>Vehicle parts</v>
      </c>
      <c r="D4620" s="1" t="s">
        <v>11</v>
      </c>
      <c r="E4620" s="1" t="s">
        <v>11</v>
      </c>
    </row>
    <row r="4621" spans="1:5" ht="15.75" customHeight="1">
      <c r="A4621" s="1">
        <v>870850</v>
      </c>
      <c r="B4621" s="1" t="s">
        <v>4647</v>
      </c>
      <c r="C4621" s="1" t="str">
        <f ca="1">IFERROR(__xludf.DUMMYFUNCTION("REGEXEXTRACT(B4621, ""^([^:]+)"")"),"Vehicle parts")</f>
        <v>Vehicle parts</v>
      </c>
      <c r="D4621" s="1" t="s">
        <v>11</v>
      </c>
      <c r="E4621" s="1" t="s">
        <v>11</v>
      </c>
    </row>
    <row r="4622" spans="1:5" ht="15.75" customHeight="1">
      <c r="A4622" s="1">
        <v>870870</v>
      </c>
      <c r="B4622" s="1" t="s">
        <v>4648</v>
      </c>
      <c r="C4622" s="1" t="str">
        <f ca="1">IFERROR(__xludf.DUMMYFUNCTION("REGEXEXTRACT(B4622, ""^([^:]+)"")"),"Vehicle parts")</f>
        <v>Vehicle parts</v>
      </c>
      <c r="D4622" s="1" t="s">
        <v>11</v>
      </c>
      <c r="E4622" s="1" t="s">
        <v>11</v>
      </c>
    </row>
    <row r="4623" spans="1:5" ht="15.75" customHeight="1">
      <c r="A4623" s="1">
        <v>870880</v>
      </c>
      <c r="B4623" s="1" t="s">
        <v>4649</v>
      </c>
      <c r="C4623" s="1" t="str">
        <f ca="1">IFERROR(__xludf.DUMMYFUNCTION("REGEXEXTRACT(B4623, ""^([^:]+)"")"),"Vehicle parts")</f>
        <v>Vehicle parts</v>
      </c>
      <c r="D4623" s="1" t="s">
        <v>11</v>
      </c>
      <c r="E4623" s="1" t="s">
        <v>11</v>
      </c>
    </row>
    <row r="4624" spans="1:5" ht="15.75" customHeight="1">
      <c r="A4624" s="1">
        <v>870891</v>
      </c>
      <c r="B4624" s="1" t="s">
        <v>4650</v>
      </c>
      <c r="C4624" s="1" t="str">
        <f ca="1">IFERROR(__xludf.DUMMYFUNCTION("REGEXEXTRACT(B4624, ""^([^:]+)"")"),"Vehicle parts")</f>
        <v>Vehicle parts</v>
      </c>
      <c r="D4624" s="1" t="s">
        <v>11</v>
      </c>
      <c r="E4624" s="1" t="s">
        <v>11</v>
      </c>
    </row>
    <row r="4625" spans="1:5" ht="15.75" customHeight="1">
      <c r="A4625" s="1">
        <v>870892</v>
      </c>
      <c r="B4625" s="1" t="s">
        <v>4651</v>
      </c>
      <c r="C4625" s="1" t="str">
        <f ca="1">IFERROR(__xludf.DUMMYFUNCTION("REGEXEXTRACT(B4625, ""^([^:]+)"")"),"Vehicle parts")</f>
        <v>Vehicle parts</v>
      </c>
      <c r="D4625" s="1" t="s">
        <v>11</v>
      </c>
      <c r="E4625" s="1" t="s">
        <v>11</v>
      </c>
    </row>
    <row r="4626" spans="1:5" ht="15.75" customHeight="1">
      <c r="A4626" s="1">
        <v>870893</v>
      </c>
      <c r="B4626" s="1" t="s">
        <v>4652</v>
      </c>
      <c r="C4626" s="1" t="str">
        <f ca="1">IFERROR(__xludf.DUMMYFUNCTION("REGEXEXTRACT(B4626, ""^([^:]+)"")"),"Vehicle parts")</f>
        <v>Vehicle parts</v>
      </c>
      <c r="D4626" s="1" t="s">
        <v>11</v>
      </c>
      <c r="E4626" s="1" t="s">
        <v>11</v>
      </c>
    </row>
    <row r="4627" spans="1:5" ht="15.75" customHeight="1">
      <c r="A4627" s="1">
        <v>870894</v>
      </c>
      <c r="B4627" s="1" t="s">
        <v>4653</v>
      </c>
      <c r="C4627" s="1" t="str">
        <f ca="1">IFERROR(__xludf.DUMMYFUNCTION("REGEXEXTRACT(B4627, ""^([^:]+)"")"),"Vehicle parts")</f>
        <v>Vehicle parts</v>
      </c>
      <c r="D4627" s="1" t="s">
        <v>11</v>
      </c>
      <c r="E4627" s="1" t="s">
        <v>11</v>
      </c>
    </row>
    <row r="4628" spans="1:5" ht="15.75" customHeight="1">
      <c r="A4628" s="1">
        <v>870895</v>
      </c>
      <c r="B4628" s="1" t="s">
        <v>4654</v>
      </c>
      <c r="C4628" s="1" t="str">
        <f ca="1">IFERROR(__xludf.DUMMYFUNCTION("REGEXEXTRACT(B4628, ""^([^:]+)"")"),"Vehicle parts")</f>
        <v>Vehicle parts</v>
      </c>
      <c r="D4628" s="1" t="s">
        <v>11</v>
      </c>
      <c r="E4628" s="1" t="s">
        <v>11</v>
      </c>
    </row>
    <row r="4629" spans="1:5" ht="15.75" customHeight="1">
      <c r="A4629" s="1">
        <v>870899</v>
      </c>
      <c r="B4629" s="1" t="s">
        <v>4655</v>
      </c>
      <c r="C4629" s="1" t="str">
        <f ca="1">IFERROR(__xludf.DUMMYFUNCTION("REGEXEXTRACT(B4629, ""^([^:]+)"")"),"Vehicle parts and accessories")</f>
        <v>Vehicle parts and accessories</v>
      </c>
      <c r="D4629" s="1" t="s">
        <v>11</v>
      </c>
      <c r="E4629" s="1" t="s">
        <v>11</v>
      </c>
    </row>
    <row r="4630" spans="1:5" ht="15.75" customHeight="1">
      <c r="A4630" s="1">
        <v>870911</v>
      </c>
      <c r="B4630" s="1" t="s">
        <v>4656</v>
      </c>
      <c r="C4630" s="1" t="str">
        <f ca="1">IFERROR(__xludf.DUMMYFUNCTION("REGEXEXTRACT(B4630, ""^([^:]+)"")"),"Vehicles")</f>
        <v>Vehicles</v>
      </c>
      <c r="D4630" s="1" t="s">
        <v>11</v>
      </c>
      <c r="E4630" s="1" t="s">
        <v>11</v>
      </c>
    </row>
    <row r="4631" spans="1:5" ht="15.75" customHeight="1">
      <c r="A4631" s="1">
        <v>870919</v>
      </c>
      <c r="B4631" s="1" t="s">
        <v>4657</v>
      </c>
      <c r="C4631" s="1" t="str">
        <f ca="1">IFERROR(__xludf.DUMMYFUNCTION("REGEXEXTRACT(B4631, ""^([^:]+)"")"),"Vehicles")</f>
        <v>Vehicles</v>
      </c>
      <c r="D4631" s="1" t="s">
        <v>11</v>
      </c>
      <c r="E4631" s="1" t="s">
        <v>11</v>
      </c>
    </row>
    <row r="4632" spans="1:5" ht="15.75" customHeight="1">
      <c r="A4632" s="1">
        <v>870990</v>
      </c>
      <c r="B4632" s="1" t="s">
        <v>4658</v>
      </c>
      <c r="C4632" s="1" t="str">
        <f ca="1">IFERROR(__xludf.DUMMYFUNCTION("REGEXEXTRACT(B4632, ""^([^:]+)"")"),"Vehicles")</f>
        <v>Vehicles</v>
      </c>
      <c r="D4632" s="1" t="s">
        <v>11</v>
      </c>
      <c r="E4632" s="1" t="s">
        <v>11</v>
      </c>
    </row>
    <row r="4633" spans="1:5" ht="15.75" customHeight="1">
      <c r="A4633" s="1">
        <v>871000</v>
      </c>
      <c r="B4633" s="1" t="s">
        <v>4659</v>
      </c>
      <c r="C4633" s="1" t="str">
        <f ca="1">IFERROR(__xludf.DUMMYFUNCTION("REGEXEXTRACT(B4633, ""^([^:]+)"")"),"Tanks and other armoured fighting vehicles")</f>
        <v>Tanks and other armoured fighting vehicles</v>
      </c>
      <c r="D4633" s="1" t="s">
        <v>11</v>
      </c>
      <c r="E4633" s="1" t="s">
        <v>11</v>
      </c>
    </row>
    <row r="4634" spans="1:5" ht="15.75" customHeight="1">
      <c r="A4634" s="1">
        <v>871110</v>
      </c>
      <c r="B4634" s="1" t="s">
        <v>4660</v>
      </c>
      <c r="C4634" s="1" t="str">
        <f ca="1">IFERROR(__xludf.DUMMYFUNCTION("REGEXEXTRACT(B4634, ""^([^:]+)"")"),"Motorcycles (including mopeds) and cycles")</f>
        <v>Motorcycles (including mopeds) and cycles</v>
      </c>
      <c r="D4634" s="1" t="s">
        <v>11</v>
      </c>
      <c r="E4634" s="1" t="s">
        <v>11</v>
      </c>
    </row>
    <row r="4635" spans="1:5" ht="15.75" customHeight="1">
      <c r="A4635" s="1">
        <v>871120</v>
      </c>
      <c r="B4635" s="1" t="s">
        <v>4661</v>
      </c>
      <c r="C4635" s="1" t="str">
        <f ca="1">IFERROR(__xludf.DUMMYFUNCTION("REGEXEXTRACT(B4635, ""^([^:]+)"")"),"Motorcycles (including mopeds) and cycles")</f>
        <v>Motorcycles (including mopeds) and cycles</v>
      </c>
      <c r="D4635" s="1" t="s">
        <v>11</v>
      </c>
      <c r="E4635" s="1" t="s">
        <v>11</v>
      </c>
    </row>
    <row r="4636" spans="1:5" ht="15.75" customHeight="1">
      <c r="A4636" s="1">
        <v>871130</v>
      </c>
      <c r="B4636" s="1" t="s">
        <v>4662</v>
      </c>
      <c r="C4636" s="1" t="str">
        <f ca="1">IFERROR(__xludf.DUMMYFUNCTION("REGEXEXTRACT(B4636, ""^([^:]+)"")"),"Motorcycles (including mopeds) and cycles")</f>
        <v>Motorcycles (including mopeds) and cycles</v>
      </c>
      <c r="D4636" s="1" t="s">
        <v>11</v>
      </c>
      <c r="E4636" s="1" t="s">
        <v>11</v>
      </c>
    </row>
    <row r="4637" spans="1:5" ht="15.75" customHeight="1">
      <c r="A4637" s="1">
        <v>871140</v>
      </c>
      <c r="B4637" s="1" t="s">
        <v>4663</v>
      </c>
      <c r="C4637" s="1" t="str">
        <f ca="1">IFERROR(__xludf.DUMMYFUNCTION("REGEXEXTRACT(B4637, ""^([^:]+)"")"),"Motorcycles (including mopeds) and cycles")</f>
        <v>Motorcycles (including mopeds) and cycles</v>
      </c>
      <c r="D4637" s="1" t="s">
        <v>11</v>
      </c>
      <c r="E4637" s="1" t="s">
        <v>11</v>
      </c>
    </row>
    <row r="4638" spans="1:5" ht="15.75" customHeight="1">
      <c r="A4638" s="1">
        <v>871150</v>
      </c>
      <c r="B4638" s="1" t="s">
        <v>4664</v>
      </c>
      <c r="C4638" s="1" t="str">
        <f ca="1">IFERROR(__xludf.DUMMYFUNCTION("REGEXEXTRACT(B4638, ""^([^:]+)"")"),"Motorcycles (including mopeds) and cycles")</f>
        <v>Motorcycles (including mopeds) and cycles</v>
      </c>
      <c r="D4638" s="1" t="s">
        <v>11</v>
      </c>
      <c r="E4638" s="1" t="s">
        <v>11</v>
      </c>
    </row>
    <row r="4639" spans="1:5" ht="15.75" customHeight="1">
      <c r="A4639" s="1">
        <v>871190</v>
      </c>
      <c r="B4639" s="1" t="s">
        <v>4665</v>
      </c>
      <c r="C4639" s="1" t="str">
        <f ca="1">IFERROR(__xludf.DUMMYFUNCTION("REGEXEXTRACT(B4639, ""^([^:]+)"")"),"Motorcycles (including mopeds) and cycles")</f>
        <v>Motorcycles (including mopeds) and cycles</v>
      </c>
      <c r="D4639" s="1" t="s">
        <v>11</v>
      </c>
      <c r="E4639" s="1" t="s">
        <v>11</v>
      </c>
    </row>
    <row r="4640" spans="1:5" ht="15.75" customHeight="1">
      <c r="A4640" s="1">
        <v>871200</v>
      </c>
      <c r="B4640" s="1" t="s">
        <v>4666</v>
      </c>
      <c r="C4640" s="1" t="str">
        <f ca="1">IFERROR(__xludf.DUMMYFUNCTION("REGEXEXTRACT(B4640, ""^([^:]+)"")"),"Bicycles and other cycles")</f>
        <v>Bicycles and other cycles</v>
      </c>
      <c r="D4640" s="1" t="s">
        <v>11</v>
      </c>
      <c r="E4640" s="1" t="s">
        <v>11</v>
      </c>
    </row>
    <row r="4641" spans="1:6" ht="15.75" customHeight="1">
      <c r="A4641" s="1">
        <v>611510</v>
      </c>
      <c r="B4641" s="1" t="s">
        <v>2825</v>
      </c>
      <c r="C4641" s="1" t="str">
        <f ca="1">IFERROR(__xludf.DUMMYFUNCTION("REGEXEXTRACT(B4641, ""^([^:]+)"")"),"Graduated compression hosiery (for example, stockings for varicose veins), knitted or crocheted")</f>
        <v>Graduated compression hosiery (for example, stockings for varicose veins), knitted or crocheted</v>
      </c>
      <c r="D4641" s="1">
        <v>1</v>
      </c>
      <c r="E4641" s="11" t="s">
        <v>1419</v>
      </c>
      <c r="F4641" s="2" t="s">
        <v>1419</v>
      </c>
    </row>
    <row r="4642" spans="1:6" ht="15.75" customHeight="1">
      <c r="A4642" s="1">
        <v>841920</v>
      </c>
      <c r="B4642" s="1" t="s">
        <v>3920</v>
      </c>
      <c r="C4642" s="1" t="str">
        <f ca="1">IFERROR(__xludf.DUMMYFUNCTION("REGEXEXTRACT(B4642, ""^([^:]+)"")"),"Sterilizers")</f>
        <v>Sterilizers</v>
      </c>
      <c r="D4642" s="1">
        <v>1</v>
      </c>
      <c r="E4642" s="11" t="s">
        <v>1419</v>
      </c>
      <c r="F4642" s="2" t="s">
        <v>1419</v>
      </c>
    </row>
    <row r="4643" spans="1:6" ht="15.75" customHeight="1">
      <c r="A4643" s="1">
        <v>871411</v>
      </c>
      <c r="B4643" s="1" t="s">
        <v>4669</v>
      </c>
      <c r="C4643" s="1" t="str">
        <f ca="1">IFERROR(__xludf.DUMMYFUNCTION("REGEXEXTRACT(B4643, ""^([^:]+)"")"),"Motorcycles (including mopeds)")</f>
        <v>Motorcycles (including mopeds)</v>
      </c>
      <c r="D4643" s="1" t="s">
        <v>11</v>
      </c>
      <c r="E4643" s="1" t="s">
        <v>11</v>
      </c>
    </row>
    <row r="4644" spans="1:6" ht="15.75" customHeight="1">
      <c r="A4644" s="1">
        <v>871419</v>
      </c>
      <c r="B4644" s="1" t="s">
        <v>4670</v>
      </c>
      <c r="C4644" s="1" t="str">
        <f ca="1">IFERROR(__xludf.DUMMYFUNCTION("REGEXEXTRACT(B4644, ""^([^:]+)"")"),"Motorcycles (including mopeds)")</f>
        <v>Motorcycles (including mopeds)</v>
      </c>
      <c r="D4644" s="1" t="s">
        <v>11</v>
      </c>
      <c r="E4644" s="1" t="s">
        <v>11</v>
      </c>
    </row>
    <row r="4645" spans="1:6" ht="15.75" customHeight="1">
      <c r="A4645" s="1">
        <v>871310</v>
      </c>
      <c r="B4645" s="1" t="s">
        <v>4667</v>
      </c>
      <c r="C4645" s="1" t="str">
        <f ca="1">IFERROR(__xludf.DUMMYFUNCTION("REGEXEXTRACT(B4645, ""^([^:]+)"")"),"Carriages for disabled persons")</f>
        <v>Carriages for disabled persons</v>
      </c>
      <c r="D4645" s="1">
        <v>1</v>
      </c>
      <c r="E4645" s="11" t="s">
        <v>1419</v>
      </c>
      <c r="F4645" s="2" t="s">
        <v>1419</v>
      </c>
    </row>
    <row r="4646" spans="1:6" ht="15.75" customHeight="1">
      <c r="A4646" s="1">
        <v>871491</v>
      </c>
      <c r="B4646" s="1" t="s">
        <v>4672</v>
      </c>
      <c r="C4646" s="1" t="str">
        <f ca="1">IFERROR(__xludf.DUMMYFUNCTION("REGEXEXTRACT(B4646, ""^([^:]+)"")"),"Cycles")</f>
        <v>Cycles</v>
      </c>
      <c r="D4646" s="1" t="s">
        <v>11</v>
      </c>
      <c r="E4646" s="1" t="s">
        <v>11</v>
      </c>
    </row>
    <row r="4647" spans="1:6" ht="15.75" customHeight="1">
      <c r="A4647" s="1">
        <v>871492</v>
      </c>
      <c r="B4647" s="1" t="s">
        <v>4673</v>
      </c>
      <c r="C4647" s="1" t="str">
        <f ca="1">IFERROR(__xludf.DUMMYFUNCTION("REGEXEXTRACT(B4647, ""^([^:]+)"")"),"Cycles")</f>
        <v>Cycles</v>
      </c>
      <c r="D4647" s="1" t="s">
        <v>11</v>
      </c>
      <c r="E4647" s="1" t="s">
        <v>11</v>
      </c>
    </row>
    <row r="4648" spans="1:6" ht="15.75" customHeight="1">
      <c r="A4648" s="1">
        <v>871493</v>
      </c>
      <c r="B4648" s="1" t="s">
        <v>4674</v>
      </c>
      <c r="C4648" s="1" t="str">
        <f ca="1">IFERROR(__xludf.DUMMYFUNCTION("REGEXEXTRACT(B4648, ""^([^:]+)"")"),"Cycles")</f>
        <v>Cycles</v>
      </c>
      <c r="D4648" s="1" t="s">
        <v>11</v>
      </c>
      <c r="E4648" s="1" t="s">
        <v>11</v>
      </c>
    </row>
    <row r="4649" spans="1:6" ht="15.75" customHeight="1">
      <c r="A4649" s="1">
        <v>871494</v>
      </c>
      <c r="B4649" s="1" t="s">
        <v>4675</v>
      </c>
      <c r="C4649" s="1" t="str">
        <f ca="1">IFERROR(__xludf.DUMMYFUNCTION("REGEXEXTRACT(B4649, ""^([^:]+)"")"),"Cycles")</f>
        <v>Cycles</v>
      </c>
      <c r="D4649" s="1" t="s">
        <v>11</v>
      </c>
      <c r="E4649" s="1" t="s">
        <v>11</v>
      </c>
    </row>
    <row r="4650" spans="1:6" ht="15.75" customHeight="1">
      <c r="A4650" s="1">
        <v>871495</v>
      </c>
      <c r="B4650" s="1" t="s">
        <v>4676</v>
      </c>
      <c r="C4650" s="1" t="str">
        <f ca="1">IFERROR(__xludf.DUMMYFUNCTION("REGEXEXTRACT(B4650, ""^([^:]+)"")"),"Cycles")</f>
        <v>Cycles</v>
      </c>
      <c r="D4650" s="1" t="s">
        <v>11</v>
      </c>
      <c r="E4650" s="1" t="s">
        <v>11</v>
      </c>
    </row>
    <row r="4651" spans="1:6" ht="15.75" customHeight="1">
      <c r="A4651" s="1">
        <v>871496</v>
      </c>
      <c r="B4651" s="1" t="s">
        <v>4677</v>
      </c>
      <c r="C4651" s="1" t="str">
        <f ca="1">IFERROR(__xludf.DUMMYFUNCTION("REGEXEXTRACT(B4651, ""^([^:]+)"")"),"Cycles")</f>
        <v>Cycles</v>
      </c>
      <c r="D4651" s="1" t="s">
        <v>11</v>
      </c>
      <c r="E4651" s="1" t="s">
        <v>11</v>
      </c>
    </row>
    <row r="4652" spans="1:6" ht="15.75" customHeight="1">
      <c r="A4652" s="1">
        <v>871499</v>
      </c>
      <c r="B4652" s="1" t="s">
        <v>4678</v>
      </c>
      <c r="C4652" s="1" t="str">
        <f ca="1">IFERROR(__xludf.DUMMYFUNCTION("REGEXEXTRACT(B4652, ""^([^:]+)"")"),"Cycles")</f>
        <v>Cycles</v>
      </c>
      <c r="D4652" s="1" t="s">
        <v>11</v>
      </c>
      <c r="E4652" s="1" t="s">
        <v>11</v>
      </c>
    </row>
    <row r="4653" spans="1:6" ht="15.75" customHeight="1">
      <c r="A4653" s="1">
        <v>871500</v>
      </c>
      <c r="B4653" s="1" t="s">
        <v>4679</v>
      </c>
      <c r="C4653" s="1" t="str">
        <f ca="1">IFERROR(__xludf.DUMMYFUNCTION("REGEXEXTRACT(B4653, ""^([^:]+)"")"),"Baby carriages and parts thereof")</f>
        <v>Baby carriages and parts thereof</v>
      </c>
      <c r="D4653" s="1" t="s">
        <v>11</v>
      </c>
      <c r="E4653" s="1" t="s">
        <v>11</v>
      </c>
    </row>
    <row r="4654" spans="1:6" ht="15.75" customHeight="1">
      <c r="A4654" s="1">
        <v>871610</v>
      </c>
      <c r="B4654" s="1" t="s">
        <v>4680</v>
      </c>
      <c r="C4654" s="1" t="str">
        <f ca="1">IFERROR(__xludf.DUMMYFUNCTION("REGEXEXTRACT(B4654, ""^([^:]+)"")"),"Trailers and semi-trailers")</f>
        <v>Trailers and semi-trailers</v>
      </c>
      <c r="D4654" s="1" t="s">
        <v>11</v>
      </c>
      <c r="E4654" s="1" t="s">
        <v>11</v>
      </c>
    </row>
    <row r="4655" spans="1:6" ht="15.75" customHeight="1">
      <c r="A4655" s="1">
        <v>871620</v>
      </c>
      <c r="B4655" s="1" t="s">
        <v>4681</v>
      </c>
      <c r="C4655" s="1" t="str">
        <f ca="1">IFERROR(__xludf.DUMMYFUNCTION("REGEXEXTRACT(B4655, ""^([^:]+)"")"),"Trailers and semi-trailers")</f>
        <v>Trailers and semi-trailers</v>
      </c>
      <c r="D4655" s="1" t="s">
        <v>11</v>
      </c>
      <c r="E4655" s="1" t="s">
        <v>11</v>
      </c>
    </row>
    <row r="4656" spans="1:6" ht="15.75" customHeight="1">
      <c r="A4656" s="1">
        <v>871631</v>
      </c>
      <c r="B4656" s="1" t="s">
        <v>4682</v>
      </c>
      <c r="C4656" s="1" t="str">
        <f ca="1">IFERROR(__xludf.DUMMYFUNCTION("REGEXEXTRACT(B4656, ""^([^:]+)"")"),"Tanker trailers and tanker semi-trailers")</f>
        <v>Tanker trailers and tanker semi-trailers</v>
      </c>
      <c r="D4656" s="1" t="s">
        <v>11</v>
      </c>
      <c r="E4656" s="1" t="s">
        <v>11</v>
      </c>
    </row>
    <row r="4657" spans="1:5" ht="15.75" customHeight="1">
      <c r="A4657" s="1">
        <v>871639</v>
      </c>
      <c r="B4657" s="1" t="s">
        <v>4683</v>
      </c>
      <c r="C4657" s="1" t="str">
        <f ca="1">IFERROR(__xludf.DUMMYFUNCTION("REGEXEXTRACT(B4657, ""^([^:]+)"")"),"Trailers and semi-trailers")</f>
        <v>Trailers and semi-trailers</v>
      </c>
      <c r="D4657" s="1" t="s">
        <v>11</v>
      </c>
      <c r="E4657" s="1" t="s">
        <v>11</v>
      </c>
    </row>
    <row r="4658" spans="1:5" ht="15.75" customHeight="1">
      <c r="A4658" s="1">
        <v>871640</v>
      </c>
      <c r="B4658" s="1" t="s">
        <v>4684</v>
      </c>
      <c r="C4658" s="1" t="str">
        <f ca="1">IFERROR(__xludf.DUMMYFUNCTION("REGEXEXTRACT(B4658, ""^([^:]+)"")"),"Trailers and semi-trailers")</f>
        <v>Trailers and semi-trailers</v>
      </c>
      <c r="D4658" s="1" t="s">
        <v>11</v>
      </c>
      <c r="E4658" s="1" t="s">
        <v>11</v>
      </c>
    </row>
    <row r="4659" spans="1:5" ht="15.75" customHeight="1">
      <c r="A4659" s="1">
        <v>871680</v>
      </c>
      <c r="B4659" s="1" t="s">
        <v>4685</v>
      </c>
      <c r="C4659" s="1" t="str">
        <f ca="1">IFERROR(__xludf.DUMMYFUNCTION("REGEXEXTRACT(B4659, ""^([^:]+)"")"),"Vehicles")</f>
        <v>Vehicles</v>
      </c>
      <c r="D4659" s="1" t="s">
        <v>11</v>
      </c>
      <c r="E4659" s="1" t="s">
        <v>11</v>
      </c>
    </row>
    <row r="4660" spans="1:5" ht="15.75" customHeight="1">
      <c r="A4660" s="1">
        <v>871690</v>
      </c>
      <c r="B4660" s="1" t="s">
        <v>4686</v>
      </c>
      <c r="C4660" s="1" t="str">
        <f ca="1">IFERROR(__xludf.DUMMYFUNCTION("REGEXEXTRACT(B4660, ""^([^:]+)"")"),"Trailers, semi-trailers and other vehicles not mechanically propelled")</f>
        <v>Trailers, semi-trailers and other vehicles not mechanically propelled</v>
      </c>
      <c r="D4660" s="1" t="s">
        <v>11</v>
      </c>
      <c r="E4660" s="1" t="s">
        <v>11</v>
      </c>
    </row>
    <row r="4661" spans="1:5" ht="15.75" customHeight="1">
      <c r="A4661" s="1">
        <v>880100</v>
      </c>
      <c r="B4661" s="1" t="s">
        <v>4687</v>
      </c>
      <c r="C4661" s="1" t="str">
        <f ca="1">IFERROR(__xludf.DUMMYFUNCTION("REGEXEXTRACT(B4661, ""^([^:]+)"")"),"Balloons and dirigibles")</f>
        <v>Balloons and dirigibles</v>
      </c>
      <c r="D4661" s="1" t="s">
        <v>11</v>
      </c>
      <c r="E4661" s="1" t="s">
        <v>11</v>
      </c>
    </row>
    <row r="4662" spans="1:5" ht="15.75" customHeight="1">
      <c r="A4662" s="1">
        <v>880211</v>
      </c>
      <c r="B4662" s="1" t="s">
        <v>4688</v>
      </c>
      <c r="C4662" s="1" t="str">
        <f ca="1">IFERROR(__xludf.DUMMYFUNCTION("REGEXEXTRACT(B4662, ""^([^:]+)"")"),"Helicopters")</f>
        <v>Helicopters</v>
      </c>
      <c r="D4662" s="1" t="s">
        <v>11</v>
      </c>
      <c r="E4662" s="1" t="s">
        <v>11</v>
      </c>
    </row>
    <row r="4663" spans="1:5" ht="15.75" customHeight="1">
      <c r="A4663" s="1">
        <v>880212</v>
      </c>
      <c r="B4663" s="1" t="s">
        <v>4689</v>
      </c>
      <c r="C4663" s="1" t="str">
        <f ca="1">IFERROR(__xludf.DUMMYFUNCTION("REGEXEXTRACT(B4663, ""^([^:]+)"")"),"Helicopters")</f>
        <v>Helicopters</v>
      </c>
      <c r="D4663" s="1" t="s">
        <v>11</v>
      </c>
      <c r="E4663" s="1" t="s">
        <v>11</v>
      </c>
    </row>
    <row r="4664" spans="1:5" ht="15.75" customHeight="1">
      <c r="A4664" s="1">
        <v>880220</v>
      </c>
      <c r="B4664" s="1" t="s">
        <v>4690</v>
      </c>
      <c r="C4664" s="1" t="str">
        <f ca="1">IFERROR(__xludf.DUMMYFUNCTION("REGEXEXTRACT(B4664, ""^([^:]+)"")"),"Aeroplanes and other aircraft")</f>
        <v>Aeroplanes and other aircraft</v>
      </c>
      <c r="D4664" s="1" t="s">
        <v>11</v>
      </c>
      <c r="E4664" s="1" t="s">
        <v>11</v>
      </c>
    </row>
    <row r="4665" spans="1:5" ht="15.75" customHeight="1">
      <c r="A4665" s="1">
        <v>880230</v>
      </c>
      <c r="B4665" s="1" t="s">
        <v>4691</v>
      </c>
      <c r="C4665" s="1" t="str">
        <f ca="1">IFERROR(__xludf.DUMMYFUNCTION("REGEXEXTRACT(B4665, ""^([^:]+)"")"),"Aeroplanes and other aircraft")</f>
        <v>Aeroplanes and other aircraft</v>
      </c>
      <c r="D4665" s="1" t="s">
        <v>11</v>
      </c>
      <c r="E4665" s="1" t="s">
        <v>11</v>
      </c>
    </row>
    <row r="4666" spans="1:5" ht="15.75" customHeight="1">
      <c r="A4666" s="1">
        <v>880240</v>
      </c>
      <c r="B4666" s="1" t="s">
        <v>4692</v>
      </c>
      <c r="C4666" s="1" t="str">
        <f ca="1">IFERROR(__xludf.DUMMYFUNCTION("REGEXEXTRACT(B4666, ""^([^:]+)"")"),"Aeroplanes and other aircraft")</f>
        <v>Aeroplanes and other aircraft</v>
      </c>
      <c r="D4666" s="1" t="s">
        <v>11</v>
      </c>
      <c r="E4666" s="1" t="s">
        <v>11</v>
      </c>
    </row>
    <row r="4667" spans="1:5" ht="15.75" customHeight="1">
      <c r="A4667" s="1">
        <v>880260</v>
      </c>
      <c r="B4667" s="1" t="s">
        <v>4693</v>
      </c>
      <c r="C4667" s="1" t="str">
        <f ca="1">IFERROR(__xludf.DUMMYFUNCTION("REGEXEXTRACT(B4667, ""^([^:]+)"")"),"Spacecraft")</f>
        <v>Spacecraft</v>
      </c>
      <c r="D4667" s="1" t="s">
        <v>11</v>
      </c>
      <c r="E4667" s="1" t="s">
        <v>11</v>
      </c>
    </row>
    <row r="4668" spans="1:5" ht="15.75" customHeight="1">
      <c r="A4668" s="1">
        <v>880310</v>
      </c>
      <c r="B4668" s="1" t="s">
        <v>4694</v>
      </c>
      <c r="C4668" s="1" t="str">
        <f ca="1">IFERROR(__xludf.DUMMYFUNCTION("REGEXEXTRACT(B4668, ""^([^:]+)"")"),"Aircraft and spacecraft")</f>
        <v>Aircraft and spacecraft</v>
      </c>
      <c r="D4668" s="1" t="s">
        <v>11</v>
      </c>
      <c r="E4668" s="1" t="s">
        <v>11</v>
      </c>
    </row>
    <row r="4669" spans="1:5" ht="15.75" customHeight="1">
      <c r="A4669" s="1">
        <v>880320</v>
      </c>
      <c r="B4669" s="1" t="s">
        <v>4695</v>
      </c>
      <c r="C4669" s="1" t="str">
        <f ca="1">IFERROR(__xludf.DUMMYFUNCTION("REGEXEXTRACT(B4669, ""^([^:]+)"")"),"Aircraft and spacecraft")</f>
        <v>Aircraft and spacecraft</v>
      </c>
      <c r="D4669" s="1" t="s">
        <v>11</v>
      </c>
      <c r="E4669" s="1" t="s">
        <v>11</v>
      </c>
    </row>
    <row r="4670" spans="1:5" ht="15.75" customHeight="1">
      <c r="A4670" s="1">
        <v>880330</v>
      </c>
      <c r="B4670" s="1" t="s">
        <v>4696</v>
      </c>
      <c r="C4670" s="1" t="str">
        <f ca="1">IFERROR(__xludf.DUMMYFUNCTION("REGEXEXTRACT(B4670, ""^([^:]+)"")"),"Aircraft and spacecraft")</f>
        <v>Aircraft and spacecraft</v>
      </c>
      <c r="D4670" s="1" t="s">
        <v>11</v>
      </c>
      <c r="E4670" s="1" t="s">
        <v>11</v>
      </c>
    </row>
    <row r="4671" spans="1:5" ht="15.75" customHeight="1">
      <c r="A4671" s="1">
        <v>880390</v>
      </c>
      <c r="B4671" s="1" t="s">
        <v>4697</v>
      </c>
      <c r="C4671" s="1" t="str">
        <f ca="1">IFERROR(__xludf.DUMMYFUNCTION("REGEXEXTRACT(B4671, ""^([^:]+)"")"),"Aircraft and spacecraft")</f>
        <v>Aircraft and spacecraft</v>
      </c>
      <c r="D4671" s="1" t="s">
        <v>11</v>
      </c>
      <c r="E4671" s="1" t="s">
        <v>11</v>
      </c>
    </row>
    <row r="4672" spans="1:5" ht="15.75" customHeight="1">
      <c r="A4672" s="1">
        <v>880400</v>
      </c>
      <c r="B4672" s="1" t="s">
        <v>4698</v>
      </c>
      <c r="C4672" s="1" t="str">
        <f ca="1">IFERROR(__xludf.DUMMYFUNCTION("REGEXEXTRACT(B4672, ""^([^:]+)"")"),"Parachutes (including dirigible parachutes and paragliders) and rotochutes")</f>
        <v>Parachutes (including dirigible parachutes and paragliders) and rotochutes</v>
      </c>
      <c r="D4672" s="1" t="s">
        <v>11</v>
      </c>
      <c r="E4672" s="1" t="s">
        <v>11</v>
      </c>
    </row>
    <row r="4673" spans="1:5" ht="15.75" customHeight="1">
      <c r="A4673" s="1">
        <v>880510</v>
      </c>
      <c r="B4673" s="1" t="s">
        <v>4699</v>
      </c>
      <c r="C4673" s="1" t="str">
        <f ca="1">IFERROR(__xludf.DUMMYFUNCTION("REGEXEXTRACT(B4673, ""^([^:]+)"")"),"Aircraft launching gear, deck-arrestor or similar gear and parts thereof")</f>
        <v>Aircraft launching gear, deck-arrestor or similar gear and parts thereof</v>
      </c>
      <c r="D4673" s="1" t="s">
        <v>11</v>
      </c>
      <c r="E4673" s="1" t="s">
        <v>11</v>
      </c>
    </row>
    <row r="4674" spans="1:5" ht="15.75" customHeight="1">
      <c r="A4674" s="1">
        <v>880521</v>
      </c>
      <c r="B4674" s="1" t="s">
        <v>4700</v>
      </c>
      <c r="C4674" s="1" t="str">
        <f ca="1">IFERROR(__xludf.DUMMYFUNCTION("REGEXEXTRACT(B4674, ""^([^:]+)"")"),"Ground flying trainers and parts thereof")</f>
        <v>Ground flying trainers and parts thereof</v>
      </c>
      <c r="D4674" s="1" t="s">
        <v>11</v>
      </c>
      <c r="E4674" s="1" t="s">
        <v>11</v>
      </c>
    </row>
    <row r="4675" spans="1:5" ht="15.75" customHeight="1">
      <c r="A4675" s="1">
        <v>880529</v>
      </c>
      <c r="B4675" s="1" t="s">
        <v>4701</v>
      </c>
      <c r="C4675" s="1" t="str">
        <f ca="1">IFERROR(__xludf.DUMMYFUNCTION("REGEXEXTRACT(B4675, ""^([^:]+)"")"),"Ground flying trainers and parts thereof")</f>
        <v>Ground flying trainers and parts thereof</v>
      </c>
      <c r="D4675" s="1" t="s">
        <v>11</v>
      </c>
      <c r="E4675" s="1" t="s">
        <v>11</v>
      </c>
    </row>
    <row r="4676" spans="1:5" ht="15.75" customHeight="1">
      <c r="A4676" s="1">
        <v>890110</v>
      </c>
      <c r="B4676" s="1" t="s">
        <v>4702</v>
      </c>
      <c r="C4676" s="1" t="str">
        <f ca="1">IFERROR(__xludf.DUMMYFUNCTION("REGEXEXTRACT(B4676, ""^([^:]+)"")"),"Cruise ships, excursion boats and similar vessels, principally designed for the transport of persons, ferry boats of all kinds")</f>
        <v>Cruise ships, excursion boats and similar vessels, principally designed for the transport of persons, ferry boats of all kinds</v>
      </c>
      <c r="D4676" s="1" t="s">
        <v>11</v>
      </c>
      <c r="E4676" s="1" t="s">
        <v>11</v>
      </c>
    </row>
    <row r="4677" spans="1:5" ht="15.75" customHeight="1">
      <c r="A4677" s="1">
        <v>890120</v>
      </c>
      <c r="B4677" s="1" t="s">
        <v>4703</v>
      </c>
      <c r="C4677" s="1" t="str">
        <f ca="1">IFERROR(__xludf.DUMMYFUNCTION("REGEXEXTRACT(B4677, ""^([^:]+)"")"),"Tankers")</f>
        <v>Tankers</v>
      </c>
      <c r="D4677" s="1" t="s">
        <v>11</v>
      </c>
      <c r="E4677" s="1" t="s">
        <v>11</v>
      </c>
    </row>
    <row r="4678" spans="1:5" ht="15.75" customHeight="1">
      <c r="A4678" s="1">
        <v>890130</v>
      </c>
      <c r="B4678" s="1" t="s">
        <v>4704</v>
      </c>
      <c r="C4678" s="1" t="str">
        <f ca="1">IFERROR(__xludf.DUMMYFUNCTION("REGEXEXTRACT(B4678, ""^([^:]+)"")"),"Vessels, refrigerated")</f>
        <v>Vessels, refrigerated</v>
      </c>
      <c r="D4678" s="1" t="s">
        <v>11</v>
      </c>
      <c r="E4678" s="1" t="s">
        <v>11</v>
      </c>
    </row>
    <row r="4679" spans="1:5" ht="15.75" customHeight="1">
      <c r="A4679" s="1">
        <v>890190</v>
      </c>
      <c r="B4679" s="1" t="s">
        <v>4705</v>
      </c>
      <c r="C4679" s="1" t="str">
        <f ca="1">IFERROR(__xludf.DUMMYFUNCTION("REGEXEXTRACT(B4679, ""^([^:]+)"")"),"Vessels")</f>
        <v>Vessels</v>
      </c>
      <c r="D4679" s="1" t="s">
        <v>11</v>
      </c>
      <c r="E4679" s="1" t="s">
        <v>11</v>
      </c>
    </row>
    <row r="4680" spans="1:5" ht="15.75" customHeight="1">
      <c r="A4680" s="1">
        <v>890200</v>
      </c>
      <c r="B4680" s="1" t="s">
        <v>4706</v>
      </c>
      <c r="C4680" s="1" t="str">
        <f ca="1">IFERROR(__xludf.DUMMYFUNCTION("REGEXEXTRACT(B4680, ""^([^:]+)"")"),"Fishing vessels, factory ships and other vessels")</f>
        <v>Fishing vessels, factory ships and other vessels</v>
      </c>
      <c r="D4680" s="1" t="s">
        <v>11</v>
      </c>
      <c r="E4680" s="1" t="s">
        <v>11</v>
      </c>
    </row>
    <row r="4681" spans="1:5" ht="15.75" customHeight="1">
      <c r="A4681" s="1">
        <v>890310</v>
      </c>
      <c r="B4681" s="1" t="s">
        <v>4707</v>
      </c>
      <c r="C4681" s="1" t="str">
        <f ca="1">IFERROR(__xludf.DUMMYFUNCTION("REGEXEXTRACT(B4681, ""^([^:]+)"")"),"Yachts and other vessels")</f>
        <v>Yachts and other vessels</v>
      </c>
      <c r="D4681" s="1" t="s">
        <v>11</v>
      </c>
      <c r="E4681" s="1" t="s">
        <v>11</v>
      </c>
    </row>
    <row r="4682" spans="1:5" ht="15.75" customHeight="1">
      <c r="A4682" s="1">
        <v>890391</v>
      </c>
      <c r="B4682" s="1" t="s">
        <v>4708</v>
      </c>
      <c r="C4682" s="1" t="str">
        <f ca="1">IFERROR(__xludf.DUMMYFUNCTION("REGEXEXTRACT(B4682, ""^([^:]+)"")"),"Sailboats")</f>
        <v>Sailboats</v>
      </c>
      <c r="D4682" s="1" t="s">
        <v>11</v>
      </c>
      <c r="E4682" s="1" t="s">
        <v>11</v>
      </c>
    </row>
    <row r="4683" spans="1:5" ht="15.75" customHeight="1">
      <c r="A4683" s="1">
        <v>890392</v>
      </c>
      <c r="B4683" s="1" t="s">
        <v>4709</v>
      </c>
      <c r="C4683" s="1" t="str">
        <f ca="1">IFERROR(__xludf.DUMMYFUNCTION("REGEXEXTRACT(B4683, ""^([^:]+)"")"),"Motorboats")</f>
        <v>Motorboats</v>
      </c>
      <c r="D4683" s="1" t="s">
        <v>11</v>
      </c>
      <c r="E4683" s="1" t="s">
        <v>11</v>
      </c>
    </row>
    <row r="4684" spans="1:5" ht="15.75" customHeight="1">
      <c r="A4684" s="1">
        <v>890399</v>
      </c>
      <c r="B4684" s="1" t="s">
        <v>4710</v>
      </c>
      <c r="C4684" s="1" t="str">
        <f ca="1">IFERROR(__xludf.DUMMYFUNCTION("REGEXEXTRACT(B4684, ""^([^:]+)"")"),"Yachts and other vessels")</f>
        <v>Yachts and other vessels</v>
      </c>
      <c r="D4684" s="1" t="s">
        <v>11</v>
      </c>
      <c r="E4684" s="1" t="s">
        <v>11</v>
      </c>
    </row>
    <row r="4685" spans="1:5" ht="15.75" customHeight="1">
      <c r="A4685" s="1">
        <v>890400</v>
      </c>
      <c r="B4685" s="1" t="s">
        <v>4711</v>
      </c>
      <c r="C4685" s="1" t="str">
        <f ca="1">IFERROR(__xludf.DUMMYFUNCTION("REGEXEXTRACT(B4685, ""^([^:]+)"")"),"Tugs and pusher craft")</f>
        <v>Tugs and pusher craft</v>
      </c>
      <c r="D4685" s="1" t="s">
        <v>11</v>
      </c>
      <c r="E4685" s="1" t="s">
        <v>11</v>
      </c>
    </row>
    <row r="4686" spans="1:5" ht="15.75" customHeight="1">
      <c r="A4686" s="1">
        <v>890510</v>
      </c>
      <c r="B4686" s="1" t="s">
        <v>4712</v>
      </c>
      <c r="C4686" s="1" t="str">
        <f ca="1">IFERROR(__xludf.DUMMYFUNCTION("REGEXEXTRACT(B4686, ""^([^:]+)"")"),"Dredgers")</f>
        <v>Dredgers</v>
      </c>
      <c r="D4686" s="1" t="s">
        <v>11</v>
      </c>
      <c r="E4686" s="1" t="s">
        <v>11</v>
      </c>
    </row>
    <row r="4687" spans="1:5" ht="15.75" customHeight="1">
      <c r="A4687" s="1">
        <v>890520</v>
      </c>
      <c r="B4687" s="1" t="s">
        <v>4713</v>
      </c>
      <c r="C4687" s="1" t="str">
        <f ca="1">IFERROR(__xludf.DUMMYFUNCTION("REGEXEXTRACT(B4687, ""^([^:]+)"")"),"Floating or submersible drilling or production platforms")</f>
        <v>Floating or submersible drilling or production platforms</v>
      </c>
      <c r="D4687" s="1" t="s">
        <v>11</v>
      </c>
      <c r="E4687" s="1" t="s">
        <v>11</v>
      </c>
    </row>
    <row r="4688" spans="1:5" ht="15.75" customHeight="1">
      <c r="A4688" s="1">
        <v>890590</v>
      </c>
      <c r="B4688" s="1" t="s">
        <v>4714</v>
      </c>
      <c r="C4688" s="1" t="str">
        <f ca="1">IFERROR(__xludf.DUMMYFUNCTION("REGEXEXTRACT(B4688, ""^([^:]+)"")"),"Vessels")</f>
        <v>Vessels</v>
      </c>
      <c r="D4688" s="1" t="s">
        <v>11</v>
      </c>
      <c r="E4688" s="1" t="s">
        <v>11</v>
      </c>
    </row>
    <row r="4689" spans="1:6" ht="15.75" customHeight="1">
      <c r="A4689" s="1">
        <v>890610</v>
      </c>
      <c r="B4689" s="1" t="s">
        <v>4715</v>
      </c>
      <c r="C4689" s="1" t="str">
        <f ca="1">IFERROR(__xludf.DUMMYFUNCTION("REGEXEXTRACT(B4689, ""^([^:]+)"")"),"Vessels")</f>
        <v>Vessels</v>
      </c>
      <c r="D4689" s="1" t="s">
        <v>11</v>
      </c>
      <c r="E4689" s="1" t="s">
        <v>11</v>
      </c>
    </row>
    <row r="4690" spans="1:6" ht="15.75" customHeight="1">
      <c r="A4690" s="1">
        <v>890690</v>
      </c>
      <c r="B4690" s="1" t="s">
        <v>4716</v>
      </c>
      <c r="C4690" s="1" t="str">
        <f ca="1">IFERROR(__xludf.DUMMYFUNCTION("REGEXEXTRACT(B4690, ""^([^:]+)"")"),"Vessels")</f>
        <v>Vessels</v>
      </c>
      <c r="D4690" s="1" t="s">
        <v>11</v>
      </c>
      <c r="E4690" s="1" t="s">
        <v>11</v>
      </c>
    </row>
    <row r="4691" spans="1:6" ht="15.75" customHeight="1">
      <c r="A4691" s="1">
        <v>890710</v>
      </c>
      <c r="B4691" s="1" t="s">
        <v>4717</v>
      </c>
      <c r="C4691" s="1" t="str">
        <f ca="1">IFERROR(__xludf.DUMMYFUNCTION("REGEXEXTRACT(B4691, ""^([^:]+)"")"),"Rafts")</f>
        <v>Rafts</v>
      </c>
      <c r="D4691" s="1" t="s">
        <v>11</v>
      </c>
      <c r="E4691" s="1" t="s">
        <v>11</v>
      </c>
    </row>
    <row r="4692" spans="1:6" ht="15.75" customHeight="1">
      <c r="A4692" s="1">
        <v>890790</v>
      </c>
      <c r="B4692" s="1" t="s">
        <v>4718</v>
      </c>
      <c r="C4692" s="1" t="str">
        <f ca="1">IFERROR(__xludf.DUMMYFUNCTION("REGEXEXTRACT(B4692, ""^([^:]+)"")"),"Floating structures")</f>
        <v>Floating structures</v>
      </c>
      <c r="D4692" s="1" t="s">
        <v>11</v>
      </c>
      <c r="E4692" s="1" t="s">
        <v>11</v>
      </c>
    </row>
    <row r="4693" spans="1:6" ht="15.75" customHeight="1">
      <c r="A4693" s="1">
        <v>890800</v>
      </c>
      <c r="B4693" s="1" t="s">
        <v>4719</v>
      </c>
      <c r="C4693" s="1" t="str">
        <f ca="1">IFERROR(__xludf.DUMMYFUNCTION("REGEXEXTRACT(B4693, ""^([^:]+)"")"),"Vessels and other floating structures")</f>
        <v>Vessels and other floating structures</v>
      </c>
      <c r="D4693" s="1" t="s">
        <v>11</v>
      </c>
      <c r="E4693" s="1" t="s">
        <v>11</v>
      </c>
    </row>
    <row r="4694" spans="1:6" ht="15.75" customHeight="1">
      <c r="A4694" s="1">
        <v>900110</v>
      </c>
      <c r="B4694" s="1" t="s">
        <v>4720</v>
      </c>
      <c r="C4694" s="1" t="str">
        <f ca="1">IFERROR(__xludf.DUMMYFUNCTION("REGEXEXTRACT(B4694, ""^([^:]+)"")"),"Optical fibres, optical fibre bundles and cables")</f>
        <v>Optical fibres, optical fibre bundles and cables</v>
      </c>
      <c r="D4694" s="1" t="s">
        <v>11</v>
      </c>
      <c r="E4694" s="1" t="s">
        <v>11</v>
      </c>
    </row>
    <row r="4695" spans="1:6" ht="15.75" customHeight="1">
      <c r="A4695" s="1">
        <v>900120</v>
      </c>
      <c r="B4695" s="1" t="s">
        <v>4721</v>
      </c>
      <c r="C4695" s="1" t="str">
        <f ca="1">IFERROR(__xludf.DUMMYFUNCTION("REGEXEXTRACT(B4695, ""^([^:]+)"")"),"Optical elements")</f>
        <v>Optical elements</v>
      </c>
      <c r="D4695" s="1" t="s">
        <v>11</v>
      </c>
      <c r="E4695" s="1" t="s">
        <v>11</v>
      </c>
    </row>
    <row r="4696" spans="1:6" ht="15.75" customHeight="1">
      <c r="A4696" s="1">
        <v>871390</v>
      </c>
      <c r="B4696" s="1" t="s">
        <v>4668</v>
      </c>
      <c r="C4696" s="1" t="str">
        <f ca="1">IFERROR(__xludf.DUMMYFUNCTION("REGEXEXTRACT(B4696, ""^([^:]+)"")"),"Carriages for disabled persons")</f>
        <v>Carriages for disabled persons</v>
      </c>
      <c r="D4696" s="1">
        <v>1</v>
      </c>
      <c r="E4696" s="11" t="s">
        <v>1419</v>
      </c>
      <c r="F4696" s="2" t="s">
        <v>1419</v>
      </c>
    </row>
    <row r="4697" spans="1:6" ht="15.75" customHeight="1">
      <c r="A4697" s="1">
        <v>871420</v>
      </c>
      <c r="B4697" s="1" t="s">
        <v>4671</v>
      </c>
      <c r="C4697" s="1" t="str">
        <f ca="1">IFERROR(__xludf.DUMMYFUNCTION("REGEXEXTRACT(B4697, ""^([^:]+)"")"),"Carriages for disabled persons")</f>
        <v>Carriages for disabled persons</v>
      </c>
      <c r="D4697" s="1">
        <v>1</v>
      </c>
      <c r="E4697" s="11" t="s">
        <v>1419</v>
      </c>
      <c r="F4697" s="2" t="s">
        <v>1419</v>
      </c>
    </row>
    <row r="4698" spans="1:6" ht="15.75" customHeight="1">
      <c r="A4698" s="1">
        <v>900130</v>
      </c>
      <c r="B4698" s="1" t="s">
        <v>4722</v>
      </c>
      <c r="C4698" s="1" t="str">
        <f ca="1">IFERROR(__xludf.DUMMYFUNCTION("REGEXEXTRACT(B4698, ""^([^:]+)"")"),"Lenses, contact")</f>
        <v>Lenses, contact</v>
      </c>
      <c r="D4698" s="1">
        <v>1</v>
      </c>
      <c r="E4698" s="11" t="s">
        <v>1419</v>
      </c>
      <c r="F4698" s="2" t="s">
        <v>1419</v>
      </c>
    </row>
    <row r="4699" spans="1:6" ht="15.75" customHeight="1">
      <c r="A4699" s="1">
        <v>900190</v>
      </c>
      <c r="B4699" s="1" t="s">
        <v>4725</v>
      </c>
      <c r="C4699" s="1" t="str">
        <f ca="1">IFERROR(__xludf.DUMMYFUNCTION("REGEXEXTRACT(B4699, ""^([^:]+)"")"),"Optical elements")</f>
        <v>Optical elements</v>
      </c>
      <c r="D4699" s="1" t="s">
        <v>11</v>
      </c>
      <c r="E4699" s="1" t="s">
        <v>11</v>
      </c>
    </row>
    <row r="4700" spans="1:6" ht="15.75" customHeight="1">
      <c r="A4700" s="1">
        <v>900211</v>
      </c>
      <c r="B4700" s="1" t="s">
        <v>4726</v>
      </c>
      <c r="C4700" s="1" t="str">
        <f ca="1">IFERROR(__xludf.DUMMYFUNCTION("REGEXEXTRACT(B4700, ""^([^:]+)"")"),"Lenses")</f>
        <v>Lenses</v>
      </c>
      <c r="D4700" s="1" t="s">
        <v>11</v>
      </c>
      <c r="E4700" s="1" t="s">
        <v>11</v>
      </c>
    </row>
    <row r="4701" spans="1:6" ht="15.75" customHeight="1">
      <c r="A4701" s="1">
        <v>900219</v>
      </c>
      <c r="B4701" s="1" t="s">
        <v>4727</v>
      </c>
      <c r="C4701" s="1" t="str">
        <f ca="1">IFERROR(__xludf.DUMMYFUNCTION("REGEXEXTRACT(B4701, ""^([^:]+)"")"),"Lenses")</f>
        <v>Lenses</v>
      </c>
      <c r="D4701" s="1" t="s">
        <v>11</v>
      </c>
      <c r="E4701" s="1" t="s">
        <v>11</v>
      </c>
    </row>
    <row r="4702" spans="1:6" ht="15.75" customHeight="1">
      <c r="A4702" s="1">
        <v>900220</v>
      </c>
      <c r="B4702" s="1" t="s">
        <v>4728</v>
      </c>
      <c r="C4702" s="1" t="str">
        <f ca="1">IFERROR(__xludf.DUMMYFUNCTION("REGEXEXTRACT(B4702, ""^([^:]+)"")"),"Filters")</f>
        <v>Filters</v>
      </c>
      <c r="D4702" s="1" t="s">
        <v>11</v>
      </c>
      <c r="E4702" s="1" t="s">
        <v>11</v>
      </c>
    </row>
    <row r="4703" spans="1:6" ht="15.75" customHeight="1">
      <c r="A4703" s="1">
        <v>900290</v>
      </c>
      <c r="B4703" s="1" t="s">
        <v>4729</v>
      </c>
      <c r="C4703" s="1" t="str">
        <f ca="1">IFERROR(__xludf.DUMMYFUNCTION("REGEXEXTRACT(B4703, ""^([^:]+)"")"),"Optical elements")</f>
        <v>Optical elements</v>
      </c>
      <c r="D4703" s="1" t="s">
        <v>11</v>
      </c>
      <c r="E4703" s="1" t="s">
        <v>11</v>
      </c>
    </row>
    <row r="4704" spans="1:6" ht="15.75" customHeight="1">
      <c r="A4704" s="1">
        <v>900140</v>
      </c>
      <c r="B4704" s="1" t="s">
        <v>4723</v>
      </c>
      <c r="C4704" s="1" t="str">
        <f ca="1">IFERROR(__xludf.DUMMYFUNCTION("REGEXEXTRACT(B4704, ""^([^:]+)"")"),"Lenses, spectacle")</f>
        <v>Lenses, spectacle</v>
      </c>
      <c r="D4704" s="1">
        <v>1</v>
      </c>
      <c r="E4704" s="11" t="s">
        <v>1419</v>
      </c>
      <c r="F4704" s="2" t="s">
        <v>1419</v>
      </c>
    </row>
    <row r="4705" spans="1:6" ht="15.75" customHeight="1">
      <c r="A4705" s="1">
        <v>900150</v>
      </c>
      <c r="B4705" s="1" t="s">
        <v>4724</v>
      </c>
      <c r="C4705" s="1" t="str">
        <f ca="1">IFERROR(__xludf.DUMMYFUNCTION("REGEXEXTRACT(B4705, ""^([^:]+)"")"),"Lenses, spectacle")</f>
        <v>Lenses, spectacle</v>
      </c>
      <c r="D4705" s="1">
        <v>1</v>
      </c>
      <c r="E4705" s="11" t="s">
        <v>1419</v>
      </c>
      <c r="F4705" s="2" t="s">
        <v>1419</v>
      </c>
    </row>
    <row r="4706" spans="1:6" ht="15.75" customHeight="1">
      <c r="A4706" s="1">
        <v>900311</v>
      </c>
      <c r="B4706" s="1" t="s">
        <v>4730</v>
      </c>
      <c r="C4706" s="1" t="str">
        <f ca="1">IFERROR(__xludf.DUMMYFUNCTION("REGEXEXTRACT(B4706, ""^([^:]+)"")"),"Frames and mountings")</f>
        <v>Frames and mountings</v>
      </c>
      <c r="D4706" s="1">
        <v>1</v>
      </c>
      <c r="E4706" s="11" t="s">
        <v>1419</v>
      </c>
      <c r="F4706" s="2" t="s">
        <v>1419</v>
      </c>
    </row>
    <row r="4707" spans="1:6" ht="15.75" customHeight="1">
      <c r="A4707" s="1">
        <v>900319</v>
      </c>
      <c r="B4707" s="1" t="s">
        <v>4731</v>
      </c>
      <c r="C4707" s="1" t="str">
        <f ca="1">IFERROR(__xludf.DUMMYFUNCTION("REGEXEXTRACT(B4707, ""^([^:]+)"")"),"Frames and mountings")</f>
        <v>Frames and mountings</v>
      </c>
      <c r="D4707" s="1">
        <v>1</v>
      </c>
      <c r="E4707" s="11" t="s">
        <v>1419</v>
      </c>
      <c r="F4707" s="2" t="s">
        <v>1419</v>
      </c>
    </row>
    <row r="4708" spans="1:6" ht="15.75" customHeight="1">
      <c r="A4708" s="1">
        <v>900490</v>
      </c>
      <c r="B4708" s="1" t="s">
        <v>4734</v>
      </c>
      <c r="C4708" s="1" t="str">
        <f ca="1">IFERROR(__xludf.DUMMYFUNCTION("REGEXEXTRACT(B4708, ""^([^:]+)"")"),"Spectacles, goggles and the like")</f>
        <v>Spectacles, goggles and the like</v>
      </c>
      <c r="D4708" s="1" t="s">
        <v>11</v>
      </c>
      <c r="E4708" s="1" t="s">
        <v>11</v>
      </c>
    </row>
    <row r="4709" spans="1:6" ht="15.75" customHeight="1">
      <c r="A4709" s="1">
        <v>900510</v>
      </c>
      <c r="B4709" s="1" t="s">
        <v>4735</v>
      </c>
      <c r="C4709" s="1" t="str">
        <f ca="1">IFERROR(__xludf.DUMMYFUNCTION("REGEXEXTRACT(B4709, ""^([^:]+)"")"),"Binoculars")</f>
        <v>Binoculars</v>
      </c>
      <c r="D4709" s="1" t="s">
        <v>11</v>
      </c>
      <c r="E4709" s="1" t="s">
        <v>11</v>
      </c>
    </row>
    <row r="4710" spans="1:6" ht="15.75" customHeight="1">
      <c r="A4710" s="1">
        <v>900580</v>
      </c>
      <c r="B4710" s="1" t="s">
        <v>4736</v>
      </c>
      <c r="C4710" s="1" t="str">
        <f ca="1">IFERROR(__xludf.DUMMYFUNCTION("REGEXEXTRACT(B4710, ""^([^:]+)"")"),"Monoculars")</f>
        <v>Monoculars</v>
      </c>
      <c r="D4710" s="1" t="s">
        <v>11</v>
      </c>
      <c r="E4710" s="1" t="s">
        <v>11</v>
      </c>
    </row>
    <row r="4711" spans="1:6" ht="15.75" customHeight="1">
      <c r="A4711" s="1">
        <v>900590</v>
      </c>
      <c r="B4711" s="1" t="s">
        <v>4737</v>
      </c>
      <c r="C4711" s="1" t="str">
        <f ca="1">IFERROR(__xludf.DUMMYFUNCTION("REGEXEXTRACT(B4711, ""^([^:]+)"")"),"Binoculars, monoculars, other optical telescopes, astronomical instruments (excluding those of radio-astronomy)")</f>
        <v>Binoculars, monoculars, other optical telescopes, astronomical instruments (excluding those of radio-astronomy)</v>
      </c>
      <c r="D4711" s="1" t="s">
        <v>11</v>
      </c>
      <c r="E4711" s="1" t="s">
        <v>11</v>
      </c>
    </row>
    <row r="4712" spans="1:6" ht="15.75" customHeight="1">
      <c r="A4712" s="1">
        <v>900610</v>
      </c>
      <c r="B4712" s="1" t="s">
        <v>4738</v>
      </c>
      <c r="C4712" s="1" t="str">
        <f ca="1">IFERROR(__xludf.DUMMYFUNCTION("REGEXEXTRACT(B4712, ""^([^:]+)"")"),"Cameras, photographic (excluding cinematographic)")</f>
        <v>Cameras, photographic (excluding cinematographic)</v>
      </c>
      <c r="D4712" s="1" t="s">
        <v>11</v>
      </c>
      <c r="E4712" s="1" t="s">
        <v>11</v>
      </c>
    </row>
    <row r="4713" spans="1:6" ht="15.75" customHeight="1">
      <c r="A4713" s="1">
        <v>900630</v>
      </c>
      <c r="B4713" s="1" t="s">
        <v>4739</v>
      </c>
      <c r="C4713" s="1" t="str">
        <f ca="1">IFERROR(__xludf.DUMMYFUNCTION("REGEXEXTRACT(B4713, ""^([^:]+)"")"),"Cameras, photographic (excluding cinematographic)")</f>
        <v>Cameras, photographic (excluding cinematographic)</v>
      </c>
      <c r="D4713" s="1" t="s">
        <v>11</v>
      </c>
      <c r="E4713" s="1" t="s">
        <v>11</v>
      </c>
    </row>
    <row r="4714" spans="1:6" ht="15.75" customHeight="1">
      <c r="A4714" s="1">
        <v>900640</v>
      </c>
      <c r="B4714" s="1" t="s">
        <v>4740</v>
      </c>
      <c r="C4714" s="1" t="str">
        <f ca="1">IFERROR(__xludf.DUMMYFUNCTION("REGEXEXTRACT(B4714, ""^([^:]+)"")"),"Cameras, photographic (excluding cinematographic)")</f>
        <v>Cameras, photographic (excluding cinematographic)</v>
      </c>
      <c r="D4714" s="1" t="s">
        <v>11</v>
      </c>
      <c r="E4714" s="1" t="s">
        <v>11</v>
      </c>
    </row>
    <row r="4715" spans="1:6" ht="15.75" customHeight="1">
      <c r="A4715" s="1">
        <v>900651</v>
      </c>
      <c r="B4715" s="1" t="s">
        <v>4741</v>
      </c>
      <c r="C4715" s="1" t="str">
        <f ca="1">IFERROR(__xludf.DUMMYFUNCTION("REGEXEXTRACT(B4715, ""^([^:]+)"")"),"Cameras, photographic (excluding cinematographic)")</f>
        <v>Cameras, photographic (excluding cinematographic)</v>
      </c>
      <c r="D4715" s="1" t="s">
        <v>11</v>
      </c>
      <c r="E4715" s="1" t="s">
        <v>11</v>
      </c>
    </row>
    <row r="4716" spans="1:6" ht="15.75" customHeight="1">
      <c r="A4716" s="1">
        <v>900652</v>
      </c>
      <c r="B4716" s="1" t="s">
        <v>4742</v>
      </c>
      <c r="C4716" s="1" t="str">
        <f ca="1">IFERROR(__xludf.DUMMYFUNCTION("REGEXEXTRACT(B4716, ""^([^:]+)"")"),"Cameras, photographic (excluding cinematographic)")</f>
        <v>Cameras, photographic (excluding cinematographic)</v>
      </c>
      <c r="D4716" s="1" t="s">
        <v>11</v>
      </c>
      <c r="E4716" s="1" t="s">
        <v>11</v>
      </c>
    </row>
    <row r="4717" spans="1:6" ht="15.75" customHeight="1">
      <c r="A4717" s="1">
        <v>900653</v>
      </c>
      <c r="B4717" s="1" t="s">
        <v>4743</v>
      </c>
      <c r="C4717" s="1" t="str">
        <f ca="1">IFERROR(__xludf.DUMMYFUNCTION("REGEXEXTRACT(B4717, ""^([^:]+)"")"),"Cameras, photographic (excluding cinematographic)")</f>
        <v>Cameras, photographic (excluding cinematographic)</v>
      </c>
      <c r="D4717" s="1" t="s">
        <v>11</v>
      </c>
      <c r="E4717" s="1" t="s">
        <v>11</v>
      </c>
    </row>
    <row r="4718" spans="1:6" ht="15.75" customHeight="1">
      <c r="A4718" s="1">
        <v>900659</v>
      </c>
      <c r="B4718" s="1" t="s">
        <v>4744</v>
      </c>
      <c r="C4718" s="1" t="str">
        <f ca="1">IFERROR(__xludf.DUMMYFUNCTION("REGEXEXTRACT(B4718, ""^([^:]+)"")"),"Cameras, photographic (excluding cinematographic)")</f>
        <v>Cameras, photographic (excluding cinematographic)</v>
      </c>
      <c r="D4718" s="1" t="s">
        <v>11</v>
      </c>
      <c r="E4718" s="1" t="s">
        <v>11</v>
      </c>
    </row>
    <row r="4719" spans="1:6" ht="15.75" customHeight="1">
      <c r="A4719" s="1">
        <v>900661</v>
      </c>
      <c r="B4719" s="1" t="s">
        <v>4745</v>
      </c>
      <c r="C4719" s="1" t="str">
        <f ca="1">IFERROR(__xludf.DUMMYFUNCTION("REGEXEXTRACT(B4719, ""^([^:]+)"")"),"Photographic flashlight apparatus")</f>
        <v>Photographic flashlight apparatus</v>
      </c>
      <c r="D4719" s="1" t="s">
        <v>11</v>
      </c>
      <c r="E4719" s="1" t="s">
        <v>11</v>
      </c>
    </row>
    <row r="4720" spans="1:6" ht="15.75" customHeight="1">
      <c r="A4720" s="1">
        <v>900669</v>
      </c>
      <c r="B4720" s="1" t="s">
        <v>4746</v>
      </c>
      <c r="C4720" s="1" t="str">
        <f ca="1">IFERROR(__xludf.DUMMYFUNCTION("REGEXEXTRACT(B4720, ""^([^:]+)"")"),"Photographic flashlight apparatus")</f>
        <v>Photographic flashlight apparatus</v>
      </c>
      <c r="D4720" s="1" t="s">
        <v>11</v>
      </c>
      <c r="E4720" s="1" t="s">
        <v>11</v>
      </c>
    </row>
    <row r="4721" spans="1:5" ht="15.75" customHeight="1">
      <c r="A4721" s="1">
        <v>900691</v>
      </c>
      <c r="B4721" s="1" t="s">
        <v>4747</v>
      </c>
      <c r="C4721" s="1" t="str">
        <f ca="1">IFERROR(__xludf.DUMMYFUNCTION("REGEXEXTRACT(B4721, ""^([^:]+)"")"),"Cameras, photographic (excluding cinematographic)")</f>
        <v>Cameras, photographic (excluding cinematographic)</v>
      </c>
      <c r="D4721" s="1" t="s">
        <v>11</v>
      </c>
      <c r="E4721" s="1" t="s">
        <v>11</v>
      </c>
    </row>
    <row r="4722" spans="1:5" ht="15.75" customHeight="1">
      <c r="A4722" s="1">
        <v>900699</v>
      </c>
      <c r="B4722" s="1" t="s">
        <v>4748</v>
      </c>
      <c r="C4722" s="1" t="str">
        <f ca="1">IFERROR(__xludf.DUMMYFUNCTION("REGEXEXTRACT(B4722, ""^([^:]+)"")"),"Photographic flashlight apparatus")</f>
        <v>Photographic flashlight apparatus</v>
      </c>
      <c r="D4722" s="1" t="s">
        <v>11</v>
      </c>
      <c r="E4722" s="1" t="s">
        <v>11</v>
      </c>
    </row>
    <row r="4723" spans="1:5" ht="15.75" customHeight="1">
      <c r="A4723" s="1">
        <v>900711</v>
      </c>
      <c r="B4723" s="1" t="s">
        <v>4749</v>
      </c>
      <c r="C4723" s="1" t="str">
        <f ca="1">IFERROR(__xludf.DUMMYFUNCTION("REGEXEXTRACT(B4723, ""^([^:]+)"")"),"Cameras, cinematographic")</f>
        <v>Cameras, cinematographic</v>
      </c>
      <c r="D4723" s="1" t="s">
        <v>11</v>
      </c>
      <c r="E4723" s="1" t="s">
        <v>11</v>
      </c>
    </row>
    <row r="4724" spans="1:5" ht="15.75" customHeight="1">
      <c r="A4724" s="1">
        <v>900719</v>
      </c>
      <c r="B4724" s="1" t="s">
        <v>4750</v>
      </c>
      <c r="C4724" s="1" t="str">
        <f ca="1">IFERROR(__xludf.DUMMYFUNCTION("REGEXEXTRACT(B4724, ""^([^:]+)"")"),"Cameras, cinematographic")</f>
        <v>Cameras, cinematographic</v>
      </c>
      <c r="D4724" s="1" t="s">
        <v>11</v>
      </c>
      <c r="E4724" s="1" t="s">
        <v>11</v>
      </c>
    </row>
    <row r="4725" spans="1:5" ht="15.75" customHeight="1">
      <c r="A4725" s="1">
        <v>900720</v>
      </c>
      <c r="B4725" s="1" t="s">
        <v>4751</v>
      </c>
      <c r="C4725" s="1" t="str">
        <f ca="1">IFERROR(__xludf.DUMMYFUNCTION("REGEXEXTRACT(B4725, ""^([^:]+)"")"),"Projectors, cinematographic")</f>
        <v>Projectors, cinematographic</v>
      </c>
      <c r="D4725" s="1" t="s">
        <v>11</v>
      </c>
      <c r="E4725" s="1" t="s">
        <v>11</v>
      </c>
    </row>
    <row r="4726" spans="1:5" ht="15.75" customHeight="1">
      <c r="A4726" s="1">
        <v>900791</v>
      </c>
      <c r="B4726" s="1" t="s">
        <v>4752</v>
      </c>
      <c r="C4726" s="1" t="str">
        <f ca="1">IFERROR(__xludf.DUMMYFUNCTION("REGEXEXTRACT(B4726, ""^([^:]+)"")"),"Cameras, cinematographic")</f>
        <v>Cameras, cinematographic</v>
      </c>
      <c r="D4726" s="1" t="s">
        <v>11</v>
      </c>
      <c r="E4726" s="1" t="s">
        <v>11</v>
      </c>
    </row>
    <row r="4727" spans="1:5" ht="15.75" customHeight="1">
      <c r="A4727" s="1">
        <v>900792</v>
      </c>
      <c r="B4727" s="1" t="s">
        <v>4753</v>
      </c>
      <c r="C4727" s="1" t="str">
        <f ca="1">IFERROR(__xludf.DUMMYFUNCTION("REGEXEXTRACT(B4727, ""^([^:]+)"")"),"Projectors, cinematographic")</f>
        <v>Projectors, cinematographic</v>
      </c>
      <c r="D4727" s="1" t="s">
        <v>11</v>
      </c>
      <c r="E4727" s="1" t="s">
        <v>11</v>
      </c>
    </row>
    <row r="4728" spans="1:5" ht="15.75" customHeight="1">
      <c r="A4728" s="1">
        <v>900810</v>
      </c>
      <c r="B4728" s="1" t="s">
        <v>4754</v>
      </c>
      <c r="C4728" s="1" t="str">
        <f ca="1">IFERROR(__xludf.DUMMYFUNCTION("REGEXEXTRACT(B4728, ""^([^:]+)"")"),"Projectors, image")</f>
        <v>Projectors, image</v>
      </c>
      <c r="D4728" s="1" t="s">
        <v>11</v>
      </c>
      <c r="E4728" s="1" t="s">
        <v>11</v>
      </c>
    </row>
    <row r="4729" spans="1:5" ht="15.75" customHeight="1">
      <c r="A4729" s="1">
        <v>900820</v>
      </c>
      <c r="B4729" s="1" t="s">
        <v>4755</v>
      </c>
      <c r="C4729" s="1" t="str">
        <f ca="1">IFERROR(__xludf.DUMMYFUNCTION("REGEXEXTRACT(B4729, ""^([^:]+)"")"),"Projectors, image")</f>
        <v>Projectors, image</v>
      </c>
      <c r="D4729" s="1" t="s">
        <v>11</v>
      </c>
      <c r="E4729" s="1" t="s">
        <v>11</v>
      </c>
    </row>
    <row r="4730" spans="1:5" ht="15.75" customHeight="1">
      <c r="A4730" s="1">
        <v>900830</v>
      </c>
      <c r="B4730" s="1" t="s">
        <v>4756</v>
      </c>
      <c r="C4730" s="1" t="str">
        <f ca="1">IFERROR(__xludf.DUMMYFUNCTION("REGEXEXTRACT(B4730, ""^([^:]+)"")"),"Projectors, image")</f>
        <v>Projectors, image</v>
      </c>
      <c r="D4730" s="1" t="s">
        <v>11</v>
      </c>
      <c r="E4730" s="1" t="s">
        <v>11</v>
      </c>
    </row>
    <row r="4731" spans="1:5" ht="15.75" customHeight="1">
      <c r="A4731" s="1">
        <v>900840</v>
      </c>
      <c r="B4731" s="1" t="s">
        <v>4757</v>
      </c>
      <c r="C4731" s="1" t="str">
        <f ca="1">IFERROR(__xludf.DUMMYFUNCTION("REGEXEXTRACT(B4731, ""^([^:]+)"")"),"Photographic (excluding cinematographic) enlargers and reducers")</f>
        <v>Photographic (excluding cinematographic) enlargers and reducers</v>
      </c>
      <c r="D4731" s="1" t="s">
        <v>11</v>
      </c>
      <c r="E4731" s="1" t="s">
        <v>11</v>
      </c>
    </row>
    <row r="4732" spans="1:5" ht="15.75" customHeight="1">
      <c r="A4732" s="1">
        <v>900890</v>
      </c>
      <c r="B4732" s="1" t="s">
        <v>4758</v>
      </c>
      <c r="C4732" s="1" t="str">
        <f ca="1">IFERROR(__xludf.DUMMYFUNCTION("REGEXEXTRACT(B4732, ""^([^:]+)"")"),"Photographic (excluding cinematographic) enlargers and reducers and image projectors")</f>
        <v>Photographic (excluding cinematographic) enlargers and reducers and image projectors</v>
      </c>
      <c r="D4732" s="1" t="s">
        <v>11</v>
      </c>
      <c r="E4732" s="1" t="s">
        <v>11</v>
      </c>
    </row>
    <row r="4733" spans="1:5" ht="15.75" customHeight="1">
      <c r="A4733" s="1">
        <v>901010</v>
      </c>
      <c r="B4733" s="1" t="s">
        <v>4759</v>
      </c>
      <c r="C4733" s="1" t="str">
        <f ca="1">IFERROR(__xludf.DUMMYFUNCTION("REGEXEXTRACT(B4733, ""^([^:]+)"")"),"Photographic laboratory apparatus and equipment")</f>
        <v>Photographic laboratory apparatus and equipment</v>
      </c>
      <c r="D4733" s="1" t="s">
        <v>11</v>
      </c>
      <c r="E4733" s="1" t="s">
        <v>11</v>
      </c>
    </row>
    <row r="4734" spans="1:5" ht="15.75" customHeight="1">
      <c r="A4734" s="1">
        <v>901050</v>
      </c>
      <c r="B4734" s="1" t="s">
        <v>4760</v>
      </c>
      <c r="C4734" s="1" t="str">
        <f ca="1">IFERROR(__xludf.DUMMYFUNCTION("REGEXEXTRACT(B4734, ""^([^:]+)"")"),"Photographic laboratory apparatus and equipment")</f>
        <v>Photographic laboratory apparatus and equipment</v>
      </c>
      <c r="D4734" s="1" t="s">
        <v>11</v>
      </c>
      <c r="E4734" s="1" t="s">
        <v>11</v>
      </c>
    </row>
    <row r="4735" spans="1:5" ht="15.75" customHeight="1">
      <c r="A4735" s="1">
        <v>901060</v>
      </c>
      <c r="B4735" s="1" t="s">
        <v>4761</v>
      </c>
      <c r="C4735" s="1" t="str">
        <f ca="1">IFERROR(__xludf.DUMMYFUNCTION("REGEXEXTRACT(B4735, ""^([^:]+)"")"),"Photographic laboratory apparatus and equipment (including cinematographic)")</f>
        <v>Photographic laboratory apparatus and equipment (including cinematographic)</v>
      </c>
      <c r="D4735" s="1" t="s">
        <v>11</v>
      </c>
      <c r="E4735" s="1" t="s">
        <v>11</v>
      </c>
    </row>
    <row r="4736" spans="1:5" ht="15.75" customHeight="1">
      <c r="A4736" s="1">
        <v>901090</v>
      </c>
      <c r="B4736" s="1" t="s">
        <v>4762</v>
      </c>
      <c r="C4736" s="1" t="str">
        <f ca="1">IFERROR(__xludf.DUMMYFUNCTION("REGEXEXTRACT(B4736, ""^([^:]+)"")"),"Photographic laboratory apparatus and equipment (including cinematographic)")</f>
        <v>Photographic laboratory apparatus and equipment (including cinematographic)</v>
      </c>
      <c r="D4736" s="1" t="s">
        <v>11</v>
      </c>
      <c r="E4736" s="1" t="s">
        <v>11</v>
      </c>
    </row>
    <row r="4737" spans="1:6" ht="15.75" customHeight="1">
      <c r="A4737" s="1">
        <v>901110</v>
      </c>
      <c r="B4737" s="1" t="s">
        <v>4763</v>
      </c>
      <c r="C4737" s="1" t="str">
        <f ca="1">IFERROR(__xludf.DUMMYFUNCTION("REGEXEXTRACT(B4737, ""^([^:]+)"")"),"Microscopes, compound optical")</f>
        <v>Microscopes, compound optical</v>
      </c>
      <c r="D4737" s="1" t="s">
        <v>11</v>
      </c>
      <c r="E4737" s="1" t="s">
        <v>11</v>
      </c>
    </row>
    <row r="4738" spans="1:6" ht="15.75" customHeight="1">
      <c r="A4738" s="1">
        <v>901120</v>
      </c>
      <c r="B4738" s="1" t="s">
        <v>4764</v>
      </c>
      <c r="C4738" s="1" t="str">
        <f ca="1">IFERROR(__xludf.DUMMYFUNCTION("REGEXEXTRACT(B4738, ""^([^:]+)"")"),"Microscopes, compound optical")</f>
        <v>Microscopes, compound optical</v>
      </c>
      <c r="D4738" s="1" t="s">
        <v>11</v>
      </c>
      <c r="E4738" s="1" t="s">
        <v>11</v>
      </c>
    </row>
    <row r="4739" spans="1:6" ht="15.75" customHeight="1">
      <c r="A4739" s="1">
        <v>900390</v>
      </c>
      <c r="B4739" s="1" t="s">
        <v>4732</v>
      </c>
      <c r="C4739" s="1" t="str">
        <f ca="1">IFERROR(__xludf.DUMMYFUNCTION("REGEXEXTRACT(B4739, ""^([^:]+)"")"),"Frames and mountings")</f>
        <v>Frames and mountings</v>
      </c>
      <c r="D4739" s="1">
        <v>1</v>
      </c>
      <c r="E4739" s="11" t="s">
        <v>1419</v>
      </c>
      <c r="F4739" s="2" t="s">
        <v>1419</v>
      </c>
    </row>
    <row r="4740" spans="1:6" ht="15.75" customHeight="1">
      <c r="A4740" s="1">
        <v>901190</v>
      </c>
      <c r="B4740" s="1" t="s">
        <v>4767</v>
      </c>
      <c r="C4740" s="1" t="str">
        <f ca="1">IFERROR(__xludf.DUMMYFUNCTION("REGEXEXTRACT(B4740, ""^([^:]+)"")"),"Microscopes, compound optical")</f>
        <v>Microscopes, compound optical</v>
      </c>
      <c r="D4740" s="1" t="s">
        <v>11</v>
      </c>
      <c r="E4740" s="1" t="s">
        <v>11</v>
      </c>
    </row>
    <row r="4741" spans="1:6" ht="15.75" customHeight="1">
      <c r="A4741" s="1">
        <v>901210</v>
      </c>
      <c r="B4741" s="1" t="s">
        <v>4768</v>
      </c>
      <c r="C4741" s="1" t="str">
        <f ca="1">IFERROR(__xludf.DUMMYFUNCTION("REGEXEXTRACT(B4741, ""^([^:]+)"")"),"Microscopes (excluding optical microscopes)")</f>
        <v>Microscopes (excluding optical microscopes)</v>
      </c>
      <c r="D4741" s="1" t="s">
        <v>11</v>
      </c>
      <c r="E4741" s="1" t="s">
        <v>11</v>
      </c>
    </row>
    <row r="4742" spans="1:6" ht="15.75" customHeight="1">
      <c r="A4742" s="1">
        <v>901290</v>
      </c>
      <c r="B4742" s="1" t="s">
        <v>4769</v>
      </c>
      <c r="C4742" s="1" t="str">
        <f ca="1">IFERROR(__xludf.DUMMYFUNCTION("REGEXEXTRACT(B4742, ""^([^:]+)"")"),"Microscopes (excluding optical microscopes)")</f>
        <v>Microscopes (excluding optical microscopes)</v>
      </c>
      <c r="D4742" s="1" t="s">
        <v>11</v>
      </c>
      <c r="E4742" s="1" t="s">
        <v>11</v>
      </c>
    </row>
    <row r="4743" spans="1:6" ht="15.75" customHeight="1">
      <c r="A4743" s="1">
        <v>901310</v>
      </c>
      <c r="B4743" s="1" t="s">
        <v>4770</v>
      </c>
      <c r="C4743" s="1" t="str">
        <f ca="1">IFERROR(__xludf.DUMMYFUNCTION("REGEXEXTRACT(B4743, ""^([^:]+)"")"),"Optical appliances and instruments")</f>
        <v>Optical appliances and instruments</v>
      </c>
      <c r="D4743" s="1" t="s">
        <v>11</v>
      </c>
      <c r="E4743" s="1" t="s">
        <v>11</v>
      </c>
    </row>
    <row r="4744" spans="1:6" ht="15.75" customHeight="1">
      <c r="A4744" s="1">
        <v>901320</v>
      </c>
      <c r="B4744" s="1" t="s">
        <v>4771</v>
      </c>
      <c r="C4744" s="1" t="str">
        <f ca="1">IFERROR(__xludf.DUMMYFUNCTION("REGEXEXTRACT(B4744, ""^([^:]+)"")"),"Lasers")</f>
        <v>Lasers</v>
      </c>
      <c r="D4744" s="1" t="s">
        <v>11</v>
      </c>
      <c r="E4744" s="1" t="s">
        <v>11</v>
      </c>
    </row>
    <row r="4745" spans="1:6" ht="15.75" customHeight="1">
      <c r="A4745" s="1">
        <v>901380</v>
      </c>
      <c r="B4745" s="1" t="s">
        <v>4772</v>
      </c>
      <c r="C4745" s="1" t="str">
        <f ca="1">IFERROR(__xludf.DUMMYFUNCTION("REGEXEXTRACT(B4745, ""^([^:]+)"")"),"Optical devices, appliances and instruments")</f>
        <v>Optical devices, appliances and instruments</v>
      </c>
      <c r="D4745" s="1" t="s">
        <v>11</v>
      </c>
      <c r="E4745" s="1" t="s">
        <v>11</v>
      </c>
    </row>
    <row r="4746" spans="1:6" ht="15.75" customHeight="1">
      <c r="A4746" s="1">
        <v>901390</v>
      </c>
      <c r="B4746" s="1" t="s">
        <v>4773</v>
      </c>
      <c r="C4746" s="1" t="str">
        <f ca="1">IFERROR(__xludf.DUMMYFUNCTION("REGEXEXTRACT(B4746, ""^([^:]+)"")"),"Optical appliances and instruments")</f>
        <v>Optical appliances and instruments</v>
      </c>
      <c r="D4746" s="1" t="s">
        <v>11</v>
      </c>
      <c r="E4746" s="1" t="s">
        <v>11</v>
      </c>
    </row>
    <row r="4747" spans="1:6" ht="15.75" customHeight="1">
      <c r="A4747" s="1">
        <v>901410</v>
      </c>
      <c r="B4747" s="1" t="s">
        <v>4774</v>
      </c>
      <c r="C4747" s="1" t="str">
        <f ca="1">IFERROR(__xludf.DUMMYFUNCTION("REGEXEXTRACT(B4747, ""^([^:]+)"")"),"Navigational instruments and appliances")</f>
        <v>Navigational instruments and appliances</v>
      </c>
      <c r="D4747" s="1" t="s">
        <v>11</v>
      </c>
      <c r="E4747" s="1" t="s">
        <v>11</v>
      </c>
    </row>
    <row r="4748" spans="1:6" ht="15.75" customHeight="1">
      <c r="A4748" s="1">
        <v>901420</v>
      </c>
      <c r="B4748" s="1" t="s">
        <v>4775</v>
      </c>
      <c r="C4748" s="1" t="str">
        <f ca="1">IFERROR(__xludf.DUMMYFUNCTION("REGEXEXTRACT(B4748, ""^([^:]+)"")"),"Navigational instruments and appliances")</f>
        <v>Navigational instruments and appliances</v>
      </c>
      <c r="D4748" s="1" t="s">
        <v>11</v>
      </c>
      <c r="E4748" s="1" t="s">
        <v>11</v>
      </c>
    </row>
    <row r="4749" spans="1:6" ht="15.75" customHeight="1">
      <c r="A4749" s="1">
        <v>901480</v>
      </c>
      <c r="B4749" s="1" t="s">
        <v>4776</v>
      </c>
      <c r="C4749" s="1" t="str">
        <f ca="1">IFERROR(__xludf.DUMMYFUNCTION("REGEXEXTRACT(B4749, ""^([^:]+)"")"),"Navigational instruments and appliances")</f>
        <v>Navigational instruments and appliances</v>
      </c>
      <c r="D4749" s="1" t="s">
        <v>11</v>
      </c>
      <c r="E4749" s="1" t="s">
        <v>11</v>
      </c>
    </row>
    <row r="4750" spans="1:6" ht="15.75" customHeight="1">
      <c r="A4750" s="1">
        <v>901490</v>
      </c>
      <c r="B4750" s="1" t="s">
        <v>4777</v>
      </c>
      <c r="C4750" s="1" t="str">
        <f ca="1">IFERROR(__xludf.DUMMYFUNCTION("REGEXEXTRACT(B4750, ""^([^:]+)"")"),"Navigational instruments and appliances")</f>
        <v>Navigational instruments and appliances</v>
      </c>
      <c r="D4750" s="1" t="s">
        <v>11</v>
      </c>
      <c r="E4750" s="1" t="s">
        <v>11</v>
      </c>
    </row>
    <row r="4751" spans="1:6" ht="15.75" customHeight="1">
      <c r="A4751" s="1">
        <v>901510</v>
      </c>
      <c r="B4751" s="1" t="s">
        <v>4778</v>
      </c>
      <c r="C4751" s="1" t="str">
        <f ca="1">IFERROR(__xludf.DUMMYFUNCTION("REGEXEXTRACT(B4751, ""^([^:]+)"")"),"Rangefinders")</f>
        <v>Rangefinders</v>
      </c>
      <c r="D4751" s="1" t="s">
        <v>11</v>
      </c>
      <c r="E4751" s="1" t="s">
        <v>11</v>
      </c>
    </row>
    <row r="4752" spans="1:6" ht="15.75" customHeight="1">
      <c r="A4752" s="1">
        <v>901520</v>
      </c>
      <c r="B4752" s="1" t="s">
        <v>4779</v>
      </c>
      <c r="C4752" s="1" t="str">
        <f ca="1">IFERROR(__xludf.DUMMYFUNCTION("REGEXEXTRACT(B4752, ""^([^:]+)"")"),"Surveying equipment")</f>
        <v>Surveying equipment</v>
      </c>
      <c r="D4752" s="1" t="s">
        <v>11</v>
      </c>
      <c r="E4752" s="1" t="s">
        <v>11</v>
      </c>
    </row>
    <row r="4753" spans="1:6" ht="15.75" customHeight="1">
      <c r="A4753" s="1">
        <v>901530</v>
      </c>
      <c r="B4753" s="1" t="s">
        <v>4780</v>
      </c>
      <c r="C4753" s="1" t="str">
        <f ca="1">IFERROR(__xludf.DUMMYFUNCTION("REGEXEXTRACT(B4753, ""^([^:]+)"")"),"Surveying equipment")</f>
        <v>Surveying equipment</v>
      </c>
      <c r="D4753" s="1" t="s">
        <v>11</v>
      </c>
      <c r="E4753" s="1" t="s">
        <v>11</v>
      </c>
    </row>
    <row r="4754" spans="1:6" ht="15.75" customHeight="1">
      <c r="A4754" s="1">
        <v>901540</v>
      </c>
      <c r="B4754" s="1" t="s">
        <v>4781</v>
      </c>
      <c r="C4754" s="1" t="str">
        <f ca="1">IFERROR(__xludf.DUMMYFUNCTION("REGEXEXTRACT(B4754, ""^([^:]+)"")"),"Surveying equipment")</f>
        <v>Surveying equipment</v>
      </c>
      <c r="D4754" s="1" t="s">
        <v>11</v>
      </c>
      <c r="E4754" s="1" t="s">
        <v>11</v>
      </c>
    </row>
    <row r="4755" spans="1:6" ht="15.75" customHeight="1">
      <c r="A4755" s="1">
        <v>901580</v>
      </c>
      <c r="B4755" s="1" t="s">
        <v>4782</v>
      </c>
      <c r="C4755" s="1" t="str">
        <f ca="1">IFERROR(__xludf.DUMMYFUNCTION("REGEXEXTRACT(B4755, ""^([^:]+)"")"),"Surveying equipment")</f>
        <v>Surveying equipment</v>
      </c>
      <c r="D4755" s="1" t="s">
        <v>11</v>
      </c>
      <c r="E4755" s="1" t="s">
        <v>11</v>
      </c>
    </row>
    <row r="4756" spans="1:6" ht="15.75" customHeight="1">
      <c r="A4756" s="1">
        <v>901590</v>
      </c>
      <c r="B4756" s="1" t="s">
        <v>4783</v>
      </c>
      <c r="C4756" s="1" t="str">
        <f ca="1">IFERROR(__xludf.DUMMYFUNCTION("REGEXEXTRACT(B4756, ""^([^:]+)"")"),"Surveying equipment")</f>
        <v>Surveying equipment</v>
      </c>
      <c r="D4756" s="1" t="s">
        <v>11</v>
      </c>
      <c r="E4756" s="1" t="s">
        <v>11</v>
      </c>
    </row>
    <row r="4757" spans="1:6" ht="15.75" customHeight="1">
      <c r="A4757" s="1">
        <v>901600</v>
      </c>
      <c r="B4757" s="1" t="s">
        <v>4784</v>
      </c>
      <c r="C4757" s="1" t="str">
        <f ca="1">IFERROR(__xludf.DUMMYFUNCTION("REGEXEXTRACT(B4757, ""^([^:]+)"")"),"Balances")</f>
        <v>Balances</v>
      </c>
      <c r="D4757" s="1" t="s">
        <v>11</v>
      </c>
      <c r="E4757" s="1" t="s">
        <v>11</v>
      </c>
    </row>
    <row r="4758" spans="1:6" ht="15.75" customHeight="1">
      <c r="A4758" s="1">
        <v>901710</v>
      </c>
      <c r="B4758" s="1" t="s">
        <v>4785</v>
      </c>
      <c r="C4758" s="1" t="str">
        <f ca="1">IFERROR(__xludf.DUMMYFUNCTION("REGEXEXTRACT(B4758, ""^([^:]+)"")"),"Drafting tables and machines")</f>
        <v>Drafting tables and machines</v>
      </c>
      <c r="D4758" s="1" t="s">
        <v>11</v>
      </c>
      <c r="E4758" s="1" t="s">
        <v>11</v>
      </c>
    </row>
    <row r="4759" spans="1:6" ht="15.75" customHeight="1">
      <c r="A4759" s="1">
        <v>901720</v>
      </c>
      <c r="B4759" s="1" t="s">
        <v>4786</v>
      </c>
      <c r="C4759" s="1" t="str">
        <f ca="1">IFERROR(__xludf.DUMMYFUNCTION("REGEXEXTRACT(B4759, ""^([^:]+)"")"),"Drawing, marking-out or mathematical calculating instruments")</f>
        <v>Drawing, marking-out or mathematical calculating instruments</v>
      </c>
      <c r="D4759" s="1" t="s">
        <v>11</v>
      </c>
      <c r="E4759" s="1" t="s">
        <v>11</v>
      </c>
    </row>
    <row r="4760" spans="1:6" ht="15.75" customHeight="1">
      <c r="A4760" s="1">
        <v>901730</v>
      </c>
      <c r="B4760" s="1" t="s">
        <v>4787</v>
      </c>
      <c r="C4760" s="1" t="str">
        <f ca="1">IFERROR(__xludf.DUMMYFUNCTION("REGEXEXTRACT(B4760, ""^([^:]+)"")"),"Mathematical equipment")</f>
        <v>Mathematical equipment</v>
      </c>
      <c r="D4760" s="1" t="s">
        <v>11</v>
      </c>
      <c r="E4760" s="1" t="s">
        <v>11</v>
      </c>
    </row>
    <row r="4761" spans="1:6" ht="15.75" customHeight="1">
      <c r="A4761" s="1">
        <v>901780</v>
      </c>
      <c r="B4761" s="1" t="s">
        <v>4788</v>
      </c>
      <c r="C4761" s="1" t="str">
        <f ca="1">IFERROR(__xludf.DUMMYFUNCTION("REGEXEXTRACT(B4761, ""^([^:]+)"")"),"Mathematical instruments and equipment")</f>
        <v>Mathematical instruments and equipment</v>
      </c>
      <c r="D4761" s="1" t="s">
        <v>11</v>
      </c>
      <c r="E4761" s="1" t="s">
        <v>11</v>
      </c>
    </row>
    <row r="4762" spans="1:6" ht="15.75" customHeight="1">
      <c r="A4762" s="1">
        <v>901790</v>
      </c>
      <c r="B4762" s="1" t="s">
        <v>4789</v>
      </c>
      <c r="C4762" s="1" t="str">
        <f ca="1">IFERROR(__xludf.DUMMYFUNCTION("REGEXEXTRACT(B4762, ""^([^:]+)"")"),"Drawing, marking-out equipment and mathematical instruments")</f>
        <v>Drawing, marking-out equipment and mathematical instruments</v>
      </c>
      <c r="D4762" s="1" t="s">
        <v>11</v>
      </c>
      <c r="E4762" s="1" t="s">
        <v>11</v>
      </c>
    </row>
    <row r="4763" spans="1:6" ht="15.75" customHeight="1">
      <c r="A4763" s="1">
        <v>900410</v>
      </c>
      <c r="B4763" s="1" t="s">
        <v>4733</v>
      </c>
      <c r="C4763" s="1" t="str">
        <f ca="1">IFERROR(__xludf.DUMMYFUNCTION("REGEXEXTRACT(B4763, ""^([^:]+)"")"),"Sunglasses")</f>
        <v>Sunglasses</v>
      </c>
      <c r="D4763" s="1">
        <v>1</v>
      </c>
      <c r="E4763" s="11" t="s">
        <v>1419</v>
      </c>
      <c r="F4763" s="2" t="s">
        <v>1419</v>
      </c>
    </row>
    <row r="4764" spans="1:6" ht="15.75" customHeight="1">
      <c r="A4764" s="1">
        <v>901180</v>
      </c>
      <c r="B4764" s="2" t="s">
        <v>4765</v>
      </c>
      <c r="C4764" s="1" t="str">
        <f ca="1">IFERROR(__xludf.DUMMYFUNCTION("REGEXEXTRACT(B4764, ""^([^:]+)"")"),"Microscopes, compound optical")</f>
        <v>Microscopes, compound optical</v>
      </c>
      <c r="D4764" s="1">
        <v>1</v>
      </c>
      <c r="E4764" s="11" t="s">
        <v>1419</v>
      </c>
      <c r="F4764" s="2" t="s">
        <v>1419</v>
      </c>
    </row>
    <row r="4765" spans="1:6" ht="15.75" customHeight="1">
      <c r="A4765" s="1">
        <v>901811</v>
      </c>
      <c r="B4765" s="1" t="s">
        <v>4790</v>
      </c>
      <c r="C4765" s="1" t="str">
        <f ca="1">IFERROR(__xludf.DUMMYFUNCTION("REGEXEXTRACT(B4765, ""^([^:]+)"")"),"Medical, surgical instruments and appliances")</f>
        <v>Medical, surgical instruments and appliances</v>
      </c>
      <c r="D4765" s="1">
        <v>1</v>
      </c>
      <c r="E4765" s="11" t="s">
        <v>1419</v>
      </c>
      <c r="F4765" s="2" t="s">
        <v>1419</v>
      </c>
    </row>
    <row r="4766" spans="1:6" ht="15.75" customHeight="1">
      <c r="A4766" s="1">
        <v>901812</v>
      </c>
      <c r="B4766" s="1" t="s">
        <v>4792</v>
      </c>
      <c r="C4766" s="1" t="str">
        <f ca="1">IFERROR(__xludf.DUMMYFUNCTION("REGEXEXTRACT(B4766, ""^([^:]+)"")"),"Medical, surgical instruments and appliances")</f>
        <v>Medical, surgical instruments and appliances</v>
      </c>
      <c r="D4766" s="1">
        <v>1</v>
      </c>
      <c r="E4766" s="11" t="s">
        <v>1419</v>
      </c>
      <c r="F4766" s="2" t="s">
        <v>1419</v>
      </c>
    </row>
    <row r="4767" spans="1:6" ht="15.75" customHeight="1">
      <c r="A4767" s="1">
        <v>901813</v>
      </c>
      <c r="B4767" s="1" t="s">
        <v>4793</v>
      </c>
      <c r="C4767" s="1" t="str">
        <f ca="1">IFERROR(__xludf.DUMMYFUNCTION("REGEXEXTRACT(B4767, ""^([^:]+)"")"),"Medical, surgical instruments and appliances")</f>
        <v>Medical, surgical instruments and appliances</v>
      </c>
      <c r="D4767" s="1">
        <v>1</v>
      </c>
      <c r="E4767" s="11" t="s">
        <v>1419</v>
      </c>
      <c r="F4767" s="2" t="s">
        <v>1419</v>
      </c>
    </row>
    <row r="4768" spans="1:6" ht="15.75" customHeight="1">
      <c r="A4768" s="1">
        <v>901814</v>
      </c>
      <c r="B4768" s="1" t="s">
        <v>4794</v>
      </c>
      <c r="C4768" s="1" t="str">
        <f ca="1">IFERROR(__xludf.DUMMYFUNCTION("REGEXEXTRACT(B4768, ""^([^:]+)"")"),"Medical, surgical instruments and appliances")</f>
        <v>Medical, surgical instruments and appliances</v>
      </c>
      <c r="D4768" s="1">
        <v>1</v>
      </c>
      <c r="E4768" s="11" t="s">
        <v>1419</v>
      </c>
      <c r="F4768" s="2" t="s">
        <v>1419</v>
      </c>
    </row>
    <row r="4769" spans="1:6" ht="15.75" customHeight="1">
      <c r="A4769" s="1">
        <v>901819</v>
      </c>
      <c r="B4769" s="1" t="s">
        <v>4795</v>
      </c>
      <c r="C4769" s="1" t="str">
        <f ca="1">IFERROR(__xludf.DUMMYFUNCTION("REGEXEXTRACT(B4769, ""^([^:]+)"")"),"Medical, surgical instruments and appliances")</f>
        <v>Medical, surgical instruments and appliances</v>
      </c>
      <c r="D4769" s="1">
        <v>1</v>
      </c>
      <c r="E4769" s="11" t="s">
        <v>1419</v>
      </c>
      <c r="F4769" s="2" t="s">
        <v>1419</v>
      </c>
    </row>
    <row r="4770" spans="1:6" ht="15.75" customHeight="1">
      <c r="A4770" s="1">
        <v>901820</v>
      </c>
      <c r="B4770" s="1" t="s">
        <v>4796</v>
      </c>
      <c r="C4770" s="1" t="str">
        <f ca="1">IFERROR(__xludf.DUMMYFUNCTION("REGEXEXTRACT(B4770, ""^([^:]+)"")"),"Medical, surgical instruments and appliances")</f>
        <v>Medical, surgical instruments and appliances</v>
      </c>
      <c r="D4770" s="1">
        <v>1</v>
      </c>
      <c r="E4770" s="11" t="s">
        <v>1419</v>
      </c>
      <c r="F4770" s="2" t="s">
        <v>1419</v>
      </c>
    </row>
    <row r="4771" spans="1:6" ht="15.75" customHeight="1">
      <c r="A4771" s="1">
        <v>901831</v>
      </c>
      <c r="B4771" s="1" t="s">
        <v>4797</v>
      </c>
      <c r="C4771" s="1" t="str">
        <f ca="1">IFERROR(__xludf.DUMMYFUNCTION("REGEXEXTRACT(B4771, ""^([^:]+)"")"),"Medical, surgical instruments and appliances")</f>
        <v>Medical, surgical instruments and appliances</v>
      </c>
      <c r="D4771" s="1">
        <v>1</v>
      </c>
      <c r="E4771" s="11" t="s">
        <v>1419</v>
      </c>
      <c r="F4771" s="2" t="s">
        <v>1419</v>
      </c>
    </row>
    <row r="4772" spans="1:6" ht="15.75" customHeight="1">
      <c r="A4772" s="1">
        <v>901832</v>
      </c>
      <c r="B4772" s="1" t="s">
        <v>4798</v>
      </c>
      <c r="C4772" s="1" t="str">
        <f ca="1">IFERROR(__xludf.DUMMYFUNCTION("REGEXEXTRACT(B4772, ""^([^:]+)"")"),"Medical, surgical instruments and appliances")</f>
        <v>Medical, surgical instruments and appliances</v>
      </c>
      <c r="D4772" s="1">
        <v>1</v>
      </c>
      <c r="E4772" s="11" t="s">
        <v>1419</v>
      </c>
      <c r="F4772" s="2" t="s">
        <v>1419</v>
      </c>
    </row>
    <row r="4773" spans="1:6" ht="15.75" customHeight="1">
      <c r="A4773" s="1">
        <v>901839</v>
      </c>
      <c r="B4773" s="1" t="s">
        <v>4799</v>
      </c>
      <c r="C4773" s="1" t="str">
        <f ca="1">IFERROR(__xludf.DUMMYFUNCTION("REGEXEXTRACT(B4773, ""^([^:]+)"")"),"Medical, surgical instruments and appliances")</f>
        <v>Medical, surgical instruments and appliances</v>
      </c>
      <c r="D4773" s="1">
        <v>1</v>
      </c>
      <c r="E4773" s="11" t="s">
        <v>1419</v>
      </c>
      <c r="F4773" s="2" t="s">
        <v>1419</v>
      </c>
    </row>
    <row r="4774" spans="1:6" ht="15.75" customHeight="1">
      <c r="A4774" s="1">
        <v>901841</v>
      </c>
      <c r="B4774" s="1" t="s">
        <v>4800</v>
      </c>
      <c r="C4774" s="1" t="str">
        <f ca="1">IFERROR(__xludf.DUMMYFUNCTION("REGEXEXTRACT(B4774, ""^([^:]+)"")"),"Dental instruments and appliances")</f>
        <v>Dental instruments and appliances</v>
      </c>
      <c r="D4774" s="1">
        <v>1</v>
      </c>
      <c r="E4774" s="11" t="s">
        <v>1419</v>
      </c>
      <c r="F4774" s="2" t="s">
        <v>1419</v>
      </c>
    </row>
    <row r="4775" spans="1:6" ht="15.75" customHeight="1">
      <c r="A4775" s="1">
        <v>901849</v>
      </c>
      <c r="B4775" s="1" t="s">
        <v>4801</v>
      </c>
      <c r="C4775" s="1" t="str">
        <f ca="1">IFERROR(__xludf.DUMMYFUNCTION("REGEXEXTRACT(B4775, ""^([^:]+)"")"),"Dental instruments and appliances")</f>
        <v>Dental instruments and appliances</v>
      </c>
      <c r="D4775" s="1">
        <v>1</v>
      </c>
      <c r="E4775" s="11" t="s">
        <v>1419</v>
      </c>
      <c r="F4775" s="2" t="s">
        <v>1419</v>
      </c>
    </row>
    <row r="4776" spans="1:6" ht="15.75" customHeight="1">
      <c r="A4776" s="1">
        <v>901850</v>
      </c>
      <c r="B4776" s="1" t="s">
        <v>4802</v>
      </c>
      <c r="C4776" s="1" t="str">
        <f ca="1">IFERROR(__xludf.DUMMYFUNCTION("REGEXEXTRACT(B4776, ""^([^:]+)"")"),"Ophthalmic instruments and appliances")</f>
        <v>Ophthalmic instruments and appliances</v>
      </c>
      <c r="D4776" s="1">
        <v>1</v>
      </c>
      <c r="E4776" s="11" t="s">
        <v>1419</v>
      </c>
      <c r="F4776" s="2" t="s">
        <v>1419</v>
      </c>
    </row>
    <row r="4777" spans="1:6" ht="15.75" customHeight="1">
      <c r="A4777" s="1">
        <v>901890</v>
      </c>
      <c r="B4777" s="1" t="s">
        <v>4803</v>
      </c>
      <c r="C4777" s="1" t="str">
        <f ca="1">IFERROR(__xludf.DUMMYFUNCTION("REGEXEXTRACT(B4777, ""^([^:]+)"")"),"Medical, surgical or dental instruments and appliances")</f>
        <v>Medical, surgical or dental instruments and appliances</v>
      </c>
      <c r="D4777" s="1">
        <v>1</v>
      </c>
      <c r="E4777" s="11" t="s">
        <v>1419</v>
      </c>
      <c r="F4777" s="2" t="s">
        <v>1419</v>
      </c>
    </row>
    <row r="4778" spans="1:6" ht="15.75" customHeight="1">
      <c r="A4778" s="1">
        <v>902000</v>
      </c>
      <c r="B4778" s="1" t="s">
        <v>4806</v>
      </c>
      <c r="C4778" s="1" t="str">
        <f ca="1">IFERROR(__xludf.DUMMYFUNCTION("REGEXEXTRACT(B4778, ""^([^:]+)"")"),"Breathing appliances and gas masks")</f>
        <v>Breathing appliances and gas masks</v>
      </c>
      <c r="D4778" s="1" t="s">
        <v>11</v>
      </c>
      <c r="E4778" s="1" t="s">
        <v>11</v>
      </c>
    </row>
    <row r="4779" spans="1:6" ht="15.75" customHeight="1">
      <c r="A4779" s="1">
        <v>901910</v>
      </c>
      <c r="B4779" s="1" t="s">
        <v>4804</v>
      </c>
      <c r="C4779" s="1" t="str">
        <f ca="1">IFERROR(__xludf.DUMMYFUNCTION("REGEXEXTRACT(B4779, ""^([^:]+)"")"),"Mechano-therapy appliances")</f>
        <v>Mechano-therapy appliances</v>
      </c>
      <c r="D4779" s="1">
        <v>1</v>
      </c>
      <c r="E4779" s="11" t="s">
        <v>1419</v>
      </c>
      <c r="F4779" s="2" t="s">
        <v>1419</v>
      </c>
    </row>
    <row r="4780" spans="1:6" ht="15.75" customHeight="1">
      <c r="A4780" s="1">
        <v>901920</v>
      </c>
      <c r="B4780" s="1" t="s">
        <v>4805</v>
      </c>
      <c r="C4780" s="1" t="str">
        <f ca="1">IFERROR(__xludf.DUMMYFUNCTION("REGEXEXTRACT(B4780, ""^([^:]+)"")"),"Therapeutic respiration apparatus")</f>
        <v>Therapeutic respiration apparatus</v>
      </c>
      <c r="D4780" s="1">
        <v>1</v>
      </c>
      <c r="E4780" s="11" t="s">
        <v>1419</v>
      </c>
      <c r="F4780" s="2" t="s">
        <v>1419</v>
      </c>
    </row>
    <row r="4781" spans="1:6" ht="15.75" customHeight="1">
      <c r="A4781" s="1">
        <v>902110</v>
      </c>
      <c r="B4781" s="1" t="s">
        <v>4807</v>
      </c>
      <c r="C4781" s="1" t="str">
        <f ca="1">IFERROR(__xludf.DUMMYFUNCTION("REGEXEXTRACT(B4781, ""^([^:]+)"")"),"Orthopaedic or fracture appliances")</f>
        <v>Orthopaedic or fracture appliances</v>
      </c>
      <c r="D4781" s="1">
        <v>1</v>
      </c>
      <c r="E4781" s="11" t="s">
        <v>1419</v>
      </c>
      <c r="F4781" s="2" t="s">
        <v>1419</v>
      </c>
    </row>
    <row r="4782" spans="1:6" ht="15.75" customHeight="1">
      <c r="A4782" s="1">
        <v>902121</v>
      </c>
      <c r="B4782" s="1" t="s">
        <v>4808</v>
      </c>
      <c r="C4782" s="1" t="str">
        <f ca="1">IFERROR(__xludf.DUMMYFUNCTION("REGEXEXTRACT(B4782, ""^([^:]+)"")"),"Dental fittings")</f>
        <v>Dental fittings</v>
      </c>
      <c r="D4782" s="1">
        <v>1</v>
      </c>
      <c r="E4782" s="11" t="s">
        <v>1419</v>
      </c>
      <c r="F4782" s="2" t="s">
        <v>1419</v>
      </c>
    </row>
    <row r="4783" spans="1:6" ht="15.75" customHeight="1">
      <c r="A4783" s="1">
        <v>902129</v>
      </c>
      <c r="B4783" s="1" t="s">
        <v>4809</v>
      </c>
      <c r="C4783" s="1" t="str">
        <f ca="1">IFERROR(__xludf.DUMMYFUNCTION("REGEXEXTRACT(B4783, ""^([^:]+)"")"),"Dental fittings")</f>
        <v>Dental fittings</v>
      </c>
      <c r="D4783" s="1">
        <v>1</v>
      </c>
      <c r="E4783" s="11" t="s">
        <v>1419</v>
      </c>
      <c r="F4783" s="2" t="s">
        <v>1419</v>
      </c>
    </row>
    <row r="4784" spans="1:6" ht="15.75" customHeight="1">
      <c r="A4784" s="1">
        <v>902131</v>
      </c>
      <c r="B4784" s="1" t="s">
        <v>4810</v>
      </c>
      <c r="C4784" s="1" t="str">
        <f ca="1">IFERROR(__xludf.DUMMYFUNCTION("REGEXEXTRACT(B4784, ""^([^:]+)"")"),"Artificial parts of the body")</f>
        <v>Artificial parts of the body</v>
      </c>
      <c r="D4784" s="1">
        <v>1</v>
      </c>
      <c r="E4784" s="11" t="s">
        <v>1419</v>
      </c>
      <c r="F4784" s="2" t="s">
        <v>1419</v>
      </c>
    </row>
    <row r="4785" spans="1:13" ht="15.75" customHeight="1">
      <c r="A4785" s="1">
        <v>902139</v>
      </c>
      <c r="B4785" s="1" t="s">
        <v>4811</v>
      </c>
      <c r="C4785" s="1" t="str">
        <f ca="1">IFERROR(__xludf.DUMMYFUNCTION("REGEXEXTRACT(B4785, ""^([^:]+)"")"),"Artificial parts of the body")</f>
        <v>Artificial parts of the body</v>
      </c>
      <c r="D4785" s="1">
        <v>1</v>
      </c>
      <c r="E4785" s="11" t="s">
        <v>1419</v>
      </c>
      <c r="F4785" s="2" t="s">
        <v>1419</v>
      </c>
    </row>
    <row r="4786" spans="1:13" ht="15.75" customHeight="1">
      <c r="A4786" s="1">
        <v>902140</v>
      </c>
      <c r="B4786" s="1" t="s">
        <v>4812</v>
      </c>
      <c r="C4786" s="1" t="str">
        <f ca="1">IFERROR(__xludf.DUMMYFUNCTION("REGEXEXTRACT(B4786, ""^([^:]+)"")"),"Hearing aids (excluding parts and accessories)")</f>
        <v>Hearing aids (excluding parts and accessories)</v>
      </c>
      <c r="D4786" s="1">
        <v>1</v>
      </c>
      <c r="E4786" s="11" t="s">
        <v>1419</v>
      </c>
      <c r="F4786" s="2" t="s">
        <v>1419</v>
      </c>
    </row>
    <row r="4787" spans="1:13" ht="15.75" customHeight="1">
      <c r="A4787" s="1">
        <v>902150</v>
      </c>
      <c r="B4787" s="1" t="s">
        <v>4813</v>
      </c>
      <c r="C4787" s="1" t="str">
        <f ca="1">IFERROR(__xludf.DUMMYFUNCTION("REGEXEXTRACT(B4787, ""^([^:]+)"")"),"Pacemakers")</f>
        <v>Pacemakers</v>
      </c>
      <c r="D4787" s="1">
        <v>1</v>
      </c>
      <c r="E4787" s="11" t="s">
        <v>1419</v>
      </c>
      <c r="F4787" s="2" t="s">
        <v>1419</v>
      </c>
    </row>
    <row r="4788" spans="1:13" ht="15.75" customHeight="1">
      <c r="A4788" s="1">
        <v>902190</v>
      </c>
      <c r="B4788" s="1" t="s">
        <v>4814</v>
      </c>
      <c r="C4788" s="1" t="str">
        <f ca="1">IFERROR(__xludf.DUMMYFUNCTION("REGEXEXTRACT(B4788, ""^([^:]+)"")"),"Appliances")</f>
        <v>Appliances</v>
      </c>
      <c r="D4788" s="1">
        <v>1</v>
      </c>
      <c r="E4788" s="11" t="s">
        <v>1419</v>
      </c>
      <c r="F4788" s="2" t="s">
        <v>1419</v>
      </c>
    </row>
    <row r="4789" spans="1:13" ht="15.75" customHeight="1">
      <c r="A4789" s="1">
        <v>902212</v>
      </c>
      <c r="B4789" s="1" t="s">
        <v>4815</v>
      </c>
      <c r="C4789" s="1" t="str">
        <f ca="1">IFERROR(__xludf.DUMMYFUNCTION("REGEXEXTRACT(B4789, ""^([^:]+)"")"),"Apparatus based on the use of x-rays")</f>
        <v>Apparatus based on the use of x-rays</v>
      </c>
      <c r="D4789" s="1">
        <v>1</v>
      </c>
      <c r="E4789" s="11" t="s">
        <v>1419</v>
      </c>
      <c r="F4789" s="2" t="s">
        <v>1419</v>
      </c>
    </row>
    <row r="4790" spans="1:13" ht="15.75" customHeight="1">
      <c r="A4790" s="14">
        <v>902213</v>
      </c>
      <c r="B4790" s="14" t="s">
        <v>4817</v>
      </c>
      <c r="C4790" s="1" t="str">
        <f ca="1">IFERROR(__xludf.DUMMYFUNCTION("REGEXEXTRACT(B4790, ""^([^:]+)"")"),"Apparatus based on the use of x-rays")</f>
        <v>Apparatus based on the use of x-rays</v>
      </c>
      <c r="D4790" s="14">
        <v>1</v>
      </c>
      <c r="E4790" s="11" t="s">
        <v>1419</v>
      </c>
      <c r="F4790" s="15" t="s">
        <v>1419</v>
      </c>
      <c r="G4790" s="8"/>
      <c r="H4790" s="8"/>
      <c r="I4790" s="8"/>
      <c r="J4790" s="8"/>
      <c r="K4790" s="8"/>
      <c r="L4790" s="8"/>
      <c r="M4790" s="8"/>
    </row>
    <row r="4791" spans="1:13" ht="15.75" customHeight="1">
      <c r="A4791" s="1">
        <v>902214</v>
      </c>
      <c r="B4791" s="1" t="s">
        <v>4818</v>
      </c>
      <c r="C4791" s="1" t="str">
        <f ca="1">IFERROR(__xludf.DUMMYFUNCTION("REGEXEXTRACT(B4791, ""^([^:]+)"")"),"Apparatus based on the use of x-rays")</f>
        <v>Apparatus based on the use of x-rays</v>
      </c>
      <c r="D4791" s="1">
        <v>1</v>
      </c>
      <c r="E4791" s="11" t="s">
        <v>1419</v>
      </c>
      <c r="F4791" s="2" t="s">
        <v>1419</v>
      </c>
    </row>
    <row r="4792" spans="1:13" ht="15.75" customHeight="1">
      <c r="A4792" s="8">
        <v>902229</v>
      </c>
      <c r="B4792" s="8" t="s">
        <v>4821</v>
      </c>
      <c r="C4792" s="1" t="str">
        <f ca="1">IFERROR(__xludf.DUMMYFUNCTION("REGEXEXTRACT(B4792, ""^([^:]+)"")"),"Apparatus based on the use of alpha, beta or gamma radiations, including radiography or radiotherapy apparatus")</f>
        <v>Apparatus based on the use of alpha, beta or gamma radiations, including radiography or radiotherapy apparatus</v>
      </c>
      <c r="D4792" s="8" t="s">
        <v>11</v>
      </c>
      <c r="E4792" s="8" t="s">
        <v>11</v>
      </c>
      <c r="F4792" s="8"/>
      <c r="G4792" s="8"/>
      <c r="H4792" s="8"/>
      <c r="I4792" s="8"/>
      <c r="J4792" s="8"/>
      <c r="K4792" s="8"/>
      <c r="L4792" s="8"/>
      <c r="M4792" s="8"/>
    </row>
    <row r="4793" spans="1:13" ht="15.75" customHeight="1">
      <c r="A4793" s="1">
        <v>902221</v>
      </c>
      <c r="B4793" s="1" t="s">
        <v>4820</v>
      </c>
      <c r="C4793" s="1" t="str">
        <f ca="1">IFERROR(__xludf.DUMMYFUNCTION("REGEXEXTRACT(B4793, ""^([^:]+)"")"),"Apparatus based on the use of alpha, beta or gamma radiations, including radiography or radiotherapy apparatus")</f>
        <v>Apparatus based on the use of alpha, beta or gamma radiations, including radiography or radiotherapy apparatus</v>
      </c>
      <c r="D4793" s="1">
        <v>1</v>
      </c>
      <c r="E4793" s="11" t="s">
        <v>1419</v>
      </c>
      <c r="F4793" s="2" t="s">
        <v>1419</v>
      </c>
    </row>
    <row r="4794" spans="1:13" ht="15.75" customHeight="1">
      <c r="A4794" s="1">
        <v>902230</v>
      </c>
      <c r="B4794" s="1" t="s">
        <v>4822</v>
      </c>
      <c r="C4794" s="1" t="str">
        <f ca="1">IFERROR(__xludf.DUMMYFUNCTION("REGEXEXTRACT(B4794, ""^([^:]+)"")"),"X-ray tubes")</f>
        <v>X-ray tubes</v>
      </c>
      <c r="D4794" s="1">
        <v>1</v>
      </c>
      <c r="E4794" s="11" t="s">
        <v>1419</v>
      </c>
      <c r="F4794" s="2" t="s">
        <v>1419</v>
      </c>
    </row>
    <row r="4795" spans="1:13" ht="15.75" customHeight="1">
      <c r="A4795" s="1">
        <v>902300</v>
      </c>
      <c r="B4795" s="1" t="s">
        <v>4824</v>
      </c>
      <c r="C4795" s="1" t="str">
        <f ca="1">IFERROR(__xludf.DUMMYFUNCTION("REGEXEXTRACT(B4795, ""^([^:]+)"")"),"Instruments, apparatus and models")</f>
        <v>Instruments, apparatus and models</v>
      </c>
      <c r="D4795" s="1" t="s">
        <v>11</v>
      </c>
      <c r="E4795" s="1" t="s">
        <v>11</v>
      </c>
    </row>
    <row r="4796" spans="1:13" ht="15.75" customHeight="1">
      <c r="A4796" s="1">
        <v>902410</v>
      </c>
      <c r="B4796" s="1" t="s">
        <v>4825</v>
      </c>
      <c r="C4796" s="1" t="str">
        <f ca="1">IFERROR(__xludf.DUMMYFUNCTION("REGEXEXTRACT(B4796, ""^([^:]+)"")"),"Machines and appliances")</f>
        <v>Machines and appliances</v>
      </c>
      <c r="D4796" s="1" t="s">
        <v>11</v>
      </c>
      <c r="E4796" s="1" t="s">
        <v>11</v>
      </c>
    </row>
    <row r="4797" spans="1:13" ht="15.75" customHeight="1">
      <c r="A4797" s="1">
        <v>902480</v>
      </c>
      <c r="B4797" s="1" t="s">
        <v>4826</v>
      </c>
      <c r="C4797" s="1" t="str">
        <f ca="1">IFERROR(__xludf.DUMMYFUNCTION("REGEXEXTRACT(B4797, ""^([^:]+)"")"),"Machines and appliances")</f>
        <v>Machines and appliances</v>
      </c>
      <c r="D4797" s="1" t="s">
        <v>11</v>
      </c>
      <c r="E4797" s="1" t="s">
        <v>11</v>
      </c>
    </row>
    <row r="4798" spans="1:13" ht="15.75" customHeight="1">
      <c r="A4798" s="1">
        <v>902490</v>
      </c>
      <c r="B4798" s="1" t="s">
        <v>4827</v>
      </c>
      <c r="C4798" s="1" t="str">
        <f ca="1">IFERROR(__xludf.DUMMYFUNCTION("REGEXEXTRACT(B4798, ""^([^:]+)"")"),"Machines and appliances")</f>
        <v>Machines and appliances</v>
      </c>
      <c r="D4798" s="1" t="s">
        <v>11</v>
      </c>
      <c r="E4798" s="1" t="s">
        <v>11</v>
      </c>
    </row>
    <row r="4799" spans="1:13" ht="15.75" customHeight="1">
      <c r="A4799" s="1">
        <v>902511</v>
      </c>
      <c r="B4799" s="1" t="s">
        <v>4828</v>
      </c>
      <c r="C4799" s="1" t="str">
        <f ca="1">IFERROR(__xludf.DUMMYFUNCTION("REGEXEXTRACT(B4799, ""^([^:]+)"")"),"Thermometers and pyrometers")</f>
        <v>Thermometers and pyrometers</v>
      </c>
      <c r="D4799" s="1" t="s">
        <v>11</v>
      </c>
      <c r="E4799" s="1" t="s">
        <v>11</v>
      </c>
    </row>
    <row r="4800" spans="1:13" ht="15.75" customHeight="1">
      <c r="A4800" s="1">
        <v>902519</v>
      </c>
      <c r="B4800" s="1" t="s">
        <v>4829</v>
      </c>
      <c r="C4800" s="1" t="str">
        <f ca="1">IFERROR(__xludf.DUMMYFUNCTION("REGEXEXTRACT(B4800, ""^([^:]+)"")"),"Thermometers and pyrometers")</f>
        <v>Thermometers and pyrometers</v>
      </c>
      <c r="D4800" s="1" t="s">
        <v>11</v>
      </c>
      <c r="E4800" s="1" t="s">
        <v>11</v>
      </c>
    </row>
    <row r="4801" spans="1:5" ht="15.75" customHeight="1">
      <c r="A4801" s="1">
        <v>902580</v>
      </c>
      <c r="B4801" s="1" t="s">
        <v>4830</v>
      </c>
      <c r="C4801" s="1" t="str">
        <f ca="1">IFERROR(__xludf.DUMMYFUNCTION("REGEXEXTRACT(B4801, ""^([^:]+)"")"),"Hydrometers and similar floating instruments, barometers, hygrometers, psychrometers, thermometers, pyrometers")</f>
        <v>Hydrometers and similar floating instruments, barometers, hygrometers, psychrometers, thermometers, pyrometers</v>
      </c>
      <c r="D4801" s="1" t="s">
        <v>11</v>
      </c>
      <c r="E4801" s="1" t="s">
        <v>11</v>
      </c>
    </row>
    <row r="4802" spans="1:5" ht="15.75" customHeight="1">
      <c r="A4802" s="1">
        <v>902590</v>
      </c>
      <c r="B4802" s="1" t="s">
        <v>4831</v>
      </c>
      <c r="C4802" s="1" t="str">
        <f ca="1">IFERROR(__xludf.DUMMYFUNCTION("REGEXEXTRACT(B4802, ""^([^:]+)"")"),"Hydrometers and similar floating instruments, barometers, hygrometers, psychrometers, thermometers, pyrometers")</f>
        <v>Hydrometers and similar floating instruments, barometers, hygrometers, psychrometers, thermometers, pyrometers</v>
      </c>
      <c r="D4802" s="1" t="s">
        <v>11</v>
      </c>
      <c r="E4802" s="1" t="s">
        <v>11</v>
      </c>
    </row>
    <row r="4803" spans="1:5" ht="15.75" customHeight="1">
      <c r="A4803" s="1">
        <v>902610</v>
      </c>
      <c r="B4803" s="1" t="s">
        <v>4832</v>
      </c>
      <c r="C4803" s="1" t="str">
        <f ca="1">IFERROR(__xludf.DUMMYFUNCTION("REGEXEXTRACT(B4803, ""^([^:]+)"")"),"Instruments and apparatus")</f>
        <v>Instruments and apparatus</v>
      </c>
      <c r="D4803" s="1" t="s">
        <v>11</v>
      </c>
      <c r="E4803" s="1" t="s">
        <v>11</v>
      </c>
    </row>
    <row r="4804" spans="1:5" ht="15.75" customHeight="1">
      <c r="A4804" s="1">
        <v>902620</v>
      </c>
      <c r="B4804" s="1" t="s">
        <v>4833</v>
      </c>
      <c r="C4804" s="1" t="str">
        <f ca="1">IFERROR(__xludf.DUMMYFUNCTION("REGEXEXTRACT(B4804, ""^([^:]+)"")"),"Instruments and apparatus")</f>
        <v>Instruments and apparatus</v>
      </c>
      <c r="D4804" s="1" t="s">
        <v>11</v>
      </c>
      <c r="E4804" s="1" t="s">
        <v>11</v>
      </c>
    </row>
    <row r="4805" spans="1:5" ht="15.75" customHeight="1">
      <c r="A4805" s="1">
        <v>902680</v>
      </c>
      <c r="B4805" s="1" t="s">
        <v>4834</v>
      </c>
      <c r="C4805" s="1" t="str">
        <f ca="1">IFERROR(__xludf.DUMMYFUNCTION("REGEXEXTRACT(B4805, ""^([^:]+)"")"),"Instruments and apparatus")</f>
        <v>Instruments and apparatus</v>
      </c>
      <c r="D4805" s="1" t="s">
        <v>11</v>
      </c>
      <c r="E4805" s="1" t="s">
        <v>11</v>
      </c>
    </row>
    <row r="4806" spans="1:5" ht="15.75" customHeight="1">
      <c r="A4806" s="1">
        <v>902690</v>
      </c>
      <c r="B4806" s="1" t="s">
        <v>4835</v>
      </c>
      <c r="C4806" s="1" t="str">
        <f ca="1">IFERROR(__xludf.DUMMYFUNCTION("REGEXEXTRACT(B4806, ""^([^:]+)"")"),"Instruments and apparatus")</f>
        <v>Instruments and apparatus</v>
      </c>
      <c r="D4806" s="1" t="s">
        <v>11</v>
      </c>
      <c r="E4806" s="1" t="s">
        <v>11</v>
      </c>
    </row>
    <row r="4807" spans="1:5" ht="15.75" customHeight="1">
      <c r="A4807" s="1">
        <v>902710</v>
      </c>
      <c r="B4807" s="1" t="s">
        <v>4836</v>
      </c>
      <c r="C4807" s="1" t="str">
        <f ca="1">IFERROR(__xludf.DUMMYFUNCTION("REGEXEXTRACT(B4807, ""^([^:]+)"")"),"Instruments and apparatus")</f>
        <v>Instruments and apparatus</v>
      </c>
      <c r="D4807" s="1" t="s">
        <v>11</v>
      </c>
      <c r="E4807" s="1" t="s">
        <v>11</v>
      </c>
    </row>
    <row r="4808" spans="1:5" ht="15.75" customHeight="1">
      <c r="A4808" s="1">
        <v>902720</v>
      </c>
      <c r="B4808" s="1" t="s">
        <v>4837</v>
      </c>
      <c r="C4808" s="1" t="str">
        <f ca="1">IFERROR(__xludf.DUMMYFUNCTION("REGEXEXTRACT(B4808, ""^([^:]+)"")"),"Chromatographs and electrophoresis instruments")</f>
        <v>Chromatographs and electrophoresis instruments</v>
      </c>
      <c r="D4808" s="1" t="s">
        <v>11</v>
      </c>
      <c r="E4808" s="1" t="s">
        <v>11</v>
      </c>
    </row>
    <row r="4809" spans="1:5" ht="15.75" customHeight="1">
      <c r="A4809" s="1">
        <v>902730</v>
      </c>
      <c r="B4809" s="1" t="s">
        <v>4838</v>
      </c>
      <c r="C4809" s="1" t="str">
        <f ca="1">IFERROR(__xludf.DUMMYFUNCTION("REGEXEXTRACT(B4809, ""^([^:]+)"")"),"Spectrometers, spectrophotometers and spectrographs")</f>
        <v>Spectrometers, spectrophotometers and spectrographs</v>
      </c>
      <c r="D4809" s="1" t="s">
        <v>11</v>
      </c>
      <c r="E4809" s="1" t="s">
        <v>11</v>
      </c>
    </row>
    <row r="4810" spans="1:5" ht="15.75" customHeight="1">
      <c r="A4810" s="1">
        <v>902750</v>
      </c>
      <c r="B4810" s="1" t="s">
        <v>4839</v>
      </c>
      <c r="C4810" s="1" t="str">
        <f ca="1">IFERROR(__xludf.DUMMYFUNCTION("REGEXEXTRACT(B4810, ""^([^:]+)"")"),"Instruments and apparatus")</f>
        <v>Instruments and apparatus</v>
      </c>
    </row>
    <row r="4811" spans="1:5" ht="15.75" customHeight="1">
      <c r="A4811" s="1">
        <v>902780</v>
      </c>
      <c r="B4811" s="1" t="s">
        <v>4840</v>
      </c>
      <c r="C4811" s="1" t="str">
        <f ca="1">IFERROR(__xludf.DUMMYFUNCTION("REGEXEXTRACT(B4811, ""^([^:]+)"")"),"Instruments and apparatus")</f>
        <v>Instruments and apparatus</v>
      </c>
      <c r="D4811" s="13" t="s">
        <v>11</v>
      </c>
      <c r="E4811" s="1" t="s">
        <v>11</v>
      </c>
    </row>
    <row r="4812" spans="1:5" ht="15.75" customHeight="1">
      <c r="A4812" s="1">
        <v>902790</v>
      </c>
      <c r="B4812" s="1" t="s">
        <v>4841</v>
      </c>
      <c r="C4812" s="1" t="str">
        <f ca="1">IFERROR(__xludf.DUMMYFUNCTION("REGEXEXTRACT(B4812, ""^([^:]+)"")"),"Microtomes and parts and accessories thereof")</f>
        <v>Microtomes and parts and accessories thereof</v>
      </c>
      <c r="D4812" s="1" t="s">
        <v>11</v>
      </c>
      <c r="E4812" s="1" t="s">
        <v>11</v>
      </c>
    </row>
    <row r="4813" spans="1:5" ht="15.75" customHeight="1">
      <c r="A4813" s="1">
        <v>902810</v>
      </c>
      <c r="B4813" s="1" t="s">
        <v>4842</v>
      </c>
      <c r="C4813" s="1" t="str">
        <f ca="1">IFERROR(__xludf.DUMMYFUNCTION("REGEXEXTRACT(B4813, ""^([^:]+)"")"),"Meters")</f>
        <v>Meters</v>
      </c>
      <c r="D4813" s="1" t="s">
        <v>11</v>
      </c>
      <c r="E4813" s="1" t="s">
        <v>11</v>
      </c>
    </row>
    <row r="4814" spans="1:5" ht="15.75" customHeight="1">
      <c r="A4814" s="1">
        <v>902820</v>
      </c>
      <c r="B4814" s="1" t="s">
        <v>4843</v>
      </c>
      <c r="C4814" s="1" t="str">
        <f ca="1">IFERROR(__xludf.DUMMYFUNCTION("REGEXEXTRACT(B4814, ""^([^:]+)"")"),"Meters")</f>
        <v>Meters</v>
      </c>
      <c r="D4814" s="1" t="s">
        <v>11</v>
      </c>
      <c r="E4814" s="1" t="s">
        <v>11</v>
      </c>
    </row>
    <row r="4815" spans="1:5" ht="15.75" customHeight="1">
      <c r="A4815" s="1">
        <v>902830</v>
      </c>
      <c r="B4815" s="1" t="s">
        <v>4844</v>
      </c>
      <c r="C4815" s="1" t="str">
        <f ca="1">IFERROR(__xludf.DUMMYFUNCTION("REGEXEXTRACT(B4815, ""^([^:]+)"")"),"Meters")</f>
        <v>Meters</v>
      </c>
      <c r="D4815" s="1" t="s">
        <v>11</v>
      </c>
      <c r="E4815" s="1" t="s">
        <v>11</v>
      </c>
    </row>
    <row r="4816" spans="1:5" ht="15.75" customHeight="1">
      <c r="A4816" s="1">
        <v>902890</v>
      </c>
      <c r="B4816" s="1" t="s">
        <v>4845</v>
      </c>
      <c r="C4816" s="1" t="str">
        <f ca="1">IFERROR(__xludf.DUMMYFUNCTION("REGEXEXTRACT(B4816, ""^([^:]+)"")"),"Meters")</f>
        <v>Meters</v>
      </c>
      <c r="D4816" s="1" t="s">
        <v>11</v>
      </c>
      <c r="E4816" s="1" t="s">
        <v>11</v>
      </c>
    </row>
    <row r="4817" spans="1:5" ht="15.75" customHeight="1">
      <c r="A4817" s="1">
        <v>902910</v>
      </c>
      <c r="B4817" s="1" t="s">
        <v>4846</v>
      </c>
      <c r="C4817" s="1" t="str">
        <f ca="1">IFERROR(__xludf.DUMMYFUNCTION("REGEXEXTRACT(B4817, ""^([^:]+)"")"),"Meters and counters")</f>
        <v>Meters and counters</v>
      </c>
      <c r="D4817" s="1" t="s">
        <v>11</v>
      </c>
      <c r="E4817" s="1" t="s">
        <v>11</v>
      </c>
    </row>
    <row r="4818" spans="1:5" ht="15.75" customHeight="1">
      <c r="A4818" s="1">
        <v>902920</v>
      </c>
      <c r="B4818" s="1" t="s">
        <v>4847</v>
      </c>
      <c r="C4818" s="1" t="str">
        <f ca="1">IFERROR(__xludf.DUMMYFUNCTION("REGEXEXTRACT(B4818, ""^([^:]+)"")"),"Meters")</f>
        <v>Meters</v>
      </c>
      <c r="D4818" s="1" t="s">
        <v>11</v>
      </c>
      <c r="E4818" s="1" t="s">
        <v>11</v>
      </c>
    </row>
    <row r="4819" spans="1:5" ht="15.75" customHeight="1">
      <c r="A4819" s="1">
        <v>902990</v>
      </c>
      <c r="B4819" s="1" t="s">
        <v>4848</v>
      </c>
      <c r="C4819" s="1" t="str">
        <f ca="1">IFERROR(__xludf.DUMMYFUNCTION("REGEXEXTRACT(B4819, ""^([^:]+)"")"),"Meters and counters")</f>
        <v>Meters and counters</v>
      </c>
      <c r="D4819" s="1" t="s">
        <v>11</v>
      </c>
      <c r="E4819" s="1" t="s">
        <v>11</v>
      </c>
    </row>
    <row r="4820" spans="1:5" ht="15.75" customHeight="1">
      <c r="A4820" s="1">
        <v>903010</v>
      </c>
      <c r="B4820" s="1" t="s">
        <v>4849</v>
      </c>
      <c r="C4820" s="1" t="str">
        <f ca="1">IFERROR(__xludf.DUMMYFUNCTION("REGEXEXTRACT(B4820, ""^([^:]+)"")"),"Instruments and apparatus")</f>
        <v>Instruments and apparatus</v>
      </c>
      <c r="D4820" s="1" t="s">
        <v>11</v>
      </c>
      <c r="E4820" s="1" t="s">
        <v>11</v>
      </c>
    </row>
    <row r="4821" spans="1:5" ht="15.75" customHeight="1">
      <c r="A4821" s="1">
        <v>903020</v>
      </c>
      <c r="B4821" s="1" t="s">
        <v>4850</v>
      </c>
      <c r="C4821" s="1" t="str">
        <f ca="1">IFERROR(__xludf.DUMMYFUNCTION("REGEXEXTRACT(B4821, ""^([^:]+)"")"),"Oscilloscopes and oscillographs")</f>
        <v>Oscilloscopes and oscillographs</v>
      </c>
      <c r="D4821" s="1" t="s">
        <v>11</v>
      </c>
      <c r="E4821" s="1" t="s">
        <v>11</v>
      </c>
    </row>
    <row r="4822" spans="1:5" ht="15.75" customHeight="1">
      <c r="A4822" s="1">
        <v>903031</v>
      </c>
      <c r="B4822" s="1" t="s">
        <v>4851</v>
      </c>
      <c r="C4822" s="1" t="str">
        <f ca="1">IFERROR(__xludf.DUMMYFUNCTION("REGEXEXTRACT(B4822, ""^([^:]+)"")"),"Multimeters")</f>
        <v>Multimeters</v>
      </c>
      <c r="D4822" s="1" t="s">
        <v>11</v>
      </c>
      <c r="E4822" s="1" t="s">
        <v>11</v>
      </c>
    </row>
    <row r="4823" spans="1:5" ht="15.75" customHeight="1">
      <c r="A4823" s="1">
        <v>903032</v>
      </c>
      <c r="B4823" s="1" t="s">
        <v>4852</v>
      </c>
      <c r="C4823" s="1" t="str">
        <f ca="1">IFERROR(__xludf.DUMMYFUNCTION("REGEXEXTRACT(B4823, ""^([^:]+)"")"),"Multimeters")</f>
        <v>Multimeters</v>
      </c>
      <c r="D4823" s="1" t="s">
        <v>11</v>
      </c>
      <c r="E4823" s="1" t="s">
        <v>11</v>
      </c>
    </row>
    <row r="4824" spans="1:5" ht="15.75" customHeight="1">
      <c r="A4824" s="1">
        <v>903033</v>
      </c>
      <c r="B4824" s="1" t="s">
        <v>4853</v>
      </c>
      <c r="C4824" s="1" t="str">
        <f ca="1">IFERROR(__xludf.DUMMYFUNCTION("REGEXEXTRACT(B4824, ""^([^:]+)"")"),"Instruments and apparatus")</f>
        <v>Instruments and apparatus</v>
      </c>
      <c r="D4824" s="1" t="s">
        <v>11</v>
      </c>
      <c r="E4824" s="1" t="s">
        <v>11</v>
      </c>
    </row>
    <row r="4825" spans="1:5" ht="15.75" customHeight="1">
      <c r="A4825" s="1">
        <v>903039</v>
      </c>
      <c r="B4825" s="1" t="s">
        <v>4854</v>
      </c>
      <c r="C4825" s="1" t="str">
        <f ca="1">IFERROR(__xludf.DUMMYFUNCTION("REGEXEXTRACT(B4825, ""^([^:]+)"")"),"Instruments and apparatus")</f>
        <v>Instruments and apparatus</v>
      </c>
      <c r="D4825" s="1" t="s">
        <v>11</v>
      </c>
      <c r="E4825" s="1" t="s">
        <v>11</v>
      </c>
    </row>
    <row r="4826" spans="1:5" ht="15.75" customHeight="1">
      <c r="A4826" s="1">
        <v>903040</v>
      </c>
      <c r="B4826" s="1" t="s">
        <v>4855</v>
      </c>
      <c r="C4826" s="1" t="str">
        <f ca="1">IFERROR(__xludf.DUMMYFUNCTION("REGEXEXTRACT(B4826, ""^([^:]+)"")"),"Instruments and apparatus")</f>
        <v>Instruments and apparatus</v>
      </c>
      <c r="D4826" s="1" t="s">
        <v>11</v>
      </c>
      <c r="E4826" s="1" t="s">
        <v>11</v>
      </c>
    </row>
    <row r="4827" spans="1:5" ht="15.75" customHeight="1">
      <c r="A4827" s="1">
        <v>903082</v>
      </c>
      <c r="B4827" s="1" t="s">
        <v>4856</v>
      </c>
      <c r="C4827" s="1" t="str">
        <f ca="1">IFERROR(__xludf.DUMMYFUNCTION("REGEXEXTRACT(B4827, ""^([^:]+)"")"),"Instruments and apparatus")</f>
        <v>Instruments and apparatus</v>
      </c>
      <c r="D4827" s="1" t="s">
        <v>11</v>
      </c>
      <c r="E4827" s="1" t="s">
        <v>11</v>
      </c>
    </row>
    <row r="4828" spans="1:5" ht="15.75" customHeight="1">
      <c r="A4828" s="1">
        <v>903084</v>
      </c>
      <c r="B4828" s="1" t="s">
        <v>4857</v>
      </c>
      <c r="C4828" s="1" t="str">
        <f ca="1">IFERROR(__xludf.DUMMYFUNCTION("REGEXEXTRACT(B4828, ""^([^:]+)"")"),"Instruments and apparatus")</f>
        <v>Instruments and apparatus</v>
      </c>
      <c r="D4828" s="1" t="s">
        <v>11</v>
      </c>
      <c r="E4828" s="1" t="s">
        <v>11</v>
      </c>
    </row>
    <row r="4829" spans="1:5" ht="15.75" customHeight="1">
      <c r="A4829" s="1">
        <v>903089</v>
      </c>
      <c r="B4829" s="1" t="s">
        <v>4858</v>
      </c>
      <c r="C4829" s="1" t="str">
        <f ca="1">IFERROR(__xludf.DUMMYFUNCTION("REGEXEXTRACT(B4829, ""^([^:]+)"")"),"Instruments and apparatus")</f>
        <v>Instruments and apparatus</v>
      </c>
      <c r="D4829" s="1" t="s">
        <v>11</v>
      </c>
      <c r="E4829" s="1" t="s">
        <v>11</v>
      </c>
    </row>
    <row r="4830" spans="1:5" ht="15.75" customHeight="1">
      <c r="A4830" s="1">
        <v>903090</v>
      </c>
      <c r="B4830" s="1" t="s">
        <v>4859</v>
      </c>
      <c r="C4830" s="1" t="str">
        <f ca="1">IFERROR(__xludf.DUMMYFUNCTION("REGEXEXTRACT(B4830, ""^([^:]+)"")"),"Instruments, apparatus for measuring, checking electrical quantities, not meters of heading no. 9028")</f>
        <v>Instruments, apparatus for measuring, checking electrical quantities, not meters of heading no. 9028</v>
      </c>
      <c r="D4830" s="1" t="s">
        <v>11</v>
      </c>
      <c r="E4830" s="1" t="s">
        <v>11</v>
      </c>
    </row>
    <row r="4831" spans="1:5" ht="15.75" customHeight="1">
      <c r="A4831" s="1">
        <v>903110</v>
      </c>
      <c r="B4831" s="1" t="s">
        <v>4860</v>
      </c>
      <c r="C4831" s="1" t="str">
        <f ca="1">IFERROR(__xludf.DUMMYFUNCTION("REGEXEXTRACT(B4831, ""^([^:]+)"")"),"Machines")</f>
        <v>Machines</v>
      </c>
      <c r="D4831" s="1" t="s">
        <v>11</v>
      </c>
      <c r="E4831" s="1" t="s">
        <v>11</v>
      </c>
    </row>
    <row r="4832" spans="1:5" ht="15.75" customHeight="1">
      <c r="A4832" s="1">
        <v>903120</v>
      </c>
      <c r="B4832" s="1" t="s">
        <v>4861</v>
      </c>
      <c r="C4832" s="1" t="str">
        <f ca="1">IFERROR(__xludf.DUMMYFUNCTION("REGEXEXTRACT(B4832, ""^([^:]+)"")"),"Test benches")</f>
        <v>Test benches</v>
      </c>
      <c r="D4832" s="1" t="s">
        <v>11</v>
      </c>
      <c r="E4832" s="1" t="s">
        <v>11</v>
      </c>
    </row>
    <row r="4833" spans="1:5" ht="15.75" customHeight="1">
      <c r="A4833" s="1">
        <v>903141</v>
      </c>
      <c r="B4833" s="1" t="s">
        <v>4862</v>
      </c>
      <c r="C4833" s="1" t="str">
        <f ca="1">IFERROR(__xludf.DUMMYFUNCTION("REGEXEXTRACT(B4833, ""^([^:]+)"")"),"Optical instruments and appliances")</f>
        <v>Optical instruments and appliances</v>
      </c>
      <c r="D4833" s="1" t="s">
        <v>11</v>
      </c>
      <c r="E4833" s="1" t="s">
        <v>11</v>
      </c>
    </row>
    <row r="4834" spans="1:5" ht="15.75" customHeight="1">
      <c r="A4834" s="1">
        <v>903149</v>
      </c>
      <c r="B4834" s="1" t="s">
        <v>4863</v>
      </c>
      <c r="C4834" s="1" t="str">
        <f ca="1">IFERROR(__xludf.DUMMYFUNCTION("REGEXEXTRACT(B4834, ""^([^:]+)"")"),"Optical instruments and appliances")</f>
        <v>Optical instruments and appliances</v>
      </c>
      <c r="D4834" s="1" t="s">
        <v>11</v>
      </c>
      <c r="E4834" s="1" t="s">
        <v>11</v>
      </c>
    </row>
    <row r="4835" spans="1:5" ht="15.75" customHeight="1">
      <c r="A4835" s="1">
        <v>903180</v>
      </c>
      <c r="B4835" s="1" t="s">
        <v>4864</v>
      </c>
      <c r="C4835" s="1" t="str">
        <f ca="1">IFERROR(__xludf.DUMMYFUNCTION("REGEXEXTRACT(B4835, ""^([^:]+)"")"),"Instruments, appliances and machines")</f>
        <v>Instruments, appliances and machines</v>
      </c>
      <c r="D4835" s="1" t="s">
        <v>11</v>
      </c>
      <c r="E4835" s="1" t="s">
        <v>11</v>
      </c>
    </row>
    <row r="4836" spans="1:5" ht="15.75" customHeight="1">
      <c r="A4836" s="1">
        <v>903190</v>
      </c>
      <c r="B4836" s="1" t="s">
        <v>4865</v>
      </c>
      <c r="C4836" s="1" t="str">
        <f ca="1">IFERROR(__xludf.DUMMYFUNCTION("REGEXEXTRACT(B4836, ""^([^:]+)"")"),"Instruments, appliances and machines")</f>
        <v>Instruments, appliances and machines</v>
      </c>
      <c r="D4836" s="1" t="s">
        <v>11</v>
      </c>
      <c r="E4836" s="1" t="s">
        <v>11</v>
      </c>
    </row>
    <row r="4837" spans="1:5" ht="15.75" customHeight="1">
      <c r="A4837" s="1">
        <v>903210</v>
      </c>
      <c r="B4837" s="1" t="s">
        <v>4866</v>
      </c>
      <c r="C4837" s="1" t="str">
        <f ca="1">IFERROR(__xludf.DUMMYFUNCTION("REGEXEXTRACT(B4837, ""^([^:]+)"")"),"Regulating or controlling instruments and apparatus")</f>
        <v>Regulating or controlling instruments and apparatus</v>
      </c>
      <c r="D4837" s="1" t="s">
        <v>11</v>
      </c>
      <c r="E4837" s="1" t="s">
        <v>11</v>
      </c>
    </row>
    <row r="4838" spans="1:5" ht="15.75" customHeight="1">
      <c r="A4838" s="1">
        <v>903220</v>
      </c>
      <c r="B4838" s="1" t="s">
        <v>4867</v>
      </c>
      <c r="C4838" s="1" t="str">
        <f ca="1">IFERROR(__xludf.DUMMYFUNCTION("REGEXEXTRACT(B4838, ""^([^:]+)"")"),"Regulating or controlling instruments and apparatus")</f>
        <v>Regulating or controlling instruments and apparatus</v>
      </c>
      <c r="D4838" s="1" t="s">
        <v>11</v>
      </c>
      <c r="E4838" s="1" t="s">
        <v>11</v>
      </c>
    </row>
    <row r="4839" spans="1:5" ht="15.75" customHeight="1">
      <c r="A4839" s="1">
        <v>903281</v>
      </c>
      <c r="B4839" s="1" t="s">
        <v>4868</v>
      </c>
      <c r="C4839" s="1" t="str">
        <f ca="1">IFERROR(__xludf.DUMMYFUNCTION("REGEXEXTRACT(B4839, ""^([^:]+)"")"),"Regulating or controlling instruments and apparatus")</f>
        <v>Regulating or controlling instruments and apparatus</v>
      </c>
      <c r="D4839" s="1" t="s">
        <v>11</v>
      </c>
      <c r="E4839" s="1" t="s">
        <v>11</v>
      </c>
    </row>
    <row r="4840" spans="1:5" ht="15.75" customHeight="1">
      <c r="A4840" s="1">
        <v>903289</v>
      </c>
      <c r="B4840" s="1" t="s">
        <v>4869</v>
      </c>
      <c r="C4840" s="1" t="str">
        <f ca="1">IFERROR(__xludf.DUMMYFUNCTION("REGEXEXTRACT(B4840, ""^([^:]+)"")"),"Regulating or controlling instruments and apparatus")</f>
        <v>Regulating or controlling instruments and apparatus</v>
      </c>
      <c r="D4840" s="1" t="s">
        <v>11</v>
      </c>
      <c r="E4840" s="1" t="s">
        <v>11</v>
      </c>
    </row>
    <row r="4841" spans="1:5" ht="15.75" customHeight="1">
      <c r="A4841" s="1">
        <v>903290</v>
      </c>
      <c r="B4841" s="1" t="s">
        <v>4870</v>
      </c>
      <c r="C4841" s="1" t="str">
        <f ca="1">IFERROR(__xludf.DUMMYFUNCTION("REGEXEXTRACT(B4841, ""^([^:]+)"")"),"Regulating or controlling instruments and apparatus")</f>
        <v>Regulating or controlling instruments and apparatus</v>
      </c>
      <c r="D4841" s="1" t="s">
        <v>11</v>
      </c>
      <c r="E4841" s="1" t="s">
        <v>11</v>
      </c>
    </row>
    <row r="4842" spans="1:5" ht="15.75" customHeight="1">
      <c r="A4842" s="1">
        <v>903300</v>
      </c>
      <c r="B4842" s="1" t="s">
        <v>4871</v>
      </c>
      <c r="C4842" s="1" t="str">
        <f ca="1">IFERROR(__xludf.DUMMYFUNCTION("REGEXEXTRACT(B4842, ""^([^:]+)"")"),"Machines and appliances")</f>
        <v>Machines and appliances</v>
      </c>
      <c r="D4842" s="1" t="s">
        <v>11</v>
      </c>
      <c r="E4842" s="1" t="s">
        <v>11</v>
      </c>
    </row>
    <row r="4843" spans="1:5" ht="15.75" customHeight="1">
      <c r="A4843" s="1">
        <v>910111</v>
      </c>
      <c r="B4843" s="1" t="s">
        <v>4872</v>
      </c>
      <c r="C4843" s="1" t="str">
        <f ca="1">IFERROR(__xludf.DUMMYFUNCTION("REGEXEXTRACT(B4843, ""^([^:]+)"")"),"Wrist-watches")</f>
        <v>Wrist-watches</v>
      </c>
      <c r="D4843" s="1" t="s">
        <v>11</v>
      </c>
      <c r="E4843" s="1" t="s">
        <v>11</v>
      </c>
    </row>
    <row r="4844" spans="1:5" ht="15.75" customHeight="1">
      <c r="A4844" s="1">
        <v>910119</v>
      </c>
      <c r="B4844" s="1" t="s">
        <v>4873</v>
      </c>
      <c r="C4844" s="1" t="str">
        <f ca="1">IFERROR(__xludf.DUMMYFUNCTION("REGEXEXTRACT(B4844, ""^([^:]+)"")"),"Wrist-watches")</f>
        <v>Wrist-watches</v>
      </c>
      <c r="D4844" s="1" t="s">
        <v>11</v>
      </c>
      <c r="E4844" s="1" t="s">
        <v>11</v>
      </c>
    </row>
    <row r="4845" spans="1:5" ht="15.75" customHeight="1">
      <c r="A4845" s="1">
        <v>910121</v>
      </c>
      <c r="B4845" s="1" t="s">
        <v>4874</v>
      </c>
      <c r="C4845" s="1" t="str">
        <f ca="1">IFERROR(__xludf.DUMMYFUNCTION("REGEXEXTRACT(B4845, ""^([^:]+)"")"),"Wrist-watches")</f>
        <v>Wrist-watches</v>
      </c>
      <c r="D4845" s="1" t="s">
        <v>11</v>
      </c>
      <c r="E4845" s="1" t="s">
        <v>11</v>
      </c>
    </row>
    <row r="4846" spans="1:5" ht="15.75" customHeight="1">
      <c r="A4846" s="1">
        <v>910129</v>
      </c>
      <c r="B4846" s="1" t="s">
        <v>4875</v>
      </c>
      <c r="C4846" s="1" t="str">
        <f ca="1">IFERROR(__xludf.DUMMYFUNCTION("REGEXEXTRACT(B4846, ""^([^:]+)"")"),"Wrist-watches")</f>
        <v>Wrist-watches</v>
      </c>
      <c r="D4846" s="1" t="s">
        <v>11</v>
      </c>
      <c r="E4846" s="1" t="s">
        <v>11</v>
      </c>
    </row>
    <row r="4847" spans="1:5" ht="15.75" customHeight="1">
      <c r="A4847" s="1">
        <v>910191</v>
      </c>
      <c r="B4847" s="1" t="s">
        <v>4876</v>
      </c>
      <c r="C4847" s="1" t="str">
        <f ca="1">IFERROR(__xludf.DUMMYFUNCTION("REGEXEXTRACT(B4847, ""^([^:]+)"")"),"Pocket-watches and other watches, including stop-watches")</f>
        <v>Pocket-watches and other watches, including stop-watches</v>
      </c>
      <c r="D4847" s="1" t="s">
        <v>11</v>
      </c>
      <c r="E4847" s="1" t="s">
        <v>11</v>
      </c>
    </row>
    <row r="4848" spans="1:5" ht="15.75" customHeight="1">
      <c r="A4848" s="1">
        <v>910199</v>
      </c>
      <c r="B4848" s="1" t="s">
        <v>4877</v>
      </c>
      <c r="C4848" s="1" t="str">
        <f ca="1">IFERROR(__xludf.DUMMYFUNCTION("REGEXEXTRACT(B4848, ""^([^:]+)"")"),"Pocket-watches and other watches, including stop-watches")</f>
        <v>Pocket-watches and other watches, including stop-watches</v>
      </c>
      <c r="D4848" s="1" t="s">
        <v>11</v>
      </c>
      <c r="E4848" s="1" t="s">
        <v>11</v>
      </c>
    </row>
    <row r="4849" spans="1:5" ht="15.75" customHeight="1">
      <c r="A4849" s="1">
        <v>910211</v>
      </c>
      <c r="B4849" s="1" t="s">
        <v>4878</v>
      </c>
      <c r="C4849" s="1" t="str">
        <f ca="1">IFERROR(__xludf.DUMMYFUNCTION("REGEXEXTRACT(B4849, ""^([^:]+)"")"),"Wrist-watches")</f>
        <v>Wrist-watches</v>
      </c>
      <c r="D4849" s="1" t="s">
        <v>11</v>
      </c>
      <c r="E4849" s="1" t="s">
        <v>11</v>
      </c>
    </row>
    <row r="4850" spans="1:5" ht="15.75" customHeight="1">
      <c r="A4850" s="1">
        <v>910212</v>
      </c>
      <c r="B4850" s="1" t="s">
        <v>4879</v>
      </c>
      <c r="C4850" s="1" t="str">
        <f ca="1">IFERROR(__xludf.DUMMYFUNCTION("REGEXEXTRACT(B4850, ""^([^:]+)"")"),"Wrist-watches")</f>
        <v>Wrist-watches</v>
      </c>
      <c r="D4850" s="1" t="s">
        <v>11</v>
      </c>
      <c r="E4850" s="1" t="s">
        <v>11</v>
      </c>
    </row>
    <row r="4851" spans="1:5" ht="15.75" customHeight="1">
      <c r="A4851" s="1">
        <v>910219</v>
      </c>
      <c r="B4851" s="1" t="s">
        <v>4880</v>
      </c>
      <c r="C4851" s="1" t="str">
        <f ca="1">IFERROR(__xludf.DUMMYFUNCTION("REGEXEXTRACT(B4851, ""^([^:]+)"")"),"Wrist-watches")</f>
        <v>Wrist-watches</v>
      </c>
      <c r="D4851" s="1" t="s">
        <v>11</v>
      </c>
      <c r="E4851" s="1" t="s">
        <v>11</v>
      </c>
    </row>
    <row r="4852" spans="1:5" ht="15.75" customHeight="1">
      <c r="A4852" s="1">
        <v>910221</v>
      </c>
      <c r="B4852" s="1" t="s">
        <v>4881</v>
      </c>
      <c r="C4852" s="1" t="str">
        <f ca="1">IFERROR(__xludf.DUMMYFUNCTION("REGEXEXTRACT(B4852, ""^([^:]+)"")"),"Wrist-watches")</f>
        <v>Wrist-watches</v>
      </c>
      <c r="D4852" s="1" t="s">
        <v>11</v>
      </c>
      <c r="E4852" s="1" t="s">
        <v>11</v>
      </c>
    </row>
    <row r="4853" spans="1:5" ht="15.75" customHeight="1">
      <c r="A4853" s="1">
        <v>910229</v>
      </c>
      <c r="B4853" s="1" t="s">
        <v>4882</v>
      </c>
      <c r="C4853" s="1" t="str">
        <f ca="1">IFERROR(__xludf.DUMMYFUNCTION("REGEXEXTRACT(B4853, ""^([^:]+)"")"),"Wrist-watches")</f>
        <v>Wrist-watches</v>
      </c>
      <c r="D4853" s="1" t="s">
        <v>11</v>
      </c>
      <c r="E4853" s="1" t="s">
        <v>11</v>
      </c>
    </row>
    <row r="4854" spans="1:5" ht="15.75" customHeight="1">
      <c r="A4854" s="1">
        <v>910291</v>
      </c>
      <c r="B4854" s="1" t="s">
        <v>4883</v>
      </c>
      <c r="C4854" s="1" t="str">
        <f ca="1">IFERROR(__xludf.DUMMYFUNCTION("REGEXEXTRACT(B4854, ""^([^:]+)"")"),"Pocket watches and other watches, including stop-watches")</f>
        <v>Pocket watches and other watches, including stop-watches</v>
      </c>
      <c r="D4854" s="1" t="s">
        <v>11</v>
      </c>
      <c r="E4854" s="1" t="s">
        <v>11</v>
      </c>
    </row>
    <row r="4855" spans="1:5" ht="15.75" customHeight="1">
      <c r="A4855" s="1">
        <v>910299</v>
      </c>
      <c r="B4855" s="1" t="s">
        <v>4884</v>
      </c>
      <c r="C4855" s="1" t="str">
        <f ca="1">IFERROR(__xludf.DUMMYFUNCTION("REGEXEXTRACT(B4855, ""^([^:]+)"")"),"Pocket watches and other watches, including stop-watches")</f>
        <v>Pocket watches and other watches, including stop-watches</v>
      </c>
      <c r="D4855" s="1" t="s">
        <v>11</v>
      </c>
      <c r="E4855" s="1" t="s">
        <v>11</v>
      </c>
    </row>
    <row r="4856" spans="1:5" ht="15.75" customHeight="1">
      <c r="A4856" s="1">
        <v>910310</v>
      </c>
      <c r="B4856" s="1" t="s">
        <v>4885</v>
      </c>
      <c r="C4856" s="1" t="str">
        <f ca="1">IFERROR(__xludf.DUMMYFUNCTION("REGEXEXTRACT(B4856, ""^([^:]+)"")"),"Clocks")</f>
        <v>Clocks</v>
      </c>
      <c r="D4856" s="1" t="s">
        <v>11</v>
      </c>
      <c r="E4856" s="1" t="s">
        <v>11</v>
      </c>
    </row>
    <row r="4857" spans="1:5" ht="15.75" customHeight="1">
      <c r="A4857" s="1">
        <v>910390</v>
      </c>
      <c r="B4857" s="1" t="s">
        <v>4886</v>
      </c>
      <c r="C4857" s="1" t="str">
        <f ca="1">IFERROR(__xludf.DUMMYFUNCTION("REGEXEXTRACT(B4857, ""^([^:]+)"")"),"Clocks")</f>
        <v>Clocks</v>
      </c>
      <c r="D4857" s="1" t="s">
        <v>11</v>
      </c>
      <c r="E4857" s="1" t="s">
        <v>11</v>
      </c>
    </row>
    <row r="4858" spans="1:5" ht="15.75" customHeight="1">
      <c r="A4858" s="1">
        <v>910400</v>
      </c>
      <c r="B4858" s="1" t="s">
        <v>4887</v>
      </c>
      <c r="C4858" s="1" t="str">
        <f ca="1">IFERROR(__xludf.DUMMYFUNCTION("REGEXEXTRACT(B4858, ""^([^:]+)"")"),"Clocks")</f>
        <v>Clocks</v>
      </c>
      <c r="D4858" s="1" t="s">
        <v>11</v>
      </c>
      <c r="E4858" s="1" t="s">
        <v>11</v>
      </c>
    </row>
    <row r="4859" spans="1:5" ht="15.75" customHeight="1">
      <c r="A4859" s="1">
        <v>910511</v>
      </c>
      <c r="B4859" s="1" t="s">
        <v>4888</v>
      </c>
      <c r="C4859" s="1" t="str">
        <f ca="1">IFERROR(__xludf.DUMMYFUNCTION("REGEXEXTRACT(B4859, ""^([^:]+)"")"),"Clocks")</f>
        <v>Clocks</v>
      </c>
      <c r="D4859" s="1" t="s">
        <v>11</v>
      </c>
      <c r="E4859" s="1" t="s">
        <v>11</v>
      </c>
    </row>
    <row r="4860" spans="1:5" ht="15.75" customHeight="1">
      <c r="A4860" s="1">
        <v>910519</v>
      </c>
      <c r="B4860" s="1" t="s">
        <v>4889</v>
      </c>
      <c r="C4860" s="1" t="str">
        <f ca="1">IFERROR(__xludf.DUMMYFUNCTION("REGEXEXTRACT(B4860, ""^([^:]+)"")"),"Clocks")</f>
        <v>Clocks</v>
      </c>
      <c r="D4860" s="1" t="s">
        <v>11</v>
      </c>
      <c r="E4860" s="1" t="s">
        <v>11</v>
      </c>
    </row>
    <row r="4861" spans="1:5" ht="15.75" customHeight="1">
      <c r="A4861" s="1">
        <v>910521</v>
      </c>
      <c r="B4861" s="1" t="s">
        <v>4890</v>
      </c>
      <c r="C4861" s="1" t="str">
        <f ca="1">IFERROR(__xludf.DUMMYFUNCTION("REGEXEXTRACT(B4861, ""^([^:]+)"")"),"Clocks")</f>
        <v>Clocks</v>
      </c>
      <c r="D4861" s="1" t="s">
        <v>11</v>
      </c>
      <c r="E4861" s="1" t="s">
        <v>11</v>
      </c>
    </row>
    <row r="4862" spans="1:5" ht="15.75" customHeight="1">
      <c r="A4862" s="1">
        <v>910529</v>
      </c>
      <c r="B4862" s="1" t="s">
        <v>4891</v>
      </c>
      <c r="C4862" s="1" t="str">
        <f ca="1">IFERROR(__xludf.DUMMYFUNCTION("REGEXEXTRACT(B4862, ""^([^:]+)"")"),"Clocks")</f>
        <v>Clocks</v>
      </c>
      <c r="D4862" s="1" t="s">
        <v>11</v>
      </c>
      <c r="E4862" s="1" t="s">
        <v>11</v>
      </c>
    </row>
    <row r="4863" spans="1:5" ht="15.75" customHeight="1">
      <c r="A4863" s="1">
        <v>910591</v>
      </c>
      <c r="B4863" s="1" t="s">
        <v>4892</v>
      </c>
      <c r="C4863" s="1" t="str">
        <f ca="1">IFERROR(__xludf.DUMMYFUNCTION("REGEXEXTRACT(B4863, ""^([^:]+)"")"),"Clocks")</f>
        <v>Clocks</v>
      </c>
      <c r="D4863" s="1" t="s">
        <v>11</v>
      </c>
      <c r="E4863" s="1" t="s">
        <v>11</v>
      </c>
    </row>
    <row r="4864" spans="1:5" ht="15.75" customHeight="1">
      <c r="A4864" s="1">
        <v>910599</v>
      </c>
      <c r="B4864" s="1" t="s">
        <v>4893</v>
      </c>
      <c r="C4864" s="1" t="str">
        <f ca="1">IFERROR(__xludf.DUMMYFUNCTION("REGEXEXTRACT(B4864, ""^([^:]+)"")"),"Clocks")</f>
        <v>Clocks</v>
      </c>
      <c r="D4864" s="1" t="s">
        <v>11</v>
      </c>
      <c r="E4864" s="1" t="s">
        <v>11</v>
      </c>
    </row>
    <row r="4865" spans="1:5" ht="15.75" customHeight="1">
      <c r="A4865" s="1">
        <v>910610</v>
      </c>
      <c r="B4865" s="1" t="s">
        <v>4894</v>
      </c>
      <c r="C4865" s="1" t="str">
        <f ca="1">IFERROR(__xludf.DUMMYFUNCTION("REGEXEXTRACT(B4865, ""^([^:]+)"")"),"Time recording apparatus")</f>
        <v>Time recording apparatus</v>
      </c>
      <c r="D4865" s="1" t="s">
        <v>11</v>
      </c>
      <c r="E4865" s="1" t="s">
        <v>11</v>
      </c>
    </row>
    <row r="4866" spans="1:5" ht="15.75" customHeight="1">
      <c r="A4866" s="1">
        <v>910690</v>
      </c>
      <c r="B4866" s="1" t="s">
        <v>4895</v>
      </c>
      <c r="C4866" s="1" t="str">
        <f ca="1">IFERROR(__xludf.DUMMYFUNCTION("REGEXEXTRACT(B4866, ""^([^:]+)"")"),"Time recording apparatus")</f>
        <v>Time recording apparatus</v>
      </c>
      <c r="D4866" s="1" t="s">
        <v>11</v>
      </c>
      <c r="E4866" s="1" t="s">
        <v>11</v>
      </c>
    </row>
    <row r="4867" spans="1:5" ht="15.75" customHeight="1">
      <c r="A4867" s="1">
        <v>910700</v>
      </c>
      <c r="B4867" s="1" t="s">
        <v>4896</v>
      </c>
      <c r="C4867" s="1" t="str">
        <f ca="1">IFERROR(__xludf.DUMMYFUNCTION("REGEXEXTRACT(B4867, ""^([^:]+)"")"),"Time switches")</f>
        <v>Time switches</v>
      </c>
      <c r="D4867" s="1" t="s">
        <v>11</v>
      </c>
      <c r="E4867" s="1" t="s">
        <v>11</v>
      </c>
    </row>
    <row r="4868" spans="1:5" ht="15.75" customHeight="1">
      <c r="A4868" s="1">
        <v>910811</v>
      </c>
      <c r="B4868" s="1" t="s">
        <v>4897</v>
      </c>
      <c r="C4868" s="1" t="str">
        <f ca="1">IFERROR(__xludf.DUMMYFUNCTION("REGEXEXTRACT(B4868, ""^([^:]+)"")"),"Watch movements")</f>
        <v>Watch movements</v>
      </c>
      <c r="D4868" s="1" t="s">
        <v>11</v>
      </c>
      <c r="E4868" s="1" t="s">
        <v>11</v>
      </c>
    </row>
    <row r="4869" spans="1:5" ht="15.75" customHeight="1">
      <c r="A4869" s="1">
        <v>910812</v>
      </c>
      <c r="B4869" s="1" t="s">
        <v>4898</v>
      </c>
      <c r="C4869" s="1" t="str">
        <f ca="1">IFERROR(__xludf.DUMMYFUNCTION("REGEXEXTRACT(B4869, ""^([^:]+)"")"),"Watch movements")</f>
        <v>Watch movements</v>
      </c>
      <c r="D4869" s="1" t="s">
        <v>11</v>
      </c>
      <c r="E4869" s="1" t="s">
        <v>11</v>
      </c>
    </row>
    <row r="4870" spans="1:5" ht="15.75" customHeight="1">
      <c r="A4870" s="1">
        <v>910819</v>
      </c>
      <c r="B4870" s="1" t="s">
        <v>4899</v>
      </c>
      <c r="C4870" s="1" t="str">
        <f ca="1">IFERROR(__xludf.DUMMYFUNCTION("REGEXEXTRACT(B4870, ""^([^:]+)"")"),"Watch movements")</f>
        <v>Watch movements</v>
      </c>
      <c r="D4870" s="1" t="s">
        <v>11</v>
      </c>
      <c r="E4870" s="1" t="s">
        <v>11</v>
      </c>
    </row>
    <row r="4871" spans="1:5" ht="15.75" customHeight="1">
      <c r="A4871" s="1">
        <v>910820</v>
      </c>
      <c r="B4871" s="1" t="s">
        <v>4900</v>
      </c>
      <c r="C4871" s="1" t="str">
        <f ca="1">IFERROR(__xludf.DUMMYFUNCTION("REGEXEXTRACT(B4871, ""^([^:]+)"")"),"Watch movements")</f>
        <v>Watch movements</v>
      </c>
      <c r="D4871" s="1" t="s">
        <v>11</v>
      </c>
      <c r="E4871" s="1" t="s">
        <v>11</v>
      </c>
    </row>
    <row r="4872" spans="1:5" ht="15.75" customHeight="1">
      <c r="A4872" s="1">
        <v>910890</v>
      </c>
      <c r="B4872" s="1" t="s">
        <v>4901</v>
      </c>
      <c r="C4872" s="1" t="str">
        <f ca="1">IFERROR(__xludf.DUMMYFUNCTION("REGEXEXTRACT(B4872, ""^([^:]+)"")"),"Watch movements")</f>
        <v>Watch movements</v>
      </c>
      <c r="D4872" s="1" t="s">
        <v>11</v>
      </c>
      <c r="E4872" s="1" t="s">
        <v>11</v>
      </c>
    </row>
    <row r="4873" spans="1:5" ht="15.75" customHeight="1">
      <c r="A4873" s="1">
        <v>910911</v>
      </c>
      <c r="B4873" s="1" t="s">
        <v>4902</v>
      </c>
      <c r="C4873" s="1" t="str">
        <f ca="1">IFERROR(__xludf.DUMMYFUNCTION("REGEXEXTRACT(B4873, ""^([^:]+)"")"),"Clock movements")</f>
        <v>Clock movements</v>
      </c>
      <c r="D4873" s="1" t="s">
        <v>11</v>
      </c>
      <c r="E4873" s="1" t="s">
        <v>11</v>
      </c>
    </row>
    <row r="4874" spans="1:5" ht="15.75" customHeight="1">
      <c r="A4874" s="1">
        <v>910919</v>
      </c>
      <c r="B4874" s="1" t="s">
        <v>4903</v>
      </c>
      <c r="C4874" s="1" t="str">
        <f ca="1">IFERROR(__xludf.DUMMYFUNCTION("REGEXEXTRACT(B4874, ""^([^:]+)"")"),"Clock movements")</f>
        <v>Clock movements</v>
      </c>
      <c r="D4874" s="1" t="s">
        <v>11</v>
      </c>
      <c r="E4874" s="1" t="s">
        <v>11</v>
      </c>
    </row>
    <row r="4875" spans="1:5" ht="15.75" customHeight="1">
      <c r="A4875" s="1">
        <v>910990</v>
      </c>
      <c r="B4875" s="1" t="s">
        <v>4904</v>
      </c>
      <c r="C4875" s="1" t="str">
        <f ca="1">IFERROR(__xludf.DUMMYFUNCTION("REGEXEXTRACT(B4875, ""^([^:]+)"")"),"Clock movements")</f>
        <v>Clock movements</v>
      </c>
      <c r="D4875" s="1" t="s">
        <v>11</v>
      </c>
      <c r="E4875" s="1" t="s">
        <v>11</v>
      </c>
    </row>
    <row r="4876" spans="1:5" ht="15.75" customHeight="1">
      <c r="A4876" s="1">
        <v>911011</v>
      </c>
      <c r="B4876" s="1" t="s">
        <v>4905</v>
      </c>
      <c r="C4876" s="1" t="str">
        <f ca="1">IFERROR(__xludf.DUMMYFUNCTION("REGEXEXTRACT(B4876, ""^([^:]+)"")"),"Watches")</f>
        <v>Watches</v>
      </c>
      <c r="D4876" s="1" t="s">
        <v>11</v>
      </c>
      <c r="E4876" s="1" t="s">
        <v>11</v>
      </c>
    </row>
    <row r="4877" spans="1:5" ht="15.75" customHeight="1">
      <c r="A4877" s="1">
        <v>911012</v>
      </c>
      <c r="B4877" s="1" t="s">
        <v>4906</v>
      </c>
      <c r="C4877" s="1" t="str">
        <f ca="1">IFERROR(__xludf.DUMMYFUNCTION("REGEXEXTRACT(B4877, ""^([^:]+)"")"),"Watches")</f>
        <v>Watches</v>
      </c>
      <c r="D4877" s="1" t="s">
        <v>11</v>
      </c>
      <c r="E4877" s="1" t="s">
        <v>11</v>
      </c>
    </row>
    <row r="4878" spans="1:5" ht="15.75" customHeight="1">
      <c r="A4878" s="1">
        <v>911019</v>
      </c>
      <c r="B4878" s="1" t="s">
        <v>4907</v>
      </c>
      <c r="C4878" s="1" t="str">
        <f ca="1">IFERROR(__xludf.DUMMYFUNCTION("REGEXEXTRACT(B4878, ""^([^:]+)"")"),"Watches")</f>
        <v>Watches</v>
      </c>
      <c r="D4878" s="1" t="s">
        <v>11</v>
      </c>
      <c r="E4878" s="1" t="s">
        <v>11</v>
      </c>
    </row>
    <row r="4879" spans="1:5" ht="15.75" customHeight="1">
      <c r="A4879" s="1">
        <v>911090</v>
      </c>
      <c r="B4879" s="1" t="s">
        <v>4908</v>
      </c>
      <c r="C4879" s="1" t="str">
        <f ca="1">IFERROR(__xludf.DUMMYFUNCTION("REGEXEXTRACT(B4879, ""^([^:]+)"")"),"Clocks")</f>
        <v>Clocks</v>
      </c>
      <c r="D4879" s="1" t="s">
        <v>11</v>
      </c>
      <c r="E4879" s="1" t="s">
        <v>11</v>
      </c>
    </row>
    <row r="4880" spans="1:5" ht="15.75" customHeight="1">
      <c r="A4880" s="1">
        <v>911110</v>
      </c>
      <c r="B4880" s="1" t="s">
        <v>4909</v>
      </c>
      <c r="C4880" s="1" t="str">
        <f ca="1">IFERROR(__xludf.DUMMYFUNCTION("REGEXEXTRACT(B4880, ""^([^:]+)"")"),"Watch cases")</f>
        <v>Watch cases</v>
      </c>
      <c r="D4880" s="1" t="s">
        <v>11</v>
      </c>
      <c r="E4880" s="1" t="s">
        <v>11</v>
      </c>
    </row>
    <row r="4881" spans="1:5" ht="15.75" customHeight="1">
      <c r="A4881" s="1">
        <v>911120</v>
      </c>
      <c r="B4881" s="1" t="s">
        <v>4910</v>
      </c>
      <c r="C4881" s="1" t="str">
        <f ca="1">IFERROR(__xludf.DUMMYFUNCTION("REGEXEXTRACT(B4881, ""^([^:]+)"")"),"Watch cases")</f>
        <v>Watch cases</v>
      </c>
      <c r="D4881" s="1" t="s">
        <v>11</v>
      </c>
      <c r="E4881" s="1" t="s">
        <v>11</v>
      </c>
    </row>
    <row r="4882" spans="1:5" ht="15.75" customHeight="1">
      <c r="A4882" s="1">
        <v>911180</v>
      </c>
      <c r="B4882" s="1" t="s">
        <v>4911</v>
      </c>
      <c r="C4882" s="1" t="str">
        <f ca="1">IFERROR(__xludf.DUMMYFUNCTION("REGEXEXTRACT(B4882, ""^([^:]+)"")"),"Watch cases")</f>
        <v>Watch cases</v>
      </c>
      <c r="D4882" s="1" t="s">
        <v>11</v>
      </c>
      <c r="E4882" s="1" t="s">
        <v>11</v>
      </c>
    </row>
    <row r="4883" spans="1:5" ht="15.75" customHeight="1">
      <c r="A4883" s="1">
        <v>911190</v>
      </c>
      <c r="B4883" s="1" t="s">
        <v>4912</v>
      </c>
      <c r="C4883" s="1" t="str">
        <f ca="1">IFERROR(__xludf.DUMMYFUNCTION("REGEXEXTRACT(B4883, ""^([^:]+)"")"),"Watch cases and parts thereof")</f>
        <v>Watch cases and parts thereof</v>
      </c>
      <c r="D4883" s="1" t="s">
        <v>11</v>
      </c>
      <c r="E4883" s="1" t="s">
        <v>11</v>
      </c>
    </row>
    <row r="4884" spans="1:5" ht="15.75" customHeight="1">
      <c r="A4884" s="1">
        <v>911220</v>
      </c>
      <c r="B4884" s="1" t="s">
        <v>4913</v>
      </c>
      <c r="C4884" s="1" t="str">
        <f ca="1">IFERROR(__xludf.DUMMYFUNCTION("REGEXEXTRACT(B4884, ""^([^:]+)"")"),"Clock cases and similar cases for other goods of chapter 91")</f>
        <v>Clock cases and similar cases for other goods of chapter 91</v>
      </c>
      <c r="D4884" s="1" t="s">
        <v>11</v>
      </c>
      <c r="E4884" s="1" t="s">
        <v>11</v>
      </c>
    </row>
    <row r="4885" spans="1:5" ht="15.75" customHeight="1">
      <c r="A4885" s="1">
        <v>911290</v>
      </c>
      <c r="B4885" s="1" t="s">
        <v>4914</v>
      </c>
      <c r="C4885" s="1" t="str">
        <f ca="1">IFERROR(__xludf.DUMMYFUNCTION("REGEXEXTRACT(B4885, ""^([^:]+)"")"),"Clock cases and similar cases for other goods of chapter 91")</f>
        <v>Clock cases and similar cases for other goods of chapter 91</v>
      </c>
      <c r="D4885" s="1" t="s">
        <v>11</v>
      </c>
      <c r="E4885" s="1" t="s">
        <v>11</v>
      </c>
    </row>
    <row r="4886" spans="1:5" ht="15.75" customHeight="1">
      <c r="A4886" s="1">
        <v>911310</v>
      </c>
      <c r="B4886" s="1" t="s">
        <v>4915</v>
      </c>
      <c r="C4886" s="1" t="str">
        <f ca="1">IFERROR(__xludf.DUMMYFUNCTION("REGEXEXTRACT(B4886, ""^([^:]+)"")"),"Watch straps, watch bands, watch bracelets, and parts thereof")</f>
        <v>Watch straps, watch bands, watch bracelets, and parts thereof</v>
      </c>
      <c r="D4886" s="1" t="s">
        <v>11</v>
      </c>
      <c r="E4886" s="1" t="s">
        <v>11</v>
      </c>
    </row>
    <row r="4887" spans="1:5" ht="15.75" customHeight="1">
      <c r="A4887" s="1">
        <v>911320</v>
      </c>
      <c r="B4887" s="1" t="s">
        <v>4916</v>
      </c>
      <c r="C4887" s="1" t="str">
        <f ca="1">IFERROR(__xludf.DUMMYFUNCTION("REGEXEXTRACT(B4887, ""^([^:]+)"")"),"Watch straps, watch bands, watch bracelets, and parts thereof")</f>
        <v>Watch straps, watch bands, watch bracelets, and parts thereof</v>
      </c>
      <c r="D4887" s="1" t="s">
        <v>11</v>
      </c>
      <c r="E4887" s="1" t="s">
        <v>11</v>
      </c>
    </row>
    <row r="4888" spans="1:5" ht="15.75" customHeight="1">
      <c r="A4888" s="1">
        <v>911390</v>
      </c>
      <c r="B4888" s="1" t="s">
        <v>4917</v>
      </c>
      <c r="C4888" s="1" t="str">
        <f ca="1">IFERROR(__xludf.DUMMYFUNCTION("REGEXEXTRACT(B4888, ""^([^:]+)"")"),"Watch straps, watch bands, watch bracelets, and parts thereof")</f>
        <v>Watch straps, watch bands, watch bracelets, and parts thereof</v>
      </c>
      <c r="D4888" s="1" t="s">
        <v>11</v>
      </c>
      <c r="E4888" s="1" t="s">
        <v>11</v>
      </c>
    </row>
    <row r="4889" spans="1:5" ht="15.75" customHeight="1">
      <c r="A4889" s="1">
        <v>911410</v>
      </c>
      <c r="B4889" s="1" t="s">
        <v>4918</v>
      </c>
      <c r="C4889" s="1" t="str">
        <f ca="1">IFERROR(__xludf.DUMMYFUNCTION("REGEXEXTRACT(B4889, ""^([^:]+)"")"),"Clock or watch parts")</f>
        <v>Clock or watch parts</v>
      </c>
      <c r="D4889" s="1" t="s">
        <v>11</v>
      </c>
      <c r="E4889" s="1" t="s">
        <v>11</v>
      </c>
    </row>
    <row r="4890" spans="1:5" ht="15.75" customHeight="1">
      <c r="A4890" s="1">
        <v>911420</v>
      </c>
      <c r="B4890" s="1" t="s">
        <v>4919</v>
      </c>
      <c r="C4890" s="1" t="str">
        <f ca="1">IFERROR(__xludf.DUMMYFUNCTION("REGEXEXTRACT(B4890, ""^([^:]+)"")"),"Clock or watch parts")</f>
        <v>Clock or watch parts</v>
      </c>
      <c r="D4890" s="1" t="s">
        <v>11</v>
      </c>
      <c r="E4890" s="1" t="s">
        <v>11</v>
      </c>
    </row>
    <row r="4891" spans="1:5" ht="15.75" customHeight="1">
      <c r="A4891" s="1">
        <v>911430</v>
      </c>
      <c r="B4891" s="1" t="s">
        <v>4920</v>
      </c>
      <c r="C4891" s="1" t="str">
        <f ca="1">IFERROR(__xludf.DUMMYFUNCTION("REGEXEXTRACT(B4891, ""^([^:]+)"")"),"Clock or watch parts")</f>
        <v>Clock or watch parts</v>
      </c>
      <c r="D4891" s="1" t="s">
        <v>11</v>
      </c>
      <c r="E4891" s="1" t="s">
        <v>11</v>
      </c>
    </row>
    <row r="4892" spans="1:5" ht="15.75" customHeight="1">
      <c r="A4892" s="1">
        <v>911440</v>
      </c>
      <c r="B4892" s="1" t="s">
        <v>4921</v>
      </c>
      <c r="C4892" s="1" t="str">
        <f ca="1">IFERROR(__xludf.DUMMYFUNCTION("REGEXEXTRACT(B4892, ""^([^:]+)"")"),"Clock or watch parts")</f>
        <v>Clock or watch parts</v>
      </c>
      <c r="D4892" s="1" t="s">
        <v>11</v>
      </c>
      <c r="E4892" s="1" t="s">
        <v>11</v>
      </c>
    </row>
    <row r="4893" spans="1:5" ht="15.75" customHeight="1">
      <c r="A4893" s="1">
        <v>911490</v>
      </c>
      <c r="B4893" s="1" t="s">
        <v>4922</v>
      </c>
      <c r="C4893" s="1" t="str">
        <f ca="1">IFERROR(__xludf.DUMMYFUNCTION("REGEXEXTRACT(B4893, ""^([^:]+)"")"),"Clock or watch parts")</f>
        <v>Clock or watch parts</v>
      </c>
      <c r="D4893" s="1" t="s">
        <v>11</v>
      </c>
      <c r="E4893" s="1" t="s">
        <v>11</v>
      </c>
    </row>
    <row r="4894" spans="1:5" ht="15.75" customHeight="1">
      <c r="A4894" s="1">
        <v>920110</v>
      </c>
      <c r="B4894" s="1" t="s">
        <v>4923</v>
      </c>
      <c r="C4894" s="1" t="str">
        <f ca="1">IFERROR(__xludf.DUMMYFUNCTION("REGEXEXTRACT(B4894, ""^([^:]+)"")"),"Musical instruments")</f>
        <v>Musical instruments</v>
      </c>
      <c r="D4894" s="1" t="s">
        <v>11</v>
      </c>
      <c r="E4894" s="1" t="s">
        <v>11</v>
      </c>
    </row>
    <row r="4895" spans="1:5" ht="15.75" customHeight="1">
      <c r="A4895" s="1">
        <v>920120</v>
      </c>
      <c r="B4895" s="1" t="s">
        <v>4924</v>
      </c>
      <c r="C4895" s="1" t="str">
        <f ca="1">IFERROR(__xludf.DUMMYFUNCTION("REGEXEXTRACT(B4895, ""^([^:]+)"")"),"Musical instruments")</f>
        <v>Musical instruments</v>
      </c>
      <c r="D4895" s="1" t="s">
        <v>11</v>
      </c>
      <c r="E4895" s="1" t="s">
        <v>11</v>
      </c>
    </row>
    <row r="4896" spans="1:5" ht="15.75" customHeight="1">
      <c r="A4896" s="1">
        <v>920190</v>
      </c>
      <c r="B4896" s="1" t="s">
        <v>4925</v>
      </c>
      <c r="C4896" s="1" t="str">
        <f ca="1">IFERROR(__xludf.DUMMYFUNCTION("REGEXEXTRACT(B4896, ""^([^:]+)"")"),"Musical instruments")</f>
        <v>Musical instruments</v>
      </c>
      <c r="D4896" s="1" t="s">
        <v>11</v>
      </c>
      <c r="E4896" s="1" t="s">
        <v>11</v>
      </c>
    </row>
    <row r="4897" spans="1:5" ht="15.75" customHeight="1">
      <c r="A4897" s="1">
        <v>920210</v>
      </c>
      <c r="B4897" s="1" t="s">
        <v>4926</v>
      </c>
      <c r="C4897" s="1" t="str">
        <f ca="1">IFERROR(__xludf.DUMMYFUNCTION("REGEXEXTRACT(B4897, ""^([^:]+)"")"),"Musical instruments")</f>
        <v>Musical instruments</v>
      </c>
      <c r="D4897" s="1" t="s">
        <v>11</v>
      </c>
      <c r="E4897" s="1" t="s">
        <v>11</v>
      </c>
    </row>
    <row r="4898" spans="1:5" ht="15.75" customHeight="1">
      <c r="A4898" s="1">
        <v>920290</v>
      </c>
      <c r="B4898" s="1" t="s">
        <v>4927</v>
      </c>
      <c r="C4898" s="1" t="str">
        <f ca="1">IFERROR(__xludf.DUMMYFUNCTION("REGEXEXTRACT(B4898, ""^([^:]+)"")"),"Musical instruments")</f>
        <v>Musical instruments</v>
      </c>
      <c r="D4898" s="1" t="s">
        <v>11</v>
      </c>
      <c r="E4898" s="1" t="s">
        <v>11</v>
      </c>
    </row>
    <row r="4899" spans="1:5" ht="15.75" customHeight="1">
      <c r="A4899" s="1">
        <v>920510</v>
      </c>
      <c r="B4899" s="1" t="s">
        <v>4928</v>
      </c>
      <c r="C4899" s="1" t="str">
        <f ca="1">IFERROR(__xludf.DUMMYFUNCTION("REGEXEXTRACT(B4899, ""^([^:]+)"")"),"Musical instruments")</f>
        <v>Musical instruments</v>
      </c>
      <c r="D4899" s="1" t="s">
        <v>11</v>
      </c>
      <c r="E4899" s="1" t="s">
        <v>11</v>
      </c>
    </row>
    <row r="4900" spans="1:5" ht="15.75" customHeight="1">
      <c r="A4900" s="1">
        <v>920590</v>
      </c>
      <c r="B4900" s="1" t="s">
        <v>4929</v>
      </c>
      <c r="C4900" s="1" t="str">
        <f ca="1">IFERROR(__xludf.DUMMYFUNCTION("REGEXEXTRACT(B4900, ""^([^:]+)"")"),"Musical instruments")</f>
        <v>Musical instruments</v>
      </c>
      <c r="D4900" s="1" t="s">
        <v>11</v>
      </c>
      <c r="E4900" s="1" t="s">
        <v>11</v>
      </c>
    </row>
    <row r="4901" spans="1:5" ht="15.75" customHeight="1">
      <c r="A4901" s="1">
        <v>920600</v>
      </c>
      <c r="B4901" s="1" t="s">
        <v>4930</v>
      </c>
      <c r="C4901" s="1" t="str">
        <f ca="1">IFERROR(__xludf.DUMMYFUNCTION("REGEXEXTRACT(B4901, ""^([^:]+)"")"),"Musical instruments")</f>
        <v>Musical instruments</v>
      </c>
      <c r="D4901" s="1" t="s">
        <v>11</v>
      </c>
      <c r="E4901" s="1" t="s">
        <v>11</v>
      </c>
    </row>
    <row r="4902" spans="1:5" ht="15.75" customHeight="1">
      <c r="A4902" s="1">
        <v>920710</v>
      </c>
      <c r="B4902" s="1" t="s">
        <v>4931</v>
      </c>
      <c r="C4902" s="1" t="str">
        <f ca="1">IFERROR(__xludf.DUMMYFUNCTION("REGEXEXTRACT(B4902, ""^([^:]+)"")"),"Musical instruments")</f>
        <v>Musical instruments</v>
      </c>
      <c r="D4902" s="1" t="s">
        <v>11</v>
      </c>
      <c r="E4902" s="1" t="s">
        <v>11</v>
      </c>
    </row>
    <row r="4903" spans="1:5" ht="15.75" customHeight="1">
      <c r="A4903" s="1">
        <v>920790</v>
      </c>
      <c r="B4903" s="1" t="s">
        <v>4932</v>
      </c>
      <c r="C4903" s="1" t="str">
        <f ca="1">IFERROR(__xludf.DUMMYFUNCTION("REGEXEXTRACT(B4903, ""^([^:]+)"")"),"Musical instruments")</f>
        <v>Musical instruments</v>
      </c>
      <c r="D4903" s="1" t="s">
        <v>11</v>
      </c>
      <c r="E4903" s="1" t="s">
        <v>11</v>
      </c>
    </row>
    <row r="4904" spans="1:5" ht="15.75" customHeight="1">
      <c r="A4904" s="1">
        <v>920810</v>
      </c>
      <c r="B4904" s="1" t="s">
        <v>4933</v>
      </c>
      <c r="C4904" s="1" t="str">
        <f ca="1">IFERROR(__xludf.DUMMYFUNCTION("REGEXEXTRACT(B4904, ""^([^:]+)"")"),"Musical boxes")</f>
        <v>Musical boxes</v>
      </c>
      <c r="D4904" s="1" t="s">
        <v>11</v>
      </c>
      <c r="E4904" s="1" t="s">
        <v>11</v>
      </c>
    </row>
    <row r="4905" spans="1:5" ht="15.75" customHeight="1">
      <c r="A4905" s="1">
        <v>920890</v>
      </c>
      <c r="B4905" s="1" t="s">
        <v>4934</v>
      </c>
      <c r="C4905" s="1" t="str">
        <f ca="1">IFERROR(__xludf.DUMMYFUNCTION("REGEXEXTRACT(B4905, ""^([^:]+)"")"),"Fairground and mechanical street organs, mechanical singing birds, musical saws and musical instruments n.e.c. in chapter 92")</f>
        <v>Fairground and mechanical street organs, mechanical singing birds, musical saws and musical instruments n.e.c. in chapter 92</v>
      </c>
      <c r="D4905" s="1" t="s">
        <v>11</v>
      </c>
      <c r="E4905" s="1" t="s">
        <v>11</v>
      </c>
    </row>
    <row r="4906" spans="1:5" ht="15.75" customHeight="1">
      <c r="A4906" s="1">
        <v>920930</v>
      </c>
      <c r="B4906" s="1" t="s">
        <v>4935</v>
      </c>
      <c r="C4906" s="1" t="str">
        <f ca="1">IFERROR(__xludf.DUMMYFUNCTION("REGEXEXTRACT(B4906, ""^([^:]+)"")"),"Musical instrument strings")</f>
        <v>Musical instrument strings</v>
      </c>
      <c r="D4906" s="1" t="s">
        <v>11</v>
      </c>
      <c r="E4906" s="1" t="s">
        <v>11</v>
      </c>
    </row>
    <row r="4907" spans="1:5" ht="15.75" customHeight="1">
      <c r="A4907" s="1">
        <v>920991</v>
      </c>
      <c r="B4907" s="1" t="s">
        <v>4936</v>
      </c>
      <c r="C4907" s="1" t="str">
        <f ca="1">IFERROR(__xludf.DUMMYFUNCTION("REGEXEXTRACT(B4907, ""^([^:]+)"")"),"Musical instruments")</f>
        <v>Musical instruments</v>
      </c>
      <c r="D4907" s="1" t="s">
        <v>11</v>
      </c>
      <c r="E4907" s="1" t="s">
        <v>11</v>
      </c>
    </row>
    <row r="4908" spans="1:5" ht="15.75" customHeight="1">
      <c r="A4908" s="1">
        <v>920992</v>
      </c>
      <c r="B4908" s="1" t="s">
        <v>4937</v>
      </c>
      <c r="C4908" s="1" t="str">
        <f ca="1">IFERROR(__xludf.DUMMYFUNCTION("REGEXEXTRACT(B4908, ""^([^:]+)"")"),"Musical instruments")</f>
        <v>Musical instruments</v>
      </c>
      <c r="D4908" s="1" t="s">
        <v>11</v>
      </c>
      <c r="E4908" s="1" t="s">
        <v>11</v>
      </c>
    </row>
    <row r="4909" spans="1:5" ht="15.75" customHeight="1">
      <c r="A4909" s="1">
        <v>920994</v>
      </c>
      <c r="B4909" s="1" t="s">
        <v>4938</v>
      </c>
      <c r="C4909" s="1" t="str">
        <f ca="1">IFERROR(__xludf.DUMMYFUNCTION("REGEXEXTRACT(B4909, ""^([^:]+)"")"),"Musical instruments")</f>
        <v>Musical instruments</v>
      </c>
      <c r="D4909" s="1" t="s">
        <v>11</v>
      </c>
      <c r="E4909" s="1" t="s">
        <v>11</v>
      </c>
    </row>
    <row r="4910" spans="1:5" ht="15.75" customHeight="1">
      <c r="A4910" s="1">
        <v>920999</v>
      </c>
      <c r="B4910" s="1" t="s">
        <v>4939</v>
      </c>
      <c r="C4910" s="1" t="str">
        <f ca="1">IFERROR(__xludf.DUMMYFUNCTION("REGEXEXTRACT(B4910, ""^([^:]+)"")"),"Musical instruments")</f>
        <v>Musical instruments</v>
      </c>
      <c r="D4910" s="1" t="s">
        <v>11</v>
      </c>
      <c r="E4910" s="1" t="s">
        <v>11</v>
      </c>
    </row>
    <row r="4911" spans="1:5" ht="15.75" customHeight="1">
      <c r="A4911" s="1">
        <v>930111</v>
      </c>
      <c r="B4911" s="1" t="s">
        <v>4940</v>
      </c>
      <c r="C4911" s="1" t="str">
        <f ca="1">IFERROR(__xludf.DUMMYFUNCTION("REGEXEXTRACT(B4911, ""^([^:]+)"")"),"Military weapons")</f>
        <v>Military weapons</v>
      </c>
      <c r="D4911" s="1" t="s">
        <v>11</v>
      </c>
      <c r="E4911" s="1" t="s">
        <v>11</v>
      </c>
    </row>
    <row r="4912" spans="1:5" ht="15.75" customHeight="1">
      <c r="A4912" s="1">
        <v>930119</v>
      </c>
      <c r="B4912" s="1" t="s">
        <v>4941</v>
      </c>
      <c r="C4912" s="1" t="str">
        <f ca="1">IFERROR(__xludf.DUMMYFUNCTION("REGEXEXTRACT(B4912, ""^([^:]+)"")"),"Military weapons")</f>
        <v>Military weapons</v>
      </c>
      <c r="D4912" s="1" t="s">
        <v>11</v>
      </c>
      <c r="E4912" s="1" t="s">
        <v>11</v>
      </c>
    </row>
    <row r="4913" spans="1:5" ht="15.75" customHeight="1">
      <c r="A4913" s="1">
        <v>930120</v>
      </c>
      <c r="B4913" s="1" t="s">
        <v>4942</v>
      </c>
      <c r="C4913" s="1" t="str">
        <f ca="1">IFERROR(__xludf.DUMMYFUNCTION("REGEXEXTRACT(B4913, ""^([^:]+)"")"),"Military weapons")</f>
        <v>Military weapons</v>
      </c>
      <c r="D4913" s="1" t="s">
        <v>11</v>
      </c>
      <c r="E4913" s="1" t="s">
        <v>11</v>
      </c>
    </row>
    <row r="4914" spans="1:5" ht="15.75" customHeight="1">
      <c r="A4914" s="1">
        <v>930190</v>
      </c>
      <c r="B4914" s="1" t="s">
        <v>4943</v>
      </c>
      <c r="C4914" s="1" t="str">
        <f ca="1">IFERROR(__xludf.DUMMYFUNCTION("REGEXEXTRACT(B4914, ""^([^:]+)"")"),"Military weapons")</f>
        <v>Military weapons</v>
      </c>
      <c r="D4914" s="1" t="s">
        <v>11</v>
      </c>
      <c r="E4914" s="1" t="s">
        <v>11</v>
      </c>
    </row>
    <row r="4915" spans="1:5" ht="15.75" customHeight="1">
      <c r="A4915" s="1">
        <v>930200</v>
      </c>
      <c r="B4915" s="1" t="s">
        <v>4944</v>
      </c>
      <c r="C4915" s="1" t="str">
        <f ca="1">IFERROR(__xludf.DUMMYFUNCTION("REGEXEXTRACT(B4915, ""^([^:]+)"")"),"Revolvers and pistols")</f>
        <v>Revolvers and pistols</v>
      </c>
      <c r="D4915" s="1" t="s">
        <v>11</v>
      </c>
      <c r="E4915" s="1" t="s">
        <v>11</v>
      </c>
    </row>
    <row r="4916" spans="1:5" ht="15.75" customHeight="1">
      <c r="A4916" s="1">
        <v>930310</v>
      </c>
      <c r="B4916" s="1" t="s">
        <v>4945</v>
      </c>
      <c r="C4916" s="1" t="str">
        <f ca="1">IFERROR(__xludf.DUMMYFUNCTION("REGEXEXTRACT(B4916, ""^([^:]+)"")"),"Firearms")</f>
        <v>Firearms</v>
      </c>
      <c r="D4916" s="1" t="s">
        <v>11</v>
      </c>
      <c r="E4916" s="1" t="s">
        <v>11</v>
      </c>
    </row>
    <row r="4917" spans="1:5" ht="15.75" customHeight="1">
      <c r="A4917" s="1">
        <v>930320</v>
      </c>
      <c r="B4917" s="1" t="s">
        <v>4946</v>
      </c>
      <c r="C4917" s="1" t="str">
        <f ca="1">IFERROR(__xludf.DUMMYFUNCTION("REGEXEXTRACT(B4917, ""^([^:]+)"")"),"Firearms")</f>
        <v>Firearms</v>
      </c>
      <c r="D4917" s="1" t="s">
        <v>11</v>
      </c>
      <c r="E4917" s="1" t="s">
        <v>11</v>
      </c>
    </row>
    <row r="4918" spans="1:5" ht="15.75" customHeight="1">
      <c r="A4918" s="1">
        <v>930330</v>
      </c>
      <c r="B4918" s="1" t="s">
        <v>4947</v>
      </c>
      <c r="C4918" s="1" t="str">
        <f ca="1">IFERROR(__xludf.DUMMYFUNCTION("REGEXEXTRACT(B4918, ""^([^:]+)"")"),"Firearms")</f>
        <v>Firearms</v>
      </c>
      <c r="D4918" s="1" t="s">
        <v>11</v>
      </c>
      <c r="E4918" s="1" t="s">
        <v>11</v>
      </c>
    </row>
    <row r="4919" spans="1:5" ht="15.75" customHeight="1">
      <c r="A4919" s="1">
        <v>930390</v>
      </c>
      <c r="B4919" s="1" t="s">
        <v>4948</v>
      </c>
      <c r="C4919" s="1" t="str">
        <f ca="1">IFERROR(__xludf.DUMMYFUNCTION("REGEXEXTRACT(B4919, ""^([^:]+)"")"),"Firearms")</f>
        <v>Firearms</v>
      </c>
      <c r="D4919" s="1" t="s">
        <v>11</v>
      </c>
      <c r="E4919" s="1" t="s">
        <v>11</v>
      </c>
    </row>
    <row r="4920" spans="1:5" ht="15.75" customHeight="1">
      <c r="A4920" s="1">
        <v>930400</v>
      </c>
      <c r="B4920" s="1" t="s">
        <v>4949</v>
      </c>
      <c r="C4920" s="1" t="str">
        <f ca="1">IFERROR(__xludf.DUMMYFUNCTION("REGEXEXTRACT(B4920, ""^([^:]+)"")"),"Firearms")</f>
        <v>Firearms</v>
      </c>
      <c r="D4920" s="1" t="s">
        <v>11</v>
      </c>
      <c r="E4920" s="1" t="s">
        <v>11</v>
      </c>
    </row>
    <row r="4921" spans="1:5" ht="15.75" customHeight="1">
      <c r="A4921" s="1">
        <v>930510</v>
      </c>
      <c r="B4921" s="1" t="s">
        <v>4950</v>
      </c>
      <c r="C4921" s="1" t="str">
        <f ca="1">IFERROR(__xludf.DUMMYFUNCTION("REGEXEXTRACT(B4921, ""^([^:]+)"")"),"Firearms")</f>
        <v>Firearms</v>
      </c>
      <c r="D4921" s="1" t="s">
        <v>11</v>
      </c>
      <c r="E4921" s="1" t="s">
        <v>11</v>
      </c>
    </row>
    <row r="4922" spans="1:5" ht="15.75" customHeight="1">
      <c r="A4922" s="1">
        <v>930521</v>
      </c>
      <c r="B4922" s="1" t="s">
        <v>4951</v>
      </c>
      <c r="C4922" s="1" t="str">
        <f ca="1">IFERROR(__xludf.DUMMYFUNCTION("REGEXEXTRACT(B4922, ""^([^:]+)"")"),"Firearms")</f>
        <v>Firearms</v>
      </c>
      <c r="D4922" s="1" t="s">
        <v>11</v>
      </c>
      <c r="E4922" s="1" t="s">
        <v>11</v>
      </c>
    </row>
    <row r="4923" spans="1:5" ht="15.75" customHeight="1">
      <c r="A4923" s="1">
        <v>930529</v>
      </c>
      <c r="B4923" s="1" t="s">
        <v>4952</v>
      </c>
      <c r="C4923" s="1" t="str">
        <f ca="1">IFERROR(__xludf.DUMMYFUNCTION("REGEXEXTRACT(B4923, ""^([^:]+)"")"),"Firearms")</f>
        <v>Firearms</v>
      </c>
      <c r="D4923" s="1" t="s">
        <v>11</v>
      </c>
      <c r="E4923" s="1" t="s">
        <v>11</v>
      </c>
    </row>
    <row r="4924" spans="1:5" ht="15.75" customHeight="1">
      <c r="A4924" s="1">
        <v>930591</v>
      </c>
      <c r="B4924" s="1" t="s">
        <v>4953</v>
      </c>
      <c r="C4924" s="1" t="str">
        <f ca="1">IFERROR(__xludf.DUMMYFUNCTION("REGEXEXTRACT(B4924, ""^([^:]+)"")"),"Firearms")</f>
        <v>Firearms</v>
      </c>
      <c r="D4924" s="1" t="s">
        <v>11</v>
      </c>
      <c r="E4924" s="1" t="s">
        <v>11</v>
      </c>
    </row>
    <row r="4925" spans="1:5" ht="15.75" customHeight="1">
      <c r="A4925" s="1">
        <v>930599</v>
      </c>
      <c r="B4925" s="1" t="s">
        <v>4954</v>
      </c>
      <c r="C4925" s="1" t="str">
        <f ca="1">IFERROR(__xludf.DUMMYFUNCTION("REGEXEXTRACT(B4925, ""^([^:]+)"")"),"Firearms")</f>
        <v>Firearms</v>
      </c>
      <c r="D4925" s="1" t="s">
        <v>11</v>
      </c>
      <c r="E4925" s="1" t="s">
        <v>11</v>
      </c>
    </row>
    <row r="4926" spans="1:5" ht="15.75" customHeight="1">
      <c r="A4926" s="1">
        <v>930621</v>
      </c>
      <c r="B4926" s="1" t="s">
        <v>4955</v>
      </c>
      <c r="C4926" s="1" t="str">
        <f ca="1">IFERROR(__xludf.DUMMYFUNCTION("REGEXEXTRACT(B4926, ""^([^:]+)"")"),"Ammunition")</f>
        <v>Ammunition</v>
      </c>
      <c r="D4926" s="1" t="s">
        <v>11</v>
      </c>
      <c r="E4926" s="1" t="s">
        <v>11</v>
      </c>
    </row>
    <row r="4927" spans="1:5" ht="15.75" customHeight="1">
      <c r="A4927" s="1">
        <v>930629</v>
      </c>
      <c r="B4927" s="1" t="s">
        <v>4956</v>
      </c>
      <c r="C4927" s="1" t="str">
        <f ca="1">IFERROR(__xludf.DUMMYFUNCTION("REGEXEXTRACT(B4927, ""^([^:]+)"")"),"Ammunition")</f>
        <v>Ammunition</v>
      </c>
      <c r="D4927" s="1" t="s">
        <v>11</v>
      </c>
      <c r="E4927" s="1" t="s">
        <v>11</v>
      </c>
    </row>
    <row r="4928" spans="1:5" ht="15.75" customHeight="1">
      <c r="A4928" s="1">
        <v>930630</v>
      </c>
      <c r="B4928" s="1" t="s">
        <v>4957</v>
      </c>
      <c r="C4928" s="1" t="str">
        <f ca="1">IFERROR(__xludf.DUMMYFUNCTION("REGEXEXTRACT(B4928, ""^([^:]+)"")"),"Ammunition")</f>
        <v>Ammunition</v>
      </c>
      <c r="D4928" s="1" t="s">
        <v>11</v>
      </c>
      <c r="E4928" s="1" t="s">
        <v>11</v>
      </c>
    </row>
    <row r="4929" spans="1:13" ht="15.75" customHeight="1">
      <c r="A4929" s="1">
        <v>930690</v>
      </c>
      <c r="B4929" s="1" t="s">
        <v>4958</v>
      </c>
      <c r="C4929" s="1" t="str">
        <f ca="1">IFERROR(__xludf.DUMMYFUNCTION("REGEXEXTRACT(B4929, ""^([^:]+)"")"),"Ammunition")</f>
        <v>Ammunition</v>
      </c>
      <c r="D4929" s="1" t="s">
        <v>11</v>
      </c>
      <c r="E4929" s="1" t="s">
        <v>11</v>
      </c>
    </row>
    <row r="4930" spans="1:13" ht="15.75" customHeight="1">
      <c r="A4930" s="1">
        <v>930700</v>
      </c>
      <c r="B4930" s="1" t="s">
        <v>4959</v>
      </c>
      <c r="C4930" s="1" t="str">
        <f ca="1">IFERROR(__xludf.DUMMYFUNCTION("REGEXEXTRACT(B4930, ""^([^:]+)"")"),"Arms")</f>
        <v>Arms</v>
      </c>
      <c r="D4930" s="1" t="s">
        <v>11</v>
      </c>
      <c r="E4930" s="1" t="s">
        <v>11</v>
      </c>
    </row>
    <row r="4931" spans="1:13" ht="15.75" customHeight="1">
      <c r="A4931" s="1">
        <v>940110</v>
      </c>
      <c r="B4931" s="1" t="s">
        <v>4960</v>
      </c>
      <c r="C4931" s="1" t="str">
        <f ca="1">IFERROR(__xludf.DUMMYFUNCTION("REGEXEXTRACT(B4931, ""^([^:]+)"")"),"Seats")</f>
        <v>Seats</v>
      </c>
      <c r="D4931" s="1" t="s">
        <v>11</v>
      </c>
      <c r="E4931" s="1" t="s">
        <v>11</v>
      </c>
    </row>
    <row r="4932" spans="1:13" ht="15.75" customHeight="1">
      <c r="A4932" s="1">
        <v>940120</v>
      </c>
      <c r="B4932" s="1" t="s">
        <v>4961</v>
      </c>
      <c r="C4932" s="1" t="str">
        <f ca="1">IFERROR(__xludf.DUMMYFUNCTION("REGEXEXTRACT(B4932, ""^([^:]+)"")"),"Seats")</f>
        <v>Seats</v>
      </c>
      <c r="D4932" s="1" t="s">
        <v>11</v>
      </c>
      <c r="E4932" s="1" t="s">
        <v>11</v>
      </c>
    </row>
    <row r="4933" spans="1:13" ht="15.75" customHeight="1">
      <c r="A4933" s="1">
        <v>940130</v>
      </c>
      <c r="B4933" s="1" t="s">
        <v>4962</v>
      </c>
      <c r="C4933" s="1" t="str">
        <f ca="1">IFERROR(__xludf.DUMMYFUNCTION("REGEXEXTRACT(B4933, ""^([^:]+)"")"),"Seats")</f>
        <v>Seats</v>
      </c>
      <c r="D4933" s="1" t="s">
        <v>11</v>
      </c>
      <c r="E4933" s="1" t="s">
        <v>11</v>
      </c>
    </row>
    <row r="4934" spans="1:13" ht="15.75" customHeight="1">
      <c r="A4934" s="1">
        <v>940140</v>
      </c>
      <c r="B4934" s="1" t="s">
        <v>4963</v>
      </c>
      <c r="C4934" s="1" t="str">
        <f ca="1">IFERROR(__xludf.DUMMYFUNCTION("REGEXEXTRACT(B4934, ""^([^:]+)"")"),"Seats")</f>
        <v>Seats</v>
      </c>
      <c r="D4934" s="1" t="s">
        <v>11</v>
      </c>
      <c r="E4934" s="1" t="s">
        <v>11</v>
      </c>
    </row>
    <row r="4935" spans="1:13" ht="15.75" customHeight="1">
      <c r="A4935" s="1">
        <v>940151</v>
      </c>
      <c r="B4935" s="1" t="s">
        <v>4964</v>
      </c>
      <c r="C4935" s="1" t="str">
        <f ca="1">IFERROR(__xludf.DUMMYFUNCTION("REGEXEXTRACT(B4935, ""^([^:]+)"")"),"Seats")</f>
        <v>Seats</v>
      </c>
      <c r="D4935" s="1" t="s">
        <v>11</v>
      </c>
      <c r="E4935" s="1" t="s">
        <v>11</v>
      </c>
    </row>
    <row r="4936" spans="1:13" ht="15.75" customHeight="1">
      <c r="A4936" s="1">
        <v>940159</v>
      </c>
      <c r="B4936" s="1" t="s">
        <v>4965</v>
      </c>
      <c r="C4936" s="1" t="str">
        <f ca="1">IFERROR(__xludf.DUMMYFUNCTION("REGEXEXTRACT(B4936, ""^([^:]+)"")"),"Seats")</f>
        <v>Seats</v>
      </c>
      <c r="D4936" s="1" t="s">
        <v>11</v>
      </c>
      <c r="E4936" s="1" t="s">
        <v>11</v>
      </c>
    </row>
    <row r="4937" spans="1:13" ht="15.75" customHeight="1">
      <c r="A4937" s="1">
        <v>940161</v>
      </c>
      <c r="B4937" s="1" t="s">
        <v>4966</v>
      </c>
      <c r="C4937" s="1" t="str">
        <f ca="1">IFERROR(__xludf.DUMMYFUNCTION("REGEXEXTRACT(B4937, ""^([^:]+)"")"),"Seats")</f>
        <v>Seats</v>
      </c>
      <c r="D4937" s="1" t="s">
        <v>11</v>
      </c>
      <c r="E4937" s="1" t="s">
        <v>11</v>
      </c>
    </row>
    <row r="4938" spans="1:13" ht="15.75" customHeight="1">
      <c r="A4938" s="1">
        <v>940169</v>
      </c>
      <c r="B4938" s="1" t="s">
        <v>4967</v>
      </c>
      <c r="C4938" s="1" t="str">
        <f ca="1">IFERROR(__xludf.DUMMYFUNCTION("REGEXEXTRACT(B4938, ""^([^:]+)"")"),"Seats")</f>
        <v>Seats</v>
      </c>
      <c r="D4938" s="1" t="s">
        <v>11</v>
      </c>
      <c r="E4938" s="1" t="s">
        <v>11</v>
      </c>
    </row>
    <row r="4939" spans="1:13" ht="15.75" customHeight="1">
      <c r="A4939" s="1">
        <v>940171</v>
      </c>
      <c r="B4939" s="1" t="s">
        <v>4968</v>
      </c>
      <c r="C4939" s="1" t="str">
        <f ca="1">IFERROR(__xludf.DUMMYFUNCTION("REGEXEXTRACT(B4939, ""^([^:]+)"")"),"Seats")</f>
        <v>Seats</v>
      </c>
      <c r="D4939" s="1" t="s">
        <v>11</v>
      </c>
      <c r="E4939" s="1" t="s">
        <v>11</v>
      </c>
    </row>
    <row r="4940" spans="1:13" ht="15.75" customHeight="1">
      <c r="A4940" s="1">
        <v>940179</v>
      </c>
      <c r="B4940" s="1" t="s">
        <v>4969</v>
      </c>
      <c r="C4940" s="1" t="str">
        <f ca="1">IFERROR(__xludf.DUMMYFUNCTION("REGEXEXTRACT(B4940, ""^([^:]+)"")"),"Seats")</f>
        <v>Seats</v>
      </c>
      <c r="D4940" s="1" t="s">
        <v>11</v>
      </c>
      <c r="E4940" s="1" t="s">
        <v>11</v>
      </c>
    </row>
    <row r="4941" spans="1:13" ht="15.75" customHeight="1">
      <c r="A4941" s="1">
        <v>940180</v>
      </c>
      <c r="B4941" s="1" t="s">
        <v>4970</v>
      </c>
      <c r="C4941" s="1" t="str">
        <f ca="1">IFERROR(__xludf.DUMMYFUNCTION("REGEXEXTRACT(B4941, ""^([^:]+)"")"),"Seats")</f>
        <v>Seats</v>
      </c>
      <c r="D4941" s="1" t="s">
        <v>11</v>
      </c>
      <c r="E4941" s="1" t="s">
        <v>11</v>
      </c>
    </row>
    <row r="4942" spans="1:13" ht="15.75" customHeight="1">
      <c r="A4942" s="1">
        <v>940190</v>
      </c>
      <c r="B4942" s="1" t="s">
        <v>4971</v>
      </c>
      <c r="C4942" s="1" t="str">
        <f ca="1">IFERROR(__xludf.DUMMYFUNCTION("REGEXEXTRACT(B4942, ""^([^:]+)"")"),"Seat")</f>
        <v>Seat</v>
      </c>
      <c r="D4942" s="1" t="s">
        <v>11</v>
      </c>
      <c r="E4942" s="1" t="s">
        <v>11</v>
      </c>
    </row>
    <row r="4943" spans="1:13" ht="15.75" customHeight="1">
      <c r="A4943" s="1">
        <v>940210</v>
      </c>
      <c r="B4943" s="1" t="s">
        <v>4972</v>
      </c>
      <c r="C4943" s="1" t="str">
        <f ca="1">IFERROR(__xludf.DUMMYFUNCTION("REGEXEXTRACT(B4943, ""^([^:]+)"")"),"Chairs")</f>
        <v>Chairs</v>
      </c>
      <c r="D4943" s="1" t="s">
        <v>11</v>
      </c>
      <c r="E4943" s="1" t="s">
        <v>11</v>
      </c>
    </row>
    <row r="4944" spans="1:13" ht="15.75" customHeight="1">
      <c r="A4944" s="14">
        <v>902290</v>
      </c>
      <c r="B4944" s="14" t="s">
        <v>4823</v>
      </c>
      <c r="C4944" s="1" t="str">
        <f ca="1">IFERROR(__xludf.DUMMYFUNCTION("REGEXEXTRACT(B4944, ""^([^:]+)"")"),"Apparatus based on use of x-rays and similar")</f>
        <v>Apparatus based on use of x-rays and similar</v>
      </c>
      <c r="D4944" s="14">
        <v>1</v>
      </c>
      <c r="E4944" s="11" t="s">
        <v>1419</v>
      </c>
      <c r="F4944" s="15" t="s">
        <v>1419</v>
      </c>
      <c r="G4944" s="8"/>
      <c r="H4944" s="8"/>
      <c r="I4944" s="8"/>
      <c r="J4944" s="8"/>
      <c r="K4944" s="8"/>
      <c r="L4944" s="8"/>
      <c r="M4944" s="8"/>
    </row>
    <row r="4945" spans="1:5" ht="15.75" customHeight="1">
      <c r="A4945" s="1">
        <v>940310</v>
      </c>
      <c r="B4945" s="1" t="s">
        <v>4976</v>
      </c>
      <c r="C4945" s="1" t="str">
        <f ca="1">IFERROR(__xludf.DUMMYFUNCTION("REGEXEXTRACT(B4945, ""^([^:]+)"")"),"Furniture")</f>
        <v>Furniture</v>
      </c>
      <c r="D4945" s="1" t="s">
        <v>11</v>
      </c>
      <c r="E4945" s="1" t="s">
        <v>11</v>
      </c>
    </row>
    <row r="4946" spans="1:5" ht="15.75" customHeight="1">
      <c r="A4946" s="1">
        <v>940320</v>
      </c>
      <c r="B4946" s="1" t="s">
        <v>4977</v>
      </c>
      <c r="C4946" s="1" t="str">
        <f ca="1">IFERROR(__xludf.DUMMYFUNCTION("REGEXEXTRACT(B4946, ""^([^:]+)"")"),"Furniture")</f>
        <v>Furniture</v>
      </c>
      <c r="D4946" s="1" t="s">
        <v>11</v>
      </c>
      <c r="E4946" s="1" t="s">
        <v>11</v>
      </c>
    </row>
    <row r="4947" spans="1:5" ht="15.75" customHeight="1">
      <c r="A4947" s="1">
        <v>940330</v>
      </c>
      <c r="B4947" s="1" t="s">
        <v>4978</v>
      </c>
      <c r="C4947" s="1" t="str">
        <f ca="1">IFERROR(__xludf.DUMMYFUNCTION("REGEXEXTRACT(B4947, ""^([^:]+)"")"),"Furniture")</f>
        <v>Furniture</v>
      </c>
      <c r="D4947" s="1" t="s">
        <v>11</v>
      </c>
      <c r="E4947" s="1" t="s">
        <v>11</v>
      </c>
    </row>
    <row r="4948" spans="1:5" ht="15.75" customHeight="1">
      <c r="A4948" s="1">
        <v>940340</v>
      </c>
      <c r="B4948" s="1" t="s">
        <v>4979</v>
      </c>
      <c r="C4948" s="1" t="str">
        <f ca="1">IFERROR(__xludf.DUMMYFUNCTION("REGEXEXTRACT(B4948, ""^([^:]+)"")"),"Furniture")</f>
        <v>Furniture</v>
      </c>
      <c r="D4948" s="1" t="s">
        <v>11</v>
      </c>
      <c r="E4948" s="1" t="s">
        <v>11</v>
      </c>
    </row>
    <row r="4949" spans="1:5" ht="15.75" customHeight="1">
      <c r="A4949" s="1">
        <v>940350</v>
      </c>
      <c r="B4949" s="1" t="s">
        <v>4980</v>
      </c>
      <c r="C4949" s="1" t="str">
        <f ca="1">IFERROR(__xludf.DUMMYFUNCTION("REGEXEXTRACT(B4949, ""^([^:]+)"")"),"Furniture")</f>
        <v>Furniture</v>
      </c>
      <c r="D4949" s="1" t="s">
        <v>11</v>
      </c>
      <c r="E4949" s="1" t="s">
        <v>11</v>
      </c>
    </row>
    <row r="4950" spans="1:5" ht="15.75" customHeight="1">
      <c r="A4950" s="1">
        <v>940360</v>
      </c>
      <c r="B4950" s="1" t="s">
        <v>4981</v>
      </c>
      <c r="C4950" s="1" t="str">
        <f ca="1">IFERROR(__xludf.DUMMYFUNCTION("REGEXEXTRACT(B4950, ""^([^:]+)"")"),"Furniture")</f>
        <v>Furniture</v>
      </c>
      <c r="D4950" s="1" t="s">
        <v>11</v>
      </c>
      <c r="E4950" s="1" t="s">
        <v>11</v>
      </c>
    </row>
    <row r="4951" spans="1:5" ht="15.75" customHeight="1">
      <c r="A4951" s="1">
        <v>940370</v>
      </c>
      <c r="B4951" s="1" t="s">
        <v>4982</v>
      </c>
      <c r="C4951" s="1" t="str">
        <f ca="1">IFERROR(__xludf.DUMMYFUNCTION("REGEXEXTRACT(B4951, ""^([^:]+)"")"),"Furniture")</f>
        <v>Furniture</v>
      </c>
      <c r="D4951" s="1" t="s">
        <v>11</v>
      </c>
      <c r="E4951" s="1" t="s">
        <v>11</v>
      </c>
    </row>
    <row r="4952" spans="1:5" ht="15.75" customHeight="1">
      <c r="A4952" s="1">
        <v>940381</v>
      </c>
      <c r="B4952" s="1" t="s">
        <v>4983</v>
      </c>
      <c r="C4952" s="1" t="str">
        <f ca="1">IFERROR(__xludf.DUMMYFUNCTION("REGEXEXTRACT(B4952, ""^([^:]+)"")"),"Furniture")</f>
        <v>Furniture</v>
      </c>
      <c r="D4952" s="1" t="s">
        <v>11</v>
      </c>
      <c r="E4952" s="1" t="s">
        <v>11</v>
      </c>
    </row>
    <row r="4953" spans="1:5" ht="15.75" customHeight="1">
      <c r="A4953" s="1">
        <v>940389</v>
      </c>
      <c r="B4953" s="1" t="s">
        <v>4984</v>
      </c>
      <c r="C4953" s="1" t="str">
        <f ca="1">IFERROR(__xludf.DUMMYFUNCTION("REGEXEXTRACT(B4953, ""^([^:]+)"")"),"Furniture")</f>
        <v>Furniture</v>
      </c>
      <c r="D4953" s="1" t="s">
        <v>11</v>
      </c>
      <c r="E4953" s="1" t="s">
        <v>11</v>
      </c>
    </row>
    <row r="4954" spans="1:5" ht="15.75" customHeight="1">
      <c r="A4954" s="1">
        <v>940390</v>
      </c>
      <c r="B4954" s="1" t="s">
        <v>4985</v>
      </c>
      <c r="C4954" s="1" t="str">
        <f ca="1">IFERROR(__xludf.DUMMYFUNCTION("REGEXEXTRACT(B4954, ""^([^:]+)"")"),"Furniture")</f>
        <v>Furniture</v>
      </c>
      <c r="D4954" s="1" t="s">
        <v>11</v>
      </c>
      <c r="E4954" s="1" t="s">
        <v>11</v>
      </c>
    </row>
    <row r="4955" spans="1:5" ht="15.75" customHeight="1">
      <c r="A4955" s="1">
        <v>940410</v>
      </c>
      <c r="B4955" s="1" t="s">
        <v>4986</v>
      </c>
      <c r="C4955" s="1" t="str">
        <f ca="1">IFERROR(__xludf.DUMMYFUNCTION("REGEXEXTRACT(B4955, ""^([^:]+)"")"),"Mattress supports")</f>
        <v>Mattress supports</v>
      </c>
      <c r="D4955" s="1" t="s">
        <v>11</v>
      </c>
      <c r="E4955" s="1" t="s">
        <v>11</v>
      </c>
    </row>
    <row r="4956" spans="1:5" ht="15.75" customHeight="1">
      <c r="A4956" s="1">
        <v>940421</v>
      </c>
      <c r="B4956" s="1" t="s">
        <v>4987</v>
      </c>
      <c r="C4956" s="1" t="str">
        <f ca="1">IFERROR(__xludf.DUMMYFUNCTION("REGEXEXTRACT(B4956, ""^([^:]+)"")"),"Mattresses")</f>
        <v>Mattresses</v>
      </c>
      <c r="D4956" s="1" t="s">
        <v>11</v>
      </c>
      <c r="E4956" s="1" t="s">
        <v>11</v>
      </c>
    </row>
    <row r="4957" spans="1:5" ht="15.75" customHeight="1">
      <c r="A4957" s="1">
        <v>940429</v>
      </c>
      <c r="B4957" s="1" t="s">
        <v>4988</v>
      </c>
      <c r="C4957" s="1" t="str">
        <f ca="1">IFERROR(__xludf.DUMMYFUNCTION("REGEXEXTRACT(B4957, ""^([^:]+)"")"),"Mattresses")</f>
        <v>Mattresses</v>
      </c>
      <c r="D4957" s="1" t="s">
        <v>11</v>
      </c>
      <c r="E4957" s="1" t="s">
        <v>11</v>
      </c>
    </row>
    <row r="4958" spans="1:5" ht="15.75" customHeight="1">
      <c r="A4958" s="1">
        <v>940430</v>
      </c>
      <c r="B4958" s="1" t="s">
        <v>4989</v>
      </c>
      <c r="C4958" s="1" t="str">
        <f ca="1">IFERROR(__xludf.DUMMYFUNCTION("REGEXEXTRACT(B4958, ""^([^:]+)"")"),"Sleeping bags")</f>
        <v>Sleeping bags</v>
      </c>
      <c r="D4958" s="1" t="s">
        <v>11</v>
      </c>
      <c r="E4958" s="1" t="s">
        <v>11</v>
      </c>
    </row>
    <row r="4959" spans="1:5" ht="15.75" customHeight="1">
      <c r="A4959" s="1">
        <v>940490</v>
      </c>
      <c r="B4959" s="1" t="s">
        <v>4990</v>
      </c>
      <c r="C4959" s="1" t="str">
        <f ca="1">IFERROR(__xludf.DUMMYFUNCTION("REGEXEXTRACT(B4959, ""^([^:]+)"")"),"Bedding and similar furnishing articles")</f>
        <v>Bedding and similar furnishing articles</v>
      </c>
      <c r="D4959" s="1" t="s">
        <v>11</v>
      </c>
      <c r="E4959" s="1" t="s">
        <v>11</v>
      </c>
    </row>
    <row r="4960" spans="1:5" ht="15.75" customHeight="1">
      <c r="A4960" s="1">
        <v>940510</v>
      </c>
      <c r="B4960" s="1" t="s">
        <v>4991</v>
      </c>
      <c r="C4960" s="1" t="str">
        <f ca="1">IFERROR(__xludf.DUMMYFUNCTION("REGEXEXTRACT(B4960, ""^([^:]+)"")"),"Chandeliers and other electric ceiling or wall light fittings")</f>
        <v>Chandeliers and other electric ceiling or wall light fittings</v>
      </c>
      <c r="D4960" s="1" t="s">
        <v>11</v>
      </c>
      <c r="E4960" s="1" t="s">
        <v>11</v>
      </c>
    </row>
    <row r="4961" spans="1:5" ht="15.75" customHeight="1">
      <c r="A4961" s="1">
        <v>940520</v>
      </c>
      <c r="B4961" s="1" t="s">
        <v>4992</v>
      </c>
      <c r="C4961" s="1" t="str">
        <f ca="1">IFERROR(__xludf.DUMMYFUNCTION("REGEXEXTRACT(B4961, ""^([^:]+)"")"),"Lamps, electric")</f>
        <v>Lamps, electric</v>
      </c>
      <c r="D4961" s="1" t="s">
        <v>11</v>
      </c>
      <c r="E4961" s="1" t="s">
        <v>11</v>
      </c>
    </row>
    <row r="4962" spans="1:5" ht="15.75" customHeight="1">
      <c r="A4962" s="1">
        <v>940530</v>
      </c>
      <c r="B4962" s="1" t="s">
        <v>4993</v>
      </c>
      <c r="C4962" s="1" t="str">
        <f ca="1">IFERROR(__xludf.DUMMYFUNCTION("REGEXEXTRACT(B4962, ""^([^:]+)"")"),"Lighting sets")</f>
        <v>Lighting sets</v>
      </c>
      <c r="D4962" s="1" t="s">
        <v>11</v>
      </c>
      <c r="E4962" s="1" t="s">
        <v>11</v>
      </c>
    </row>
    <row r="4963" spans="1:5" ht="15.75" customHeight="1">
      <c r="A4963" s="1">
        <v>940540</v>
      </c>
      <c r="B4963" s="1" t="s">
        <v>4994</v>
      </c>
      <c r="C4963" s="1" t="str">
        <f ca="1">IFERROR(__xludf.DUMMYFUNCTION("REGEXEXTRACT(B4963, ""^([^:]+)"")"),"Lamps and light fittings")</f>
        <v>Lamps and light fittings</v>
      </c>
      <c r="D4963" s="1" t="s">
        <v>11</v>
      </c>
      <c r="E4963" s="1" t="s">
        <v>11</v>
      </c>
    </row>
    <row r="4964" spans="1:5" ht="15.75" customHeight="1">
      <c r="A4964" s="1">
        <v>940550</v>
      </c>
      <c r="B4964" s="1" t="s">
        <v>4995</v>
      </c>
      <c r="C4964" s="1" t="str">
        <f ca="1">IFERROR(__xludf.DUMMYFUNCTION("REGEXEXTRACT(B4964, ""^([^:]+)"")"),"Lamps and light fittings")</f>
        <v>Lamps and light fittings</v>
      </c>
      <c r="D4964" s="1" t="s">
        <v>11</v>
      </c>
      <c r="E4964" s="1" t="s">
        <v>11</v>
      </c>
    </row>
    <row r="4965" spans="1:5" ht="15.75" customHeight="1">
      <c r="A4965" s="1">
        <v>940560</v>
      </c>
      <c r="B4965" s="1" t="s">
        <v>4996</v>
      </c>
      <c r="C4965" s="1" t="str">
        <f ca="1">IFERROR(__xludf.DUMMYFUNCTION("REGEXEXTRACT(B4965, ""^([^:]+)"")"),"Illuminated signs, name plates and the like")</f>
        <v>Illuminated signs, name plates and the like</v>
      </c>
      <c r="D4965" s="1" t="s">
        <v>11</v>
      </c>
      <c r="E4965" s="1" t="s">
        <v>11</v>
      </c>
    </row>
    <row r="4966" spans="1:5" ht="15.75" customHeight="1">
      <c r="A4966" s="1">
        <v>940591</v>
      </c>
      <c r="B4966" s="1" t="s">
        <v>4997</v>
      </c>
      <c r="C4966" s="1" t="str">
        <f ca="1">IFERROR(__xludf.DUMMYFUNCTION("REGEXEXTRACT(B4966, ""^([^:]+)"")"),"Lamps and light fittings")</f>
        <v>Lamps and light fittings</v>
      </c>
      <c r="D4966" s="1" t="s">
        <v>11</v>
      </c>
      <c r="E4966" s="1" t="s">
        <v>11</v>
      </c>
    </row>
    <row r="4967" spans="1:5" ht="15.75" customHeight="1">
      <c r="A4967" s="1">
        <v>940592</v>
      </c>
      <c r="B4967" s="1" t="s">
        <v>4998</v>
      </c>
      <c r="C4967" s="1" t="str">
        <f ca="1">IFERROR(__xludf.DUMMYFUNCTION("REGEXEXTRACT(B4967, ""^([^:]+)"")"),"Lamps and light fittings")</f>
        <v>Lamps and light fittings</v>
      </c>
      <c r="D4967" s="1" t="s">
        <v>11</v>
      </c>
      <c r="E4967" s="1" t="s">
        <v>11</v>
      </c>
    </row>
    <row r="4968" spans="1:5" ht="15.75" customHeight="1">
      <c r="A4968" s="1">
        <v>940599</v>
      </c>
      <c r="B4968" s="1" t="s">
        <v>4999</v>
      </c>
      <c r="C4968" s="1" t="str">
        <f ca="1">IFERROR(__xludf.DUMMYFUNCTION("REGEXEXTRACT(B4968, ""^([^:]+)"")"),"Lamps and light fittings")</f>
        <v>Lamps and light fittings</v>
      </c>
      <c r="D4968" s="1" t="s">
        <v>11</v>
      </c>
      <c r="E4968" s="1" t="s">
        <v>11</v>
      </c>
    </row>
    <row r="4969" spans="1:5" ht="15.75" customHeight="1">
      <c r="A4969" s="1">
        <v>940600</v>
      </c>
      <c r="B4969" s="1" t="s">
        <v>5000</v>
      </c>
      <c r="C4969" s="1" t="str">
        <f ca="1">IFERROR(__xludf.DUMMYFUNCTION("REGEXEXTRACT(B4969, ""^([^:]+)"")"),"Buildings")</f>
        <v>Buildings</v>
      </c>
      <c r="D4969" s="1" t="s">
        <v>11</v>
      </c>
      <c r="E4969" s="1" t="s">
        <v>11</v>
      </c>
    </row>
    <row r="4970" spans="1:5" ht="15.75" customHeight="1">
      <c r="A4970" s="1">
        <v>950300</v>
      </c>
      <c r="B4970" s="1" t="s">
        <v>5001</v>
      </c>
      <c r="C4970" s="1" t="str">
        <f ca="1">IFERROR(__xludf.DUMMYFUNCTION("REGEXEXTRACT(B4970, ""^([^:]+)"")"),"Tricycles, scooters, pedal cars and similar wheeled toys")</f>
        <v>Tricycles, scooters, pedal cars and similar wheeled toys</v>
      </c>
      <c r="D4970" s="1" t="s">
        <v>11</v>
      </c>
      <c r="E4970" s="1" t="s">
        <v>11</v>
      </c>
    </row>
    <row r="4971" spans="1:5" ht="15.75" customHeight="1">
      <c r="A4971" s="1">
        <v>950410</v>
      </c>
      <c r="B4971" s="1" t="s">
        <v>5002</v>
      </c>
      <c r="C4971" s="1" t="str">
        <f ca="1">IFERROR(__xludf.DUMMYFUNCTION("REGEXEXTRACT(B4971, ""^([^:]+)"")"),"Video games")</f>
        <v>Video games</v>
      </c>
      <c r="D4971" s="1" t="s">
        <v>11</v>
      </c>
      <c r="E4971" s="1" t="s">
        <v>11</v>
      </c>
    </row>
    <row r="4972" spans="1:5" ht="15.75" customHeight="1">
      <c r="A4972" s="1">
        <v>950420</v>
      </c>
      <c r="B4972" s="1" t="s">
        <v>5003</v>
      </c>
      <c r="C4972" s="1" t="str">
        <f ca="1">IFERROR(__xludf.DUMMYFUNCTION("REGEXEXTRACT(B4972, ""^([^:]+)"")"),"Billiard articles and accessories of all kinds")</f>
        <v>Billiard articles and accessories of all kinds</v>
      </c>
      <c r="D4972" s="1" t="s">
        <v>11</v>
      </c>
      <c r="E4972" s="1" t="s">
        <v>11</v>
      </c>
    </row>
    <row r="4973" spans="1:5" ht="15.75" customHeight="1">
      <c r="A4973" s="1">
        <v>950430</v>
      </c>
      <c r="B4973" s="1" t="s">
        <v>5004</v>
      </c>
      <c r="C4973" s="1" t="str">
        <f ca="1">IFERROR(__xludf.DUMMYFUNCTION("REGEXEXTRACT(B4973, ""^([^:]+)"")"),"Games n.e.c. in heading 9504, operated by coins, banknotes, bank cards, tokens or by other means of payment, other than bowling alley equipment")</f>
        <v>Games n.e.c. in heading 9504, operated by coins, banknotes, bank cards, tokens or by other means of payment, other than bowling alley equipment</v>
      </c>
      <c r="D4973" s="1" t="s">
        <v>11</v>
      </c>
      <c r="E4973" s="1" t="s">
        <v>11</v>
      </c>
    </row>
    <row r="4974" spans="1:5" ht="15.75" customHeight="1">
      <c r="A4974" s="1">
        <v>950440</v>
      </c>
      <c r="B4974" s="1" t="s">
        <v>5005</v>
      </c>
      <c r="C4974" s="1" t="str">
        <f ca="1">IFERROR(__xludf.DUMMYFUNCTION("REGEXEXTRACT(B4974, ""^([^:]+)"")"),"Playing cards")</f>
        <v>Playing cards</v>
      </c>
      <c r="D4974" s="1" t="s">
        <v>11</v>
      </c>
      <c r="E4974" s="1" t="s">
        <v>11</v>
      </c>
    </row>
    <row r="4975" spans="1:5" ht="15.75" customHeight="1">
      <c r="A4975" s="1">
        <v>950490</v>
      </c>
      <c r="B4975" s="1" t="s">
        <v>5006</v>
      </c>
      <c r="C4975" s="1" t="str">
        <f ca="1">IFERROR(__xludf.DUMMYFUNCTION("REGEXEXTRACT(B4975, ""^([^:]+)"")"),"Games")</f>
        <v>Games</v>
      </c>
      <c r="D4975" s="1" t="s">
        <v>11</v>
      </c>
      <c r="E4975" s="1" t="s">
        <v>11</v>
      </c>
    </row>
    <row r="4976" spans="1:5" ht="15.75" customHeight="1">
      <c r="A4976" s="1">
        <v>950510</v>
      </c>
      <c r="B4976" s="1" t="s">
        <v>5007</v>
      </c>
      <c r="C4976" s="1" t="str">
        <f ca="1">IFERROR(__xludf.DUMMYFUNCTION("REGEXEXTRACT(B4976, ""^([^:]+)"")"),"Christmas festivity articles")</f>
        <v>Christmas festivity articles</v>
      </c>
      <c r="D4976" s="1" t="s">
        <v>11</v>
      </c>
      <c r="E4976" s="1" t="s">
        <v>11</v>
      </c>
    </row>
    <row r="4977" spans="1:5" ht="15.75" customHeight="1">
      <c r="A4977" s="1">
        <v>950590</v>
      </c>
      <c r="B4977" s="1" t="s">
        <v>5008</v>
      </c>
      <c r="C4977" s="1" t="str">
        <f ca="1">IFERROR(__xludf.DUMMYFUNCTION("REGEXEXTRACT(B4977, ""^([^:]+)"")"),"Festive, carnival or other entertainment articles including novelty jokes and conjuring tricks")</f>
        <v>Festive, carnival or other entertainment articles including novelty jokes and conjuring tricks</v>
      </c>
      <c r="D4977" s="1" t="s">
        <v>11</v>
      </c>
      <c r="E4977" s="1" t="s">
        <v>11</v>
      </c>
    </row>
    <row r="4978" spans="1:5" ht="15.75" customHeight="1">
      <c r="A4978" s="1">
        <v>950611</v>
      </c>
      <c r="B4978" s="1" t="s">
        <v>5009</v>
      </c>
      <c r="C4978" s="1" t="str">
        <f ca="1">IFERROR(__xludf.DUMMYFUNCTION("REGEXEXTRACT(B4978, ""^([^:]+)"")"),"Skis")</f>
        <v>Skis</v>
      </c>
      <c r="D4978" s="1" t="s">
        <v>11</v>
      </c>
      <c r="E4978" s="1" t="s">
        <v>11</v>
      </c>
    </row>
    <row r="4979" spans="1:5" ht="15.75" customHeight="1">
      <c r="A4979" s="1">
        <v>950612</v>
      </c>
      <c r="B4979" s="1" t="s">
        <v>5010</v>
      </c>
      <c r="C4979" s="1" t="str">
        <f ca="1">IFERROR(__xludf.DUMMYFUNCTION("REGEXEXTRACT(B4979, ""^([^:]+)"")"),"Ski-fastenings (ski-bindings)")</f>
        <v>Ski-fastenings (ski-bindings)</v>
      </c>
      <c r="D4979" s="1" t="s">
        <v>11</v>
      </c>
      <c r="E4979" s="1" t="s">
        <v>11</v>
      </c>
    </row>
    <row r="4980" spans="1:5" ht="15.75" customHeight="1">
      <c r="A4980" s="1">
        <v>950619</v>
      </c>
      <c r="B4980" s="1" t="s">
        <v>5011</v>
      </c>
      <c r="C4980" s="1" t="str">
        <f ca="1">IFERROR(__xludf.DUMMYFUNCTION("REGEXEXTRACT(B4980, ""^([^:]+)"")"),"Snow-ski equipment")</f>
        <v>Snow-ski equipment</v>
      </c>
      <c r="D4980" s="1" t="s">
        <v>11</v>
      </c>
      <c r="E4980" s="1" t="s">
        <v>11</v>
      </c>
    </row>
    <row r="4981" spans="1:5" ht="15.75" customHeight="1">
      <c r="A4981" s="1">
        <v>950621</v>
      </c>
      <c r="B4981" s="1" t="s">
        <v>5012</v>
      </c>
      <c r="C4981" s="1" t="str">
        <f ca="1">IFERROR(__xludf.DUMMYFUNCTION("REGEXEXTRACT(B4981, ""^([^:]+)"")"),"Sailboards")</f>
        <v>Sailboards</v>
      </c>
      <c r="D4981" s="1" t="s">
        <v>11</v>
      </c>
      <c r="E4981" s="1" t="s">
        <v>11</v>
      </c>
    </row>
    <row r="4982" spans="1:5" ht="15.75" customHeight="1">
      <c r="A4982" s="1">
        <v>950629</v>
      </c>
      <c r="B4982" s="1" t="s">
        <v>5013</v>
      </c>
      <c r="C4982" s="1" t="str">
        <f ca="1">IFERROR(__xludf.DUMMYFUNCTION("REGEXEXTRACT(B4982, ""^([^:]+)"")"),"Water sport equipment")</f>
        <v>Water sport equipment</v>
      </c>
      <c r="D4982" s="1" t="s">
        <v>11</v>
      </c>
      <c r="E4982" s="1" t="s">
        <v>11</v>
      </c>
    </row>
    <row r="4983" spans="1:5" ht="15.75" customHeight="1">
      <c r="A4983" s="1">
        <v>950631</v>
      </c>
      <c r="B4983" s="1" t="s">
        <v>5014</v>
      </c>
      <c r="C4983" s="1" t="str">
        <f ca="1">IFERROR(__xludf.DUMMYFUNCTION("REGEXEXTRACT(B4983, ""^([^:]+)"")"),"Golf clubs")</f>
        <v>Golf clubs</v>
      </c>
      <c r="D4983" s="1" t="s">
        <v>11</v>
      </c>
      <c r="E4983" s="1" t="s">
        <v>11</v>
      </c>
    </row>
    <row r="4984" spans="1:5" ht="15.75" customHeight="1">
      <c r="A4984" s="1">
        <v>950632</v>
      </c>
      <c r="B4984" s="1" t="s">
        <v>5015</v>
      </c>
      <c r="C4984" s="1" t="str">
        <f ca="1">IFERROR(__xludf.DUMMYFUNCTION("REGEXEXTRACT(B4984, ""^([^:]+)"")"),"Golf balls")</f>
        <v>Golf balls</v>
      </c>
      <c r="D4984" s="1" t="s">
        <v>11</v>
      </c>
      <c r="E4984" s="1" t="s">
        <v>11</v>
      </c>
    </row>
    <row r="4985" spans="1:5" ht="15.75" customHeight="1">
      <c r="A4985" s="1">
        <v>950639</v>
      </c>
      <c r="B4985" s="1" t="s">
        <v>5016</v>
      </c>
      <c r="C4985" s="1" t="str">
        <f ca="1">IFERROR(__xludf.DUMMYFUNCTION("REGEXEXTRACT(B4985, ""^([^:]+)"")"),"Golf equipment")</f>
        <v>Golf equipment</v>
      </c>
      <c r="D4985" s="1" t="s">
        <v>11</v>
      </c>
      <c r="E4985" s="1" t="s">
        <v>11</v>
      </c>
    </row>
    <row r="4986" spans="1:5" ht="15.75" customHeight="1">
      <c r="A4986" s="1">
        <v>950640</v>
      </c>
      <c r="B4986" s="1" t="s">
        <v>5017</v>
      </c>
      <c r="C4986" s="1" t="str">
        <f ca="1">IFERROR(__xludf.DUMMYFUNCTION("REGEXEXTRACT(B4986, ""^([^:]+)"")"),"Table-tennis articles and equipment")</f>
        <v>Table-tennis articles and equipment</v>
      </c>
      <c r="D4986" s="1" t="s">
        <v>11</v>
      </c>
      <c r="E4986" s="1" t="s">
        <v>11</v>
      </c>
    </row>
    <row r="4987" spans="1:5" ht="15.75" customHeight="1">
      <c r="A4987" s="1">
        <v>950651</v>
      </c>
      <c r="B4987" s="1" t="s">
        <v>5018</v>
      </c>
      <c r="C4987" s="1" t="str">
        <f ca="1">IFERROR(__xludf.DUMMYFUNCTION("REGEXEXTRACT(B4987, ""^([^:]+)"")"),"Lawn-tennis racquets")</f>
        <v>Lawn-tennis racquets</v>
      </c>
      <c r="D4987" s="1" t="s">
        <v>11</v>
      </c>
      <c r="E4987" s="1" t="s">
        <v>11</v>
      </c>
    </row>
    <row r="4988" spans="1:5" ht="15.75" customHeight="1">
      <c r="A4988" s="1">
        <v>950659</v>
      </c>
      <c r="B4988" s="1" t="s">
        <v>5019</v>
      </c>
      <c r="C4988" s="1" t="str">
        <f ca="1">IFERROR(__xludf.DUMMYFUNCTION("REGEXEXTRACT(B4988, ""^([^:]+)"")"),"Tennis, badminton and similar racquets")</f>
        <v>Tennis, badminton and similar racquets</v>
      </c>
      <c r="D4988" s="1" t="s">
        <v>11</v>
      </c>
      <c r="E4988" s="1" t="s">
        <v>11</v>
      </c>
    </row>
    <row r="4989" spans="1:5" ht="15.75" customHeight="1">
      <c r="A4989" s="1">
        <v>950661</v>
      </c>
      <c r="B4989" s="1" t="s">
        <v>5020</v>
      </c>
      <c r="C4989" s="1" t="str">
        <f ca="1">IFERROR(__xludf.DUMMYFUNCTION("REGEXEXTRACT(B4989, ""^([^:]+)"")"),"Lawn-tennis balls")</f>
        <v>Lawn-tennis balls</v>
      </c>
      <c r="D4989" s="1" t="s">
        <v>11</v>
      </c>
      <c r="E4989" s="1" t="s">
        <v>11</v>
      </c>
    </row>
    <row r="4990" spans="1:5" ht="15.75" customHeight="1">
      <c r="A4990" s="1">
        <v>950662</v>
      </c>
      <c r="B4990" s="1" t="s">
        <v>5021</v>
      </c>
      <c r="C4990" s="1" t="str">
        <f ca="1">IFERROR(__xludf.DUMMYFUNCTION("REGEXEXTRACT(B4990, ""^([^:]+)"")"),"Balls")</f>
        <v>Balls</v>
      </c>
      <c r="D4990" s="1" t="s">
        <v>11</v>
      </c>
      <c r="E4990" s="1" t="s">
        <v>11</v>
      </c>
    </row>
    <row r="4991" spans="1:5" ht="15.75" customHeight="1">
      <c r="A4991" s="1">
        <v>950669</v>
      </c>
      <c r="B4991" s="1" t="s">
        <v>5022</v>
      </c>
      <c r="C4991" s="1" t="str">
        <f ca="1">IFERROR(__xludf.DUMMYFUNCTION("REGEXEXTRACT(B4991, ""^([^:]+)"")"),"Balls")</f>
        <v>Balls</v>
      </c>
      <c r="D4991" s="1" t="s">
        <v>11</v>
      </c>
      <c r="E4991" s="1" t="s">
        <v>11</v>
      </c>
    </row>
    <row r="4992" spans="1:5" ht="15.75" customHeight="1">
      <c r="A4992" s="1">
        <v>950670</v>
      </c>
      <c r="B4992" s="1" t="s">
        <v>5023</v>
      </c>
      <c r="C4992" s="1" t="str">
        <f ca="1">IFERROR(__xludf.DUMMYFUNCTION("REGEXEXTRACT(B4992, ""^([^:]+)"")"),"Skates")</f>
        <v>Skates</v>
      </c>
      <c r="D4992" s="1" t="s">
        <v>11</v>
      </c>
      <c r="E4992" s="1" t="s">
        <v>11</v>
      </c>
    </row>
    <row r="4993" spans="1:5" ht="15.75" customHeight="1">
      <c r="A4993" s="1">
        <v>950691</v>
      </c>
      <c r="B4993" s="1" t="s">
        <v>5024</v>
      </c>
      <c r="C4993" s="1" t="str">
        <f ca="1">IFERROR(__xludf.DUMMYFUNCTION("REGEXEXTRACT(B4993, ""^([^:]+)"")"),"Athletics and gymnastics equipment")</f>
        <v>Athletics and gymnastics equipment</v>
      </c>
      <c r="D4993" s="1" t="s">
        <v>11</v>
      </c>
      <c r="E4993" s="1" t="s">
        <v>11</v>
      </c>
    </row>
    <row r="4994" spans="1:5" ht="15.75" customHeight="1">
      <c r="A4994" s="1">
        <v>950699</v>
      </c>
      <c r="B4994" s="1" t="s">
        <v>5025</v>
      </c>
      <c r="C4994" s="1" t="str">
        <f ca="1">IFERROR(__xludf.DUMMYFUNCTION("REGEXEXTRACT(B4994, ""^([^:]+)"")"),"Equipment for outdoor games and recreation n.e.c. in heading no. 9506")</f>
        <v>Equipment for outdoor games and recreation n.e.c. in heading no. 9506</v>
      </c>
      <c r="D4994" s="1" t="s">
        <v>11</v>
      </c>
      <c r="E4994" s="1" t="s">
        <v>11</v>
      </c>
    </row>
    <row r="4995" spans="1:5" ht="15.75" customHeight="1">
      <c r="A4995" s="1">
        <v>950710</v>
      </c>
      <c r="B4995" s="1" t="s">
        <v>5026</v>
      </c>
      <c r="C4995" s="1" t="str">
        <f ca="1">IFERROR(__xludf.DUMMYFUNCTION("REGEXEXTRACT(B4995, ""^([^:]+)"")"),"Fishing rods")</f>
        <v>Fishing rods</v>
      </c>
      <c r="D4995" s="1" t="s">
        <v>11</v>
      </c>
      <c r="E4995" s="1" t="s">
        <v>11</v>
      </c>
    </row>
    <row r="4996" spans="1:5" ht="15.75" customHeight="1">
      <c r="A4996" s="1">
        <v>950720</v>
      </c>
      <c r="B4996" s="1" t="s">
        <v>5027</v>
      </c>
      <c r="C4996" s="1" t="str">
        <f ca="1">IFERROR(__xludf.DUMMYFUNCTION("REGEXEXTRACT(B4996, ""^([^:]+)"")"),"Fish-hooks")</f>
        <v>Fish-hooks</v>
      </c>
      <c r="D4996" s="1" t="s">
        <v>11</v>
      </c>
      <c r="E4996" s="1" t="s">
        <v>11</v>
      </c>
    </row>
    <row r="4997" spans="1:5" ht="15.75" customHeight="1">
      <c r="A4997" s="1">
        <v>950730</v>
      </c>
      <c r="B4997" s="1" t="s">
        <v>5028</v>
      </c>
      <c r="C4997" s="1" t="str">
        <f ca="1">IFERROR(__xludf.DUMMYFUNCTION("REGEXEXTRACT(B4997, ""^([^:]+)"")"),"Fishing reels")</f>
        <v>Fishing reels</v>
      </c>
      <c r="D4997" s="1" t="s">
        <v>11</v>
      </c>
      <c r="E4997" s="1" t="s">
        <v>11</v>
      </c>
    </row>
    <row r="4998" spans="1:5" ht="15.75" customHeight="1">
      <c r="A4998" s="1">
        <v>950790</v>
      </c>
      <c r="B4998" s="1" t="s">
        <v>5029</v>
      </c>
      <c r="C4998" s="1" t="str">
        <f ca="1">IFERROR(__xludf.DUMMYFUNCTION("REGEXEXTRACT(B4998, ""^([^:]+)"")"),"Fishing tackle n.e.c., butterfly nets, decoy birds (other than those of heading no. 9208 or 9705) and similar hunting or shooting requisites")</f>
        <v>Fishing tackle n.e.c., butterfly nets, decoy birds (other than those of heading no. 9208 or 9705) and similar hunting or shooting requisites</v>
      </c>
      <c r="D4998" s="1" t="s">
        <v>11</v>
      </c>
      <c r="E4998" s="1" t="s">
        <v>11</v>
      </c>
    </row>
    <row r="4999" spans="1:5" ht="15.75" customHeight="1">
      <c r="A4999" s="1">
        <v>950810</v>
      </c>
      <c r="B4999" s="1" t="s">
        <v>5030</v>
      </c>
      <c r="C4999" s="1" t="str">
        <f ca="1">IFERROR(__xludf.DUMMYFUNCTION("REGEXEXTRACT(B4999, ""^([^:]+)"")"),"Travelling circuses and travelling menageries")</f>
        <v>Travelling circuses and travelling menageries</v>
      </c>
      <c r="D4999" s="1" t="s">
        <v>11</v>
      </c>
      <c r="E4999" s="1" t="s">
        <v>11</v>
      </c>
    </row>
    <row r="5000" spans="1:5" ht="15.75" customHeight="1">
      <c r="A5000" s="1">
        <v>950890</v>
      </c>
      <c r="B5000" s="1" t="s">
        <v>5031</v>
      </c>
      <c r="C5000" s="1" t="str">
        <f ca="1">IFERROR(__xludf.DUMMYFUNCTION("REGEXEXTRACT(B5000, ""^([^:]+)"")"),"Roundabouts, swings, shooting galleries, other fairground amusements")</f>
        <v>Roundabouts, swings, shooting galleries, other fairground amusements</v>
      </c>
      <c r="D5000" s="1" t="s">
        <v>11</v>
      </c>
      <c r="E5000" s="1" t="s">
        <v>11</v>
      </c>
    </row>
    <row r="5001" spans="1:5" ht="15.75" customHeight="1">
      <c r="A5001" s="1">
        <v>960110</v>
      </c>
      <c r="B5001" s="1" t="s">
        <v>5032</v>
      </c>
      <c r="C5001" s="1" t="str">
        <f ca="1">IFERROR(__xludf.DUMMYFUNCTION("REGEXEXTRACT(B5001, ""^([^:]+)"")"),"Ivory and articles thereof")</f>
        <v>Ivory and articles thereof</v>
      </c>
      <c r="D5001" s="1" t="s">
        <v>11</v>
      </c>
      <c r="E5001" s="1" t="s">
        <v>11</v>
      </c>
    </row>
    <row r="5002" spans="1:5" ht="15.75" customHeight="1">
      <c r="A5002" s="1">
        <v>960190</v>
      </c>
      <c r="B5002" s="1" t="s">
        <v>5033</v>
      </c>
      <c r="C5002" s="1" t="str">
        <f ca="1">IFERROR(__xludf.DUMMYFUNCTION("REGEXEXTRACT(B5002, ""^([^:]+)"")"),"Bone, tortoise shell, horn, antlers, coral, mother-of-pearl and other animal carving material and articles thereof (including articles obtained by moulding)")</f>
        <v>Bone, tortoise shell, horn, antlers, coral, mother-of-pearl and other animal carving material and articles thereof (including articles obtained by moulding)</v>
      </c>
      <c r="D5002" s="1" t="s">
        <v>11</v>
      </c>
      <c r="E5002" s="1" t="s">
        <v>11</v>
      </c>
    </row>
    <row r="5003" spans="1:5" ht="15.75" customHeight="1">
      <c r="A5003" s="1">
        <v>960200</v>
      </c>
      <c r="B5003" s="1" t="s">
        <v>5034</v>
      </c>
      <c r="C5003" s="1" t="str">
        <f ca="1">IFERROR(__xludf.DUMMYFUNCTION("REGEXEXTRACT(B5003, ""^([^:]+)"")"),"Vegetable, mineral carving material and articles of these materials, moulded or carved articles of wax, stearin, natural gums, resins or modelling pastes, worked unhardened gelatin (not heading no. 3503)")</f>
        <v>Vegetable, mineral carving material and articles of these materials, moulded or carved articles of wax, stearin, natural gums, resins or modelling pastes, worked unhardened gelatin (not heading no. 3503)</v>
      </c>
      <c r="D5003" s="1" t="s">
        <v>11</v>
      </c>
      <c r="E5003" s="1" t="s">
        <v>11</v>
      </c>
    </row>
    <row r="5004" spans="1:5" ht="15.75" customHeight="1">
      <c r="A5004" s="1">
        <v>960310</v>
      </c>
      <c r="B5004" s="1" t="s">
        <v>5035</v>
      </c>
      <c r="C5004" s="1" t="str">
        <f ca="1">IFERROR(__xludf.DUMMYFUNCTION("REGEXEXTRACT(B5004, ""^([^:]+)"")"),"Brooms and brushes")</f>
        <v>Brooms and brushes</v>
      </c>
      <c r="D5004" s="1" t="s">
        <v>11</v>
      </c>
      <c r="E5004" s="1" t="s">
        <v>11</v>
      </c>
    </row>
    <row r="5005" spans="1:5" ht="15.75" customHeight="1">
      <c r="A5005" s="1">
        <v>960321</v>
      </c>
      <c r="B5005" s="1" t="s">
        <v>5036</v>
      </c>
      <c r="C5005" s="1" t="str">
        <f ca="1">IFERROR(__xludf.DUMMYFUNCTION("REGEXEXTRACT(B5005, ""^([^:]+)"")"),"Brushes")</f>
        <v>Brushes</v>
      </c>
      <c r="D5005" s="1" t="s">
        <v>11</v>
      </c>
      <c r="E5005" s="1" t="s">
        <v>11</v>
      </c>
    </row>
    <row r="5006" spans="1:5" ht="15.75" customHeight="1">
      <c r="A5006" s="1">
        <v>960329</v>
      </c>
      <c r="B5006" s="1" t="s">
        <v>5037</v>
      </c>
      <c r="C5006" s="1" t="str">
        <f ca="1">IFERROR(__xludf.DUMMYFUNCTION("REGEXEXTRACT(B5006, ""^([^:]+)"")"),"Brushes")</f>
        <v>Brushes</v>
      </c>
      <c r="D5006" s="1" t="s">
        <v>11</v>
      </c>
      <c r="E5006" s="1" t="s">
        <v>11</v>
      </c>
    </row>
    <row r="5007" spans="1:5" ht="15.75" customHeight="1">
      <c r="A5007" s="1">
        <v>960330</v>
      </c>
      <c r="B5007" s="1" t="s">
        <v>5038</v>
      </c>
      <c r="C5007" s="1" t="str">
        <f ca="1">IFERROR(__xludf.DUMMYFUNCTION("REGEXEXTRACT(B5007, ""^([^:]+)"")"),"Brushes")</f>
        <v>Brushes</v>
      </c>
      <c r="D5007" s="1" t="s">
        <v>11</v>
      </c>
      <c r="E5007" s="1" t="s">
        <v>11</v>
      </c>
    </row>
    <row r="5008" spans="1:5" ht="15.75" customHeight="1">
      <c r="A5008" s="1">
        <v>960340</v>
      </c>
      <c r="B5008" s="1" t="s">
        <v>5039</v>
      </c>
      <c r="C5008" s="1" t="str">
        <f ca="1">IFERROR(__xludf.DUMMYFUNCTION("REGEXEXTRACT(B5008, ""^([^:]+)"")"),"Brushes")</f>
        <v>Brushes</v>
      </c>
      <c r="D5008" s="1" t="s">
        <v>11</v>
      </c>
      <c r="E5008" s="1" t="s">
        <v>11</v>
      </c>
    </row>
    <row r="5009" spans="1:5" ht="15.75" customHeight="1">
      <c r="A5009" s="1">
        <v>960350</v>
      </c>
      <c r="B5009" s="1" t="s">
        <v>5040</v>
      </c>
      <c r="C5009" s="1" t="str">
        <f ca="1">IFERROR(__xludf.DUMMYFUNCTION("REGEXEXTRACT(B5009, ""^([^:]+)"")"),"Brushes")</f>
        <v>Brushes</v>
      </c>
      <c r="D5009" s="1" t="s">
        <v>11</v>
      </c>
      <c r="E5009" s="1" t="s">
        <v>11</v>
      </c>
    </row>
    <row r="5010" spans="1:5" ht="15.75" customHeight="1">
      <c r="A5010" s="1">
        <v>960390</v>
      </c>
      <c r="B5010" s="1" t="s">
        <v>5041</v>
      </c>
      <c r="C5010" s="1" t="str">
        <f ca="1">IFERROR(__xludf.DUMMYFUNCTION("REGEXEXTRACT(B5010, ""^([^:]+)"")"),"Brooms, brushes, mops, feather dusters, squeegees, hand operated mechanical floor sweepers")</f>
        <v>Brooms, brushes, mops, feather dusters, squeegees, hand operated mechanical floor sweepers</v>
      </c>
      <c r="D5010" s="1" t="s">
        <v>11</v>
      </c>
      <c r="E5010" s="1" t="s">
        <v>11</v>
      </c>
    </row>
    <row r="5011" spans="1:5" ht="15.75" customHeight="1">
      <c r="A5011" s="1">
        <v>960400</v>
      </c>
      <c r="B5011" s="1" t="s">
        <v>5042</v>
      </c>
      <c r="C5011" s="1" t="str">
        <f ca="1">IFERROR(__xludf.DUMMYFUNCTION("REGEXEXTRACT(B5011, ""^([^:]+)"")"),"Hand sieves and hand riddles")</f>
        <v>Hand sieves and hand riddles</v>
      </c>
      <c r="D5011" s="1" t="s">
        <v>11</v>
      </c>
      <c r="E5011" s="1" t="s">
        <v>11</v>
      </c>
    </row>
    <row r="5012" spans="1:5" ht="15.75" customHeight="1">
      <c r="A5012" s="1">
        <v>960500</v>
      </c>
      <c r="B5012" s="1" t="s">
        <v>5043</v>
      </c>
      <c r="C5012" s="1" t="str">
        <f ca="1">IFERROR(__xludf.DUMMYFUNCTION("REGEXEXTRACT(B5012, ""^([^:]+)"")"),"Travel sets")</f>
        <v>Travel sets</v>
      </c>
      <c r="D5012" s="1" t="s">
        <v>11</v>
      </c>
      <c r="E5012" s="1" t="s">
        <v>11</v>
      </c>
    </row>
    <row r="5013" spans="1:5" ht="15.75" customHeight="1">
      <c r="A5013" s="1">
        <v>960610</v>
      </c>
      <c r="B5013" s="1" t="s">
        <v>5044</v>
      </c>
      <c r="C5013" s="1" t="str">
        <f ca="1">IFERROR(__xludf.DUMMYFUNCTION("REGEXEXTRACT(B5013, ""^([^:]+)"")"),"Press-fasteners, snap-fasteners, press-studs and parts therefor")</f>
        <v>Press-fasteners, snap-fasteners, press-studs and parts therefor</v>
      </c>
      <c r="D5013" s="1" t="s">
        <v>11</v>
      </c>
      <c r="E5013" s="1" t="s">
        <v>11</v>
      </c>
    </row>
    <row r="5014" spans="1:5" ht="15.75" customHeight="1">
      <c r="A5014" s="1">
        <v>960621</v>
      </c>
      <c r="B5014" s="1" t="s">
        <v>5045</v>
      </c>
      <c r="C5014" s="1" t="str">
        <f ca="1">IFERROR(__xludf.DUMMYFUNCTION("REGEXEXTRACT(B5014, ""^([^:]+)"")"),"Buttons")</f>
        <v>Buttons</v>
      </c>
      <c r="D5014" s="1" t="s">
        <v>11</v>
      </c>
      <c r="E5014" s="1" t="s">
        <v>11</v>
      </c>
    </row>
    <row r="5015" spans="1:5" ht="15.75" customHeight="1">
      <c r="A5015" s="1">
        <v>960622</v>
      </c>
      <c r="B5015" s="1" t="s">
        <v>5046</v>
      </c>
      <c r="C5015" s="1" t="str">
        <f ca="1">IFERROR(__xludf.DUMMYFUNCTION("REGEXEXTRACT(B5015, ""^([^:]+)"")"),"Buttons")</f>
        <v>Buttons</v>
      </c>
      <c r="D5015" s="1" t="s">
        <v>11</v>
      </c>
      <c r="E5015" s="1" t="s">
        <v>11</v>
      </c>
    </row>
    <row r="5016" spans="1:5" ht="15.75" customHeight="1">
      <c r="A5016" s="1">
        <v>960629</v>
      </c>
      <c r="B5016" s="1" t="s">
        <v>5047</v>
      </c>
      <c r="C5016" s="1" t="str">
        <f ca="1">IFERROR(__xludf.DUMMYFUNCTION("REGEXEXTRACT(B5016, ""^([^:]+)"")"),"Buttons")</f>
        <v>Buttons</v>
      </c>
      <c r="D5016" s="1" t="s">
        <v>11</v>
      </c>
      <c r="E5016" s="1" t="s">
        <v>11</v>
      </c>
    </row>
    <row r="5017" spans="1:5" ht="15.75" customHeight="1">
      <c r="A5017" s="1">
        <v>960630</v>
      </c>
      <c r="B5017" s="1" t="s">
        <v>5048</v>
      </c>
      <c r="C5017" s="1" t="str">
        <f ca="1">IFERROR(__xludf.DUMMYFUNCTION("REGEXEXTRACT(B5017, ""^([^:]+)"")"),"Button moulds and other parts of buttons")</f>
        <v>Button moulds and other parts of buttons</v>
      </c>
      <c r="D5017" s="1" t="s">
        <v>11</v>
      </c>
      <c r="E5017" s="1" t="s">
        <v>11</v>
      </c>
    </row>
    <row r="5018" spans="1:5" ht="15.75" customHeight="1">
      <c r="A5018" s="1">
        <v>960711</v>
      </c>
      <c r="B5018" s="1" t="s">
        <v>5049</v>
      </c>
      <c r="C5018" s="1" t="str">
        <f ca="1">IFERROR(__xludf.DUMMYFUNCTION("REGEXEXTRACT(B5018, ""^([^:]+)"")"),"Slide fasteners")</f>
        <v>Slide fasteners</v>
      </c>
      <c r="D5018" s="1" t="s">
        <v>11</v>
      </c>
      <c r="E5018" s="1" t="s">
        <v>11</v>
      </c>
    </row>
    <row r="5019" spans="1:5" ht="15.75" customHeight="1">
      <c r="A5019" s="1">
        <v>960719</v>
      </c>
      <c r="B5019" s="1" t="s">
        <v>5050</v>
      </c>
      <c r="C5019" s="1" t="str">
        <f ca="1">IFERROR(__xludf.DUMMYFUNCTION("REGEXEXTRACT(B5019, ""^([^:]+)"")"),"Slide fasteners")</f>
        <v>Slide fasteners</v>
      </c>
      <c r="D5019" s="1" t="s">
        <v>11</v>
      </c>
      <c r="E5019" s="1" t="s">
        <v>11</v>
      </c>
    </row>
    <row r="5020" spans="1:5" ht="15.75" customHeight="1">
      <c r="A5020" s="1">
        <v>960720</v>
      </c>
      <c r="B5020" s="1" t="s">
        <v>5051</v>
      </c>
      <c r="C5020" s="1" t="str">
        <f ca="1">IFERROR(__xludf.DUMMYFUNCTION("REGEXEXTRACT(B5020, ""^([^:]+)"")"),"Slide fasteners")</f>
        <v>Slide fasteners</v>
      </c>
      <c r="D5020" s="1" t="s">
        <v>11</v>
      </c>
      <c r="E5020" s="1" t="s">
        <v>11</v>
      </c>
    </row>
    <row r="5021" spans="1:5" ht="15.75" customHeight="1">
      <c r="A5021" s="1">
        <v>960810</v>
      </c>
      <c r="B5021" s="1" t="s">
        <v>5052</v>
      </c>
      <c r="C5021" s="1" t="str">
        <f ca="1">IFERROR(__xludf.DUMMYFUNCTION("REGEXEXTRACT(B5021, ""^([^:]+)"")"),"Pens")</f>
        <v>Pens</v>
      </c>
      <c r="D5021" s="1" t="s">
        <v>11</v>
      </c>
      <c r="E5021" s="1" t="s">
        <v>11</v>
      </c>
    </row>
    <row r="5022" spans="1:5" ht="15.75" customHeight="1">
      <c r="A5022" s="1">
        <v>960820</v>
      </c>
      <c r="B5022" s="1" t="s">
        <v>5053</v>
      </c>
      <c r="C5022" s="1" t="str">
        <f ca="1">IFERROR(__xludf.DUMMYFUNCTION("REGEXEXTRACT(B5022, ""^([^:]+)"")"),"Pens")</f>
        <v>Pens</v>
      </c>
      <c r="D5022" s="1" t="s">
        <v>11</v>
      </c>
      <c r="E5022" s="1" t="s">
        <v>11</v>
      </c>
    </row>
    <row r="5023" spans="1:5" ht="15.75" customHeight="1">
      <c r="A5023" s="1">
        <v>960831</v>
      </c>
      <c r="B5023" s="1" t="s">
        <v>5054</v>
      </c>
      <c r="C5023" s="1" t="str">
        <f ca="1">IFERROR(__xludf.DUMMYFUNCTION("REGEXEXTRACT(B5023, ""^([^:]+)"")"),"Pens")</f>
        <v>Pens</v>
      </c>
      <c r="D5023" s="1" t="s">
        <v>11</v>
      </c>
      <c r="E5023" s="1" t="s">
        <v>11</v>
      </c>
    </row>
    <row r="5024" spans="1:5" ht="15.75" customHeight="1">
      <c r="A5024" s="1">
        <v>960839</v>
      </c>
      <c r="B5024" s="1" t="s">
        <v>5055</v>
      </c>
      <c r="C5024" s="1" t="str">
        <f ca="1">IFERROR(__xludf.DUMMYFUNCTION("REGEXEXTRACT(B5024, ""^([^:]+)"")"),"Pens")</f>
        <v>Pens</v>
      </c>
      <c r="D5024" s="1" t="s">
        <v>11</v>
      </c>
      <c r="E5024" s="1" t="s">
        <v>11</v>
      </c>
    </row>
    <row r="5025" spans="1:5" ht="15.75" customHeight="1">
      <c r="A5025" s="1">
        <v>960840</v>
      </c>
      <c r="B5025" s="1" t="s">
        <v>5056</v>
      </c>
      <c r="C5025" s="1" t="str">
        <f ca="1">IFERROR(__xludf.DUMMYFUNCTION("REGEXEXTRACT(B5025, ""^([^:]+)"")"),"Pencils")</f>
        <v>Pencils</v>
      </c>
      <c r="D5025" s="1" t="s">
        <v>11</v>
      </c>
      <c r="E5025" s="1" t="s">
        <v>11</v>
      </c>
    </row>
    <row r="5026" spans="1:5" ht="15.75" customHeight="1">
      <c r="A5026" s="1">
        <v>960850</v>
      </c>
      <c r="B5026" s="1" t="s">
        <v>5057</v>
      </c>
      <c r="C5026" s="1" t="str">
        <f ca="1">IFERROR(__xludf.DUMMYFUNCTION("REGEXEXTRACT(B5026, ""^([^:]+)"")"),"Pen and pencil sets")</f>
        <v>Pen and pencil sets</v>
      </c>
      <c r="D5026" s="1" t="s">
        <v>11</v>
      </c>
      <c r="E5026" s="1" t="s">
        <v>11</v>
      </c>
    </row>
    <row r="5027" spans="1:5" ht="15.75" customHeight="1">
      <c r="A5027" s="1">
        <v>960860</v>
      </c>
      <c r="B5027" s="1" t="s">
        <v>5058</v>
      </c>
      <c r="C5027" s="1" t="str">
        <f ca="1">IFERROR(__xludf.DUMMYFUNCTION("REGEXEXTRACT(B5027, ""^([^:]+)"")"),"Pens")</f>
        <v>Pens</v>
      </c>
      <c r="D5027" s="1" t="s">
        <v>11</v>
      </c>
      <c r="E5027" s="1" t="s">
        <v>11</v>
      </c>
    </row>
    <row r="5028" spans="1:5" ht="15.75" customHeight="1">
      <c r="A5028" s="1">
        <v>960891</v>
      </c>
      <c r="B5028" s="1" t="s">
        <v>5059</v>
      </c>
      <c r="C5028" s="1" t="str">
        <f ca="1">IFERROR(__xludf.DUMMYFUNCTION("REGEXEXTRACT(B5028, ""^([^:]+)"")"),"Pens")</f>
        <v>Pens</v>
      </c>
      <c r="D5028" s="1" t="s">
        <v>11</v>
      </c>
      <c r="E5028" s="1" t="s">
        <v>11</v>
      </c>
    </row>
    <row r="5029" spans="1:5" ht="15.75" customHeight="1">
      <c r="A5029" s="1">
        <v>960899</v>
      </c>
      <c r="B5029" s="1" t="s">
        <v>5060</v>
      </c>
      <c r="C5029" s="1" t="str">
        <f ca="1">IFERROR(__xludf.DUMMYFUNCTION("REGEXEXTRACT(B5029, ""^([^:]+)"")"),"Pens and pencils n.e.c. in heading no. 9608")</f>
        <v>Pens and pencils n.e.c. in heading no. 9608</v>
      </c>
      <c r="D5029" s="1" t="s">
        <v>11</v>
      </c>
      <c r="E5029" s="1" t="s">
        <v>11</v>
      </c>
    </row>
    <row r="5030" spans="1:5" ht="15.75" customHeight="1">
      <c r="A5030" s="1">
        <v>960910</v>
      </c>
      <c r="B5030" s="1" t="s">
        <v>5061</v>
      </c>
      <c r="C5030" s="1" t="str">
        <f ca="1">IFERROR(__xludf.DUMMYFUNCTION("REGEXEXTRACT(B5030, ""^([^:]+)"")"),"Pencils and crayons")</f>
        <v>Pencils and crayons</v>
      </c>
      <c r="D5030" s="1" t="s">
        <v>11</v>
      </c>
      <c r="E5030" s="1" t="s">
        <v>11</v>
      </c>
    </row>
    <row r="5031" spans="1:5" ht="15.75" customHeight="1">
      <c r="A5031" s="1">
        <v>960920</v>
      </c>
      <c r="B5031" s="1" t="s">
        <v>5062</v>
      </c>
      <c r="C5031" s="1" t="str">
        <f ca="1">IFERROR(__xludf.DUMMYFUNCTION("REGEXEXTRACT(B5031, ""^([^:]+)"")"),"Pencil leads")</f>
        <v>Pencil leads</v>
      </c>
      <c r="D5031" s="1" t="s">
        <v>11</v>
      </c>
      <c r="E5031" s="1" t="s">
        <v>11</v>
      </c>
    </row>
    <row r="5032" spans="1:5" ht="15.75" customHeight="1">
      <c r="A5032" s="1">
        <v>960990</v>
      </c>
      <c r="B5032" s="1" t="s">
        <v>5063</v>
      </c>
      <c r="C5032" s="1" t="str">
        <f ca="1">IFERROR(__xludf.DUMMYFUNCTION("REGEXEXTRACT(B5032, ""^([^:]+)"")"),"Pastels, drawing charcoals, writing or drawing chalks, tailors' chalk")</f>
        <v>Pastels, drawing charcoals, writing or drawing chalks, tailors' chalk</v>
      </c>
      <c r="D5032" s="1" t="s">
        <v>11</v>
      </c>
      <c r="E5032" s="1" t="s">
        <v>11</v>
      </c>
    </row>
    <row r="5033" spans="1:5" ht="15.75" customHeight="1">
      <c r="A5033" s="1">
        <v>961000</v>
      </c>
      <c r="B5033" s="1" t="s">
        <v>5064</v>
      </c>
      <c r="C5033" s="1" t="str">
        <f ca="1">IFERROR(__xludf.DUMMYFUNCTION("REGEXEXTRACT(B5033, ""^([^:]+)"")"),"Slates and boards")</f>
        <v>Slates and boards</v>
      </c>
      <c r="D5033" s="1" t="s">
        <v>11</v>
      </c>
      <c r="E5033" s="1" t="s">
        <v>11</v>
      </c>
    </row>
    <row r="5034" spans="1:5" ht="15.75" customHeight="1">
      <c r="A5034" s="1">
        <v>961100</v>
      </c>
      <c r="B5034" s="1" t="s">
        <v>5065</v>
      </c>
      <c r="C5034" s="1" t="str">
        <f ca="1">IFERROR(__xludf.DUMMYFUNCTION("REGEXEXTRACT(B5034, ""^([^:]+)"")"),"Stamps")</f>
        <v>Stamps</v>
      </c>
      <c r="D5034" s="1" t="s">
        <v>11</v>
      </c>
      <c r="E5034" s="1" t="s">
        <v>11</v>
      </c>
    </row>
    <row r="5035" spans="1:5" ht="15.75" customHeight="1">
      <c r="A5035" s="1">
        <v>961210</v>
      </c>
      <c r="B5035" s="1" t="s">
        <v>5066</v>
      </c>
      <c r="C5035" s="1" t="str">
        <f ca="1">IFERROR(__xludf.DUMMYFUNCTION("REGEXEXTRACT(B5035, ""^([^:]+)"")"),"Ribbons")</f>
        <v>Ribbons</v>
      </c>
      <c r="D5035" s="1" t="s">
        <v>11</v>
      </c>
      <c r="E5035" s="1" t="s">
        <v>11</v>
      </c>
    </row>
    <row r="5036" spans="1:5" ht="15.75" customHeight="1">
      <c r="A5036" s="1">
        <v>961220</v>
      </c>
      <c r="B5036" s="1" t="s">
        <v>5067</v>
      </c>
      <c r="C5036" s="1" t="str">
        <f ca="1">IFERROR(__xludf.DUMMYFUNCTION("REGEXEXTRACT(B5036, ""^([^:]+)"")"),"Ink pads")</f>
        <v>Ink pads</v>
      </c>
      <c r="D5036" s="1" t="s">
        <v>11</v>
      </c>
      <c r="E5036" s="1" t="s">
        <v>11</v>
      </c>
    </row>
    <row r="5037" spans="1:5" ht="15.75" customHeight="1">
      <c r="A5037" s="1">
        <v>961310</v>
      </c>
      <c r="B5037" s="1" t="s">
        <v>5068</v>
      </c>
      <c r="C5037" s="1" t="str">
        <f ca="1">IFERROR(__xludf.DUMMYFUNCTION("REGEXEXTRACT(B5037, ""^([^:]+)"")"),"Lighters")</f>
        <v>Lighters</v>
      </c>
      <c r="D5037" s="1" t="s">
        <v>11</v>
      </c>
      <c r="E5037" s="1" t="s">
        <v>11</v>
      </c>
    </row>
    <row r="5038" spans="1:5" ht="15.75" customHeight="1">
      <c r="A5038" s="1">
        <v>961320</v>
      </c>
      <c r="B5038" s="1" t="s">
        <v>5069</v>
      </c>
      <c r="C5038" s="1" t="str">
        <f ca="1">IFERROR(__xludf.DUMMYFUNCTION("REGEXEXTRACT(B5038, ""^([^:]+)"")"),"Lighters")</f>
        <v>Lighters</v>
      </c>
      <c r="D5038" s="1" t="s">
        <v>11</v>
      </c>
      <c r="E5038" s="1" t="s">
        <v>11</v>
      </c>
    </row>
    <row r="5039" spans="1:5" ht="15.75" customHeight="1">
      <c r="A5039" s="1">
        <v>961380</v>
      </c>
      <c r="B5039" s="1" t="s">
        <v>5070</v>
      </c>
      <c r="C5039" s="1" t="str">
        <f ca="1">IFERROR(__xludf.DUMMYFUNCTION("REGEXEXTRACT(B5039, ""^([^:]+)"")"),"Lighters")</f>
        <v>Lighters</v>
      </c>
      <c r="D5039" s="1" t="s">
        <v>11</v>
      </c>
      <c r="E5039" s="1" t="s">
        <v>11</v>
      </c>
    </row>
    <row r="5040" spans="1:5" ht="15.75" customHeight="1">
      <c r="A5040" s="1">
        <v>961390</v>
      </c>
      <c r="B5040" s="1" t="s">
        <v>5071</v>
      </c>
      <c r="C5040" s="1" t="str">
        <f ca="1">IFERROR(__xludf.DUMMYFUNCTION("REGEXEXTRACT(B5040, ""^([^:]+)"")"),"Lighters")</f>
        <v>Lighters</v>
      </c>
      <c r="D5040" s="1" t="s">
        <v>11</v>
      </c>
      <c r="E5040" s="1" t="s">
        <v>11</v>
      </c>
    </row>
    <row r="5041" spans="1:5" ht="15.75" customHeight="1">
      <c r="A5041" s="1">
        <v>961400</v>
      </c>
      <c r="B5041" s="1" t="s">
        <v>5072</v>
      </c>
      <c r="C5041" s="1" t="str">
        <f ca="1">IFERROR(__xludf.DUMMYFUNCTION("REGEXEXTRACT(B5041, ""^([^:]+)"")"),"Smoking pipes (including pipe bowls) and cigar or cigarette holders, and parts thereof")</f>
        <v>Smoking pipes (including pipe bowls) and cigar or cigarette holders, and parts thereof</v>
      </c>
      <c r="D5041" s="1" t="s">
        <v>11</v>
      </c>
      <c r="E5041" s="1" t="s">
        <v>11</v>
      </c>
    </row>
    <row r="5042" spans="1:5" ht="15.75" customHeight="1">
      <c r="A5042" s="1">
        <v>961511</v>
      </c>
      <c r="B5042" s="1" t="s">
        <v>5073</v>
      </c>
      <c r="C5042" s="1" t="str">
        <f ca="1">IFERROR(__xludf.DUMMYFUNCTION("REGEXEXTRACT(B5042, ""^([^:]+)"")"),"Combs, hair slides and the like")</f>
        <v>Combs, hair slides and the like</v>
      </c>
      <c r="D5042" s="1" t="s">
        <v>11</v>
      </c>
      <c r="E5042" s="1" t="s">
        <v>11</v>
      </c>
    </row>
    <row r="5043" spans="1:5" ht="15.75" customHeight="1">
      <c r="A5043" s="1">
        <v>961519</v>
      </c>
      <c r="B5043" s="1" t="s">
        <v>5074</v>
      </c>
      <c r="C5043" s="1" t="str">
        <f ca="1">IFERROR(__xludf.DUMMYFUNCTION("REGEXEXTRACT(B5043, ""^([^:]+)"")"),"Combs, hair slides and the like")</f>
        <v>Combs, hair slides and the like</v>
      </c>
      <c r="D5043" s="1" t="s">
        <v>11</v>
      </c>
      <c r="E5043" s="1" t="s">
        <v>11</v>
      </c>
    </row>
    <row r="5044" spans="1:5" ht="15.75" customHeight="1">
      <c r="A5044" s="1">
        <v>961590</v>
      </c>
      <c r="B5044" s="1" t="s">
        <v>5075</v>
      </c>
      <c r="C5044" s="1" t="str">
        <f ca="1">IFERROR(__xludf.DUMMYFUNCTION("REGEXEXTRACT(B5044, ""^([^:]+)"")"),"Hairpins, curling pins, curling grips, hair curlers and the like (not those of heading no. 8516) and parts thereof")</f>
        <v>Hairpins, curling pins, curling grips, hair curlers and the like (not those of heading no. 8516) and parts thereof</v>
      </c>
      <c r="D5044" s="1" t="s">
        <v>11</v>
      </c>
      <c r="E5044" s="1" t="s">
        <v>11</v>
      </c>
    </row>
    <row r="5045" spans="1:5" ht="15.75" customHeight="1">
      <c r="A5045" s="1">
        <v>961610</v>
      </c>
      <c r="B5045" s="1" t="s">
        <v>5076</v>
      </c>
      <c r="C5045" s="1" t="str">
        <f ca="1">IFERROR(__xludf.DUMMYFUNCTION("REGEXEXTRACT(B5045, ""^([^:]+)"")"),"Scent sprays and similar toilet sprays, and mounts and heads therefor")</f>
        <v>Scent sprays and similar toilet sprays, and mounts and heads therefor</v>
      </c>
      <c r="D5045" s="1" t="s">
        <v>11</v>
      </c>
      <c r="E5045" s="1" t="s">
        <v>11</v>
      </c>
    </row>
    <row r="5046" spans="1:5" ht="15.75" customHeight="1">
      <c r="A5046" s="1">
        <v>961620</v>
      </c>
      <c r="B5046" s="1" t="s">
        <v>5077</v>
      </c>
      <c r="C5046" s="1" t="str">
        <f ca="1">IFERROR(__xludf.DUMMYFUNCTION("REGEXEXTRACT(B5046, ""^([^:]+)"")"),"Powder puffs and pads")</f>
        <v>Powder puffs and pads</v>
      </c>
      <c r="D5046" s="1" t="s">
        <v>11</v>
      </c>
      <c r="E5046" s="1" t="s">
        <v>11</v>
      </c>
    </row>
    <row r="5047" spans="1:5" ht="15.75" customHeight="1">
      <c r="A5047" s="1">
        <v>961700</v>
      </c>
      <c r="B5047" s="1" t="s">
        <v>5078</v>
      </c>
      <c r="C5047" s="1" t="str">
        <f ca="1">IFERROR(__xludf.DUMMYFUNCTION("REGEXEXTRACT(B5047, ""^([^:]+)"")"),"Vacuum flasks and other vacuum vessels, complete with cases")</f>
        <v>Vacuum flasks and other vacuum vessels, complete with cases</v>
      </c>
      <c r="D5047" s="1" t="s">
        <v>11</v>
      </c>
      <c r="E5047" s="1" t="s">
        <v>11</v>
      </c>
    </row>
    <row r="5048" spans="1:5" ht="15.75" customHeight="1">
      <c r="A5048" s="1">
        <v>961800</v>
      </c>
      <c r="B5048" s="1" t="s">
        <v>5079</v>
      </c>
      <c r="C5048" s="1" t="str">
        <f ca="1">IFERROR(__xludf.DUMMYFUNCTION("REGEXEXTRACT(B5048, ""^([^:]+)"")"),"Tailors' dummies and other lay figures")</f>
        <v>Tailors' dummies and other lay figures</v>
      </c>
      <c r="D5048" s="1" t="s">
        <v>11</v>
      </c>
      <c r="E5048" s="1" t="s">
        <v>11</v>
      </c>
    </row>
    <row r="5049" spans="1:5" ht="15.75" customHeight="1">
      <c r="A5049" s="1">
        <v>970110</v>
      </c>
      <c r="B5049" s="1" t="s">
        <v>5080</v>
      </c>
      <c r="C5049" s="1" t="str">
        <f ca="1">IFERROR(__xludf.DUMMYFUNCTION("REGEXEXTRACT(B5049, ""^([^:]+)"")"),"Paintings, drawings and pastels")</f>
        <v>Paintings, drawings and pastels</v>
      </c>
      <c r="D5049" s="1" t="s">
        <v>11</v>
      </c>
      <c r="E5049" s="1" t="s">
        <v>11</v>
      </c>
    </row>
    <row r="5050" spans="1:5" ht="15.75" customHeight="1">
      <c r="A5050" s="1">
        <v>970190</v>
      </c>
      <c r="B5050" s="1" t="s">
        <v>5081</v>
      </c>
      <c r="C5050" s="1" t="str">
        <f ca="1">IFERROR(__xludf.DUMMYFUNCTION("REGEXEXTRACT(B5050, ""^([^:]+)"")"),"Artwork")</f>
        <v>Artwork</v>
      </c>
      <c r="D5050" s="1" t="s">
        <v>11</v>
      </c>
      <c r="E5050" s="1" t="s">
        <v>11</v>
      </c>
    </row>
    <row r="5051" spans="1:5" ht="15.75" customHeight="1">
      <c r="A5051" s="1">
        <v>970200</v>
      </c>
      <c r="B5051" s="1" t="s">
        <v>5082</v>
      </c>
      <c r="C5051" s="1" t="str">
        <f ca="1">IFERROR(__xludf.DUMMYFUNCTION("REGEXEXTRACT(B5051, ""^([^:]+)"")"),"Engravings, prints and lithographs")</f>
        <v>Engravings, prints and lithographs</v>
      </c>
      <c r="D5051" s="1" t="s">
        <v>11</v>
      </c>
      <c r="E5051" s="1" t="s">
        <v>11</v>
      </c>
    </row>
    <row r="5052" spans="1:5" ht="15.75" customHeight="1">
      <c r="A5052" s="1">
        <v>970300</v>
      </c>
      <c r="B5052" s="1" t="s">
        <v>5083</v>
      </c>
      <c r="C5052" s="1" t="str">
        <f ca="1">IFERROR(__xludf.DUMMYFUNCTION("REGEXEXTRACT(B5052, ""^([^:]+)"")"),"Sculptures and statuary")</f>
        <v>Sculptures and statuary</v>
      </c>
      <c r="D5052" s="1" t="s">
        <v>11</v>
      </c>
      <c r="E5052" s="1" t="s">
        <v>11</v>
      </c>
    </row>
    <row r="5053" spans="1:5" ht="15.75" customHeight="1">
      <c r="A5053" s="1">
        <v>970400</v>
      </c>
      <c r="B5053" s="1" t="s">
        <v>5084</v>
      </c>
      <c r="C5053" s="1" t="str">
        <f ca="1">IFERROR(__xludf.DUMMYFUNCTION("REGEXEXTRACT(B5053, ""^([^:]+)"")"),"Stamps, postage or revenue")</f>
        <v>Stamps, postage or revenue</v>
      </c>
      <c r="D5053" s="1" t="s">
        <v>11</v>
      </c>
      <c r="E5053" s="1" t="s">
        <v>11</v>
      </c>
    </row>
    <row r="5054" spans="1:5" ht="15.75" customHeight="1">
      <c r="A5054" s="1">
        <v>970500</v>
      </c>
      <c r="B5054" s="1" t="s">
        <v>5085</v>
      </c>
      <c r="C5054" s="1" t="str">
        <f ca="1">IFERROR(__xludf.DUMMYFUNCTION("REGEXEXTRACT(B5054, ""^([^:]+)"")"),"Collections and collectors' pieces")</f>
        <v>Collections and collectors' pieces</v>
      </c>
      <c r="D5054" s="1" t="s">
        <v>11</v>
      </c>
      <c r="E5054" s="1" t="s">
        <v>11</v>
      </c>
    </row>
    <row r="5055" spans="1:5" ht="15.75" customHeight="1">
      <c r="A5055" s="1">
        <v>970600</v>
      </c>
      <c r="B5055" s="1" t="s">
        <v>5086</v>
      </c>
      <c r="C5055" s="1" t="str">
        <f ca="1">IFERROR(__xludf.DUMMYFUNCTION("REGEXEXTRACT(B5055, ""^([^:]+)"")"),"Antiques")</f>
        <v>Antiques</v>
      </c>
      <c r="D5055" s="1" t="s">
        <v>11</v>
      </c>
      <c r="E5055" s="1" t="s">
        <v>11</v>
      </c>
    </row>
    <row r="5056" spans="1:5" ht="15.75" customHeight="1">
      <c r="A5056" s="1">
        <v>999999</v>
      </c>
      <c r="B5056" s="1" t="s">
        <v>5087</v>
      </c>
      <c r="C5056" s="1" t="str">
        <f ca="1">IFERROR(__xludf.DUMMYFUNCTION("REGEXEXTRACT(B5056, ""^([^:]+)"")"),"Commodities not specified according to kind")</f>
        <v>Commodities not specified according to kind</v>
      </c>
      <c r="D5056" s="1" t="s">
        <v>11</v>
      </c>
      <c r="E5056" s="1" t="s">
        <v>11</v>
      </c>
    </row>
  </sheetData>
  <autoFilter ref="A1:F5056" xr:uid="{00000000-0009-0000-0000-000002000000}"/>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baseColWidth="10" defaultColWidth="12.57031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product_codes_HS07_V202501</vt:lpstr>
      <vt:lpstr>exportable</vt:lpstr>
      <vt:lpstr>rev_caro_hs07</vt: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WANDER</dc:creator>
  <cp:lastModifiedBy>Carolina Constanza Carrillo Devia (carolina.carrillo)</cp:lastModifiedBy>
  <dcterms:created xsi:type="dcterms:W3CDTF">2025-08-18T19:35:27Z</dcterms:created>
  <dcterms:modified xsi:type="dcterms:W3CDTF">2026-10-13T21:20:38Z</dcterms:modified>
</cp:coreProperties>
</file>